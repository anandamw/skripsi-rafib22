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y Pratama\Downloads\"/>
    </mc:Choice>
  </mc:AlternateContent>
  <xr:revisionPtr revIDLastSave="0" documentId="11_D9C8D0E1DB5BDF6103A7AFF5795D01382EF7D08A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Data Bulanan" sheetId="1" r:id="rId1"/>
    <sheet name="Data Historis 5 Tahun" sheetId="2" r:id="rId2"/>
    <sheet name="Evaluasi TIC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95" i="2" l="1"/>
  <c r="S494" i="2"/>
  <c r="S486" i="2"/>
  <c r="S483" i="2"/>
  <c r="S480" i="2"/>
  <c r="S475" i="2"/>
  <c r="S473" i="2"/>
  <c r="S468" i="2"/>
  <c r="S464" i="2"/>
  <c r="S463" i="2"/>
  <c r="S456" i="2"/>
  <c r="S452" i="2"/>
  <c r="S448" i="2"/>
  <c r="S446" i="2"/>
  <c r="S441" i="2"/>
  <c r="S440" i="2"/>
  <c r="S430" i="2"/>
  <c r="S426" i="2"/>
  <c r="S414" i="2"/>
  <c r="S413" i="2"/>
  <c r="S408" i="2"/>
  <c r="S404" i="2"/>
  <c r="S402" i="2"/>
  <c r="S397" i="2"/>
  <c r="S384" i="2"/>
  <c r="S373" i="2"/>
  <c r="S367" i="2"/>
  <c r="S365" i="2"/>
  <c r="S358" i="2"/>
  <c r="S354" i="2"/>
  <c r="S351" i="2"/>
  <c r="S344" i="2"/>
  <c r="S339" i="2"/>
  <c r="S335" i="2"/>
  <c r="S330" i="2"/>
  <c r="S327" i="2"/>
  <c r="S317" i="2"/>
  <c r="S313" i="2"/>
  <c r="S305" i="2"/>
  <c r="S303" i="2"/>
  <c r="S301" i="2"/>
  <c r="S297" i="2"/>
  <c r="S284" i="2"/>
  <c r="S277" i="2"/>
  <c r="S273" i="2"/>
  <c r="S268" i="2"/>
  <c r="S267" i="2"/>
  <c r="S264" i="2"/>
  <c r="S260" i="2"/>
  <c r="S250" i="2"/>
  <c r="S246" i="2"/>
  <c r="S244" i="2"/>
  <c r="S236" i="2"/>
  <c r="S232" i="2"/>
  <c r="S215" i="2"/>
  <c r="S212" i="2"/>
  <c r="S204" i="2"/>
  <c r="S199" i="2"/>
  <c r="S196" i="2"/>
  <c r="S195" i="2"/>
  <c r="S185" i="2"/>
  <c r="S182" i="2"/>
  <c r="S181" i="2"/>
  <c r="S178" i="2"/>
  <c r="S169" i="2"/>
  <c r="S168" i="2"/>
  <c r="S164" i="2"/>
  <c r="S156" i="2"/>
  <c r="S152" i="2"/>
  <c r="S147" i="2"/>
  <c r="S146" i="2"/>
  <c r="S144" i="2"/>
  <c r="S138" i="2"/>
  <c r="S130" i="2"/>
  <c r="S128" i="2"/>
  <c r="S126" i="2"/>
  <c r="S125" i="2"/>
  <c r="S122" i="2"/>
  <c r="S117" i="2"/>
  <c r="S116" i="2"/>
  <c r="S113" i="2"/>
  <c r="S111" i="2"/>
  <c r="S110" i="2"/>
  <c r="S101" i="2"/>
  <c r="S100" i="2"/>
  <c r="S96" i="2"/>
  <c r="S95" i="2"/>
  <c r="S86" i="2"/>
  <c r="S85" i="2"/>
  <c r="S84" i="2"/>
  <c r="S83" i="2"/>
  <c r="S82" i="2"/>
  <c r="S77" i="2"/>
  <c r="S60" i="2"/>
  <c r="S53" i="2"/>
  <c r="S43" i="2"/>
  <c r="S42" i="2"/>
  <c r="S37" i="2"/>
  <c r="S34" i="2"/>
  <c r="S33" i="2"/>
  <c r="S25" i="2"/>
  <c r="S22" i="2"/>
  <c r="S20" i="2"/>
  <c r="S10" i="2"/>
  <c r="S7" i="2"/>
  <c r="EB105" i="1"/>
  <c r="DZ105" i="1"/>
  <c r="DX105" i="1"/>
  <c r="DV105" i="1"/>
  <c r="DT105" i="1"/>
  <c r="DR105" i="1"/>
  <c r="DP105" i="1"/>
  <c r="DN105" i="1"/>
  <c r="DL105" i="1"/>
  <c r="DJ105" i="1"/>
  <c r="DH105" i="1"/>
  <c r="DF105" i="1"/>
  <c r="DB105" i="1"/>
  <c r="CZ105" i="1"/>
  <c r="CX105" i="1"/>
  <c r="CV105" i="1"/>
  <c r="CT105" i="1"/>
  <c r="CR105" i="1"/>
  <c r="CP105" i="1"/>
  <c r="CN105" i="1"/>
  <c r="CL105" i="1"/>
  <c r="CJ105" i="1"/>
  <c r="CH105" i="1"/>
  <c r="CF105" i="1"/>
  <c r="CB105" i="1"/>
  <c r="BZ105" i="1"/>
  <c r="BX105" i="1"/>
  <c r="BV105" i="1"/>
  <c r="BT105" i="1"/>
  <c r="BR105" i="1"/>
  <c r="BP105" i="1"/>
  <c r="BN105" i="1"/>
  <c r="BL105" i="1"/>
  <c r="BJ105" i="1"/>
  <c r="BH105" i="1"/>
  <c r="BF105" i="1"/>
  <c r="CD105" i="1" s="1"/>
  <c r="N504" i="2" s="1"/>
  <c r="BB105" i="1"/>
  <c r="AZ105" i="1"/>
  <c r="AX105" i="1"/>
  <c r="AV105" i="1"/>
  <c r="AT105" i="1"/>
  <c r="AR105" i="1"/>
  <c r="AP105" i="1"/>
  <c r="AN105" i="1"/>
  <c r="BD105" i="1" s="1"/>
  <c r="N503" i="2" s="1"/>
  <c r="AL105" i="1"/>
  <c r="AJ105" i="1"/>
  <c r="AH105" i="1"/>
  <c r="AF105" i="1"/>
  <c r="AB105" i="1"/>
  <c r="Z105" i="1"/>
  <c r="X105" i="1"/>
  <c r="V105" i="1"/>
  <c r="T105" i="1"/>
  <c r="R105" i="1"/>
  <c r="P105" i="1"/>
  <c r="N105" i="1"/>
  <c r="L105" i="1"/>
  <c r="J105" i="1"/>
  <c r="H105" i="1"/>
  <c r="F105" i="1"/>
  <c r="EB104" i="1"/>
  <c r="DZ104" i="1"/>
  <c r="DX104" i="1"/>
  <c r="DV104" i="1"/>
  <c r="DT104" i="1"/>
  <c r="DR104" i="1"/>
  <c r="DP104" i="1"/>
  <c r="DN104" i="1"/>
  <c r="DL104" i="1"/>
  <c r="DJ104" i="1"/>
  <c r="DH104" i="1"/>
  <c r="DF104" i="1"/>
  <c r="DB104" i="1"/>
  <c r="CZ104" i="1"/>
  <c r="CX104" i="1"/>
  <c r="CV104" i="1"/>
  <c r="CT104" i="1"/>
  <c r="CR104" i="1"/>
  <c r="CP104" i="1"/>
  <c r="CN104" i="1"/>
  <c r="CL104" i="1"/>
  <c r="CJ104" i="1"/>
  <c r="CH104" i="1"/>
  <c r="CF104" i="1"/>
  <c r="CD104" i="1"/>
  <c r="N499" i="2" s="1"/>
  <c r="CB104" i="1"/>
  <c r="BZ104" i="1"/>
  <c r="BX104" i="1"/>
  <c r="BV104" i="1"/>
  <c r="BT104" i="1"/>
  <c r="BR104" i="1"/>
  <c r="BP104" i="1"/>
  <c r="BN104" i="1"/>
  <c r="BL104" i="1"/>
  <c r="BJ104" i="1"/>
  <c r="BH104" i="1"/>
  <c r="BF104" i="1"/>
  <c r="CC104" i="1" s="1"/>
  <c r="I499" i="2" s="1"/>
  <c r="L499" i="2" s="1"/>
  <c r="BB104" i="1"/>
  <c r="AZ104" i="1"/>
  <c r="AX104" i="1"/>
  <c r="AV104" i="1"/>
  <c r="AT104" i="1"/>
  <c r="AR104" i="1"/>
  <c r="AP104" i="1"/>
  <c r="AN104" i="1"/>
  <c r="AL104" i="1"/>
  <c r="AJ104" i="1"/>
  <c r="AH104" i="1"/>
  <c r="AF104" i="1"/>
  <c r="AB104" i="1"/>
  <c r="Z104" i="1"/>
  <c r="X104" i="1"/>
  <c r="V104" i="1"/>
  <c r="T104" i="1"/>
  <c r="R104" i="1"/>
  <c r="P104" i="1"/>
  <c r="N104" i="1"/>
  <c r="L104" i="1"/>
  <c r="J104" i="1"/>
  <c r="H104" i="1"/>
  <c r="F104" i="1"/>
  <c r="EB103" i="1"/>
  <c r="DZ103" i="1"/>
  <c r="DX103" i="1"/>
  <c r="DV103" i="1"/>
  <c r="DT103" i="1"/>
  <c r="DR103" i="1"/>
  <c r="DP103" i="1"/>
  <c r="DN103" i="1"/>
  <c r="DL103" i="1"/>
  <c r="DJ103" i="1"/>
  <c r="DH103" i="1"/>
  <c r="DF103" i="1"/>
  <c r="DB103" i="1"/>
  <c r="CZ103" i="1"/>
  <c r="CX103" i="1"/>
  <c r="CV103" i="1"/>
  <c r="CT103" i="1"/>
  <c r="CR103" i="1"/>
  <c r="CP103" i="1"/>
  <c r="CN103" i="1"/>
  <c r="CL103" i="1"/>
  <c r="CJ103" i="1"/>
  <c r="CH103" i="1"/>
  <c r="CF103" i="1"/>
  <c r="DD103" i="1" s="1"/>
  <c r="N495" i="2" s="1"/>
  <c r="CB103" i="1"/>
  <c r="BZ103" i="1"/>
  <c r="BX103" i="1"/>
  <c r="BV103" i="1"/>
  <c r="BT103" i="1"/>
  <c r="BR103" i="1"/>
  <c r="BP103" i="1"/>
  <c r="BN103" i="1"/>
  <c r="CD103" i="1" s="1"/>
  <c r="N494" i="2" s="1"/>
  <c r="BL103" i="1"/>
  <c r="BJ103" i="1"/>
  <c r="BH103" i="1"/>
  <c r="BF103" i="1"/>
  <c r="BB103" i="1"/>
  <c r="AZ103" i="1"/>
  <c r="AX103" i="1"/>
  <c r="AV103" i="1"/>
  <c r="AT103" i="1"/>
  <c r="AR103" i="1"/>
  <c r="AP103" i="1"/>
  <c r="AN103" i="1"/>
  <c r="AL103" i="1"/>
  <c r="AJ103" i="1"/>
  <c r="AH103" i="1"/>
  <c r="AF103" i="1"/>
  <c r="AB103" i="1"/>
  <c r="Z103" i="1"/>
  <c r="X103" i="1"/>
  <c r="V103" i="1"/>
  <c r="T103" i="1"/>
  <c r="R103" i="1"/>
  <c r="P103" i="1"/>
  <c r="N103" i="1"/>
  <c r="L103" i="1"/>
  <c r="J103" i="1"/>
  <c r="H103" i="1"/>
  <c r="F103" i="1"/>
  <c r="EB102" i="1"/>
  <c r="DZ102" i="1"/>
  <c r="DX102" i="1"/>
  <c r="DV102" i="1"/>
  <c r="DT102" i="1"/>
  <c r="DR102" i="1"/>
  <c r="DP102" i="1"/>
  <c r="DN102" i="1"/>
  <c r="DL102" i="1"/>
  <c r="DJ102" i="1"/>
  <c r="DH102" i="1"/>
  <c r="DF102" i="1"/>
  <c r="DB102" i="1"/>
  <c r="CZ102" i="1"/>
  <c r="CX102" i="1"/>
  <c r="CV102" i="1"/>
  <c r="CT102" i="1"/>
  <c r="CR102" i="1"/>
  <c r="CP102" i="1"/>
  <c r="DD102" i="1" s="1"/>
  <c r="N490" i="2" s="1"/>
  <c r="CN102" i="1"/>
  <c r="CL102" i="1"/>
  <c r="CJ102" i="1"/>
  <c r="CH102" i="1"/>
  <c r="CF102" i="1"/>
  <c r="CB102" i="1"/>
  <c r="BZ102" i="1"/>
  <c r="BX102" i="1"/>
  <c r="BV102" i="1"/>
  <c r="BT102" i="1"/>
  <c r="BR102" i="1"/>
  <c r="BP102" i="1"/>
  <c r="BN102" i="1"/>
  <c r="BL102" i="1"/>
  <c r="BJ102" i="1"/>
  <c r="BH102" i="1"/>
  <c r="BF102" i="1"/>
  <c r="BB102" i="1"/>
  <c r="AZ102" i="1"/>
  <c r="AX102" i="1"/>
  <c r="AV102" i="1"/>
  <c r="AT102" i="1"/>
  <c r="AR102" i="1"/>
  <c r="AP102" i="1"/>
  <c r="AN102" i="1"/>
  <c r="AL102" i="1"/>
  <c r="AJ102" i="1"/>
  <c r="AH102" i="1"/>
  <c r="AF102" i="1"/>
  <c r="AB102" i="1"/>
  <c r="Z102" i="1"/>
  <c r="X102" i="1"/>
  <c r="V102" i="1"/>
  <c r="T102" i="1"/>
  <c r="R102" i="1"/>
  <c r="P102" i="1"/>
  <c r="N102" i="1"/>
  <c r="L102" i="1"/>
  <c r="J102" i="1"/>
  <c r="H102" i="1"/>
  <c r="F102" i="1"/>
  <c r="EB101" i="1"/>
  <c r="DZ101" i="1"/>
  <c r="DX101" i="1"/>
  <c r="DV101" i="1"/>
  <c r="DT101" i="1"/>
  <c r="DR101" i="1"/>
  <c r="DP101" i="1"/>
  <c r="DN101" i="1"/>
  <c r="DL101" i="1"/>
  <c r="DJ101" i="1"/>
  <c r="DH101" i="1"/>
  <c r="DF101" i="1"/>
  <c r="DB101" i="1"/>
  <c r="CZ101" i="1"/>
  <c r="CX101" i="1"/>
  <c r="CV101" i="1"/>
  <c r="CT101" i="1"/>
  <c r="CR101" i="1"/>
  <c r="CP101" i="1"/>
  <c r="CN101" i="1"/>
  <c r="DD101" i="1" s="1"/>
  <c r="N485" i="2" s="1"/>
  <c r="CL101" i="1"/>
  <c r="CJ101" i="1"/>
  <c r="CH101" i="1"/>
  <c r="CF101" i="1"/>
  <c r="CB101" i="1"/>
  <c r="BZ101" i="1"/>
  <c r="BX101" i="1"/>
  <c r="BV101" i="1"/>
  <c r="BT101" i="1"/>
  <c r="BR101" i="1"/>
  <c r="BP101" i="1"/>
  <c r="BN101" i="1"/>
  <c r="BL101" i="1"/>
  <c r="BJ101" i="1"/>
  <c r="BH101" i="1"/>
  <c r="BF101" i="1"/>
  <c r="BB101" i="1"/>
  <c r="AZ101" i="1"/>
  <c r="AX101" i="1"/>
  <c r="AV101" i="1"/>
  <c r="AT101" i="1"/>
  <c r="AR101" i="1"/>
  <c r="AP101" i="1"/>
  <c r="AN101" i="1"/>
  <c r="AL101" i="1"/>
  <c r="AJ101" i="1"/>
  <c r="AH101" i="1"/>
  <c r="AF101" i="1"/>
  <c r="AB101" i="1"/>
  <c r="Z101" i="1"/>
  <c r="X101" i="1"/>
  <c r="V101" i="1"/>
  <c r="T101" i="1"/>
  <c r="R101" i="1"/>
  <c r="EE101" i="1" s="1"/>
  <c r="P101" i="1"/>
  <c r="N101" i="1"/>
  <c r="L101" i="1"/>
  <c r="J101" i="1"/>
  <c r="H101" i="1"/>
  <c r="F101" i="1"/>
  <c r="AD101" i="1" s="1"/>
  <c r="N482" i="2" s="1"/>
  <c r="ED100" i="1"/>
  <c r="N481" i="2" s="1"/>
  <c r="EB100" i="1"/>
  <c r="DZ100" i="1"/>
  <c r="DX100" i="1"/>
  <c r="DV100" i="1"/>
  <c r="DT100" i="1"/>
  <c r="DR100" i="1"/>
  <c r="DP100" i="1"/>
  <c r="DN100" i="1"/>
  <c r="DL100" i="1"/>
  <c r="DJ100" i="1"/>
  <c r="DH100" i="1"/>
  <c r="DF100" i="1"/>
  <c r="DB100" i="1"/>
  <c r="CZ100" i="1"/>
  <c r="CX100" i="1"/>
  <c r="CV100" i="1"/>
  <c r="CT100" i="1"/>
  <c r="CR100" i="1"/>
  <c r="CP100" i="1"/>
  <c r="CN100" i="1"/>
  <c r="CL100" i="1"/>
  <c r="CJ100" i="1"/>
  <c r="CH100" i="1"/>
  <c r="CF100" i="1"/>
  <c r="CB100" i="1"/>
  <c r="BZ100" i="1"/>
  <c r="BX100" i="1"/>
  <c r="BV100" i="1"/>
  <c r="BT100" i="1"/>
  <c r="BR100" i="1"/>
  <c r="BP100" i="1"/>
  <c r="BN100" i="1"/>
  <c r="BL100" i="1"/>
  <c r="BJ100" i="1"/>
  <c r="BH100" i="1"/>
  <c r="BF100" i="1"/>
  <c r="BB100" i="1"/>
  <c r="AZ100" i="1"/>
  <c r="AX100" i="1"/>
  <c r="AV100" i="1"/>
  <c r="AT100" i="1"/>
  <c r="AR100" i="1"/>
  <c r="AP100" i="1"/>
  <c r="AN100" i="1"/>
  <c r="AL100" i="1"/>
  <c r="AJ100" i="1"/>
  <c r="AH100" i="1"/>
  <c r="AF100" i="1"/>
  <c r="AB100" i="1"/>
  <c r="Z100" i="1"/>
  <c r="X100" i="1"/>
  <c r="V100" i="1"/>
  <c r="T100" i="1"/>
  <c r="R100" i="1"/>
  <c r="P100" i="1"/>
  <c r="N100" i="1"/>
  <c r="L100" i="1"/>
  <c r="J100" i="1"/>
  <c r="H100" i="1"/>
  <c r="F100" i="1"/>
  <c r="EB99" i="1"/>
  <c r="DZ99" i="1"/>
  <c r="DX99" i="1"/>
  <c r="DV99" i="1"/>
  <c r="DT99" i="1"/>
  <c r="DR99" i="1"/>
  <c r="DP99" i="1"/>
  <c r="DN99" i="1"/>
  <c r="ED99" i="1" s="1"/>
  <c r="N476" i="2" s="1"/>
  <c r="DL99" i="1"/>
  <c r="DJ99" i="1"/>
  <c r="DH99" i="1"/>
  <c r="DF99" i="1"/>
  <c r="DB99" i="1"/>
  <c r="CZ99" i="1"/>
  <c r="CX99" i="1"/>
  <c r="CV99" i="1"/>
  <c r="CT99" i="1"/>
  <c r="CR99" i="1"/>
  <c r="CP99" i="1"/>
  <c r="CN99" i="1"/>
  <c r="CL99" i="1"/>
  <c r="CJ99" i="1"/>
  <c r="CH99" i="1"/>
  <c r="CF99" i="1"/>
  <c r="CB99" i="1"/>
  <c r="BZ99" i="1"/>
  <c r="BX99" i="1"/>
  <c r="BV99" i="1"/>
  <c r="BT99" i="1"/>
  <c r="BR99" i="1"/>
  <c r="BP99" i="1"/>
  <c r="BN99" i="1"/>
  <c r="BL99" i="1"/>
  <c r="BJ99" i="1"/>
  <c r="BH99" i="1"/>
  <c r="BF99" i="1"/>
  <c r="BB99" i="1"/>
  <c r="AZ99" i="1"/>
  <c r="AX99" i="1"/>
  <c r="AV99" i="1"/>
  <c r="AT99" i="1"/>
  <c r="AR99" i="1"/>
  <c r="AP99" i="1"/>
  <c r="AN99" i="1"/>
  <c r="AL99" i="1"/>
  <c r="AJ99" i="1"/>
  <c r="AH99" i="1"/>
  <c r="AF99" i="1"/>
  <c r="AB99" i="1"/>
  <c r="Z99" i="1"/>
  <c r="X99" i="1"/>
  <c r="V99" i="1"/>
  <c r="T99" i="1"/>
  <c r="R99" i="1"/>
  <c r="P99" i="1"/>
  <c r="N99" i="1"/>
  <c r="AD99" i="1" s="1"/>
  <c r="N472" i="2" s="1"/>
  <c r="L99" i="1"/>
  <c r="J99" i="1"/>
  <c r="H99" i="1"/>
  <c r="F99" i="1"/>
  <c r="EB98" i="1"/>
  <c r="DZ98" i="1"/>
  <c r="DX98" i="1"/>
  <c r="DV98" i="1"/>
  <c r="DT98" i="1"/>
  <c r="DR98" i="1"/>
  <c r="DP98" i="1"/>
  <c r="DN98" i="1"/>
  <c r="DL98" i="1"/>
  <c r="DJ98" i="1"/>
  <c r="DH98" i="1"/>
  <c r="DF98" i="1"/>
  <c r="DB98" i="1"/>
  <c r="CZ98" i="1"/>
  <c r="CX98" i="1"/>
  <c r="CV98" i="1"/>
  <c r="CT98" i="1"/>
  <c r="CR98" i="1"/>
  <c r="CP98" i="1"/>
  <c r="CN98" i="1"/>
  <c r="CL98" i="1"/>
  <c r="CJ98" i="1"/>
  <c r="CH98" i="1"/>
  <c r="CF98" i="1"/>
  <c r="CB98" i="1"/>
  <c r="BZ98" i="1"/>
  <c r="BX98" i="1"/>
  <c r="BV98" i="1"/>
  <c r="BT98" i="1"/>
  <c r="BR98" i="1"/>
  <c r="BP98" i="1"/>
  <c r="BN98" i="1"/>
  <c r="BL98" i="1"/>
  <c r="BJ98" i="1"/>
  <c r="BH98" i="1"/>
  <c r="BF98" i="1"/>
  <c r="BD98" i="1"/>
  <c r="N468" i="2" s="1"/>
  <c r="BB98" i="1"/>
  <c r="AZ98" i="1"/>
  <c r="AX98" i="1"/>
  <c r="AV98" i="1"/>
  <c r="AT98" i="1"/>
  <c r="AR98" i="1"/>
  <c r="AP98" i="1"/>
  <c r="AN98" i="1"/>
  <c r="AL98" i="1"/>
  <c r="AJ98" i="1"/>
  <c r="AH98" i="1"/>
  <c r="AF98" i="1"/>
  <c r="AB98" i="1"/>
  <c r="Z98" i="1"/>
  <c r="X98" i="1"/>
  <c r="V98" i="1"/>
  <c r="T98" i="1"/>
  <c r="R98" i="1"/>
  <c r="P98" i="1"/>
  <c r="N98" i="1"/>
  <c r="L98" i="1"/>
  <c r="J98" i="1"/>
  <c r="H98" i="1"/>
  <c r="F98" i="1"/>
  <c r="EE98" i="1" s="1"/>
  <c r="EB97" i="1"/>
  <c r="DZ97" i="1"/>
  <c r="DX97" i="1"/>
  <c r="DV97" i="1"/>
  <c r="DT97" i="1"/>
  <c r="DR97" i="1"/>
  <c r="DP97" i="1"/>
  <c r="DN97" i="1"/>
  <c r="DL97" i="1"/>
  <c r="DJ97" i="1"/>
  <c r="DH97" i="1"/>
  <c r="DF97" i="1"/>
  <c r="DB97" i="1"/>
  <c r="CZ97" i="1"/>
  <c r="CX97" i="1"/>
  <c r="CV97" i="1"/>
  <c r="CT97" i="1"/>
  <c r="CR97" i="1"/>
  <c r="CP97" i="1"/>
  <c r="CN97" i="1"/>
  <c r="CL97" i="1"/>
  <c r="CJ97" i="1"/>
  <c r="CH97" i="1"/>
  <c r="CF97" i="1"/>
  <c r="CB97" i="1"/>
  <c r="BZ97" i="1"/>
  <c r="BX97" i="1"/>
  <c r="BV97" i="1"/>
  <c r="BT97" i="1"/>
  <c r="BR97" i="1"/>
  <c r="BP97" i="1"/>
  <c r="BN97" i="1"/>
  <c r="BL97" i="1"/>
  <c r="BJ97" i="1"/>
  <c r="BH97" i="1"/>
  <c r="BF97" i="1"/>
  <c r="BB97" i="1"/>
  <c r="AZ97" i="1"/>
  <c r="AX97" i="1"/>
  <c r="AV97" i="1"/>
  <c r="AT97" i="1"/>
  <c r="AR97" i="1"/>
  <c r="AP97" i="1"/>
  <c r="AN97" i="1"/>
  <c r="BD97" i="1" s="1"/>
  <c r="N463" i="2" s="1"/>
  <c r="AL97" i="1"/>
  <c r="AJ97" i="1"/>
  <c r="AH97" i="1"/>
  <c r="AF97" i="1"/>
  <c r="AB97" i="1"/>
  <c r="Z97" i="1"/>
  <c r="X97" i="1"/>
  <c r="V97" i="1"/>
  <c r="T97" i="1"/>
  <c r="R97" i="1"/>
  <c r="P97" i="1"/>
  <c r="N97" i="1"/>
  <c r="L97" i="1"/>
  <c r="J97" i="1"/>
  <c r="H97" i="1"/>
  <c r="F97" i="1"/>
  <c r="EB96" i="1"/>
  <c r="DZ96" i="1"/>
  <c r="DX96" i="1"/>
  <c r="DV96" i="1"/>
  <c r="DT96" i="1"/>
  <c r="DR96" i="1"/>
  <c r="DP96" i="1"/>
  <c r="DN96" i="1"/>
  <c r="DL96" i="1"/>
  <c r="DJ96" i="1"/>
  <c r="DH96" i="1"/>
  <c r="DF96" i="1"/>
  <c r="DB96" i="1"/>
  <c r="CZ96" i="1"/>
  <c r="CX96" i="1"/>
  <c r="CV96" i="1"/>
  <c r="CT96" i="1"/>
  <c r="CR96" i="1"/>
  <c r="CP96" i="1"/>
  <c r="CN96" i="1"/>
  <c r="CL96" i="1"/>
  <c r="CJ96" i="1"/>
  <c r="CH96" i="1"/>
  <c r="CF96" i="1"/>
  <c r="CD96" i="1"/>
  <c r="N459" i="2" s="1"/>
  <c r="CB96" i="1"/>
  <c r="BZ96" i="1"/>
  <c r="BX96" i="1"/>
  <c r="BV96" i="1"/>
  <c r="BT96" i="1"/>
  <c r="BR96" i="1"/>
  <c r="BP96" i="1"/>
  <c r="BN96" i="1"/>
  <c r="BL96" i="1"/>
  <c r="BJ96" i="1"/>
  <c r="BH96" i="1"/>
  <c r="BF96" i="1"/>
  <c r="BB96" i="1"/>
  <c r="AZ96" i="1"/>
  <c r="AX96" i="1"/>
  <c r="AV96" i="1"/>
  <c r="AT96" i="1"/>
  <c r="AR96" i="1"/>
  <c r="AP96" i="1"/>
  <c r="AN96" i="1"/>
  <c r="AL96" i="1"/>
  <c r="AJ96" i="1"/>
  <c r="AH96" i="1"/>
  <c r="AF96" i="1"/>
  <c r="AB96" i="1"/>
  <c r="Z96" i="1"/>
  <c r="X96" i="1"/>
  <c r="V96" i="1"/>
  <c r="T96" i="1"/>
  <c r="R96" i="1"/>
  <c r="P96" i="1"/>
  <c r="N96" i="1"/>
  <c r="L96" i="1"/>
  <c r="J96" i="1"/>
  <c r="H96" i="1"/>
  <c r="F96" i="1"/>
  <c r="EB95" i="1"/>
  <c r="DZ95" i="1"/>
  <c r="DX95" i="1"/>
  <c r="DV95" i="1"/>
  <c r="DT95" i="1"/>
  <c r="DR95" i="1"/>
  <c r="DP95" i="1"/>
  <c r="DN95" i="1"/>
  <c r="DL95" i="1"/>
  <c r="DJ95" i="1"/>
  <c r="DH95" i="1"/>
  <c r="DF95" i="1"/>
  <c r="DB95" i="1"/>
  <c r="CZ95" i="1"/>
  <c r="CX95" i="1"/>
  <c r="CV95" i="1"/>
  <c r="CT95" i="1"/>
  <c r="CR95" i="1"/>
  <c r="CP95" i="1"/>
  <c r="CN95" i="1"/>
  <c r="CL95" i="1"/>
  <c r="CJ95" i="1"/>
  <c r="CH95" i="1"/>
  <c r="CF95" i="1"/>
  <c r="CB95" i="1"/>
  <c r="BZ95" i="1"/>
  <c r="BX95" i="1"/>
  <c r="BV95" i="1"/>
  <c r="BT95" i="1"/>
  <c r="BR95" i="1"/>
  <c r="BP95" i="1"/>
  <c r="BN95" i="1"/>
  <c r="CD95" i="1" s="1"/>
  <c r="N454" i="2" s="1"/>
  <c r="BL95" i="1"/>
  <c r="BJ95" i="1"/>
  <c r="BH95" i="1"/>
  <c r="BF95" i="1"/>
  <c r="BB95" i="1"/>
  <c r="AZ95" i="1"/>
  <c r="AX95" i="1"/>
  <c r="AV95" i="1"/>
  <c r="AT95" i="1"/>
  <c r="AR95" i="1"/>
  <c r="AP95" i="1"/>
  <c r="AN95" i="1"/>
  <c r="AL95" i="1"/>
  <c r="AJ95" i="1"/>
  <c r="BC95" i="1" s="1"/>
  <c r="I453" i="2" s="1"/>
  <c r="L453" i="2" s="1"/>
  <c r="AH95" i="1"/>
  <c r="AF95" i="1"/>
  <c r="AB95" i="1"/>
  <c r="Z95" i="1"/>
  <c r="X95" i="1"/>
  <c r="V95" i="1"/>
  <c r="T95" i="1"/>
  <c r="R95" i="1"/>
  <c r="P95" i="1"/>
  <c r="N95" i="1"/>
  <c r="L95" i="1"/>
  <c r="J95" i="1"/>
  <c r="H95" i="1"/>
  <c r="F95" i="1"/>
  <c r="EB94" i="1"/>
  <c r="DZ94" i="1"/>
  <c r="DX94" i="1"/>
  <c r="DV94" i="1"/>
  <c r="DT94" i="1"/>
  <c r="DR94" i="1"/>
  <c r="DP94" i="1"/>
  <c r="DN94" i="1"/>
  <c r="DL94" i="1"/>
  <c r="DJ94" i="1"/>
  <c r="DH94" i="1"/>
  <c r="DF94" i="1"/>
  <c r="DB94" i="1"/>
  <c r="CZ94" i="1"/>
  <c r="CX94" i="1"/>
  <c r="CV94" i="1"/>
  <c r="CT94" i="1"/>
  <c r="CR94" i="1"/>
  <c r="CP94" i="1"/>
  <c r="DD94" i="1" s="1"/>
  <c r="N450" i="2" s="1"/>
  <c r="CN94" i="1"/>
  <c r="CL94" i="1"/>
  <c r="CJ94" i="1"/>
  <c r="CH94" i="1"/>
  <c r="CF94" i="1"/>
  <c r="DC94" i="1" s="1"/>
  <c r="I450" i="2" s="1"/>
  <c r="L450" i="2" s="1"/>
  <c r="CB94" i="1"/>
  <c r="BZ94" i="1"/>
  <c r="BX94" i="1"/>
  <c r="BV94" i="1"/>
  <c r="BT94" i="1"/>
  <c r="BR94" i="1"/>
  <c r="BP94" i="1"/>
  <c r="BN94" i="1"/>
  <c r="BL94" i="1"/>
  <c r="BJ94" i="1"/>
  <c r="BH94" i="1"/>
  <c r="BF94" i="1"/>
  <c r="BB94" i="1"/>
  <c r="AZ94" i="1"/>
  <c r="AX94" i="1"/>
  <c r="AV94" i="1"/>
  <c r="AT94" i="1"/>
  <c r="AR94" i="1"/>
  <c r="AP94" i="1"/>
  <c r="AN94" i="1"/>
  <c r="AL94" i="1"/>
  <c r="AJ94" i="1"/>
  <c r="AH94" i="1"/>
  <c r="BC94" i="1" s="1"/>
  <c r="I448" i="2" s="1"/>
  <c r="L448" i="2" s="1"/>
  <c r="AF94" i="1"/>
  <c r="AB94" i="1"/>
  <c r="Z94" i="1"/>
  <c r="X94" i="1"/>
  <c r="V94" i="1"/>
  <c r="T94" i="1"/>
  <c r="R94" i="1"/>
  <c r="P94" i="1"/>
  <c r="N94" i="1"/>
  <c r="L94" i="1"/>
  <c r="J94" i="1"/>
  <c r="H94" i="1"/>
  <c r="F94" i="1"/>
  <c r="EB93" i="1"/>
  <c r="DZ93" i="1"/>
  <c r="DX93" i="1"/>
  <c r="DV93" i="1"/>
  <c r="DT93" i="1"/>
  <c r="DR93" i="1"/>
  <c r="DP93" i="1"/>
  <c r="DN93" i="1"/>
  <c r="DL93" i="1"/>
  <c r="DJ93" i="1"/>
  <c r="DH93" i="1"/>
  <c r="DF93" i="1"/>
  <c r="DB93" i="1"/>
  <c r="CZ93" i="1"/>
  <c r="CX93" i="1"/>
  <c r="CV93" i="1"/>
  <c r="CT93" i="1"/>
  <c r="CR93" i="1"/>
  <c r="CP93" i="1"/>
  <c r="CN93" i="1"/>
  <c r="DD93" i="1" s="1"/>
  <c r="N445" i="2" s="1"/>
  <c r="CL93" i="1"/>
  <c r="CJ93" i="1"/>
  <c r="CH93" i="1"/>
  <c r="CF93" i="1"/>
  <c r="CB93" i="1"/>
  <c r="BZ93" i="1"/>
  <c r="BX93" i="1"/>
  <c r="BV93" i="1"/>
  <c r="BT93" i="1"/>
  <c r="BR93" i="1"/>
  <c r="BP93" i="1"/>
  <c r="BN93" i="1"/>
  <c r="BL93" i="1"/>
  <c r="BJ93" i="1"/>
  <c r="CC93" i="1" s="1"/>
  <c r="I444" i="2" s="1"/>
  <c r="L444" i="2" s="1"/>
  <c r="BH93" i="1"/>
  <c r="BF93" i="1"/>
  <c r="BB93" i="1"/>
  <c r="AZ93" i="1"/>
  <c r="AX93" i="1"/>
  <c r="AV93" i="1"/>
  <c r="AT93" i="1"/>
  <c r="AR93" i="1"/>
  <c r="AP93" i="1"/>
  <c r="AN93" i="1"/>
  <c r="AL93" i="1"/>
  <c r="AJ93" i="1"/>
  <c r="AH93" i="1"/>
  <c r="AF93" i="1"/>
  <c r="AB93" i="1"/>
  <c r="Z93" i="1"/>
  <c r="X93" i="1"/>
  <c r="V93" i="1"/>
  <c r="T93" i="1"/>
  <c r="R93" i="1"/>
  <c r="P93" i="1"/>
  <c r="N93" i="1"/>
  <c r="L93" i="1"/>
  <c r="J93" i="1"/>
  <c r="H93" i="1"/>
  <c r="F93" i="1"/>
  <c r="AD93" i="1" s="1"/>
  <c r="N442" i="2" s="1"/>
  <c r="ED92" i="1"/>
  <c r="N441" i="2" s="1"/>
  <c r="EB92" i="1"/>
  <c r="DZ92" i="1"/>
  <c r="DX92" i="1"/>
  <c r="DV92" i="1"/>
  <c r="DT92" i="1"/>
  <c r="DR92" i="1"/>
  <c r="DP92" i="1"/>
  <c r="DN92" i="1"/>
  <c r="EC92" i="1" s="1"/>
  <c r="I441" i="2" s="1"/>
  <c r="L441" i="2" s="1"/>
  <c r="DL92" i="1"/>
  <c r="DJ92" i="1"/>
  <c r="DH92" i="1"/>
  <c r="DF92" i="1"/>
  <c r="DB92" i="1"/>
  <c r="CZ92" i="1"/>
  <c r="CX92" i="1"/>
  <c r="CV92" i="1"/>
  <c r="CT92" i="1"/>
  <c r="CR92" i="1"/>
  <c r="CP92" i="1"/>
  <c r="CN92" i="1"/>
  <c r="CL92" i="1"/>
  <c r="CJ92" i="1"/>
  <c r="CH92" i="1"/>
  <c r="CF92" i="1"/>
  <c r="CB92" i="1"/>
  <c r="BZ92" i="1"/>
  <c r="BX92" i="1"/>
  <c r="BV92" i="1"/>
  <c r="BT92" i="1"/>
  <c r="BR92" i="1"/>
  <c r="BP92" i="1"/>
  <c r="BN92" i="1"/>
  <c r="BL92" i="1"/>
  <c r="BJ92" i="1"/>
  <c r="BH92" i="1"/>
  <c r="BF92" i="1"/>
  <c r="BB92" i="1"/>
  <c r="AZ92" i="1"/>
  <c r="AX92" i="1"/>
  <c r="AV92" i="1"/>
  <c r="AT92" i="1"/>
  <c r="AR92" i="1"/>
  <c r="AP92" i="1"/>
  <c r="AN92" i="1"/>
  <c r="AL92" i="1"/>
  <c r="AJ92" i="1"/>
  <c r="AH92" i="1"/>
  <c r="AF92" i="1"/>
  <c r="AB92" i="1"/>
  <c r="Z92" i="1"/>
  <c r="X92" i="1"/>
  <c r="V92" i="1"/>
  <c r="T92" i="1"/>
  <c r="R92" i="1"/>
  <c r="P92" i="1"/>
  <c r="AD92" i="1" s="1"/>
  <c r="N437" i="2" s="1"/>
  <c r="N92" i="1"/>
  <c r="L92" i="1"/>
  <c r="J92" i="1"/>
  <c r="H92" i="1"/>
  <c r="F92" i="1"/>
  <c r="EB91" i="1"/>
  <c r="DZ91" i="1"/>
  <c r="DX91" i="1"/>
  <c r="DV91" i="1"/>
  <c r="DT91" i="1"/>
  <c r="DR91" i="1"/>
  <c r="DP91" i="1"/>
  <c r="DN91" i="1"/>
  <c r="ED91" i="1" s="1"/>
  <c r="N436" i="2" s="1"/>
  <c r="DL91" i="1"/>
  <c r="DJ91" i="1"/>
  <c r="DH91" i="1"/>
  <c r="DF91" i="1"/>
  <c r="DB91" i="1"/>
  <c r="CZ91" i="1"/>
  <c r="CX91" i="1"/>
  <c r="CV91" i="1"/>
  <c r="CT91" i="1"/>
  <c r="CR91" i="1"/>
  <c r="CP91" i="1"/>
  <c r="CN91" i="1"/>
  <c r="CL91" i="1"/>
  <c r="CJ91" i="1"/>
  <c r="CH91" i="1"/>
  <c r="CF91" i="1"/>
  <c r="CB91" i="1"/>
  <c r="BZ91" i="1"/>
  <c r="BX91" i="1"/>
  <c r="BV91" i="1"/>
  <c r="BT91" i="1"/>
  <c r="BR91" i="1"/>
  <c r="BP91" i="1"/>
  <c r="BN91" i="1"/>
  <c r="BL91" i="1"/>
  <c r="BJ91" i="1"/>
  <c r="BH91" i="1"/>
  <c r="BF91" i="1"/>
  <c r="BB91" i="1"/>
  <c r="AZ91" i="1"/>
  <c r="AX91" i="1"/>
  <c r="AV91" i="1"/>
  <c r="AT91" i="1"/>
  <c r="AR91" i="1"/>
  <c r="AP91" i="1"/>
  <c r="AN91" i="1"/>
  <c r="AL91" i="1"/>
  <c r="AJ91" i="1"/>
  <c r="AH91" i="1"/>
  <c r="AF91" i="1"/>
  <c r="BD91" i="1" s="1"/>
  <c r="N433" i="2" s="1"/>
  <c r="AB91" i="1"/>
  <c r="Z91" i="1"/>
  <c r="X91" i="1"/>
  <c r="V91" i="1"/>
  <c r="T91" i="1"/>
  <c r="R91" i="1"/>
  <c r="P91" i="1"/>
  <c r="N91" i="1"/>
  <c r="AD91" i="1" s="1"/>
  <c r="N432" i="2" s="1"/>
  <c r="L91" i="1"/>
  <c r="J91" i="1"/>
  <c r="H91" i="1"/>
  <c r="F91" i="1"/>
  <c r="EB90" i="1"/>
  <c r="DZ90" i="1"/>
  <c r="DX90" i="1"/>
  <c r="DV90" i="1"/>
  <c r="DT90" i="1"/>
  <c r="DR90" i="1"/>
  <c r="DP90" i="1"/>
  <c r="DN90" i="1"/>
  <c r="DL90" i="1"/>
  <c r="DJ90" i="1"/>
  <c r="DH90" i="1"/>
  <c r="DF90" i="1"/>
  <c r="DB90" i="1"/>
  <c r="CZ90" i="1"/>
  <c r="CX90" i="1"/>
  <c r="CV90" i="1"/>
  <c r="CT90" i="1"/>
  <c r="CR90" i="1"/>
  <c r="CP90" i="1"/>
  <c r="CN90" i="1"/>
  <c r="CL90" i="1"/>
  <c r="CJ90" i="1"/>
  <c r="CH90" i="1"/>
  <c r="CF90" i="1"/>
  <c r="CB90" i="1"/>
  <c r="BZ90" i="1"/>
  <c r="BX90" i="1"/>
  <c r="BV90" i="1"/>
  <c r="BT90" i="1"/>
  <c r="BR90" i="1"/>
  <c r="BP90" i="1"/>
  <c r="BN90" i="1"/>
  <c r="BL90" i="1"/>
  <c r="BJ90" i="1"/>
  <c r="BH90" i="1"/>
  <c r="BF90" i="1"/>
  <c r="BD90" i="1"/>
  <c r="N428" i="2" s="1"/>
  <c r="BB90" i="1"/>
  <c r="AZ90" i="1"/>
  <c r="AX90" i="1"/>
  <c r="AV90" i="1"/>
  <c r="AT90" i="1"/>
  <c r="AR90" i="1"/>
  <c r="AP90" i="1"/>
  <c r="AN90" i="1"/>
  <c r="AL90" i="1"/>
  <c r="AJ90" i="1"/>
  <c r="AH90" i="1"/>
  <c r="BC90" i="1" s="1"/>
  <c r="I428" i="2" s="1"/>
  <c r="L428" i="2" s="1"/>
  <c r="AF90" i="1"/>
  <c r="AB90" i="1"/>
  <c r="Z90" i="1"/>
  <c r="X90" i="1"/>
  <c r="V90" i="1"/>
  <c r="T90" i="1"/>
  <c r="R90" i="1"/>
  <c r="P90" i="1"/>
  <c r="N90" i="1"/>
  <c r="L90" i="1"/>
  <c r="J90" i="1"/>
  <c r="H90" i="1"/>
  <c r="F90" i="1"/>
  <c r="EB89" i="1"/>
  <c r="DZ89" i="1"/>
  <c r="DX89" i="1"/>
  <c r="DV89" i="1"/>
  <c r="DT89" i="1"/>
  <c r="DR89" i="1"/>
  <c r="DP89" i="1"/>
  <c r="DN89" i="1"/>
  <c r="DL89" i="1"/>
  <c r="DJ89" i="1"/>
  <c r="DH89" i="1"/>
  <c r="DF89" i="1"/>
  <c r="DB89" i="1"/>
  <c r="CZ89" i="1"/>
  <c r="CX89" i="1"/>
  <c r="CV89" i="1"/>
  <c r="CT89" i="1"/>
  <c r="CR89" i="1"/>
  <c r="CP89" i="1"/>
  <c r="CN89" i="1"/>
  <c r="CL89" i="1"/>
  <c r="CJ89" i="1"/>
  <c r="CH89" i="1"/>
  <c r="CF89" i="1"/>
  <c r="CB89" i="1"/>
  <c r="BZ89" i="1"/>
  <c r="BX89" i="1"/>
  <c r="BV89" i="1"/>
  <c r="BT89" i="1"/>
  <c r="BR89" i="1"/>
  <c r="BP89" i="1"/>
  <c r="BN89" i="1"/>
  <c r="BL89" i="1"/>
  <c r="BJ89" i="1"/>
  <c r="BH89" i="1"/>
  <c r="BF89" i="1"/>
  <c r="CD89" i="1" s="1"/>
  <c r="N424" i="2" s="1"/>
  <c r="BB89" i="1"/>
  <c r="AZ89" i="1"/>
  <c r="AX89" i="1"/>
  <c r="AV89" i="1"/>
  <c r="AT89" i="1"/>
  <c r="AR89" i="1"/>
  <c r="AP89" i="1"/>
  <c r="AN89" i="1"/>
  <c r="BD89" i="1" s="1"/>
  <c r="N423" i="2" s="1"/>
  <c r="AL89" i="1"/>
  <c r="AJ89" i="1"/>
  <c r="AH89" i="1"/>
  <c r="AF89" i="1"/>
  <c r="AB89" i="1"/>
  <c r="Z89" i="1"/>
  <c r="X89" i="1"/>
  <c r="V89" i="1"/>
  <c r="T89" i="1"/>
  <c r="R89" i="1"/>
  <c r="P89" i="1"/>
  <c r="N89" i="1"/>
  <c r="L89" i="1"/>
  <c r="J89" i="1"/>
  <c r="AC89" i="1" s="1"/>
  <c r="I422" i="2" s="1"/>
  <c r="L422" i="2" s="1"/>
  <c r="H89" i="1"/>
  <c r="AD89" i="1" s="1"/>
  <c r="N422" i="2" s="1"/>
  <c r="F89" i="1"/>
  <c r="EE89" i="1" s="1"/>
  <c r="EB88" i="1"/>
  <c r="DZ88" i="1"/>
  <c r="DX88" i="1"/>
  <c r="DV88" i="1"/>
  <c r="DT88" i="1"/>
  <c r="DR88" i="1"/>
  <c r="DP88" i="1"/>
  <c r="DN88" i="1"/>
  <c r="DL88" i="1"/>
  <c r="DJ88" i="1"/>
  <c r="DH88" i="1"/>
  <c r="DF88" i="1"/>
  <c r="DB88" i="1"/>
  <c r="CZ88" i="1"/>
  <c r="CX88" i="1"/>
  <c r="CV88" i="1"/>
  <c r="CT88" i="1"/>
  <c r="CR88" i="1"/>
  <c r="CP88" i="1"/>
  <c r="CN88" i="1"/>
  <c r="CL88" i="1"/>
  <c r="CJ88" i="1"/>
  <c r="CH88" i="1"/>
  <c r="CF88" i="1"/>
  <c r="CB88" i="1"/>
  <c r="BZ88" i="1"/>
  <c r="BX88" i="1"/>
  <c r="BV88" i="1"/>
  <c r="BT88" i="1"/>
  <c r="BR88" i="1"/>
  <c r="BP88" i="1"/>
  <c r="CD88" i="1" s="1"/>
  <c r="N419" i="2" s="1"/>
  <c r="BN88" i="1"/>
  <c r="BL88" i="1"/>
  <c r="BJ88" i="1"/>
  <c r="BH88" i="1"/>
  <c r="BF88" i="1"/>
  <c r="BB88" i="1"/>
  <c r="AZ88" i="1"/>
  <c r="AX88" i="1"/>
  <c r="AV88" i="1"/>
  <c r="AT88" i="1"/>
  <c r="AR88" i="1"/>
  <c r="AP88" i="1"/>
  <c r="AN88" i="1"/>
  <c r="AL88" i="1"/>
  <c r="AJ88" i="1"/>
  <c r="AH88" i="1"/>
  <c r="AF88" i="1"/>
  <c r="AB88" i="1"/>
  <c r="Z88" i="1"/>
  <c r="X88" i="1"/>
  <c r="V88" i="1"/>
  <c r="T88" i="1"/>
  <c r="R88" i="1"/>
  <c r="P88" i="1"/>
  <c r="N88" i="1"/>
  <c r="L88" i="1"/>
  <c r="J88" i="1"/>
  <c r="H88" i="1"/>
  <c r="F88" i="1"/>
  <c r="EB87" i="1"/>
  <c r="DZ87" i="1"/>
  <c r="DX87" i="1"/>
  <c r="DV87" i="1"/>
  <c r="DT87" i="1"/>
  <c r="DR87" i="1"/>
  <c r="DP87" i="1"/>
  <c r="DN87" i="1"/>
  <c r="DL87" i="1"/>
  <c r="DJ87" i="1"/>
  <c r="DH87" i="1"/>
  <c r="DF87" i="1"/>
  <c r="DB87" i="1"/>
  <c r="CZ87" i="1"/>
  <c r="CX87" i="1"/>
  <c r="CV87" i="1"/>
  <c r="CT87" i="1"/>
  <c r="CR87" i="1"/>
  <c r="CP87" i="1"/>
  <c r="CN87" i="1"/>
  <c r="CL87" i="1"/>
  <c r="CJ87" i="1"/>
  <c r="CH87" i="1"/>
  <c r="CF87" i="1"/>
  <c r="CB87" i="1"/>
  <c r="BZ87" i="1"/>
  <c r="BX87" i="1"/>
  <c r="BV87" i="1"/>
  <c r="BT87" i="1"/>
  <c r="BR87" i="1"/>
  <c r="BP87" i="1"/>
  <c r="BN87" i="1"/>
  <c r="CD87" i="1" s="1"/>
  <c r="N414" i="2" s="1"/>
  <c r="BL87" i="1"/>
  <c r="BJ87" i="1"/>
  <c r="BH87" i="1"/>
  <c r="BF87" i="1"/>
  <c r="BB87" i="1"/>
  <c r="AZ87" i="1"/>
  <c r="AX87" i="1"/>
  <c r="AV87" i="1"/>
  <c r="AT87" i="1"/>
  <c r="AR87" i="1"/>
  <c r="AP87" i="1"/>
  <c r="AN87" i="1"/>
  <c r="AL87" i="1"/>
  <c r="AJ87" i="1"/>
  <c r="BC87" i="1" s="1"/>
  <c r="I413" i="2" s="1"/>
  <c r="L413" i="2" s="1"/>
  <c r="AH87" i="1"/>
  <c r="BD87" i="1" s="1"/>
  <c r="N413" i="2" s="1"/>
  <c r="AF87" i="1"/>
  <c r="AB87" i="1"/>
  <c r="Z87" i="1"/>
  <c r="X87" i="1"/>
  <c r="V87" i="1"/>
  <c r="T87" i="1"/>
  <c r="R87" i="1"/>
  <c r="P87" i="1"/>
  <c r="N87" i="1"/>
  <c r="L87" i="1"/>
  <c r="J87" i="1"/>
  <c r="H87" i="1"/>
  <c r="F87" i="1"/>
  <c r="EB86" i="1"/>
  <c r="DZ86" i="1"/>
  <c r="DX86" i="1"/>
  <c r="DV86" i="1"/>
  <c r="DT86" i="1"/>
  <c r="DR86" i="1"/>
  <c r="DP86" i="1"/>
  <c r="DN86" i="1"/>
  <c r="DL86" i="1"/>
  <c r="DJ86" i="1"/>
  <c r="DH86" i="1"/>
  <c r="DF86" i="1"/>
  <c r="DD86" i="1"/>
  <c r="N410" i="2" s="1"/>
  <c r="DB86" i="1"/>
  <c r="CZ86" i="1"/>
  <c r="CX86" i="1"/>
  <c r="CV86" i="1"/>
  <c r="CT86" i="1"/>
  <c r="CR86" i="1"/>
  <c r="CP86" i="1"/>
  <c r="CN86" i="1"/>
  <c r="CL86" i="1"/>
  <c r="CJ86" i="1"/>
  <c r="CH86" i="1"/>
  <c r="CF86" i="1"/>
  <c r="CB86" i="1"/>
  <c r="BZ86" i="1"/>
  <c r="BX86" i="1"/>
  <c r="BV86" i="1"/>
  <c r="BT86" i="1"/>
  <c r="BR86" i="1"/>
  <c r="BP86" i="1"/>
  <c r="BN86" i="1"/>
  <c r="BL86" i="1"/>
  <c r="BJ86" i="1"/>
  <c r="BH86" i="1"/>
  <c r="BF86" i="1"/>
  <c r="BB86" i="1"/>
  <c r="AZ86" i="1"/>
  <c r="AX86" i="1"/>
  <c r="AV86" i="1"/>
  <c r="AT86" i="1"/>
  <c r="AR86" i="1"/>
  <c r="AP86" i="1"/>
  <c r="AN86" i="1"/>
  <c r="AL86" i="1"/>
  <c r="AJ86" i="1"/>
  <c r="AH86" i="1"/>
  <c r="AF86" i="1"/>
  <c r="AB86" i="1"/>
  <c r="Z86" i="1"/>
  <c r="X86" i="1"/>
  <c r="V86" i="1"/>
  <c r="T86" i="1"/>
  <c r="R86" i="1"/>
  <c r="P86" i="1"/>
  <c r="N86" i="1"/>
  <c r="L86" i="1"/>
  <c r="J86" i="1"/>
  <c r="H86" i="1"/>
  <c r="F86" i="1"/>
  <c r="EE85" i="1"/>
  <c r="EB85" i="1"/>
  <c r="DZ85" i="1"/>
  <c r="DX85" i="1"/>
  <c r="DV85" i="1"/>
  <c r="DT85" i="1"/>
  <c r="DR85" i="1"/>
  <c r="DP85" i="1"/>
  <c r="DN85" i="1"/>
  <c r="DL85" i="1"/>
  <c r="DJ85" i="1"/>
  <c r="DH85" i="1"/>
  <c r="DF85" i="1"/>
  <c r="DB85" i="1"/>
  <c r="CZ85" i="1"/>
  <c r="CX85" i="1"/>
  <c r="CV85" i="1"/>
  <c r="CT85" i="1"/>
  <c r="CR85" i="1"/>
  <c r="CP85" i="1"/>
  <c r="CN85" i="1"/>
  <c r="DD85" i="1" s="1"/>
  <c r="N405" i="2" s="1"/>
  <c r="CL85" i="1"/>
  <c r="CJ85" i="1"/>
  <c r="CH85" i="1"/>
  <c r="CF85" i="1"/>
  <c r="CB85" i="1"/>
  <c r="BZ85" i="1"/>
  <c r="BX85" i="1"/>
  <c r="BV85" i="1"/>
  <c r="BT85" i="1"/>
  <c r="BR85" i="1"/>
  <c r="BP85" i="1"/>
  <c r="BN85" i="1"/>
  <c r="BL85" i="1"/>
  <c r="BJ85" i="1"/>
  <c r="CC85" i="1" s="1"/>
  <c r="I404" i="2" s="1"/>
  <c r="L404" i="2" s="1"/>
  <c r="BH85" i="1"/>
  <c r="BF85" i="1"/>
  <c r="BB85" i="1"/>
  <c r="AZ85" i="1"/>
  <c r="AX85" i="1"/>
  <c r="AV85" i="1"/>
  <c r="AT85" i="1"/>
  <c r="AR85" i="1"/>
  <c r="AP85" i="1"/>
  <c r="AN85" i="1"/>
  <c r="AL85" i="1"/>
  <c r="AJ85" i="1"/>
  <c r="AH85" i="1"/>
  <c r="AF85" i="1"/>
  <c r="AB85" i="1"/>
  <c r="Z85" i="1"/>
  <c r="X85" i="1"/>
  <c r="V85" i="1"/>
  <c r="T85" i="1"/>
  <c r="R85" i="1"/>
  <c r="P85" i="1"/>
  <c r="N85" i="1"/>
  <c r="L85" i="1"/>
  <c r="J85" i="1"/>
  <c r="H85" i="1"/>
  <c r="F85" i="1"/>
  <c r="ED84" i="1"/>
  <c r="N401" i="2" s="1"/>
  <c r="EB84" i="1"/>
  <c r="DZ84" i="1"/>
  <c r="DX84" i="1"/>
  <c r="DV84" i="1"/>
  <c r="DT84" i="1"/>
  <c r="DR84" i="1"/>
  <c r="DP84" i="1"/>
  <c r="DN84" i="1"/>
  <c r="DL84" i="1"/>
  <c r="DJ84" i="1"/>
  <c r="DH84" i="1"/>
  <c r="EC84" i="1" s="1"/>
  <c r="I401" i="2" s="1"/>
  <c r="L401" i="2" s="1"/>
  <c r="DF84" i="1"/>
  <c r="DB84" i="1"/>
  <c r="CZ84" i="1"/>
  <c r="CX84" i="1"/>
  <c r="CV84" i="1"/>
  <c r="CT84" i="1"/>
  <c r="CR84" i="1"/>
  <c r="CP84" i="1"/>
  <c r="CN84" i="1"/>
  <c r="CL84" i="1"/>
  <c r="CJ84" i="1"/>
  <c r="CH84" i="1"/>
  <c r="CF84" i="1"/>
  <c r="CB84" i="1"/>
  <c r="BZ84" i="1"/>
  <c r="BX84" i="1"/>
  <c r="BV84" i="1"/>
  <c r="BT84" i="1"/>
  <c r="BR84" i="1"/>
  <c r="BP84" i="1"/>
  <c r="BN84" i="1"/>
  <c r="BL84" i="1"/>
  <c r="BJ84" i="1"/>
  <c r="BH84" i="1"/>
  <c r="CD84" i="1" s="1"/>
  <c r="N399" i="2" s="1"/>
  <c r="BF84" i="1"/>
  <c r="BB84" i="1"/>
  <c r="AZ84" i="1"/>
  <c r="AX84" i="1"/>
  <c r="AV84" i="1"/>
  <c r="AT84" i="1"/>
  <c r="AR84" i="1"/>
  <c r="AP84" i="1"/>
  <c r="AN84" i="1"/>
  <c r="AL84" i="1"/>
  <c r="AJ84" i="1"/>
  <c r="AH84" i="1"/>
  <c r="AF84" i="1"/>
  <c r="AD84" i="1"/>
  <c r="N397" i="2" s="1"/>
  <c r="AB84" i="1"/>
  <c r="Z84" i="1"/>
  <c r="X84" i="1"/>
  <c r="V84" i="1"/>
  <c r="T84" i="1"/>
  <c r="R84" i="1"/>
  <c r="P84" i="1"/>
  <c r="N84" i="1"/>
  <c r="L84" i="1"/>
  <c r="J84" i="1"/>
  <c r="H84" i="1"/>
  <c r="F84" i="1"/>
  <c r="EB83" i="1"/>
  <c r="DZ83" i="1"/>
  <c r="DX83" i="1"/>
  <c r="DV83" i="1"/>
  <c r="DT83" i="1"/>
  <c r="DR83" i="1"/>
  <c r="DP83" i="1"/>
  <c r="DN83" i="1"/>
  <c r="ED83" i="1" s="1"/>
  <c r="N396" i="2" s="1"/>
  <c r="DL83" i="1"/>
  <c r="DJ83" i="1"/>
  <c r="DH83" i="1"/>
  <c r="DF83" i="1"/>
  <c r="DB83" i="1"/>
  <c r="CZ83" i="1"/>
  <c r="CX83" i="1"/>
  <c r="CV83" i="1"/>
  <c r="CT83" i="1"/>
  <c r="CR83" i="1"/>
  <c r="CP83" i="1"/>
  <c r="CN83" i="1"/>
  <c r="CL83" i="1"/>
  <c r="CJ83" i="1"/>
  <c r="DC83" i="1" s="1"/>
  <c r="I395" i="2" s="1"/>
  <c r="L395" i="2" s="1"/>
  <c r="CH83" i="1"/>
  <c r="DD83" i="1" s="1"/>
  <c r="N395" i="2" s="1"/>
  <c r="CF83" i="1"/>
  <c r="CB83" i="1"/>
  <c r="BZ83" i="1"/>
  <c r="BX83" i="1"/>
  <c r="BV83" i="1"/>
  <c r="BT83" i="1"/>
  <c r="BR83" i="1"/>
  <c r="BP83" i="1"/>
  <c r="BN83" i="1"/>
  <c r="BL83" i="1"/>
  <c r="BJ83" i="1"/>
  <c r="BH83" i="1"/>
  <c r="BF83" i="1"/>
  <c r="BB83" i="1"/>
  <c r="AZ83" i="1"/>
  <c r="AX83" i="1"/>
  <c r="AV83" i="1"/>
  <c r="AT83" i="1"/>
  <c r="AR83" i="1"/>
  <c r="AP83" i="1"/>
  <c r="AN83" i="1"/>
  <c r="AL83" i="1"/>
  <c r="AJ83" i="1"/>
  <c r="AH83" i="1"/>
  <c r="AF83" i="1"/>
  <c r="AB83" i="1"/>
  <c r="Z83" i="1"/>
  <c r="X83" i="1"/>
  <c r="V83" i="1"/>
  <c r="T83" i="1"/>
  <c r="R83" i="1"/>
  <c r="P83" i="1"/>
  <c r="N83" i="1"/>
  <c r="AD83" i="1" s="1"/>
  <c r="N392" i="2" s="1"/>
  <c r="L83" i="1"/>
  <c r="J83" i="1"/>
  <c r="H83" i="1"/>
  <c r="F83" i="1"/>
  <c r="EB82" i="1"/>
  <c r="DZ82" i="1"/>
  <c r="DX82" i="1"/>
  <c r="DV82" i="1"/>
  <c r="DT82" i="1"/>
  <c r="DR82" i="1"/>
  <c r="DP82" i="1"/>
  <c r="DN82" i="1"/>
  <c r="DL82" i="1"/>
  <c r="DJ82" i="1"/>
  <c r="DH82" i="1"/>
  <c r="DF82" i="1"/>
  <c r="DB82" i="1"/>
  <c r="CZ82" i="1"/>
  <c r="CX82" i="1"/>
  <c r="CV82" i="1"/>
  <c r="CT82" i="1"/>
  <c r="CR82" i="1"/>
  <c r="CP82" i="1"/>
  <c r="CN82" i="1"/>
  <c r="CL82" i="1"/>
  <c r="CJ82" i="1"/>
  <c r="CH82" i="1"/>
  <c r="CF82" i="1"/>
  <c r="CB82" i="1"/>
  <c r="BZ82" i="1"/>
  <c r="BX82" i="1"/>
  <c r="BV82" i="1"/>
  <c r="BT82" i="1"/>
  <c r="BR82" i="1"/>
  <c r="BP82" i="1"/>
  <c r="BN82" i="1"/>
  <c r="BL82" i="1"/>
  <c r="BJ82" i="1"/>
  <c r="BH82" i="1"/>
  <c r="BF82" i="1"/>
  <c r="BD82" i="1"/>
  <c r="N388" i="2" s="1"/>
  <c r="BB82" i="1"/>
  <c r="AZ82" i="1"/>
  <c r="AX82" i="1"/>
  <c r="AV82" i="1"/>
  <c r="AT82" i="1"/>
  <c r="AR82" i="1"/>
  <c r="AP82" i="1"/>
  <c r="AN82" i="1"/>
  <c r="AL82" i="1"/>
  <c r="AJ82" i="1"/>
  <c r="AH82" i="1"/>
  <c r="BC82" i="1" s="1"/>
  <c r="I388" i="2" s="1"/>
  <c r="L388" i="2" s="1"/>
  <c r="AF82" i="1"/>
  <c r="AB82" i="1"/>
  <c r="Z82" i="1"/>
  <c r="X82" i="1"/>
  <c r="V82" i="1"/>
  <c r="T82" i="1"/>
  <c r="R82" i="1"/>
  <c r="P82" i="1"/>
  <c r="N82" i="1"/>
  <c r="L82" i="1"/>
  <c r="J82" i="1"/>
  <c r="H82" i="1"/>
  <c r="F82" i="1"/>
  <c r="EB81" i="1"/>
  <c r="DZ81" i="1"/>
  <c r="DX81" i="1"/>
  <c r="DV81" i="1"/>
  <c r="DT81" i="1"/>
  <c r="DR81" i="1"/>
  <c r="DP81" i="1"/>
  <c r="DN81" i="1"/>
  <c r="DL81" i="1"/>
  <c r="DJ81" i="1"/>
  <c r="DH81" i="1"/>
  <c r="DF81" i="1"/>
  <c r="DB81" i="1"/>
  <c r="CZ81" i="1"/>
  <c r="CX81" i="1"/>
  <c r="CV81" i="1"/>
  <c r="CT81" i="1"/>
  <c r="CR81" i="1"/>
  <c r="CP81" i="1"/>
  <c r="CN81" i="1"/>
  <c r="CL81" i="1"/>
  <c r="CJ81" i="1"/>
  <c r="CH81" i="1"/>
  <c r="CF81" i="1"/>
  <c r="CB81" i="1"/>
  <c r="BZ81" i="1"/>
  <c r="BX81" i="1"/>
  <c r="BV81" i="1"/>
  <c r="BT81" i="1"/>
  <c r="BR81" i="1"/>
  <c r="BP81" i="1"/>
  <c r="BN81" i="1"/>
  <c r="BL81" i="1"/>
  <c r="BJ81" i="1"/>
  <c r="BH81" i="1"/>
  <c r="BF81" i="1"/>
  <c r="BB81" i="1"/>
  <c r="AZ81" i="1"/>
  <c r="AX81" i="1"/>
  <c r="AV81" i="1"/>
  <c r="AT81" i="1"/>
  <c r="AR81" i="1"/>
  <c r="AP81" i="1"/>
  <c r="AN81" i="1"/>
  <c r="BD81" i="1" s="1"/>
  <c r="N383" i="2" s="1"/>
  <c r="AL81" i="1"/>
  <c r="AJ81" i="1"/>
  <c r="AH81" i="1"/>
  <c r="AF81" i="1"/>
  <c r="AB81" i="1"/>
  <c r="Z81" i="1"/>
  <c r="X81" i="1"/>
  <c r="V81" i="1"/>
  <c r="T81" i="1"/>
  <c r="R81" i="1"/>
  <c r="P81" i="1"/>
  <c r="N81" i="1"/>
  <c r="L81" i="1"/>
  <c r="J81" i="1"/>
  <c r="AC81" i="1" s="1"/>
  <c r="I382" i="2" s="1"/>
  <c r="L382" i="2" s="1"/>
  <c r="H81" i="1"/>
  <c r="F81" i="1"/>
  <c r="EB80" i="1"/>
  <c r="DZ80" i="1"/>
  <c r="DX80" i="1"/>
  <c r="DV80" i="1"/>
  <c r="DT80" i="1"/>
  <c r="DR80" i="1"/>
  <c r="DP80" i="1"/>
  <c r="DN80" i="1"/>
  <c r="DL80" i="1"/>
  <c r="DJ80" i="1"/>
  <c r="DH80" i="1"/>
  <c r="DF80" i="1"/>
  <c r="DB80" i="1"/>
  <c r="CZ80" i="1"/>
  <c r="CX80" i="1"/>
  <c r="CV80" i="1"/>
  <c r="CT80" i="1"/>
  <c r="CR80" i="1"/>
  <c r="CP80" i="1"/>
  <c r="CN80" i="1"/>
  <c r="CL80" i="1"/>
  <c r="CJ80" i="1"/>
  <c r="CH80" i="1"/>
  <c r="CF80" i="1"/>
  <c r="CB80" i="1"/>
  <c r="BZ80" i="1"/>
  <c r="BX80" i="1"/>
  <c r="BV80" i="1"/>
  <c r="BT80" i="1"/>
  <c r="BR80" i="1"/>
  <c r="BP80" i="1"/>
  <c r="CD80" i="1" s="1"/>
  <c r="N379" i="2" s="1"/>
  <c r="BN80" i="1"/>
  <c r="BL80" i="1"/>
  <c r="BJ80" i="1"/>
  <c r="BH80" i="1"/>
  <c r="CC80" i="1" s="1"/>
  <c r="I379" i="2" s="1"/>
  <c r="L379" i="2" s="1"/>
  <c r="BF80" i="1"/>
  <c r="BB80" i="1"/>
  <c r="AZ80" i="1"/>
  <c r="AX80" i="1"/>
  <c r="AV80" i="1"/>
  <c r="AT80" i="1"/>
  <c r="AR80" i="1"/>
  <c r="AP80" i="1"/>
  <c r="AN80" i="1"/>
  <c r="AL80" i="1"/>
  <c r="AJ80" i="1"/>
  <c r="AH80" i="1"/>
  <c r="AF80" i="1"/>
  <c r="AB80" i="1"/>
  <c r="Z80" i="1"/>
  <c r="X80" i="1"/>
  <c r="V80" i="1"/>
  <c r="T80" i="1"/>
  <c r="R80" i="1"/>
  <c r="P80" i="1"/>
  <c r="N80" i="1"/>
  <c r="L80" i="1"/>
  <c r="J80" i="1"/>
  <c r="H80" i="1"/>
  <c r="F80" i="1"/>
  <c r="EB79" i="1"/>
  <c r="DZ79" i="1"/>
  <c r="DX79" i="1"/>
  <c r="DV79" i="1"/>
  <c r="DT79" i="1"/>
  <c r="DR79" i="1"/>
  <c r="DP79" i="1"/>
  <c r="DN79" i="1"/>
  <c r="DL79" i="1"/>
  <c r="DJ79" i="1"/>
  <c r="DH79" i="1"/>
  <c r="DF79" i="1"/>
  <c r="DB79" i="1"/>
  <c r="CZ79" i="1"/>
  <c r="CX79" i="1"/>
  <c r="CV79" i="1"/>
  <c r="CT79" i="1"/>
  <c r="CR79" i="1"/>
  <c r="CP79" i="1"/>
  <c r="CN79" i="1"/>
  <c r="CL79" i="1"/>
  <c r="CJ79" i="1"/>
  <c r="CH79" i="1"/>
  <c r="CF79" i="1"/>
  <c r="DD79" i="1" s="1"/>
  <c r="N375" i="2" s="1"/>
  <c r="CB79" i="1"/>
  <c r="BZ79" i="1"/>
  <c r="BX79" i="1"/>
  <c r="BV79" i="1"/>
  <c r="BT79" i="1"/>
  <c r="BR79" i="1"/>
  <c r="BP79" i="1"/>
  <c r="BN79" i="1"/>
  <c r="CD79" i="1" s="1"/>
  <c r="N374" i="2" s="1"/>
  <c r="BL79" i="1"/>
  <c r="BJ79" i="1"/>
  <c r="BH79" i="1"/>
  <c r="BF79" i="1"/>
  <c r="BB79" i="1"/>
  <c r="AZ79" i="1"/>
  <c r="AX79" i="1"/>
  <c r="AV79" i="1"/>
  <c r="AT79" i="1"/>
  <c r="AR79" i="1"/>
  <c r="AP79" i="1"/>
  <c r="AN79" i="1"/>
  <c r="AL79" i="1"/>
  <c r="AJ79" i="1"/>
  <c r="BC79" i="1" s="1"/>
  <c r="I373" i="2" s="1"/>
  <c r="L373" i="2" s="1"/>
  <c r="AH79" i="1"/>
  <c r="AF79" i="1"/>
  <c r="AB79" i="1"/>
  <c r="Z79" i="1"/>
  <c r="X79" i="1"/>
  <c r="V79" i="1"/>
  <c r="T79" i="1"/>
  <c r="R79" i="1"/>
  <c r="P79" i="1"/>
  <c r="N79" i="1"/>
  <c r="L79" i="1"/>
  <c r="J79" i="1"/>
  <c r="H79" i="1"/>
  <c r="F79" i="1"/>
  <c r="EB78" i="1"/>
  <c r="DZ78" i="1"/>
  <c r="DX78" i="1"/>
  <c r="DV78" i="1"/>
  <c r="DT78" i="1"/>
  <c r="DR78" i="1"/>
  <c r="DP78" i="1"/>
  <c r="DN78" i="1"/>
  <c r="DL78" i="1"/>
  <c r="DJ78" i="1"/>
  <c r="DH78" i="1"/>
  <c r="DF78" i="1"/>
  <c r="DB78" i="1"/>
  <c r="CZ78" i="1"/>
  <c r="CX78" i="1"/>
  <c r="CV78" i="1"/>
  <c r="CT78" i="1"/>
  <c r="CR78" i="1"/>
  <c r="CP78" i="1"/>
  <c r="DD78" i="1" s="1"/>
  <c r="N370" i="2" s="1"/>
  <c r="CN78" i="1"/>
  <c r="CL78" i="1"/>
  <c r="CJ78" i="1"/>
  <c r="CH78" i="1"/>
  <c r="CF78" i="1"/>
  <c r="CB78" i="1"/>
  <c r="BZ78" i="1"/>
  <c r="BX78" i="1"/>
  <c r="BV78" i="1"/>
  <c r="BT78" i="1"/>
  <c r="BR78" i="1"/>
  <c r="BP78" i="1"/>
  <c r="BN78" i="1"/>
  <c r="BL78" i="1"/>
  <c r="BJ78" i="1"/>
  <c r="BH78" i="1"/>
  <c r="BF78" i="1"/>
  <c r="BB78" i="1"/>
  <c r="AZ78" i="1"/>
  <c r="AX78" i="1"/>
  <c r="AV78" i="1"/>
  <c r="AT78" i="1"/>
  <c r="AR78" i="1"/>
  <c r="AP78" i="1"/>
  <c r="AN78" i="1"/>
  <c r="AL78" i="1"/>
  <c r="AJ78" i="1"/>
  <c r="AH78" i="1"/>
  <c r="BD78" i="1" s="1"/>
  <c r="N368" i="2" s="1"/>
  <c r="AF78" i="1"/>
  <c r="AB78" i="1"/>
  <c r="Z78" i="1"/>
  <c r="X78" i="1"/>
  <c r="V78" i="1"/>
  <c r="T78" i="1"/>
  <c r="R78" i="1"/>
  <c r="P78" i="1"/>
  <c r="N78" i="1"/>
  <c r="L78" i="1"/>
  <c r="J78" i="1"/>
  <c r="H78" i="1"/>
  <c r="F78" i="1"/>
  <c r="EB77" i="1"/>
  <c r="DZ77" i="1"/>
  <c r="DX77" i="1"/>
  <c r="DV77" i="1"/>
  <c r="DT77" i="1"/>
  <c r="DR77" i="1"/>
  <c r="DP77" i="1"/>
  <c r="DN77" i="1"/>
  <c r="DL77" i="1"/>
  <c r="DJ77" i="1"/>
  <c r="DH77" i="1"/>
  <c r="DF77" i="1"/>
  <c r="ED77" i="1" s="1"/>
  <c r="N366" i="2" s="1"/>
  <c r="DB77" i="1"/>
  <c r="CZ77" i="1"/>
  <c r="CX77" i="1"/>
  <c r="CV77" i="1"/>
  <c r="CT77" i="1"/>
  <c r="CR77" i="1"/>
  <c r="CP77" i="1"/>
  <c r="CN77" i="1"/>
  <c r="DD77" i="1" s="1"/>
  <c r="N365" i="2" s="1"/>
  <c r="CL77" i="1"/>
  <c r="CJ77" i="1"/>
  <c r="CH77" i="1"/>
  <c r="CF77" i="1"/>
  <c r="CB77" i="1"/>
  <c r="BZ77" i="1"/>
  <c r="BX77" i="1"/>
  <c r="BV77" i="1"/>
  <c r="BT77" i="1"/>
  <c r="BR77" i="1"/>
  <c r="BP77" i="1"/>
  <c r="BN77" i="1"/>
  <c r="BL77" i="1"/>
  <c r="BJ77" i="1"/>
  <c r="CC77" i="1" s="1"/>
  <c r="I364" i="2" s="1"/>
  <c r="L364" i="2" s="1"/>
  <c r="BH77" i="1"/>
  <c r="BF77" i="1"/>
  <c r="CD77" i="1" s="1"/>
  <c r="N364" i="2" s="1"/>
  <c r="BB77" i="1"/>
  <c r="AZ77" i="1"/>
  <c r="AX77" i="1"/>
  <c r="AV77" i="1"/>
  <c r="AT77" i="1"/>
  <c r="AR77" i="1"/>
  <c r="AP77" i="1"/>
  <c r="AN77" i="1"/>
  <c r="AL77" i="1"/>
  <c r="AJ77" i="1"/>
  <c r="AH77" i="1"/>
  <c r="AF77" i="1"/>
  <c r="AB77" i="1"/>
  <c r="Z77" i="1"/>
  <c r="X77" i="1"/>
  <c r="V77" i="1"/>
  <c r="T77" i="1"/>
  <c r="R77" i="1"/>
  <c r="P77" i="1"/>
  <c r="N77" i="1"/>
  <c r="L77" i="1"/>
  <c r="J77" i="1"/>
  <c r="H77" i="1"/>
  <c r="F77" i="1"/>
  <c r="AD77" i="1" s="1"/>
  <c r="N362" i="2" s="1"/>
  <c r="EB76" i="1"/>
  <c r="DZ76" i="1"/>
  <c r="DX76" i="1"/>
  <c r="DV76" i="1"/>
  <c r="DT76" i="1"/>
  <c r="DR76" i="1"/>
  <c r="DP76" i="1"/>
  <c r="ED76" i="1" s="1"/>
  <c r="N361" i="2" s="1"/>
  <c r="DN76" i="1"/>
  <c r="DL76" i="1"/>
  <c r="DJ76" i="1"/>
  <c r="DH76" i="1"/>
  <c r="DF76" i="1"/>
  <c r="DB76" i="1"/>
  <c r="CZ76" i="1"/>
  <c r="CX76" i="1"/>
  <c r="CV76" i="1"/>
  <c r="CT76" i="1"/>
  <c r="CR76" i="1"/>
  <c r="CP76" i="1"/>
  <c r="CN76" i="1"/>
  <c r="CL76" i="1"/>
  <c r="CJ76" i="1"/>
  <c r="CH76" i="1"/>
  <c r="CF76" i="1"/>
  <c r="CB76" i="1"/>
  <c r="BZ76" i="1"/>
  <c r="BX76" i="1"/>
  <c r="BV76" i="1"/>
  <c r="BT76" i="1"/>
  <c r="BR76" i="1"/>
  <c r="BP76" i="1"/>
  <c r="BN76" i="1"/>
  <c r="BL76" i="1"/>
  <c r="BJ76" i="1"/>
  <c r="BH76" i="1"/>
  <c r="CD76" i="1" s="1"/>
  <c r="N359" i="2" s="1"/>
  <c r="BF76" i="1"/>
  <c r="BB76" i="1"/>
  <c r="AZ76" i="1"/>
  <c r="AX76" i="1"/>
  <c r="AV76" i="1"/>
  <c r="AT76" i="1"/>
  <c r="AR76" i="1"/>
  <c r="AP76" i="1"/>
  <c r="AN76" i="1"/>
  <c r="AL76" i="1"/>
  <c r="AJ76" i="1"/>
  <c r="AH76" i="1"/>
  <c r="AF76" i="1"/>
  <c r="AB76" i="1"/>
  <c r="Z76" i="1"/>
  <c r="X76" i="1"/>
  <c r="V76" i="1"/>
  <c r="T76" i="1"/>
  <c r="R76" i="1"/>
  <c r="P76" i="1"/>
  <c r="N76" i="1"/>
  <c r="L76" i="1"/>
  <c r="J76" i="1"/>
  <c r="H76" i="1"/>
  <c r="F76" i="1"/>
  <c r="EB75" i="1"/>
  <c r="DZ75" i="1"/>
  <c r="DX75" i="1"/>
  <c r="DV75" i="1"/>
  <c r="DT75" i="1"/>
  <c r="DR75" i="1"/>
  <c r="DP75" i="1"/>
  <c r="DN75" i="1"/>
  <c r="ED75" i="1" s="1"/>
  <c r="N356" i="2" s="1"/>
  <c r="DL75" i="1"/>
  <c r="DJ75" i="1"/>
  <c r="DH75" i="1"/>
  <c r="DF75" i="1"/>
  <c r="DB75" i="1"/>
  <c r="CZ75" i="1"/>
  <c r="CX75" i="1"/>
  <c r="CV75" i="1"/>
  <c r="CT75" i="1"/>
  <c r="CR75" i="1"/>
  <c r="CP75" i="1"/>
  <c r="CN75" i="1"/>
  <c r="CL75" i="1"/>
  <c r="CJ75" i="1"/>
  <c r="CH75" i="1"/>
  <c r="CF75" i="1"/>
  <c r="CB75" i="1"/>
  <c r="BZ75" i="1"/>
  <c r="BX75" i="1"/>
  <c r="BV75" i="1"/>
  <c r="BT75" i="1"/>
  <c r="BR75" i="1"/>
  <c r="BP75" i="1"/>
  <c r="BN75" i="1"/>
  <c r="BL75" i="1"/>
  <c r="BJ75" i="1"/>
  <c r="BH75" i="1"/>
  <c r="BF75" i="1"/>
  <c r="BB75" i="1"/>
  <c r="AZ75" i="1"/>
  <c r="AX75" i="1"/>
  <c r="AV75" i="1"/>
  <c r="AT75" i="1"/>
  <c r="AR75" i="1"/>
  <c r="AP75" i="1"/>
  <c r="AN75" i="1"/>
  <c r="AL75" i="1"/>
  <c r="AJ75" i="1"/>
  <c r="AH75" i="1"/>
  <c r="AF75" i="1"/>
  <c r="BD75" i="1" s="1"/>
  <c r="N353" i="2" s="1"/>
  <c r="AB75" i="1"/>
  <c r="Z75" i="1"/>
  <c r="X75" i="1"/>
  <c r="V75" i="1"/>
  <c r="T75" i="1"/>
  <c r="R75" i="1"/>
  <c r="P75" i="1"/>
  <c r="N75" i="1"/>
  <c r="AD75" i="1" s="1"/>
  <c r="N352" i="2" s="1"/>
  <c r="L75" i="1"/>
  <c r="J75" i="1"/>
  <c r="H75" i="1"/>
  <c r="F75" i="1"/>
  <c r="EB74" i="1"/>
  <c r="DZ74" i="1"/>
  <c r="DX74" i="1"/>
  <c r="DV74" i="1"/>
  <c r="DT74" i="1"/>
  <c r="DR74" i="1"/>
  <c r="DP74" i="1"/>
  <c r="DN74" i="1"/>
  <c r="DL74" i="1"/>
  <c r="DJ74" i="1"/>
  <c r="DH74" i="1"/>
  <c r="DF74" i="1"/>
  <c r="DB74" i="1"/>
  <c r="CZ74" i="1"/>
  <c r="CX74" i="1"/>
  <c r="CV74" i="1"/>
  <c r="CT74" i="1"/>
  <c r="CR74" i="1"/>
  <c r="CP74" i="1"/>
  <c r="CN74" i="1"/>
  <c r="CL74" i="1"/>
  <c r="CJ74" i="1"/>
  <c r="CH74" i="1"/>
  <c r="CF74" i="1"/>
  <c r="CB74" i="1"/>
  <c r="BZ74" i="1"/>
  <c r="BX74" i="1"/>
  <c r="BV74" i="1"/>
  <c r="BT74" i="1"/>
  <c r="BR74" i="1"/>
  <c r="BP74" i="1"/>
  <c r="BN74" i="1"/>
  <c r="BL74" i="1"/>
  <c r="BJ74" i="1"/>
  <c r="BH74" i="1"/>
  <c r="BF74" i="1"/>
  <c r="BB74" i="1"/>
  <c r="AZ74" i="1"/>
  <c r="AX74" i="1"/>
  <c r="AV74" i="1"/>
  <c r="AT74" i="1"/>
  <c r="AR74" i="1"/>
  <c r="AP74" i="1"/>
  <c r="BD74" i="1" s="1"/>
  <c r="N348" i="2" s="1"/>
  <c r="AN74" i="1"/>
  <c r="AL74" i="1"/>
  <c r="AJ74" i="1"/>
  <c r="AH74" i="1"/>
  <c r="AF74" i="1"/>
  <c r="AB74" i="1"/>
  <c r="Z74" i="1"/>
  <c r="X74" i="1"/>
  <c r="V74" i="1"/>
  <c r="T74" i="1"/>
  <c r="R74" i="1"/>
  <c r="P74" i="1"/>
  <c r="N74" i="1"/>
  <c r="L74" i="1"/>
  <c r="J74" i="1"/>
  <c r="H74" i="1"/>
  <c r="F74" i="1"/>
  <c r="EB73" i="1"/>
  <c r="DZ73" i="1"/>
  <c r="DX73" i="1"/>
  <c r="DV73" i="1"/>
  <c r="DT73" i="1"/>
  <c r="DR73" i="1"/>
  <c r="DP73" i="1"/>
  <c r="DN73" i="1"/>
  <c r="DL73" i="1"/>
  <c r="DJ73" i="1"/>
  <c r="DH73" i="1"/>
  <c r="DF73" i="1"/>
  <c r="DB73" i="1"/>
  <c r="CZ73" i="1"/>
  <c r="CX73" i="1"/>
  <c r="CV73" i="1"/>
  <c r="CT73" i="1"/>
  <c r="CR73" i="1"/>
  <c r="CP73" i="1"/>
  <c r="CN73" i="1"/>
  <c r="CL73" i="1"/>
  <c r="CJ73" i="1"/>
  <c r="CH73" i="1"/>
  <c r="CF73" i="1"/>
  <c r="CB73" i="1"/>
  <c r="BZ73" i="1"/>
  <c r="BX73" i="1"/>
  <c r="BV73" i="1"/>
  <c r="BT73" i="1"/>
  <c r="BR73" i="1"/>
  <c r="BP73" i="1"/>
  <c r="BN73" i="1"/>
  <c r="BL73" i="1"/>
  <c r="BJ73" i="1"/>
  <c r="BH73" i="1"/>
  <c r="BF73" i="1"/>
  <c r="BB73" i="1"/>
  <c r="AZ73" i="1"/>
  <c r="AX73" i="1"/>
  <c r="AV73" i="1"/>
  <c r="AT73" i="1"/>
  <c r="AR73" i="1"/>
  <c r="AP73" i="1"/>
  <c r="AN73" i="1"/>
  <c r="BD73" i="1" s="1"/>
  <c r="N343" i="2" s="1"/>
  <c r="AL73" i="1"/>
  <c r="AJ73" i="1"/>
  <c r="AH73" i="1"/>
  <c r="AF73" i="1"/>
  <c r="AB73" i="1"/>
  <c r="Z73" i="1"/>
  <c r="X73" i="1"/>
  <c r="V73" i="1"/>
  <c r="T73" i="1"/>
  <c r="R73" i="1"/>
  <c r="P73" i="1"/>
  <c r="N73" i="1"/>
  <c r="L73" i="1"/>
  <c r="J73" i="1"/>
  <c r="H73" i="1"/>
  <c r="F73" i="1"/>
  <c r="ED72" i="1"/>
  <c r="N341" i="2" s="1"/>
  <c r="EB72" i="1"/>
  <c r="DZ72" i="1"/>
  <c r="DX72" i="1"/>
  <c r="DV72" i="1"/>
  <c r="DT72" i="1"/>
  <c r="DR72" i="1"/>
  <c r="DP72" i="1"/>
  <c r="DN72" i="1"/>
  <c r="DL72" i="1"/>
  <c r="DJ72" i="1"/>
  <c r="DH72" i="1"/>
  <c r="DF72" i="1"/>
  <c r="DB72" i="1"/>
  <c r="CZ72" i="1"/>
  <c r="CX72" i="1"/>
  <c r="CV72" i="1"/>
  <c r="CT72" i="1"/>
  <c r="CR72" i="1"/>
  <c r="CP72" i="1"/>
  <c r="CN72" i="1"/>
  <c r="CL72" i="1"/>
  <c r="CJ72" i="1"/>
  <c r="CH72" i="1"/>
  <c r="CF72" i="1"/>
  <c r="CD72" i="1"/>
  <c r="N339" i="2" s="1"/>
  <c r="CB72" i="1"/>
  <c r="BZ72" i="1"/>
  <c r="BX72" i="1"/>
  <c r="BV72" i="1"/>
  <c r="BT72" i="1"/>
  <c r="BR72" i="1"/>
  <c r="BP72" i="1"/>
  <c r="BN72" i="1"/>
  <c r="BL72" i="1"/>
  <c r="BJ72" i="1"/>
  <c r="BH72" i="1"/>
  <c r="BF72" i="1"/>
  <c r="BB72" i="1"/>
  <c r="AZ72" i="1"/>
  <c r="AX72" i="1"/>
  <c r="AV72" i="1"/>
  <c r="AT72" i="1"/>
  <c r="AR72" i="1"/>
  <c r="AP72" i="1"/>
  <c r="AN72" i="1"/>
  <c r="AL72" i="1"/>
  <c r="AJ72" i="1"/>
  <c r="AH72" i="1"/>
  <c r="AF72" i="1"/>
  <c r="AB72" i="1"/>
  <c r="Z72" i="1"/>
  <c r="X72" i="1"/>
  <c r="V72" i="1"/>
  <c r="T72" i="1"/>
  <c r="R72" i="1"/>
  <c r="P72" i="1"/>
  <c r="AD72" i="1" s="1"/>
  <c r="N337" i="2" s="1"/>
  <c r="N72" i="1"/>
  <c r="L72" i="1"/>
  <c r="J72" i="1"/>
  <c r="H72" i="1"/>
  <c r="F72" i="1"/>
  <c r="EB71" i="1"/>
  <c r="DZ71" i="1"/>
  <c r="DX71" i="1"/>
  <c r="DV71" i="1"/>
  <c r="DT71" i="1"/>
  <c r="DR71" i="1"/>
  <c r="DP71" i="1"/>
  <c r="DN71" i="1"/>
  <c r="EC71" i="1" s="1"/>
  <c r="I336" i="2" s="1"/>
  <c r="L336" i="2" s="1"/>
  <c r="DL71" i="1"/>
  <c r="DJ71" i="1"/>
  <c r="DH71" i="1"/>
  <c r="DF71" i="1"/>
  <c r="DB71" i="1"/>
  <c r="CZ71" i="1"/>
  <c r="CX71" i="1"/>
  <c r="CV71" i="1"/>
  <c r="CT71" i="1"/>
  <c r="CR71" i="1"/>
  <c r="CP71" i="1"/>
  <c r="CN71" i="1"/>
  <c r="CL71" i="1"/>
  <c r="CJ71" i="1"/>
  <c r="CH71" i="1"/>
  <c r="CF71" i="1"/>
  <c r="CB71" i="1"/>
  <c r="BZ71" i="1"/>
  <c r="BX71" i="1"/>
  <c r="BV71" i="1"/>
  <c r="BT71" i="1"/>
  <c r="BR71" i="1"/>
  <c r="BP71" i="1"/>
  <c r="BN71" i="1"/>
  <c r="CC71" i="1" s="1"/>
  <c r="I334" i="2" s="1"/>
  <c r="L334" i="2" s="1"/>
  <c r="BL71" i="1"/>
  <c r="BJ71" i="1"/>
  <c r="BH71" i="1"/>
  <c r="BF71" i="1"/>
  <c r="BB71" i="1"/>
  <c r="AZ71" i="1"/>
  <c r="AX71" i="1"/>
  <c r="AV71" i="1"/>
  <c r="AT71" i="1"/>
  <c r="AR71" i="1"/>
  <c r="AP71" i="1"/>
  <c r="AN71" i="1"/>
  <c r="AL71" i="1"/>
  <c r="AJ71" i="1"/>
  <c r="AH71" i="1"/>
  <c r="AF71" i="1"/>
  <c r="AB71" i="1"/>
  <c r="Z71" i="1"/>
  <c r="X71" i="1"/>
  <c r="V71" i="1"/>
  <c r="T71" i="1"/>
  <c r="R71" i="1"/>
  <c r="P71" i="1"/>
  <c r="N71" i="1"/>
  <c r="AC71" i="1" s="1"/>
  <c r="I332" i="2" s="1"/>
  <c r="L71" i="1"/>
  <c r="J71" i="1"/>
  <c r="H71" i="1"/>
  <c r="F71" i="1"/>
  <c r="EB70" i="1"/>
  <c r="DZ70" i="1"/>
  <c r="DX70" i="1"/>
  <c r="DV70" i="1"/>
  <c r="DT70" i="1"/>
  <c r="DR70" i="1"/>
  <c r="DP70" i="1"/>
  <c r="DN70" i="1"/>
  <c r="DL70" i="1"/>
  <c r="DJ70" i="1"/>
  <c r="DH70" i="1"/>
  <c r="DF70" i="1"/>
  <c r="DB70" i="1"/>
  <c r="CZ70" i="1"/>
  <c r="CX70" i="1"/>
  <c r="CV70" i="1"/>
  <c r="CT70" i="1"/>
  <c r="CR70" i="1"/>
  <c r="CP70" i="1"/>
  <c r="DD70" i="1" s="1"/>
  <c r="N330" i="2" s="1"/>
  <c r="CN70" i="1"/>
  <c r="CL70" i="1"/>
  <c r="CJ70" i="1"/>
  <c r="CH70" i="1"/>
  <c r="CF70" i="1"/>
  <c r="CB70" i="1"/>
  <c r="BZ70" i="1"/>
  <c r="BX70" i="1"/>
  <c r="BV70" i="1"/>
  <c r="BT70" i="1"/>
  <c r="BR70" i="1"/>
  <c r="BP70" i="1"/>
  <c r="BN70" i="1"/>
  <c r="BL70" i="1"/>
  <c r="BJ70" i="1"/>
  <c r="BH70" i="1"/>
  <c r="BF70" i="1"/>
  <c r="BB70" i="1"/>
  <c r="AZ70" i="1"/>
  <c r="AX70" i="1"/>
  <c r="AV70" i="1"/>
  <c r="AT70" i="1"/>
  <c r="AR70" i="1"/>
  <c r="AP70" i="1"/>
  <c r="AN70" i="1"/>
  <c r="AL70" i="1"/>
  <c r="AJ70" i="1"/>
  <c r="AH70" i="1"/>
  <c r="AF70" i="1"/>
  <c r="AB70" i="1"/>
  <c r="Z70" i="1"/>
  <c r="X70" i="1"/>
  <c r="V70" i="1"/>
  <c r="T70" i="1"/>
  <c r="R70" i="1"/>
  <c r="P70" i="1"/>
  <c r="N70" i="1"/>
  <c r="L70" i="1"/>
  <c r="J70" i="1"/>
  <c r="H70" i="1"/>
  <c r="F70" i="1"/>
  <c r="EB69" i="1"/>
  <c r="DZ69" i="1"/>
  <c r="DX69" i="1"/>
  <c r="DV69" i="1"/>
  <c r="DT69" i="1"/>
  <c r="DR69" i="1"/>
  <c r="DP69" i="1"/>
  <c r="DN69" i="1"/>
  <c r="DL69" i="1"/>
  <c r="DJ69" i="1"/>
  <c r="DH69" i="1"/>
  <c r="DF69" i="1"/>
  <c r="ED69" i="1" s="1"/>
  <c r="N326" i="2" s="1"/>
  <c r="DB69" i="1"/>
  <c r="CZ69" i="1"/>
  <c r="CX69" i="1"/>
  <c r="CV69" i="1"/>
  <c r="CT69" i="1"/>
  <c r="CR69" i="1"/>
  <c r="CP69" i="1"/>
  <c r="CN69" i="1"/>
  <c r="DC69" i="1" s="1"/>
  <c r="I325" i="2" s="1"/>
  <c r="L325" i="2" s="1"/>
  <c r="CL69" i="1"/>
  <c r="CJ69" i="1"/>
  <c r="CH69" i="1"/>
  <c r="CF69" i="1"/>
  <c r="CB69" i="1"/>
  <c r="BZ69" i="1"/>
  <c r="BX69" i="1"/>
  <c r="BV69" i="1"/>
  <c r="BT69" i="1"/>
  <c r="BR69" i="1"/>
  <c r="BP69" i="1"/>
  <c r="BN69" i="1"/>
  <c r="BL69" i="1"/>
  <c r="BJ69" i="1"/>
  <c r="CC69" i="1" s="1"/>
  <c r="I324" i="2" s="1"/>
  <c r="L324" i="2" s="1"/>
  <c r="BH69" i="1"/>
  <c r="CD69" i="1" s="1"/>
  <c r="N324" i="2" s="1"/>
  <c r="BF69" i="1"/>
  <c r="BB69" i="1"/>
  <c r="AZ69" i="1"/>
  <c r="AX69" i="1"/>
  <c r="AV69" i="1"/>
  <c r="AT69" i="1"/>
  <c r="AR69" i="1"/>
  <c r="AP69" i="1"/>
  <c r="AN69" i="1"/>
  <c r="BC69" i="1" s="1"/>
  <c r="I323" i="2" s="1"/>
  <c r="L323" i="2" s="1"/>
  <c r="AL69" i="1"/>
  <c r="AJ69" i="1"/>
  <c r="AH69" i="1"/>
  <c r="AF69" i="1"/>
  <c r="AB69" i="1"/>
  <c r="Z69" i="1"/>
  <c r="X69" i="1"/>
  <c r="V69" i="1"/>
  <c r="T69" i="1"/>
  <c r="R69" i="1"/>
  <c r="P69" i="1"/>
  <c r="N69" i="1"/>
  <c r="L69" i="1"/>
  <c r="J69" i="1"/>
  <c r="H69" i="1"/>
  <c r="F69" i="1"/>
  <c r="EB68" i="1"/>
  <c r="DZ68" i="1"/>
  <c r="DX68" i="1"/>
  <c r="DV68" i="1"/>
  <c r="DT68" i="1"/>
  <c r="DR68" i="1"/>
  <c r="DP68" i="1"/>
  <c r="ED68" i="1" s="1"/>
  <c r="N321" i="2" s="1"/>
  <c r="DN68" i="1"/>
  <c r="DL68" i="1"/>
  <c r="DJ68" i="1"/>
  <c r="DH68" i="1"/>
  <c r="DF68" i="1"/>
  <c r="EC68" i="1" s="1"/>
  <c r="I321" i="2" s="1"/>
  <c r="L321" i="2" s="1"/>
  <c r="DB68" i="1"/>
  <c r="CZ68" i="1"/>
  <c r="CX68" i="1"/>
  <c r="CV68" i="1"/>
  <c r="CT68" i="1"/>
  <c r="CR68" i="1"/>
  <c r="CP68" i="1"/>
  <c r="CN68" i="1"/>
  <c r="CL68" i="1"/>
  <c r="CJ68" i="1"/>
  <c r="CH68" i="1"/>
  <c r="CF68" i="1"/>
  <c r="CB68" i="1"/>
  <c r="BZ68" i="1"/>
  <c r="BX68" i="1"/>
  <c r="BV68" i="1"/>
  <c r="BT68" i="1"/>
  <c r="BR68" i="1"/>
  <c r="BP68" i="1"/>
  <c r="BN68" i="1"/>
  <c r="BL68" i="1"/>
  <c r="BJ68" i="1"/>
  <c r="BH68" i="1"/>
  <c r="CC68" i="1" s="1"/>
  <c r="I319" i="2" s="1"/>
  <c r="L319" i="2" s="1"/>
  <c r="BF68" i="1"/>
  <c r="BB68" i="1"/>
  <c r="AZ68" i="1"/>
  <c r="AX68" i="1"/>
  <c r="AV68" i="1"/>
  <c r="AT68" i="1"/>
  <c r="AR68" i="1"/>
  <c r="AP68" i="1"/>
  <c r="AN68" i="1"/>
  <c r="AL68" i="1"/>
  <c r="AJ68" i="1"/>
  <c r="AH68" i="1"/>
  <c r="AF68" i="1"/>
  <c r="AB68" i="1"/>
  <c r="Z68" i="1"/>
  <c r="X68" i="1"/>
  <c r="V68" i="1"/>
  <c r="T68" i="1"/>
  <c r="R68" i="1"/>
  <c r="P68" i="1"/>
  <c r="N68" i="1"/>
  <c r="L68" i="1"/>
  <c r="J68" i="1"/>
  <c r="H68" i="1"/>
  <c r="F68" i="1"/>
  <c r="AC68" i="1" s="1"/>
  <c r="I317" i="2" s="1"/>
  <c r="L317" i="2" s="1"/>
  <c r="EB67" i="1"/>
  <c r="DZ67" i="1"/>
  <c r="DX67" i="1"/>
  <c r="DV67" i="1"/>
  <c r="DT67" i="1"/>
  <c r="DR67" i="1"/>
  <c r="DP67" i="1"/>
  <c r="DN67" i="1"/>
  <c r="EC67" i="1" s="1"/>
  <c r="I316" i="2" s="1"/>
  <c r="L316" i="2" s="1"/>
  <c r="DL67" i="1"/>
  <c r="DJ67" i="1"/>
  <c r="DH67" i="1"/>
  <c r="DF67" i="1"/>
  <c r="DB67" i="1"/>
  <c r="CZ67" i="1"/>
  <c r="CX67" i="1"/>
  <c r="CV67" i="1"/>
  <c r="CT67" i="1"/>
  <c r="CR67" i="1"/>
  <c r="CP67" i="1"/>
  <c r="CN67" i="1"/>
  <c r="CL67" i="1"/>
  <c r="CJ67" i="1"/>
  <c r="CH67" i="1"/>
  <c r="CF67" i="1"/>
  <c r="CB67" i="1"/>
  <c r="BZ67" i="1"/>
  <c r="BX67" i="1"/>
  <c r="BV67" i="1"/>
  <c r="BT67" i="1"/>
  <c r="BR67" i="1"/>
  <c r="BP67" i="1"/>
  <c r="BN67" i="1"/>
  <c r="BL67" i="1"/>
  <c r="BJ67" i="1"/>
  <c r="BH67" i="1"/>
  <c r="BF67" i="1"/>
  <c r="BB67" i="1"/>
  <c r="AZ67" i="1"/>
  <c r="AX67" i="1"/>
  <c r="AV67" i="1"/>
  <c r="AT67" i="1"/>
  <c r="AR67" i="1"/>
  <c r="AP67" i="1"/>
  <c r="AN67" i="1"/>
  <c r="AL67" i="1"/>
  <c r="AJ67" i="1"/>
  <c r="AH67" i="1"/>
  <c r="AF67" i="1"/>
  <c r="AB67" i="1"/>
  <c r="Z67" i="1"/>
  <c r="X67" i="1"/>
  <c r="V67" i="1"/>
  <c r="T67" i="1"/>
  <c r="R67" i="1"/>
  <c r="P67" i="1"/>
  <c r="N67" i="1"/>
  <c r="L67" i="1"/>
  <c r="J67" i="1"/>
  <c r="H67" i="1"/>
  <c r="F67" i="1"/>
  <c r="EB66" i="1"/>
  <c r="DZ66" i="1"/>
  <c r="DX66" i="1"/>
  <c r="DV66" i="1"/>
  <c r="DT66" i="1"/>
  <c r="DR66" i="1"/>
  <c r="DP66" i="1"/>
  <c r="DN66" i="1"/>
  <c r="DL66" i="1"/>
  <c r="DJ66" i="1"/>
  <c r="DH66" i="1"/>
  <c r="DF66" i="1"/>
  <c r="DB66" i="1"/>
  <c r="CZ66" i="1"/>
  <c r="CX66" i="1"/>
  <c r="CV66" i="1"/>
  <c r="CT66" i="1"/>
  <c r="CR66" i="1"/>
  <c r="CP66" i="1"/>
  <c r="CN66" i="1"/>
  <c r="CL66" i="1"/>
  <c r="CJ66" i="1"/>
  <c r="CH66" i="1"/>
  <c r="DC66" i="1" s="1"/>
  <c r="I310" i="2" s="1"/>
  <c r="L310" i="2" s="1"/>
  <c r="CF66" i="1"/>
  <c r="CB66" i="1"/>
  <c r="BZ66" i="1"/>
  <c r="BX66" i="1"/>
  <c r="BV66" i="1"/>
  <c r="BT66" i="1"/>
  <c r="BR66" i="1"/>
  <c r="BP66" i="1"/>
  <c r="BN66" i="1"/>
  <c r="BL66" i="1"/>
  <c r="BJ66" i="1"/>
  <c r="BH66" i="1"/>
  <c r="BF66" i="1"/>
  <c r="BB66" i="1"/>
  <c r="AZ66" i="1"/>
  <c r="AX66" i="1"/>
  <c r="AV66" i="1"/>
  <c r="AT66" i="1"/>
  <c r="AR66" i="1"/>
  <c r="AP66" i="1"/>
  <c r="AN66" i="1"/>
  <c r="AL66" i="1"/>
  <c r="AJ66" i="1"/>
  <c r="AH66" i="1"/>
  <c r="BD66" i="1" s="1"/>
  <c r="N308" i="2" s="1"/>
  <c r="AF66" i="1"/>
  <c r="AB66" i="1"/>
  <c r="Z66" i="1"/>
  <c r="X66" i="1"/>
  <c r="V66" i="1"/>
  <c r="T66" i="1"/>
  <c r="R66" i="1"/>
  <c r="P66" i="1"/>
  <c r="N66" i="1"/>
  <c r="L66" i="1"/>
  <c r="J66" i="1"/>
  <c r="H66" i="1"/>
  <c r="F66" i="1"/>
  <c r="EB65" i="1"/>
  <c r="DZ65" i="1"/>
  <c r="DX65" i="1"/>
  <c r="DV65" i="1"/>
  <c r="DT65" i="1"/>
  <c r="DR65" i="1"/>
  <c r="DP65" i="1"/>
  <c r="DN65" i="1"/>
  <c r="DL65" i="1"/>
  <c r="DJ65" i="1"/>
  <c r="DH65" i="1"/>
  <c r="DF65" i="1"/>
  <c r="DB65" i="1"/>
  <c r="CZ65" i="1"/>
  <c r="CX65" i="1"/>
  <c r="CV65" i="1"/>
  <c r="CT65" i="1"/>
  <c r="CR65" i="1"/>
  <c r="CP65" i="1"/>
  <c r="CN65" i="1"/>
  <c r="CL65" i="1"/>
  <c r="CJ65" i="1"/>
  <c r="CH65" i="1"/>
  <c r="CF65" i="1"/>
  <c r="CB65" i="1"/>
  <c r="BZ65" i="1"/>
  <c r="BX65" i="1"/>
  <c r="BV65" i="1"/>
  <c r="BT65" i="1"/>
  <c r="BR65" i="1"/>
  <c r="BP65" i="1"/>
  <c r="BN65" i="1"/>
  <c r="BL65" i="1"/>
  <c r="BJ65" i="1"/>
  <c r="BH65" i="1"/>
  <c r="BF65" i="1"/>
  <c r="BB65" i="1"/>
  <c r="AZ65" i="1"/>
  <c r="AX65" i="1"/>
  <c r="AV65" i="1"/>
  <c r="AT65" i="1"/>
  <c r="AR65" i="1"/>
  <c r="AP65" i="1"/>
  <c r="AN65" i="1"/>
  <c r="AL65" i="1"/>
  <c r="AJ65" i="1"/>
  <c r="AH65" i="1"/>
  <c r="AF65" i="1"/>
  <c r="AB65" i="1"/>
  <c r="Z65" i="1"/>
  <c r="X65" i="1"/>
  <c r="V65" i="1"/>
  <c r="T65" i="1"/>
  <c r="R65" i="1"/>
  <c r="EE65" i="1" s="1"/>
  <c r="P65" i="1"/>
  <c r="N65" i="1"/>
  <c r="L65" i="1"/>
  <c r="J65" i="1"/>
  <c r="H65" i="1"/>
  <c r="F65" i="1"/>
  <c r="EB64" i="1"/>
  <c r="DZ64" i="1"/>
  <c r="DX64" i="1"/>
  <c r="DV64" i="1"/>
  <c r="DT64" i="1"/>
  <c r="DR64" i="1"/>
  <c r="DP64" i="1"/>
  <c r="DN64" i="1"/>
  <c r="DL64" i="1"/>
  <c r="DJ64" i="1"/>
  <c r="DH64" i="1"/>
  <c r="DF64" i="1"/>
  <c r="DB64" i="1"/>
  <c r="CZ64" i="1"/>
  <c r="CX64" i="1"/>
  <c r="CV64" i="1"/>
  <c r="CT64" i="1"/>
  <c r="CR64" i="1"/>
  <c r="CP64" i="1"/>
  <c r="CN64" i="1"/>
  <c r="CL64" i="1"/>
  <c r="CJ64" i="1"/>
  <c r="CH64" i="1"/>
  <c r="CF64" i="1"/>
  <c r="CD64" i="1"/>
  <c r="N299" i="2" s="1"/>
  <c r="CB64" i="1"/>
  <c r="BZ64" i="1"/>
  <c r="BX64" i="1"/>
  <c r="BV64" i="1"/>
  <c r="BT64" i="1"/>
  <c r="BR64" i="1"/>
  <c r="BP64" i="1"/>
  <c r="BN64" i="1"/>
  <c r="BL64" i="1"/>
  <c r="BJ64" i="1"/>
  <c r="BH64" i="1"/>
  <c r="BF64" i="1"/>
  <c r="BB64" i="1"/>
  <c r="AZ64" i="1"/>
  <c r="AX64" i="1"/>
  <c r="AV64" i="1"/>
  <c r="AT64" i="1"/>
  <c r="AR64" i="1"/>
  <c r="AP64" i="1"/>
  <c r="AN64" i="1"/>
  <c r="AL64" i="1"/>
  <c r="AJ64" i="1"/>
  <c r="AH64" i="1"/>
  <c r="AF64" i="1"/>
  <c r="AD64" i="1"/>
  <c r="N297" i="2" s="1"/>
  <c r="AB64" i="1"/>
  <c r="Z64" i="1"/>
  <c r="X64" i="1"/>
  <c r="V64" i="1"/>
  <c r="T64" i="1"/>
  <c r="R64" i="1"/>
  <c r="P64" i="1"/>
  <c r="N64" i="1"/>
  <c r="L64" i="1"/>
  <c r="J64" i="1"/>
  <c r="H64" i="1"/>
  <c r="F64" i="1"/>
  <c r="EB63" i="1"/>
  <c r="DZ63" i="1"/>
  <c r="DX63" i="1"/>
  <c r="DV63" i="1"/>
  <c r="DT63" i="1"/>
  <c r="DR63" i="1"/>
  <c r="DP63" i="1"/>
  <c r="DN63" i="1"/>
  <c r="DL63" i="1"/>
  <c r="DJ63" i="1"/>
  <c r="DH63" i="1"/>
  <c r="DF63" i="1"/>
  <c r="DB63" i="1"/>
  <c r="CZ63" i="1"/>
  <c r="CX63" i="1"/>
  <c r="CV63" i="1"/>
  <c r="CT63" i="1"/>
  <c r="CR63" i="1"/>
  <c r="CP63" i="1"/>
  <c r="CN63" i="1"/>
  <c r="CL63" i="1"/>
  <c r="CJ63" i="1"/>
  <c r="CH63" i="1"/>
  <c r="CF63" i="1"/>
  <c r="CB63" i="1"/>
  <c r="BZ63" i="1"/>
  <c r="BX63" i="1"/>
  <c r="BV63" i="1"/>
  <c r="BT63" i="1"/>
  <c r="BR63" i="1"/>
  <c r="BP63" i="1"/>
  <c r="BN63" i="1"/>
  <c r="BL63" i="1"/>
  <c r="BJ63" i="1"/>
  <c r="BH63" i="1"/>
  <c r="BF63" i="1"/>
  <c r="BB63" i="1"/>
  <c r="AZ63" i="1"/>
  <c r="AX63" i="1"/>
  <c r="AV63" i="1"/>
  <c r="AT63" i="1"/>
  <c r="AR63" i="1"/>
  <c r="AP63" i="1"/>
  <c r="AN63" i="1"/>
  <c r="AL63" i="1"/>
  <c r="AJ63" i="1"/>
  <c r="AH63" i="1"/>
  <c r="AF63" i="1"/>
  <c r="AB63" i="1"/>
  <c r="Z63" i="1"/>
  <c r="X63" i="1"/>
  <c r="V63" i="1"/>
  <c r="T63" i="1"/>
  <c r="R63" i="1"/>
  <c r="P63" i="1"/>
  <c r="N63" i="1"/>
  <c r="AC63" i="1" s="1"/>
  <c r="I292" i="2" s="1"/>
  <c r="L292" i="2" s="1"/>
  <c r="L63" i="1"/>
  <c r="J63" i="1"/>
  <c r="H63" i="1"/>
  <c r="F63" i="1"/>
  <c r="EB62" i="1"/>
  <c r="DZ62" i="1"/>
  <c r="DX62" i="1"/>
  <c r="DV62" i="1"/>
  <c r="DT62" i="1"/>
  <c r="DR62" i="1"/>
  <c r="DP62" i="1"/>
  <c r="DN62" i="1"/>
  <c r="DL62" i="1"/>
  <c r="DJ62" i="1"/>
  <c r="DH62" i="1"/>
  <c r="DF62" i="1"/>
  <c r="DD62" i="1"/>
  <c r="N290" i="2" s="1"/>
  <c r="DB62" i="1"/>
  <c r="CZ62" i="1"/>
  <c r="CX62" i="1"/>
  <c r="CV62" i="1"/>
  <c r="CT62" i="1"/>
  <c r="CR62" i="1"/>
  <c r="CP62" i="1"/>
  <c r="CN62" i="1"/>
  <c r="CL62" i="1"/>
  <c r="CJ62" i="1"/>
  <c r="CH62" i="1"/>
  <c r="CF62" i="1"/>
  <c r="CB62" i="1"/>
  <c r="BZ62" i="1"/>
  <c r="BX62" i="1"/>
  <c r="BV62" i="1"/>
  <c r="BT62" i="1"/>
  <c r="BR62" i="1"/>
  <c r="BP62" i="1"/>
  <c r="BN62" i="1"/>
  <c r="BL62" i="1"/>
  <c r="BJ62" i="1"/>
  <c r="BH62" i="1"/>
  <c r="BF62" i="1"/>
  <c r="BD62" i="1"/>
  <c r="N288" i="2" s="1"/>
  <c r="BB62" i="1"/>
  <c r="AZ62" i="1"/>
  <c r="AX62" i="1"/>
  <c r="AV62" i="1"/>
  <c r="AT62" i="1"/>
  <c r="AR62" i="1"/>
  <c r="AP62" i="1"/>
  <c r="AN62" i="1"/>
  <c r="AL62" i="1"/>
  <c r="AJ62" i="1"/>
  <c r="AH62" i="1"/>
  <c r="AF62" i="1"/>
  <c r="AB62" i="1"/>
  <c r="Z62" i="1"/>
  <c r="X62" i="1"/>
  <c r="V62" i="1"/>
  <c r="T62" i="1"/>
  <c r="R62" i="1"/>
  <c r="P62" i="1"/>
  <c r="N62" i="1"/>
  <c r="L62" i="1"/>
  <c r="J62" i="1"/>
  <c r="H62" i="1"/>
  <c r="F62" i="1"/>
  <c r="EE62" i="1" s="1"/>
  <c r="EB61" i="1"/>
  <c r="DZ61" i="1"/>
  <c r="DX61" i="1"/>
  <c r="DV61" i="1"/>
  <c r="DT61" i="1"/>
  <c r="DR61" i="1"/>
  <c r="DP61" i="1"/>
  <c r="DN61" i="1"/>
  <c r="DL61" i="1"/>
  <c r="DJ61" i="1"/>
  <c r="DH61" i="1"/>
  <c r="DF61" i="1"/>
  <c r="DB61" i="1"/>
  <c r="CZ61" i="1"/>
  <c r="CX61" i="1"/>
  <c r="CV61" i="1"/>
  <c r="CT61" i="1"/>
  <c r="CR61" i="1"/>
  <c r="CP61" i="1"/>
  <c r="CN61" i="1"/>
  <c r="DC61" i="1" s="1"/>
  <c r="I285" i="2" s="1"/>
  <c r="L285" i="2" s="1"/>
  <c r="CL61" i="1"/>
  <c r="CJ61" i="1"/>
  <c r="CH61" i="1"/>
  <c r="CF61" i="1"/>
  <c r="CB61" i="1"/>
  <c r="BZ61" i="1"/>
  <c r="BX61" i="1"/>
  <c r="BV61" i="1"/>
  <c r="BT61" i="1"/>
  <c r="BR61" i="1"/>
  <c r="BP61" i="1"/>
  <c r="BN61" i="1"/>
  <c r="BL61" i="1"/>
  <c r="BJ61" i="1"/>
  <c r="BH61" i="1"/>
  <c r="BF61" i="1"/>
  <c r="BB61" i="1"/>
  <c r="AZ61" i="1"/>
  <c r="AX61" i="1"/>
  <c r="AV61" i="1"/>
  <c r="AT61" i="1"/>
  <c r="AR61" i="1"/>
  <c r="AP61" i="1"/>
  <c r="AN61" i="1"/>
  <c r="BC61" i="1" s="1"/>
  <c r="I283" i="2" s="1"/>
  <c r="L283" i="2" s="1"/>
  <c r="AL61" i="1"/>
  <c r="AJ61" i="1"/>
  <c r="AH61" i="1"/>
  <c r="AF61" i="1"/>
  <c r="AB61" i="1"/>
  <c r="Z61" i="1"/>
  <c r="X61" i="1"/>
  <c r="V61" i="1"/>
  <c r="T61" i="1"/>
  <c r="R61" i="1"/>
  <c r="EE61" i="1" s="1"/>
  <c r="P61" i="1"/>
  <c r="N61" i="1"/>
  <c r="L61" i="1"/>
  <c r="J61" i="1"/>
  <c r="H61" i="1"/>
  <c r="F61" i="1"/>
  <c r="AD61" i="1" s="1"/>
  <c r="N282" i="2" s="1"/>
  <c r="ED60" i="1"/>
  <c r="N281" i="2" s="1"/>
  <c r="EB60" i="1"/>
  <c r="DZ60" i="1"/>
  <c r="DX60" i="1"/>
  <c r="DV60" i="1"/>
  <c r="DT60" i="1"/>
  <c r="DR60" i="1"/>
  <c r="DP60" i="1"/>
  <c r="DN60" i="1"/>
  <c r="DL60" i="1"/>
  <c r="DJ60" i="1"/>
  <c r="DH60" i="1"/>
  <c r="DF60" i="1"/>
  <c r="DB60" i="1"/>
  <c r="CZ60" i="1"/>
  <c r="CX60" i="1"/>
  <c r="CV60" i="1"/>
  <c r="CT60" i="1"/>
  <c r="CR60" i="1"/>
  <c r="CP60" i="1"/>
  <c r="CN60" i="1"/>
  <c r="CL60" i="1"/>
  <c r="CJ60" i="1"/>
  <c r="CH60" i="1"/>
  <c r="CF60" i="1"/>
  <c r="CB60" i="1"/>
  <c r="BZ60" i="1"/>
  <c r="BX60" i="1"/>
  <c r="BV60" i="1"/>
  <c r="BT60" i="1"/>
  <c r="BR60" i="1"/>
  <c r="BP60" i="1"/>
  <c r="CD60" i="1" s="1"/>
  <c r="N279" i="2" s="1"/>
  <c r="BN60" i="1"/>
  <c r="BL60" i="1"/>
  <c r="BJ60" i="1"/>
  <c r="BH60" i="1"/>
  <c r="BF60" i="1"/>
  <c r="BB60" i="1"/>
  <c r="AZ60" i="1"/>
  <c r="AX60" i="1"/>
  <c r="AV60" i="1"/>
  <c r="AT60" i="1"/>
  <c r="AR60" i="1"/>
  <c r="AP60" i="1"/>
  <c r="AN60" i="1"/>
  <c r="AL60" i="1"/>
  <c r="AJ60" i="1"/>
  <c r="AH60" i="1"/>
  <c r="AF60" i="1"/>
  <c r="AB60" i="1"/>
  <c r="Z60" i="1"/>
  <c r="X60" i="1"/>
  <c r="V60" i="1"/>
  <c r="T60" i="1"/>
  <c r="R60" i="1"/>
  <c r="P60" i="1"/>
  <c r="N60" i="1"/>
  <c r="L60" i="1"/>
  <c r="J60" i="1"/>
  <c r="H60" i="1"/>
  <c r="F60" i="1"/>
  <c r="AC60" i="1" s="1"/>
  <c r="I277" i="2" s="1"/>
  <c r="L277" i="2" s="1"/>
  <c r="EB59" i="1"/>
  <c r="DZ59" i="1"/>
  <c r="DX59" i="1"/>
  <c r="DV59" i="1"/>
  <c r="DT59" i="1"/>
  <c r="DR59" i="1"/>
  <c r="DP59" i="1"/>
  <c r="DN59" i="1"/>
  <c r="EC59" i="1" s="1"/>
  <c r="I276" i="2" s="1"/>
  <c r="L276" i="2" s="1"/>
  <c r="DL59" i="1"/>
  <c r="DJ59" i="1"/>
  <c r="DH59" i="1"/>
  <c r="DF59" i="1"/>
  <c r="DB59" i="1"/>
  <c r="CZ59" i="1"/>
  <c r="CX59" i="1"/>
  <c r="CV59" i="1"/>
  <c r="CT59" i="1"/>
  <c r="CR59" i="1"/>
  <c r="CP59" i="1"/>
  <c r="CN59" i="1"/>
  <c r="CL59" i="1"/>
  <c r="CJ59" i="1"/>
  <c r="CH59" i="1"/>
  <c r="CF59" i="1"/>
  <c r="CB59" i="1"/>
  <c r="BZ59" i="1"/>
  <c r="BX59" i="1"/>
  <c r="BV59" i="1"/>
  <c r="BT59" i="1"/>
  <c r="BR59" i="1"/>
  <c r="BP59" i="1"/>
  <c r="BN59" i="1"/>
  <c r="CC59" i="1" s="1"/>
  <c r="I274" i="2" s="1"/>
  <c r="L274" i="2" s="1"/>
  <c r="BL59" i="1"/>
  <c r="BJ59" i="1"/>
  <c r="BH59" i="1"/>
  <c r="BF59" i="1"/>
  <c r="BB59" i="1"/>
  <c r="AZ59" i="1"/>
  <c r="AX59" i="1"/>
  <c r="AV59" i="1"/>
  <c r="AT59" i="1"/>
  <c r="AR59" i="1"/>
  <c r="AP59" i="1"/>
  <c r="AN59" i="1"/>
  <c r="AL59" i="1"/>
  <c r="AJ59" i="1"/>
  <c r="AH59" i="1"/>
  <c r="AF59" i="1"/>
  <c r="BD59" i="1" s="1"/>
  <c r="N273" i="2" s="1"/>
  <c r="AB59" i="1"/>
  <c r="Z59" i="1"/>
  <c r="X59" i="1"/>
  <c r="V59" i="1"/>
  <c r="T59" i="1"/>
  <c r="R59" i="1"/>
  <c r="P59" i="1"/>
  <c r="N59" i="1"/>
  <c r="AC59" i="1" s="1"/>
  <c r="I272" i="2" s="1"/>
  <c r="L59" i="1"/>
  <c r="J59" i="1"/>
  <c r="H59" i="1"/>
  <c r="F59" i="1"/>
  <c r="EB58" i="1"/>
  <c r="DZ58" i="1"/>
  <c r="DX58" i="1"/>
  <c r="DV58" i="1"/>
  <c r="DT58" i="1"/>
  <c r="DR58" i="1"/>
  <c r="DP58" i="1"/>
  <c r="DN58" i="1"/>
  <c r="DL58" i="1"/>
  <c r="DJ58" i="1"/>
  <c r="DH58" i="1"/>
  <c r="DF58" i="1"/>
  <c r="DB58" i="1"/>
  <c r="CZ58" i="1"/>
  <c r="CX58" i="1"/>
  <c r="CV58" i="1"/>
  <c r="CT58" i="1"/>
  <c r="CR58" i="1"/>
  <c r="CP58" i="1"/>
  <c r="CN58" i="1"/>
  <c r="CL58" i="1"/>
  <c r="CJ58" i="1"/>
  <c r="CH58" i="1"/>
  <c r="CF58" i="1"/>
  <c r="CB58" i="1"/>
  <c r="BZ58" i="1"/>
  <c r="BX58" i="1"/>
  <c r="BV58" i="1"/>
  <c r="BT58" i="1"/>
  <c r="BR58" i="1"/>
  <c r="BP58" i="1"/>
  <c r="BN58" i="1"/>
  <c r="BL58" i="1"/>
  <c r="BJ58" i="1"/>
  <c r="BH58" i="1"/>
  <c r="BF58" i="1"/>
  <c r="BB58" i="1"/>
  <c r="AZ58" i="1"/>
  <c r="AX58" i="1"/>
  <c r="AV58" i="1"/>
  <c r="AT58" i="1"/>
  <c r="AR58" i="1"/>
  <c r="AP58" i="1"/>
  <c r="AN58" i="1"/>
  <c r="AL58" i="1"/>
  <c r="AJ58" i="1"/>
  <c r="AH58" i="1"/>
  <c r="BD58" i="1" s="1"/>
  <c r="N268" i="2" s="1"/>
  <c r="AF58" i="1"/>
  <c r="BC58" i="1" s="1"/>
  <c r="I268" i="2" s="1"/>
  <c r="L268" i="2" s="1"/>
  <c r="AB58" i="1"/>
  <c r="Z58" i="1"/>
  <c r="X58" i="1"/>
  <c r="V58" i="1"/>
  <c r="T58" i="1"/>
  <c r="R58" i="1"/>
  <c r="P58" i="1"/>
  <c r="N58" i="1"/>
  <c r="L58" i="1"/>
  <c r="J58" i="1"/>
  <c r="H58" i="1"/>
  <c r="F58" i="1"/>
  <c r="EB57" i="1"/>
  <c r="DZ57" i="1"/>
  <c r="DX57" i="1"/>
  <c r="DV57" i="1"/>
  <c r="DT57" i="1"/>
  <c r="DR57" i="1"/>
  <c r="DP57" i="1"/>
  <c r="DN57" i="1"/>
  <c r="DL57" i="1"/>
  <c r="DJ57" i="1"/>
  <c r="DH57" i="1"/>
  <c r="DF57" i="1"/>
  <c r="DB57" i="1"/>
  <c r="CZ57" i="1"/>
  <c r="CX57" i="1"/>
  <c r="CV57" i="1"/>
  <c r="CT57" i="1"/>
  <c r="CR57" i="1"/>
  <c r="CP57" i="1"/>
  <c r="CN57" i="1"/>
  <c r="DC57" i="1" s="1"/>
  <c r="I265" i="2" s="1"/>
  <c r="L265" i="2" s="1"/>
  <c r="CL57" i="1"/>
  <c r="CJ57" i="1"/>
  <c r="CH57" i="1"/>
  <c r="CF57" i="1"/>
  <c r="CB57" i="1"/>
  <c r="BZ57" i="1"/>
  <c r="BX57" i="1"/>
  <c r="BV57" i="1"/>
  <c r="BT57" i="1"/>
  <c r="BR57" i="1"/>
  <c r="BP57" i="1"/>
  <c r="BN57" i="1"/>
  <c r="BL57" i="1"/>
  <c r="BJ57" i="1"/>
  <c r="BH57" i="1"/>
  <c r="BF57" i="1"/>
  <c r="BB57" i="1"/>
  <c r="AZ57" i="1"/>
  <c r="AX57" i="1"/>
  <c r="AV57" i="1"/>
  <c r="AT57" i="1"/>
  <c r="AR57" i="1"/>
  <c r="AP57" i="1"/>
  <c r="AN57" i="1"/>
  <c r="AL57" i="1"/>
  <c r="AJ57" i="1"/>
  <c r="AH57" i="1"/>
  <c r="AF57" i="1"/>
  <c r="AB57" i="1"/>
  <c r="Z57" i="1"/>
  <c r="X57" i="1"/>
  <c r="V57" i="1"/>
  <c r="T57" i="1"/>
  <c r="R57" i="1"/>
  <c r="P57" i="1"/>
  <c r="N57" i="1"/>
  <c r="L57" i="1"/>
  <c r="J57" i="1"/>
  <c r="H57" i="1"/>
  <c r="F57" i="1"/>
  <c r="EB56" i="1"/>
  <c r="DZ56" i="1"/>
  <c r="DX56" i="1"/>
  <c r="DV56" i="1"/>
  <c r="DT56" i="1"/>
  <c r="DR56" i="1"/>
  <c r="DP56" i="1"/>
  <c r="DN56" i="1"/>
  <c r="DL56" i="1"/>
  <c r="DJ56" i="1"/>
  <c r="DH56" i="1"/>
  <c r="EC56" i="1" s="1"/>
  <c r="I261" i="2" s="1"/>
  <c r="L261" i="2" s="1"/>
  <c r="DF56" i="1"/>
  <c r="DB56" i="1"/>
  <c r="CZ56" i="1"/>
  <c r="CX56" i="1"/>
  <c r="CV56" i="1"/>
  <c r="CT56" i="1"/>
  <c r="CR56" i="1"/>
  <c r="CP56" i="1"/>
  <c r="CN56" i="1"/>
  <c r="CL56" i="1"/>
  <c r="CJ56" i="1"/>
  <c r="CH56" i="1"/>
  <c r="CF56" i="1"/>
  <c r="CB56" i="1"/>
  <c r="BZ56" i="1"/>
  <c r="BX56" i="1"/>
  <c r="BV56" i="1"/>
  <c r="BT56" i="1"/>
  <c r="BR56" i="1"/>
  <c r="BP56" i="1"/>
  <c r="BN56" i="1"/>
  <c r="BL56" i="1"/>
  <c r="BJ56" i="1"/>
  <c r="BH56" i="1"/>
  <c r="CD56" i="1" s="1"/>
  <c r="N259" i="2" s="1"/>
  <c r="BF56" i="1"/>
  <c r="CC56" i="1" s="1"/>
  <c r="I259" i="2" s="1"/>
  <c r="L259" i="2" s="1"/>
  <c r="BB56" i="1"/>
  <c r="AZ56" i="1"/>
  <c r="AX56" i="1"/>
  <c r="AV56" i="1"/>
  <c r="AT56" i="1"/>
  <c r="AR56" i="1"/>
  <c r="AP56" i="1"/>
  <c r="AN56" i="1"/>
  <c r="AL56" i="1"/>
  <c r="AJ56" i="1"/>
  <c r="AH56" i="1"/>
  <c r="AF56" i="1"/>
  <c r="AB56" i="1"/>
  <c r="Z56" i="1"/>
  <c r="X56" i="1"/>
  <c r="V56" i="1"/>
  <c r="T56" i="1"/>
  <c r="R56" i="1"/>
  <c r="P56" i="1"/>
  <c r="N56" i="1"/>
  <c r="L56" i="1"/>
  <c r="J56" i="1"/>
  <c r="H56" i="1"/>
  <c r="F56" i="1"/>
  <c r="EB55" i="1"/>
  <c r="DZ55" i="1"/>
  <c r="DX55" i="1"/>
  <c r="DV55" i="1"/>
  <c r="DT55" i="1"/>
  <c r="DR55" i="1"/>
  <c r="DP55" i="1"/>
  <c r="DN55" i="1"/>
  <c r="DL55" i="1"/>
  <c r="DJ55" i="1"/>
  <c r="DH55" i="1"/>
  <c r="DF55" i="1"/>
  <c r="DB55" i="1"/>
  <c r="CZ55" i="1"/>
  <c r="CX55" i="1"/>
  <c r="CV55" i="1"/>
  <c r="CT55" i="1"/>
  <c r="CR55" i="1"/>
  <c r="CP55" i="1"/>
  <c r="CN55" i="1"/>
  <c r="CL55" i="1"/>
  <c r="CJ55" i="1"/>
  <c r="CH55" i="1"/>
  <c r="CF55" i="1"/>
  <c r="CB55" i="1"/>
  <c r="BZ55" i="1"/>
  <c r="BX55" i="1"/>
  <c r="BV55" i="1"/>
  <c r="BT55" i="1"/>
  <c r="BR55" i="1"/>
  <c r="BP55" i="1"/>
  <c r="BN55" i="1"/>
  <c r="BL55" i="1"/>
  <c r="BJ55" i="1"/>
  <c r="BH55" i="1"/>
  <c r="BF55" i="1"/>
  <c r="BB55" i="1"/>
  <c r="AZ55" i="1"/>
  <c r="AX55" i="1"/>
  <c r="AV55" i="1"/>
  <c r="AT55" i="1"/>
  <c r="AR55" i="1"/>
  <c r="AP55" i="1"/>
  <c r="AN55" i="1"/>
  <c r="AL55" i="1"/>
  <c r="AJ55" i="1"/>
  <c r="AH55" i="1"/>
  <c r="AF55" i="1"/>
  <c r="AB55" i="1"/>
  <c r="Z55" i="1"/>
  <c r="X55" i="1"/>
  <c r="V55" i="1"/>
  <c r="T55" i="1"/>
  <c r="R55" i="1"/>
  <c r="P55" i="1"/>
  <c r="N55" i="1"/>
  <c r="L55" i="1"/>
  <c r="J55" i="1"/>
  <c r="H55" i="1"/>
  <c r="F55" i="1"/>
  <c r="EB54" i="1"/>
  <c r="DZ54" i="1"/>
  <c r="DX54" i="1"/>
  <c r="DV54" i="1"/>
  <c r="DT54" i="1"/>
  <c r="DR54" i="1"/>
  <c r="DP54" i="1"/>
  <c r="DN54" i="1"/>
  <c r="DL54" i="1"/>
  <c r="DJ54" i="1"/>
  <c r="DH54" i="1"/>
  <c r="DF54" i="1"/>
  <c r="DB54" i="1"/>
  <c r="CZ54" i="1"/>
  <c r="CX54" i="1"/>
  <c r="CV54" i="1"/>
  <c r="CT54" i="1"/>
  <c r="CR54" i="1"/>
  <c r="CP54" i="1"/>
  <c r="CN54" i="1"/>
  <c r="CL54" i="1"/>
  <c r="CJ54" i="1"/>
  <c r="CH54" i="1"/>
  <c r="DD54" i="1" s="1"/>
  <c r="N250" i="2" s="1"/>
  <c r="CF54" i="1"/>
  <c r="CB54" i="1"/>
  <c r="BZ54" i="1"/>
  <c r="BX54" i="1"/>
  <c r="BV54" i="1"/>
  <c r="BT54" i="1"/>
  <c r="BR54" i="1"/>
  <c r="BP54" i="1"/>
  <c r="BN54" i="1"/>
  <c r="BL54" i="1"/>
  <c r="BJ54" i="1"/>
  <c r="BH54" i="1"/>
  <c r="BF54" i="1"/>
  <c r="BD54" i="1"/>
  <c r="N248" i="2" s="1"/>
  <c r="BB54" i="1"/>
  <c r="AZ54" i="1"/>
  <c r="AX54" i="1"/>
  <c r="AV54" i="1"/>
  <c r="AT54" i="1"/>
  <c r="AR54" i="1"/>
  <c r="AP54" i="1"/>
  <c r="AN54" i="1"/>
  <c r="AL54" i="1"/>
  <c r="AJ54" i="1"/>
  <c r="AH54" i="1"/>
  <c r="BC54" i="1" s="1"/>
  <c r="I248" i="2" s="1"/>
  <c r="L248" i="2" s="1"/>
  <c r="AF54" i="1"/>
  <c r="AB54" i="1"/>
  <c r="Z54" i="1"/>
  <c r="X54" i="1"/>
  <c r="V54" i="1"/>
  <c r="T54" i="1"/>
  <c r="R54" i="1"/>
  <c r="P54" i="1"/>
  <c r="N54" i="1"/>
  <c r="L54" i="1"/>
  <c r="J54" i="1"/>
  <c r="H54" i="1"/>
  <c r="F54" i="1"/>
  <c r="EB53" i="1"/>
  <c r="DZ53" i="1"/>
  <c r="DX53" i="1"/>
  <c r="DV53" i="1"/>
  <c r="DT53" i="1"/>
  <c r="DR53" i="1"/>
  <c r="DP53" i="1"/>
  <c r="DN53" i="1"/>
  <c r="DL53" i="1"/>
  <c r="DJ53" i="1"/>
  <c r="DH53" i="1"/>
  <c r="DF53" i="1"/>
  <c r="ED53" i="1" s="1"/>
  <c r="N246" i="2" s="1"/>
  <c r="DB53" i="1"/>
  <c r="CZ53" i="1"/>
  <c r="CX53" i="1"/>
  <c r="CV53" i="1"/>
  <c r="CT53" i="1"/>
  <c r="CR53" i="1"/>
  <c r="CP53" i="1"/>
  <c r="CN53" i="1"/>
  <c r="CL53" i="1"/>
  <c r="CJ53" i="1"/>
  <c r="CH53" i="1"/>
  <c r="CF53" i="1"/>
  <c r="CB53" i="1"/>
  <c r="BZ53" i="1"/>
  <c r="BX53" i="1"/>
  <c r="BV53" i="1"/>
  <c r="BT53" i="1"/>
  <c r="BR53" i="1"/>
  <c r="BP53" i="1"/>
  <c r="BN53" i="1"/>
  <c r="BL53" i="1"/>
  <c r="BJ53" i="1"/>
  <c r="BH53" i="1"/>
  <c r="BF53" i="1"/>
  <c r="BB53" i="1"/>
  <c r="AZ53" i="1"/>
  <c r="AX53" i="1"/>
  <c r="AV53" i="1"/>
  <c r="AT53" i="1"/>
  <c r="AR53" i="1"/>
  <c r="AP53" i="1"/>
  <c r="AN53" i="1"/>
  <c r="AL53" i="1"/>
  <c r="AJ53" i="1"/>
  <c r="AH53" i="1"/>
  <c r="AF53" i="1"/>
  <c r="AB53" i="1"/>
  <c r="Z53" i="1"/>
  <c r="X53" i="1"/>
  <c r="V53" i="1"/>
  <c r="T53" i="1"/>
  <c r="R53" i="1"/>
  <c r="EE53" i="1" s="1"/>
  <c r="P53" i="1"/>
  <c r="N53" i="1"/>
  <c r="L53" i="1"/>
  <c r="J53" i="1"/>
  <c r="H53" i="1"/>
  <c r="F53" i="1"/>
  <c r="ED52" i="1"/>
  <c r="N241" i="2" s="1"/>
  <c r="EB52" i="1"/>
  <c r="DZ52" i="1"/>
  <c r="DX52" i="1"/>
  <c r="DV52" i="1"/>
  <c r="DT52" i="1"/>
  <c r="DR52" i="1"/>
  <c r="DP52" i="1"/>
  <c r="DN52" i="1"/>
  <c r="DL52" i="1"/>
  <c r="DJ52" i="1"/>
  <c r="DH52" i="1"/>
  <c r="DF52" i="1"/>
  <c r="DB52" i="1"/>
  <c r="CZ52" i="1"/>
  <c r="CX52" i="1"/>
  <c r="CV52" i="1"/>
  <c r="CT52" i="1"/>
  <c r="CR52" i="1"/>
  <c r="CP52" i="1"/>
  <c r="CN52" i="1"/>
  <c r="CL52" i="1"/>
  <c r="CJ52" i="1"/>
  <c r="CH52" i="1"/>
  <c r="CF52" i="1"/>
  <c r="CD52" i="1"/>
  <c r="N239" i="2" s="1"/>
  <c r="CB52" i="1"/>
  <c r="BZ52" i="1"/>
  <c r="BX52" i="1"/>
  <c r="BV52" i="1"/>
  <c r="BT52" i="1"/>
  <c r="BR52" i="1"/>
  <c r="BP52" i="1"/>
  <c r="BN52" i="1"/>
  <c r="BL52" i="1"/>
  <c r="BJ52" i="1"/>
  <c r="BH52" i="1"/>
  <c r="BF52" i="1"/>
  <c r="BB52" i="1"/>
  <c r="AZ52" i="1"/>
  <c r="AX52" i="1"/>
  <c r="AV52" i="1"/>
  <c r="AT52" i="1"/>
  <c r="AR52" i="1"/>
  <c r="AP52" i="1"/>
  <c r="AN52" i="1"/>
  <c r="AL52" i="1"/>
  <c r="AJ52" i="1"/>
  <c r="AH52" i="1"/>
  <c r="AF52" i="1"/>
  <c r="AD52" i="1"/>
  <c r="N237" i="2" s="1"/>
  <c r="AB52" i="1"/>
  <c r="Z52" i="1"/>
  <c r="X52" i="1"/>
  <c r="V52" i="1"/>
  <c r="T52" i="1"/>
  <c r="R52" i="1"/>
  <c r="P52" i="1"/>
  <c r="N52" i="1"/>
  <c r="L52" i="1"/>
  <c r="J52" i="1"/>
  <c r="H52" i="1"/>
  <c r="F52" i="1"/>
  <c r="EB51" i="1"/>
  <c r="DZ51" i="1"/>
  <c r="DX51" i="1"/>
  <c r="DV51" i="1"/>
  <c r="DT51" i="1"/>
  <c r="DR51" i="1"/>
  <c r="DP51" i="1"/>
  <c r="DN51" i="1"/>
  <c r="DL51" i="1"/>
  <c r="DJ51" i="1"/>
  <c r="DH51" i="1"/>
  <c r="DF51" i="1"/>
  <c r="DB51" i="1"/>
  <c r="CZ51" i="1"/>
  <c r="CX51" i="1"/>
  <c r="CV51" i="1"/>
  <c r="CT51" i="1"/>
  <c r="CR51" i="1"/>
  <c r="CP51" i="1"/>
  <c r="CN51" i="1"/>
  <c r="CL51" i="1"/>
  <c r="CJ51" i="1"/>
  <c r="CH51" i="1"/>
  <c r="CF51" i="1"/>
  <c r="CB51" i="1"/>
  <c r="BZ51" i="1"/>
  <c r="BX51" i="1"/>
  <c r="BV51" i="1"/>
  <c r="BT51" i="1"/>
  <c r="BR51" i="1"/>
  <c r="BP51" i="1"/>
  <c r="BN51" i="1"/>
  <c r="CC51" i="1" s="1"/>
  <c r="I234" i="2" s="1"/>
  <c r="L234" i="2" s="1"/>
  <c r="BL51" i="1"/>
  <c r="BJ51" i="1"/>
  <c r="BH51" i="1"/>
  <c r="BF51" i="1"/>
  <c r="BB51" i="1"/>
  <c r="AZ51" i="1"/>
  <c r="AX51" i="1"/>
  <c r="AV51" i="1"/>
  <c r="AT51" i="1"/>
  <c r="AR51" i="1"/>
  <c r="AP51" i="1"/>
  <c r="AN51" i="1"/>
  <c r="AL51" i="1"/>
  <c r="AJ51" i="1"/>
  <c r="AH51" i="1"/>
  <c r="AF51" i="1"/>
  <c r="AB51" i="1"/>
  <c r="Z51" i="1"/>
  <c r="X51" i="1"/>
  <c r="V51" i="1"/>
  <c r="T51" i="1"/>
  <c r="R51" i="1"/>
  <c r="P51" i="1"/>
  <c r="N51" i="1"/>
  <c r="AC51" i="1" s="1"/>
  <c r="I232" i="2" s="1"/>
  <c r="L232" i="2" s="1"/>
  <c r="L51" i="1"/>
  <c r="J51" i="1"/>
  <c r="H51" i="1"/>
  <c r="F51" i="1"/>
  <c r="EB50" i="1"/>
  <c r="DZ50" i="1"/>
  <c r="DX50" i="1"/>
  <c r="DV50" i="1"/>
  <c r="DT50" i="1"/>
  <c r="DR50" i="1"/>
  <c r="DP50" i="1"/>
  <c r="DN50" i="1"/>
  <c r="DL50" i="1"/>
  <c r="DJ50" i="1"/>
  <c r="DH50" i="1"/>
  <c r="DF50" i="1"/>
  <c r="DD50" i="1"/>
  <c r="N230" i="2" s="1"/>
  <c r="DB50" i="1"/>
  <c r="CZ50" i="1"/>
  <c r="CX50" i="1"/>
  <c r="CV50" i="1"/>
  <c r="CT50" i="1"/>
  <c r="CR50" i="1"/>
  <c r="CP50" i="1"/>
  <c r="CN50" i="1"/>
  <c r="CL50" i="1"/>
  <c r="CJ50" i="1"/>
  <c r="CH50" i="1"/>
  <c r="CF50" i="1"/>
  <c r="CB50" i="1"/>
  <c r="BZ50" i="1"/>
  <c r="BX50" i="1"/>
  <c r="BV50" i="1"/>
  <c r="BT50" i="1"/>
  <c r="BR50" i="1"/>
  <c r="BP50" i="1"/>
  <c r="BN50" i="1"/>
  <c r="BL50" i="1"/>
  <c r="BJ50" i="1"/>
  <c r="BH50" i="1"/>
  <c r="BF50" i="1"/>
  <c r="BB50" i="1"/>
  <c r="AZ50" i="1"/>
  <c r="AX50" i="1"/>
  <c r="AV50" i="1"/>
  <c r="AT50" i="1"/>
  <c r="AR50" i="1"/>
  <c r="AP50" i="1"/>
  <c r="BD50" i="1" s="1"/>
  <c r="N228" i="2" s="1"/>
  <c r="AN50" i="1"/>
  <c r="AL50" i="1"/>
  <c r="AJ50" i="1"/>
  <c r="AH50" i="1"/>
  <c r="AF50" i="1"/>
  <c r="AB50" i="1"/>
  <c r="Z50" i="1"/>
  <c r="X50" i="1"/>
  <c r="V50" i="1"/>
  <c r="T50" i="1"/>
  <c r="R50" i="1"/>
  <c r="P50" i="1"/>
  <c r="N50" i="1"/>
  <c r="L50" i="1"/>
  <c r="J50" i="1"/>
  <c r="H50" i="1"/>
  <c r="F50" i="1"/>
  <c r="EB49" i="1"/>
  <c r="DZ49" i="1"/>
  <c r="DX49" i="1"/>
  <c r="DV49" i="1"/>
  <c r="DT49" i="1"/>
  <c r="DR49" i="1"/>
  <c r="DP49" i="1"/>
  <c r="DN49" i="1"/>
  <c r="DL49" i="1"/>
  <c r="DJ49" i="1"/>
  <c r="DH49" i="1"/>
  <c r="DF49" i="1"/>
  <c r="DB49" i="1"/>
  <c r="CZ49" i="1"/>
  <c r="CX49" i="1"/>
  <c r="CV49" i="1"/>
  <c r="CT49" i="1"/>
  <c r="CR49" i="1"/>
  <c r="CP49" i="1"/>
  <c r="CN49" i="1"/>
  <c r="DC49" i="1" s="1"/>
  <c r="I225" i="2" s="1"/>
  <c r="L225" i="2" s="1"/>
  <c r="CL49" i="1"/>
  <c r="CJ49" i="1"/>
  <c r="CH49" i="1"/>
  <c r="CF49" i="1"/>
  <c r="CB49" i="1"/>
  <c r="BZ49" i="1"/>
  <c r="BX49" i="1"/>
  <c r="BV49" i="1"/>
  <c r="BT49" i="1"/>
  <c r="BR49" i="1"/>
  <c r="BP49" i="1"/>
  <c r="BN49" i="1"/>
  <c r="BL49" i="1"/>
  <c r="BJ49" i="1"/>
  <c r="BH49" i="1"/>
  <c r="BF49" i="1"/>
  <c r="CD49" i="1" s="1"/>
  <c r="N224" i="2" s="1"/>
  <c r="BB49" i="1"/>
  <c r="AZ49" i="1"/>
  <c r="AX49" i="1"/>
  <c r="AV49" i="1"/>
  <c r="AT49" i="1"/>
  <c r="AR49" i="1"/>
  <c r="AP49" i="1"/>
  <c r="AN49" i="1"/>
  <c r="BC49" i="1" s="1"/>
  <c r="I223" i="2" s="1"/>
  <c r="L223" i="2" s="1"/>
  <c r="AL49" i="1"/>
  <c r="AJ49" i="1"/>
  <c r="AH49" i="1"/>
  <c r="AF49" i="1"/>
  <c r="AB49" i="1"/>
  <c r="Z49" i="1"/>
  <c r="X49" i="1"/>
  <c r="V49" i="1"/>
  <c r="T49" i="1"/>
  <c r="R49" i="1"/>
  <c r="P49" i="1"/>
  <c r="N49" i="1"/>
  <c r="L49" i="1"/>
  <c r="J49" i="1"/>
  <c r="AC49" i="1" s="1"/>
  <c r="I222" i="2" s="1"/>
  <c r="L222" i="2" s="1"/>
  <c r="H49" i="1"/>
  <c r="F49" i="1"/>
  <c r="AD49" i="1" s="1"/>
  <c r="N222" i="2" s="1"/>
  <c r="EB48" i="1"/>
  <c r="DZ48" i="1"/>
  <c r="DX48" i="1"/>
  <c r="DV48" i="1"/>
  <c r="DT48" i="1"/>
  <c r="DR48" i="1"/>
  <c r="DP48" i="1"/>
  <c r="ED48" i="1" s="1"/>
  <c r="N221" i="2" s="1"/>
  <c r="DN48" i="1"/>
  <c r="DL48" i="1"/>
  <c r="DJ48" i="1"/>
  <c r="DH48" i="1"/>
  <c r="DF48" i="1"/>
  <c r="DB48" i="1"/>
  <c r="CZ48" i="1"/>
  <c r="CX48" i="1"/>
  <c r="CV48" i="1"/>
  <c r="CT48" i="1"/>
  <c r="CR48" i="1"/>
  <c r="CP48" i="1"/>
  <c r="CN48" i="1"/>
  <c r="CL48" i="1"/>
  <c r="CJ48" i="1"/>
  <c r="CH48" i="1"/>
  <c r="CF48" i="1"/>
  <c r="CB48" i="1"/>
  <c r="BZ48" i="1"/>
  <c r="BX48" i="1"/>
  <c r="BV48" i="1"/>
  <c r="BT48" i="1"/>
  <c r="BR48" i="1"/>
  <c r="BP48" i="1"/>
  <c r="BN48" i="1"/>
  <c r="BL48" i="1"/>
  <c r="BJ48" i="1"/>
  <c r="BH48" i="1"/>
  <c r="BF48" i="1"/>
  <c r="BB48" i="1"/>
  <c r="AZ48" i="1"/>
  <c r="AX48" i="1"/>
  <c r="AV48" i="1"/>
  <c r="AT48" i="1"/>
  <c r="AR48" i="1"/>
  <c r="AP48" i="1"/>
  <c r="AN48" i="1"/>
  <c r="BD48" i="1" s="1"/>
  <c r="N218" i="2" s="1"/>
  <c r="AL48" i="1"/>
  <c r="AJ48" i="1"/>
  <c r="AH48" i="1"/>
  <c r="AF48" i="1"/>
  <c r="AB48" i="1"/>
  <c r="Z48" i="1"/>
  <c r="X48" i="1"/>
  <c r="V48" i="1"/>
  <c r="T48" i="1"/>
  <c r="R48" i="1"/>
  <c r="P48" i="1"/>
  <c r="N48" i="1"/>
  <c r="L48" i="1"/>
  <c r="J48" i="1"/>
  <c r="H48" i="1"/>
  <c r="F48" i="1"/>
  <c r="EB47" i="1"/>
  <c r="DZ47" i="1"/>
  <c r="DX47" i="1"/>
  <c r="DV47" i="1"/>
  <c r="DT47" i="1"/>
  <c r="DR47" i="1"/>
  <c r="DP47" i="1"/>
  <c r="DN47" i="1"/>
  <c r="DL47" i="1"/>
  <c r="DJ47" i="1"/>
  <c r="DH47" i="1"/>
  <c r="DF47" i="1"/>
  <c r="DB47" i="1"/>
  <c r="CZ47" i="1"/>
  <c r="CX47" i="1"/>
  <c r="CV47" i="1"/>
  <c r="CT47" i="1"/>
  <c r="CR47" i="1"/>
  <c r="CP47" i="1"/>
  <c r="CN47" i="1"/>
  <c r="CL47" i="1"/>
  <c r="CJ47" i="1"/>
  <c r="CH47" i="1"/>
  <c r="CF47" i="1"/>
  <c r="CB47" i="1"/>
  <c r="BZ47" i="1"/>
  <c r="BX47" i="1"/>
  <c r="BV47" i="1"/>
  <c r="BT47" i="1"/>
  <c r="BR47" i="1"/>
  <c r="BP47" i="1"/>
  <c r="BN47" i="1"/>
  <c r="BL47" i="1"/>
  <c r="BJ47" i="1"/>
  <c r="BH47" i="1"/>
  <c r="BF47" i="1"/>
  <c r="BB47" i="1"/>
  <c r="AZ47" i="1"/>
  <c r="AX47" i="1"/>
  <c r="AV47" i="1"/>
  <c r="AT47" i="1"/>
  <c r="AR47" i="1"/>
  <c r="AP47" i="1"/>
  <c r="AN47" i="1"/>
  <c r="AL47" i="1"/>
  <c r="AJ47" i="1"/>
  <c r="BC47" i="1" s="1"/>
  <c r="I213" i="2" s="1"/>
  <c r="L213" i="2" s="1"/>
  <c r="AH47" i="1"/>
  <c r="AF47" i="1"/>
  <c r="AB47" i="1"/>
  <c r="Z47" i="1"/>
  <c r="X47" i="1"/>
  <c r="V47" i="1"/>
  <c r="T47" i="1"/>
  <c r="R47" i="1"/>
  <c r="P47" i="1"/>
  <c r="N47" i="1"/>
  <c r="AD47" i="1" s="1"/>
  <c r="N212" i="2" s="1"/>
  <c r="L47" i="1"/>
  <c r="J47" i="1"/>
  <c r="H47" i="1"/>
  <c r="F47" i="1"/>
  <c r="EB46" i="1"/>
  <c r="DZ46" i="1"/>
  <c r="DX46" i="1"/>
  <c r="DV46" i="1"/>
  <c r="DT46" i="1"/>
  <c r="DR46" i="1"/>
  <c r="DP46" i="1"/>
  <c r="DN46" i="1"/>
  <c r="DL46" i="1"/>
  <c r="DJ46" i="1"/>
  <c r="DH46" i="1"/>
  <c r="DF46" i="1"/>
  <c r="DB46" i="1"/>
  <c r="CZ46" i="1"/>
  <c r="CX46" i="1"/>
  <c r="CV46" i="1"/>
  <c r="CT46" i="1"/>
  <c r="CR46" i="1"/>
  <c r="CP46" i="1"/>
  <c r="CN46" i="1"/>
  <c r="CL46" i="1"/>
  <c r="CJ46" i="1"/>
  <c r="CH46" i="1"/>
  <c r="CF46" i="1"/>
  <c r="CB46" i="1"/>
  <c r="BZ46" i="1"/>
  <c r="BX46" i="1"/>
  <c r="BV46" i="1"/>
  <c r="BT46" i="1"/>
  <c r="BR46" i="1"/>
  <c r="BP46" i="1"/>
  <c r="BN46" i="1"/>
  <c r="BL46" i="1"/>
  <c r="BJ46" i="1"/>
  <c r="BH46" i="1"/>
  <c r="BF46" i="1"/>
  <c r="BB46" i="1"/>
  <c r="AZ46" i="1"/>
  <c r="AX46" i="1"/>
  <c r="AV46" i="1"/>
  <c r="AT46" i="1"/>
  <c r="AR46" i="1"/>
  <c r="AP46" i="1"/>
  <c r="AN46" i="1"/>
  <c r="AL46" i="1"/>
  <c r="AJ46" i="1"/>
  <c r="AH46" i="1"/>
  <c r="AF46" i="1"/>
  <c r="AB46" i="1"/>
  <c r="Z46" i="1"/>
  <c r="X46" i="1"/>
  <c r="V46" i="1"/>
  <c r="T46" i="1"/>
  <c r="R46" i="1"/>
  <c r="P46" i="1"/>
  <c r="N46" i="1"/>
  <c r="L46" i="1"/>
  <c r="J46" i="1"/>
  <c r="H46" i="1"/>
  <c r="F46" i="1"/>
  <c r="EE45" i="1"/>
  <c r="EB45" i="1"/>
  <c r="DZ45" i="1"/>
  <c r="DX45" i="1"/>
  <c r="DV45" i="1"/>
  <c r="DT45" i="1"/>
  <c r="DR45" i="1"/>
  <c r="DP45" i="1"/>
  <c r="DN45" i="1"/>
  <c r="DL45" i="1"/>
  <c r="DJ45" i="1"/>
  <c r="EC45" i="1" s="1"/>
  <c r="I206" i="2" s="1"/>
  <c r="L206" i="2" s="1"/>
  <c r="DH45" i="1"/>
  <c r="DF45" i="1"/>
  <c r="DB45" i="1"/>
  <c r="CZ45" i="1"/>
  <c r="CX45" i="1"/>
  <c r="CV45" i="1"/>
  <c r="CT45" i="1"/>
  <c r="CR45" i="1"/>
  <c r="CP45" i="1"/>
  <c r="CN45" i="1"/>
  <c r="DD45" i="1" s="1"/>
  <c r="N205" i="2" s="1"/>
  <c r="CL45" i="1"/>
  <c r="CJ45" i="1"/>
  <c r="CH45" i="1"/>
  <c r="CF45" i="1"/>
  <c r="CB45" i="1"/>
  <c r="BZ45" i="1"/>
  <c r="BX45" i="1"/>
  <c r="BV45" i="1"/>
  <c r="BT45" i="1"/>
  <c r="BR45" i="1"/>
  <c r="BP45" i="1"/>
  <c r="BN45" i="1"/>
  <c r="BL45" i="1"/>
  <c r="BJ45" i="1"/>
  <c r="BH45" i="1"/>
  <c r="BF45" i="1"/>
  <c r="BB45" i="1"/>
  <c r="AZ45" i="1"/>
  <c r="AX45" i="1"/>
  <c r="AV45" i="1"/>
  <c r="AT45" i="1"/>
  <c r="AR45" i="1"/>
  <c r="AP45" i="1"/>
  <c r="AN45" i="1"/>
  <c r="AL45" i="1"/>
  <c r="AJ45" i="1"/>
  <c r="AH45" i="1"/>
  <c r="AF45" i="1"/>
  <c r="M203" i="2" s="1"/>
  <c r="AB45" i="1"/>
  <c r="Z45" i="1"/>
  <c r="X45" i="1"/>
  <c r="V45" i="1"/>
  <c r="T45" i="1"/>
  <c r="R45" i="1"/>
  <c r="P45" i="1"/>
  <c r="N45" i="1"/>
  <c r="AC45" i="1" s="1"/>
  <c r="I202" i="2" s="1"/>
  <c r="L202" i="2" s="1"/>
  <c r="L45" i="1"/>
  <c r="J45" i="1"/>
  <c r="H45" i="1"/>
  <c r="F45" i="1"/>
  <c r="EB44" i="1"/>
  <c r="DZ44" i="1"/>
  <c r="DX44" i="1"/>
  <c r="DV44" i="1"/>
  <c r="DT44" i="1"/>
  <c r="DR44" i="1"/>
  <c r="DP44" i="1"/>
  <c r="DN44" i="1"/>
  <c r="DL44" i="1"/>
  <c r="DJ44" i="1"/>
  <c r="ED44" i="1" s="1"/>
  <c r="N201" i="2" s="1"/>
  <c r="DH44" i="1"/>
  <c r="DF44" i="1"/>
  <c r="DB44" i="1"/>
  <c r="CZ44" i="1"/>
  <c r="CX44" i="1"/>
  <c r="CV44" i="1"/>
  <c r="CT44" i="1"/>
  <c r="CR44" i="1"/>
  <c r="CP44" i="1"/>
  <c r="CN44" i="1"/>
  <c r="CL44" i="1"/>
  <c r="CJ44" i="1"/>
  <c r="CH44" i="1"/>
  <c r="CF44" i="1"/>
  <c r="CB44" i="1"/>
  <c r="BZ44" i="1"/>
  <c r="BX44" i="1"/>
  <c r="BV44" i="1"/>
  <c r="BT44" i="1"/>
  <c r="BR44" i="1"/>
  <c r="BP44" i="1"/>
  <c r="BN44" i="1"/>
  <c r="BL44" i="1"/>
  <c r="BJ44" i="1"/>
  <c r="BH44" i="1"/>
  <c r="CC44" i="1" s="1"/>
  <c r="I199" i="2" s="1"/>
  <c r="L199" i="2" s="1"/>
  <c r="BF44" i="1"/>
  <c r="BB44" i="1"/>
  <c r="AZ44" i="1"/>
  <c r="AX44" i="1"/>
  <c r="AV44" i="1"/>
  <c r="AT44" i="1"/>
  <c r="AR44" i="1"/>
  <c r="AP44" i="1"/>
  <c r="AN44" i="1"/>
  <c r="BD44" i="1" s="1"/>
  <c r="N198" i="2" s="1"/>
  <c r="AL44" i="1"/>
  <c r="AJ44" i="1"/>
  <c r="AH44" i="1"/>
  <c r="AF44" i="1"/>
  <c r="AB44" i="1"/>
  <c r="Z44" i="1"/>
  <c r="X44" i="1"/>
  <c r="V44" i="1"/>
  <c r="T44" i="1"/>
  <c r="R44" i="1"/>
  <c r="P44" i="1"/>
  <c r="N44" i="1"/>
  <c r="L44" i="1"/>
  <c r="J44" i="1"/>
  <c r="H44" i="1"/>
  <c r="F44" i="1"/>
  <c r="EB43" i="1"/>
  <c r="DZ43" i="1"/>
  <c r="DX43" i="1"/>
  <c r="DV43" i="1"/>
  <c r="DT43" i="1"/>
  <c r="DR43" i="1"/>
  <c r="DP43" i="1"/>
  <c r="DN43" i="1"/>
  <c r="DL43" i="1"/>
  <c r="DJ43" i="1"/>
  <c r="DH43" i="1"/>
  <c r="DF43" i="1"/>
  <c r="DB43" i="1"/>
  <c r="CZ43" i="1"/>
  <c r="CX43" i="1"/>
  <c r="CV43" i="1"/>
  <c r="CT43" i="1"/>
  <c r="CR43" i="1"/>
  <c r="CP43" i="1"/>
  <c r="CN43" i="1"/>
  <c r="CL43" i="1"/>
  <c r="CJ43" i="1"/>
  <c r="CH43" i="1"/>
  <c r="CF43" i="1"/>
  <c r="DD43" i="1" s="1"/>
  <c r="N195" i="2" s="1"/>
  <c r="CB43" i="1"/>
  <c r="BZ43" i="1"/>
  <c r="BX43" i="1"/>
  <c r="BV43" i="1"/>
  <c r="BT43" i="1"/>
  <c r="BR43" i="1"/>
  <c r="BP43" i="1"/>
  <c r="BN43" i="1"/>
  <c r="CD43" i="1" s="1"/>
  <c r="N194" i="2" s="1"/>
  <c r="BL43" i="1"/>
  <c r="BJ43" i="1"/>
  <c r="BH43" i="1"/>
  <c r="BF43" i="1"/>
  <c r="BB43" i="1"/>
  <c r="AZ43" i="1"/>
  <c r="AX43" i="1"/>
  <c r="AV43" i="1"/>
  <c r="AT43" i="1"/>
  <c r="AR43" i="1"/>
  <c r="AP43" i="1"/>
  <c r="AN43" i="1"/>
  <c r="AL43" i="1"/>
  <c r="AJ43" i="1"/>
  <c r="BC43" i="1" s="1"/>
  <c r="I193" i="2" s="1"/>
  <c r="L193" i="2" s="1"/>
  <c r="AH43" i="1"/>
  <c r="AF43" i="1"/>
  <c r="BD43" i="1" s="1"/>
  <c r="N193" i="2" s="1"/>
  <c r="AB43" i="1"/>
  <c r="Z43" i="1"/>
  <c r="X43" i="1"/>
  <c r="V43" i="1"/>
  <c r="T43" i="1"/>
  <c r="R43" i="1"/>
  <c r="P43" i="1"/>
  <c r="N43" i="1"/>
  <c r="L43" i="1"/>
  <c r="J43" i="1"/>
  <c r="H43" i="1"/>
  <c r="F43" i="1"/>
  <c r="EB42" i="1"/>
  <c r="DZ42" i="1"/>
  <c r="DX42" i="1"/>
  <c r="DV42" i="1"/>
  <c r="DT42" i="1"/>
  <c r="DR42" i="1"/>
  <c r="DP42" i="1"/>
  <c r="DN42" i="1"/>
  <c r="DL42" i="1"/>
  <c r="DJ42" i="1"/>
  <c r="DH42" i="1"/>
  <c r="DF42" i="1"/>
  <c r="DD42" i="1"/>
  <c r="N190" i="2" s="1"/>
  <c r="DB42" i="1"/>
  <c r="CZ42" i="1"/>
  <c r="CX42" i="1"/>
  <c r="CV42" i="1"/>
  <c r="CT42" i="1"/>
  <c r="CR42" i="1"/>
  <c r="CP42" i="1"/>
  <c r="CN42" i="1"/>
  <c r="CL42" i="1"/>
  <c r="CJ42" i="1"/>
  <c r="CH42" i="1"/>
  <c r="CF42" i="1"/>
  <c r="CB42" i="1"/>
  <c r="BZ42" i="1"/>
  <c r="BX42" i="1"/>
  <c r="BV42" i="1"/>
  <c r="BT42" i="1"/>
  <c r="BR42" i="1"/>
  <c r="BP42" i="1"/>
  <c r="BN42" i="1"/>
  <c r="BL42" i="1"/>
  <c r="BJ42" i="1"/>
  <c r="BH42" i="1"/>
  <c r="BF42" i="1"/>
  <c r="BB42" i="1"/>
  <c r="AZ42" i="1"/>
  <c r="AX42" i="1"/>
  <c r="AV42" i="1"/>
  <c r="AT42" i="1"/>
  <c r="AR42" i="1"/>
  <c r="AP42" i="1"/>
  <c r="AN42" i="1"/>
  <c r="AL42" i="1"/>
  <c r="AJ42" i="1"/>
  <c r="AH42" i="1"/>
  <c r="AF42" i="1"/>
  <c r="AB42" i="1"/>
  <c r="Z42" i="1"/>
  <c r="X42" i="1"/>
  <c r="V42" i="1"/>
  <c r="T42" i="1"/>
  <c r="R42" i="1"/>
  <c r="P42" i="1"/>
  <c r="N42" i="1"/>
  <c r="L42" i="1"/>
  <c r="J42" i="1"/>
  <c r="H42" i="1"/>
  <c r="F42" i="1"/>
  <c r="EE41" i="1"/>
  <c r="EB41" i="1"/>
  <c r="DZ41" i="1"/>
  <c r="DX41" i="1"/>
  <c r="DV41" i="1"/>
  <c r="DT41" i="1"/>
  <c r="DR41" i="1"/>
  <c r="DP41" i="1"/>
  <c r="DN41" i="1"/>
  <c r="DL41" i="1"/>
  <c r="DJ41" i="1"/>
  <c r="DH41" i="1"/>
  <c r="DF41" i="1"/>
  <c r="DB41" i="1"/>
  <c r="CZ41" i="1"/>
  <c r="CX41" i="1"/>
  <c r="CV41" i="1"/>
  <c r="CT41" i="1"/>
  <c r="CR41" i="1"/>
  <c r="CP41" i="1"/>
  <c r="CN41" i="1"/>
  <c r="DD41" i="1" s="1"/>
  <c r="N185" i="2" s="1"/>
  <c r="CL41" i="1"/>
  <c r="CJ41" i="1"/>
  <c r="CH41" i="1"/>
  <c r="CF41" i="1"/>
  <c r="CB41" i="1"/>
  <c r="BZ41" i="1"/>
  <c r="BX41" i="1"/>
  <c r="BV41" i="1"/>
  <c r="BT41" i="1"/>
  <c r="BR41" i="1"/>
  <c r="BP41" i="1"/>
  <c r="BN41" i="1"/>
  <c r="BL41" i="1"/>
  <c r="BJ41" i="1"/>
  <c r="CC41" i="1" s="1"/>
  <c r="I184" i="2" s="1"/>
  <c r="L184" i="2" s="1"/>
  <c r="BH41" i="1"/>
  <c r="BF41" i="1"/>
  <c r="BB41" i="1"/>
  <c r="AZ41" i="1"/>
  <c r="AX41" i="1"/>
  <c r="AV41" i="1"/>
  <c r="AT41" i="1"/>
  <c r="AR41" i="1"/>
  <c r="AP41" i="1"/>
  <c r="AN41" i="1"/>
  <c r="AL41" i="1"/>
  <c r="AJ41" i="1"/>
  <c r="AH41" i="1"/>
  <c r="AF41" i="1"/>
  <c r="AB41" i="1"/>
  <c r="Z41" i="1"/>
  <c r="X41" i="1"/>
  <c r="V41" i="1"/>
  <c r="T41" i="1"/>
  <c r="R41" i="1"/>
  <c r="P41" i="1"/>
  <c r="N41" i="1"/>
  <c r="L41" i="1"/>
  <c r="J41" i="1"/>
  <c r="H41" i="1"/>
  <c r="F41" i="1"/>
  <c r="AD41" i="1" s="1"/>
  <c r="N182" i="2" s="1"/>
  <c r="EB40" i="1"/>
  <c r="DZ40" i="1"/>
  <c r="DX40" i="1"/>
  <c r="DV40" i="1"/>
  <c r="DT40" i="1"/>
  <c r="DR40" i="1"/>
  <c r="DP40" i="1"/>
  <c r="ED40" i="1" s="1"/>
  <c r="N181" i="2" s="1"/>
  <c r="DN40" i="1"/>
  <c r="DL40" i="1"/>
  <c r="DJ40" i="1"/>
  <c r="EC40" i="1" s="1"/>
  <c r="I181" i="2" s="1"/>
  <c r="L181" i="2" s="1"/>
  <c r="DH40" i="1"/>
  <c r="DF40" i="1"/>
  <c r="DB40" i="1"/>
  <c r="CZ40" i="1"/>
  <c r="CX40" i="1"/>
  <c r="CV40" i="1"/>
  <c r="CT40" i="1"/>
  <c r="CR40" i="1"/>
  <c r="CP40" i="1"/>
  <c r="CN40" i="1"/>
  <c r="CL40" i="1"/>
  <c r="CJ40" i="1"/>
  <c r="CH40" i="1"/>
  <c r="CF40" i="1"/>
  <c r="CB40" i="1"/>
  <c r="BZ40" i="1"/>
  <c r="BX40" i="1"/>
  <c r="BV40" i="1"/>
  <c r="BT40" i="1"/>
  <c r="BR40" i="1"/>
  <c r="BP40" i="1"/>
  <c r="BN40" i="1"/>
  <c r="BL40" i="1"/>
  <c r="BJ40" i="1"/>
  <c r="BH40" i="1"/>
  <c r="BF40" i="1"/>
  <c r="BB40" i="1"/>
  <c r="AZ40" i="1"/>
  <c r="AX40" i="1"/>
  <c r="AV40" i="1"/>
  <c r="AT40" i="1"/>
  <c r="AR40" i="1"/>
  <c r="AP40" i="1"/>
  <c r="AN40" i="1"/>
  <c r="AL40" i="1"/>
  <c r="AJ40" i="1"/>
  <c r="AH40" i="1"/>
  <c r="AF40" i="1"/>
  <c r="AD40" i="1"/>
  <c r="N177" i="2" s="1"/>
  <c r="AB40" i="1"/>
  <c r="Z40" i="1"/>
  <c r="X40" i="1"/>
  <c r="V40" i="1"/>
  <c r="T40" i="1"/>
  <c r="R40" i="1"/>
  <c r="P40" i="1"/>
  <c r="N40" i="1"/>
  <c r="L40" i="1"/>
  <c r="J40" i="1"/>
  <c r="H40" i="1"/>
  <c r="F40" i="1"/>
  <c r="EB39" i="1"/>
  <c r="DZ39" i="1"/>
  <c r="DX39" i="1"/>
  <c r="DV39" i="1"/>
  <c r="DT39" i="1"/>
  <c r="DR39" i="1"/>
  <c r="DP39" i="1"/>
  <c r="DN39" i="1"/>
  <c r="ED39" i="1" s="1"/>
  <c r="N176" i="2" s="1"/>
  <c r="DL39" i="1"/>
  <c r="DJ39" i="1"/>
  <c r="DH39" i="1"/>
  <c r="DF39" i="1"/>
  <c r="DB39" i="1"/>
  <c r="CZ39" i="1"/>
  <c r="CX39" i="1"/>
  <c r="CV39" i="1"/>
  <c r="CT39" i="1"/>
  <c r="CR39" i="1"/>
  <c r="CP39" i="1"/>
  <c r="CN39" i="1"/>
  <c r="CL39" i="1"/>
  <c r="CJ39" i="1"/>
  <c r="DC39" i="1" s="1"/>
  <c r="I175" i="2" s="1"/>
  <c r="L175" i="2" s="1"/>
  <c r="CH39" i="1"/>
  <c r="DD39" i="1" s="1"/>
  <c r="N175" i="2" s="1"/>
  <c r="CF39" i="1"/>
  <c r="CB39" i="1"/>
  <c r="BZ39" i="1"/>
  <c r="BX39" i="1"/>
  <c r="BV39" i="1"/>
  <c r="BT39" i="1"/>
  <c r="BR39" i="1"/>
  <c r="BP39" i="1"/>
  <c r="BN39" i="1"/>
  <c r="BL39" i="1"/>
  <c r="BJ39" i="1"/>
  <c r="BH39" i="1"/>
  <c r="BF39" i="1"/>
  <c r="BB39" i="1"/>
  <c r="AZ39" i="1"/>
  <c r="AX39" i="1"/>
  <c r="AV39" i="1"/>
  <c r="AT39" i="1"/>
  <c r="AR39" i="1"/>
  <c r="AP39" i="1"/>
  <c r="AN39" i="1"/>
  <c r="AL39" i="1"/>
  <c r="AJ39" i="1"/>
  <c r="AH39" i="1"/>
  <c r="AF39" i="1"/>
  <c r="AB39" i="1"/>
  <c r="Z39" i="1"/>
  <c r="X39" i="1"/>
  <c r="V39" i="1"/>
  <c r="T39" i="1"/>
  <c r="R39" i="1"/>
  <c r="P39" i="1"/>
  <c r="N39" i="1"/>
  <c r="L39" i="1"/>
  <c r="J39" i="1"/>
  <c r="H39" i="1"/>
  <c r="F39" i="1"/>
  <c r="EB38" i="1"/>
  <c r="DZ38" i="1"/>
  <c r="DX38" i="1"/>
  <c r="DV38" i="1"/>
  <c r="DT38" i="1"/>
  <c r="DR38" i="1"/>
  <c r="DP38" i="1"/>
  <c r="DN38" i="1"/>
  <c r="DL38" i="1"/>
  <c r="DJ38" i="1"/>
  <c r="DH38" i="1"/>
  <c r="DF38" i="1"/>
  <c r="DB38" i="1"/>
  <c r="CZ38" i="1"/>
  <c r="CX38" i="1"/>
  <c r="CV38" i="1"/>
  <c r="CT38" i="1"/>
  <c r="CR38" i="1"/>
  <c r="CP38" i="1"/>
  <c r="CN38" i="1"/>
  <c r="CL38" i="1"/>
  <c r="CJ38" i="1"/>
  <c r="CH38" i="1"/>
  <c r="CF38" i="1"/>
  <c r="CB38" i="1"/>
  <c r="BZ38" i="1"/>
  <c r="BX38" i="1"/>
  <c r="BV38" i="1"/>
  <c r="BT38" i="1"/>
  <c r="BR38" i="1"/>
  <c r="BP38" i="1"/>
  <c r="BN38" i="1"/>
  <c r="BL38" i="1"/>
  <c r="BJ38" i="1"/>
  <c r="BH38" i="1"/>
  <c r="BF38" i="1"/>
  <c r="BB38" i="1"/>
  <c r="AZ38" i="1"/>
  <c r="AX38" i="1"/>
  <c r="AV38" i="1"/>
  <c r="AT38" i="1"/>
  <c r="AR38" i="1"/>
  <c r="AP38" i="1"/>
  <c r="BD38" i="1" s="1"/>
  <c r="N168" i="2" s="1"/>
  <c r="AN38" i="1"/>
  <c r="AL38" i="1"/>
  <c r="AJ38" i="1"/>
  <c r="BC38" i="1" s="1"/>
  <c r="I168" i="2" s="1"/>
  <c r="L168" i="2" s="1"/>
  <c r="AH38" i="1"/>
  <c r="AF38" i="1"/>
  <c r="AB38" i="1"/>
  <c r="Z38" i="1"/>
  <c r="X38" i="1"/>
  <c r="V38" i="1"/>
  <c r="T38" i="1"/>
  <c r="R38" i="1"/>
  <c r="P38" i="1"/>
  <c r="N38" i="1"/>
  <c r="L38" i="1"/>
  <c r="J38" i="1"/>
  <c r="H38" i="1"/>
  <c r="F38" i="1"/>
  <c r="EB37" i="1"/>
  <c r="DZ37" i="1"/>
  <c r="DX37" i="1"/>
  <c r="DV37" i="1"/>
  <c r="DT37" i="1"/>
  <c r="DR37" i="1"/>
  <c r="DP37" i="1"/>
  <c r="DN37" i="1"/>
  <c r="DL37" i="1"/>
  <c r="DJ37" i="1"/>
  <c r="EC37" i="1" s="1"/>
  <c r="I166" i="2" s="1"/>
  <c r="L166" i="2" s="1"/>
  <c r="DH37" i="1"/>
  <c r="DF37" i="1"/>
  <c r="DB37" i="1"/>
  <c r="CZ37" i="1"/>
  <c r="CX37" i="1"/>
  <c r="CV37" i="1"/>
  <c r="CT37" i="1"/>
  <c r="CR37" i="1"/>
  <c r="CP37" i="1"/>
  <c r="CN37" i="1"/>
  <c r="CL37" i="1"/>
  <c r="CJ37" i="1"/>
  <c r="CH37" i="1"/>
  <c r="CF37" i="1"/>
  <c r="CB37" i="1"/>
  <c r="BZ37" i="1"/>
  <c r="BX37" i="1"/>
  <c r="BV37" i="1"/>
  <c r="BT37" i="1"/>
  <c r="BR37" i="1"/>
  <c r="BP37" i="1"/>
  <c r="BN37" i="1"/>
  <c r="BL37" i="1"/>
  <c r="BJ37" i="1"/>
  <c r="BH37" i="1"/>
  <c r="BF37" i="1"/>
  <c r="CD37" i="1" s="1"/>
  <c r="N164" i="2" s="1"/>
  <c r="BB37" i="1"/>
  <c r="AZ37" i="1"/>
  <c r="AX37" i="1"/>
  <c r="AV37" i="1"/>
  <c r="AT37" i="1"/>
  <c r="AR37" i="1"/>
  <c r="AP37" i="1"/>
  <c r="AN37" i="1"/>
  <c r="BD37" i="1" s="1"/>
  <c r="N163" i="2" s="1"/>
  <c r="AL37" i="1"/>
  <c r="AJ37" i="1"/>
  <c r="AH37" i="1"/>
  <c r="AF37" i="1"/>
  <c r="AB37" i="1"/>
  <c r="Z37" i="1"/>
  <c r="X37" i="1"/>
  <c r="V37" i="1"/>
  <c r="T37" i="1"/>
  <c r="R37" i="1"/>
  <c r="P37" i="1"/>
  <c r="N37" i="1"/>
  <c r="L37" i="1"/>
  <c r="J37" i="1"/>
  <c r="AC37" i="1" s="1"/>
  <c r="I162" i="2" s="1"/>
  <c r="L162" i="2" s="1"/>
  <c r="H37" i="1"/>
  <c r="F37" i="1"/>
  <c r="EB36" i="1"/>
  <c r="DZ36" i="1"/>
  <c r="DX36" i="1"/>
  <c r="DV36" i="1"/>
  <c r="DT36" i="1"/>
  <c r="DR36" i="1"/>
  <c r="DP36" i="1"/>
  <c r="DN36" i="1"/>
  <c r="DL36" i="1"/>
  <c r="DJ36" i="1"/>
  <c r="DH36" i="1"/>
  <c r="DF36" i="1"/>
  <c r="DB36" i="1"/>
  <c r="CZ36" i="1"/>
  <c r="CX36" i="1"/>
  <c r="CV36" i="1"/>
  <c r="CT36" i="1"/>
  <c r="CR36" i="1"/>
  <c r="CP36" i="1"/>
  <c r="CN36" i="1"/>
  <c r="CL36" i="1"/>
  <c r="CJ36" i="1"/>
  <c r="CH36" i="1"/>
  <c r="CF36" i="1"/>
  <c r="CB36" i="1"/>
  <c r="BZ36" i="1"/>
  <c r="BX36" i="1"/>
  <c r="BV36" i="1"/>
  <c r="BT36" i="1"/>
  <c r="BR36" i="1"/>
  <c r="BP36" i="1"/>
  <c r="CD36" i="1" s="1"/>
  <c r="N159" i="2" s="1"/>
  <c r="BN36" i="1"/>
  <c r="BL36" i="1"/>
  <c r="BJ36" i="1"/>
  <c r="BH36" i="1"/>
  <c r="BF36" i="1"/>
  <c r="BB36" i="1"/>
  <c r="AZ36" i="1"/>
  <c r="AX36" i="1"/>
  <c r="AV36" i="1"/>
  <c r="AT36" i="1"/>
  <c r="AR36" i="1"/>
  <c r="AP36" i="1"/>
  <c r="AN36" i="1"/>
  <c r="AL36" i="1"/>
  <c r="AJ36" i="1"/>
  <c r="AH36" i="1"/>
  <c r="AF36" i="1"/>
  <c r="AB36" i="1"/>
  <c r="Z36" i="1"/>
  <c r="X36" i="1"/>
  <c r="V36" i="1"/>
  <c r="T36" i="1"/>
  <c r="R36" i="1"/>
  <c r="P36" i="1"/>
  <c r="N36" i="1"/>
  <c r="L36" i="1"/>
  <c r="J36" i="1"/>
  <c r="H36" i="1"/>
  <c r="F36" i="1"/>
  <c r="EB35" i="1"/>
  <c r="DZ35" i="1"/>
  <c r="DX35" i="1"/>
  <c r="DV35" i="1"/>
  <c r="DT35" i="1"/>
  <c r="DR35" i="1"/>
  <c r="DP35" i="1"/>
  <c r="DN35" i="1"/>
  <c r="DL35" i="1"/>
  <c r="DJ35" i="1"/>
  <c r="DH35" i="1"/>
  <c r="DF35" i="1"/>
  <c r="DB35" i="1"/>
  <c r="CZ35" i="1"/>
  <c r="CX35" i="1"/>
  <c r="CV35" i="1"/>
  <c r="CT35" i="1"/>
  <c r="CR35" i="1"/>
  <c r="CP35" i="1"/>
  <c r="CN35" i="1"/>
  <c r="CL35" i="1"/>
  <c r="CJ35" i="1"/>
  <c r="CH35" i="1"/>
  <c r="CF35" i="1"/>
  <c r="DD35" i="1" s="1"/>
  <c r="N155" i="2" s="1"/>
  <c r="CB35" i="1"/>
  <c r="BZ35" i="1"/>
  <c r="BX35" i="1"/>
  <c r="BV35" i="1"/>
  <c r="BT35" i="1"/>
  <c r="BR35" i="1"/>
  <c r="BP35" i="1"/>
  <c r="BN35" i="1"/>
  <c r="CD35" i="1" s="1"/>
  <c r="N154" i="2" s="1"/>
  <c r="BL35" i="1"/>
  <c r="BJ35" i="1"/>
  <c r="BH35" i="1"/>
  <c r="BF35" i="1"/>
  <c r="M154" i="2" s="1"/>
  <c r="BB35" i="1"/>
  <c r="AZ35" i="1"/>
  <c r="AX35" i="1"/>
  <c r="AV35" i="1"/>
  <c r="AT35" i="1"/>
  <c r="AR35" i="1"/>
  <c r="AP35" i="1"/>
  <c r="AN35" i="1"/>
  <c r="AL35" i="1"/>
  <c r="AJ35" i="1"/>
  <c r="BC35" i="1" s="1"/>
  <c r="I153" i="2" s="1"/>
  <c r="L153" i="2" s="1"/>
  <c r="AH35" i="1"/>
  <c r="AF35" i="1"/>
  <c r="AB35" i="1"/>
  <c r="Z35" i="1"/>
  <c r="X35" i="1"/>
  <c r="V35" i="1"/>
  <c r="T35" i="1"/>
  <c r="R35" i="1"/>
  <c r="P35" i="1"/>
  <c r="N35" i="1"/>
  <c r="L35" i="1"/>
  <c r="J35" i="1"/>
  <c r="H35" i="1"/>
  <c r="F35" i="1"/>
  <c r="EB34" i="1"/>
  <c r="DZ34" i="1"/>
  <c r="DX34" i="1"/>
  <c r="DV34" i="1"/>
  <c r="DT34" i="1"/>
  <c r="DR34" i="1"/>
  <c r="DP34" i="1"/>
  <c r="DN34" i="1"/>
  <c r="DL34" i="1"/>
  <c r="DJ34" i="1"/>
  <c r="DH34" i="1"/>
  <c r="DF34" i="1"/>
  <c r="DB34" i="1"/>
  <c r="CZ34" i="1"/>
  <c r="CX34" i="1"/>
  <c r="CV34" i="1"/>
  <c r="CT34" i="1"/>
  <c r="CR34" i="1"/>
  <c r="CP34" i="1"/>
  <c r="DD34" i="1" s="1"/>
  <c r="N150" i="2" s="1"/>
  <c r="CN34" i="1"/>
  <c r="CL34" i="1"/>
  <c r="CJ34" i="1"/>
  <c r="CH34" i="1"/>
  <c r="CF34" i="1"/>
  <c r="CB34" i="1"/>
  <c r="BZ34" i="1"/>
  <c r="BX34" i="1"/>
  <c r="BV34" i="1"/>
  <c r="BT34" i="1"/>
  <c r="BR34" i="1"/>
  <c r="BP34" i="1"/>
  <c r="BN34" i="1"/>
  <c r="BL34" i="1"/>
  <c r="BJ34" i="1"/>
  <c r="BH34" i="1"/>
  <c r="BF34" i="1"/>
  <c r="BB34" i="1"/>
  <c r="AZ34" i="1"/>
  <c r="AX34" i="1"/>
  <c r="AV34" i="1"/>
  <c r="AT34" i="1"/>
  <c r="AR34" i="1"/>
  <c r="AP34" i="1"/>
  <c r="AN34" i="1"/>
  <c r="AL34" i="1"/>
  <c r="AJ34" i="1"/>
  <c r="AH34" i="1"/>
  <c r="AF34" i="1"/>
  <c r="AB34" i="1"/>
  <c r="Z34" i="1"/>
  <c r="X34" i="1"/>
  <c r="V34" i="1"/>
  <c r="T34" i="1"/>
  <c r="R34" i="1"/>
  <c r="P34" i="1"/>
  <c r="N34" i="1"/>
  <c r="L34" i="1"/>
  <c r="J34" i="1"/>
  <c r="H34" i="1"/>
  <c r="F34" i="1"/>
  <c r="EE33" i="1"/>
  <c r="EB33" i="1"/>
  <c r="DZ33" i="1"/>
  <c r="DX33" i="1"/>
  <c r="DV33" i="1"/>
  <c r="DT33" i="1"/>
  <c r="DR33" i="1"/>
  <c r="DP33" i="1"/>
  <c r="DN33" i="1"/>
  <c r="DL33" i="1"/>
  <c r="DJ33" i="1"/>
  <c r="DH33" i="1"/>
  <c r="DF33" i="1"/>
  <c r="ED33" i="1" s="1"/>
  <c r="N146" i="2" s="1"/>
  <c r="DB33" i="1"/>
  <c r="CZ33" i="1"/>
  <c r="CX33" i="1"/>
  <c r="CV33" i="1"/>
  <c r="CT33" i="1"/>
  <c r="CR33" i="1"/>
  <c r="CP33" i="1"/>
  <c r="CN33" i="1"/>
  <c r="DD33" i="1" s="1"/>
  <c r="N145" i="2" s="1"/>
  <c r="CL33" i="1"/>
  <c r="CJ33" i="1"/>
  <c r="CH33" i="1"/>
  <c r="CF33" i="1"/>
  <c r="CB33" i="1"/>
  <c r="BZ33" i="1"/>
  <c r="BX33" i="1"/>
  <c r="BV33" i="1"/>
  <c r="BT33" i="1"/>
  <c r="BR33" i="1"/>
  <c r="BP33" i="1"/>
  <c r="BN33" i="1"/>
  <c r="BL33" i="1"/>
  <c r="BJ33" i="1"/>
  <c r="CC33" i="1" s="1"/>
  <c r="I144" i="2" s="1"/>
  <c r="L144" i="2" s="1"/>
  <c r="BH33" i="1"/>
  <c r="BF33" i="1"/>
  <c r="CD33" i="1" s="1"/>
  <c r="N144" i="2" s="1"/>
  <c r="BB33" i="1"/>
  <c r="AZ33" i="1"/>
  <c r="AX33" i="1"/>
  <c r="AV33" i="1"/>
  <c r="AT33" i="1"/>
  <c r="AR33" i="1"/>
  <c r="AP33" i="1"/>
  <c r="AN33" i="1"/>
  <c r="AL33" i="1"/>
  <c r="AJ33" i="1"/>
  <c r="AH33" i="1"/>
  <c r="AF33" i="1"/>
  <c r="AB33" i="1"/>
  <c r="Z33" i="1"/>
  <c r="X33" i="1"/>
  <c r="V33" i="1"/>
  <c r="T33" i="1"/>
  <c r="R33" i="1"/>
  <c r="P33" i="1"/>
  <c r="N33" i="1"/>
  <c r="L33" i="1"/>
  <c r="J33" i="1"/>
  <c r="H33" i="1"/>
  <c r="F33" i="1"/>
  <c r="AD33" i="1" s="1"/>
  <c r="N142" i="2" s="1"/>
  <c r="EB32" i="1"/>
  <c r="DZ32" i="1"/>
  <c r="DX32" i="1"/>
  <c r="DV32" i="1"/>
  <c r="DT32" i="1"/>
  <c r="DR32" i="1"/>
  <c r="DP32" i="1"/>
  <c r="ED32" i="1" s="1"/>
  <c r="N141" i="2" s="1"/>
  <c r="DN32" i="1"/>
  <c r="DL32" i="1"/>
  <c r="DJ32" i="1"/>
  <c r="EC32" i="1" s="1"/>
  <c r="I141" i="2" s="1"/>
  <c r="L141" i="2" s="1"/>
  <c r="DH32" i="1"/>
  <c r="DF32" i="1"/>
  <c r="DB32" i="1"/>
  <c r="CZ32" i="1"/>
  <c r="CX32" i="1"/>
  <c r="CV32" i="1"/>
  <c r="CT32" i="1"/>
  <c r="CR32" i="1"/>
  <c r="CP32" i="1"/>
  <c r="CN32" i="1"/>
  <c r="CL32" i="1"/>
  <c r="CJ32" i="1"/>
  <c r="CH32" i="1"/>
  <c r="CF32" i="1"/>
  <c r="CB32" i="1"/>
  <c r="BZ32" i="1"/>
  <c r="BX32" i="1"/>
  <c r="BV32" i="1"/>
  <c r="BT32" i="1"/>
  <c r="BR32" i="1"/>
  <c r="BP32" i="1"/>
  <c r="BN32" i="1"/>
  <c r="BL32" i="1"/>
  <c r="BJ32" i="1"/>
  <c r="BH32" i="1"/>
  <c r="BF32" i="1"/>
  <c r="BB32" i="1"/>
  <c r="AZ32" i="1"/>
  <c r="AX32" i="1"/>
  <c r="AV32" i="1"/>
  <c r="AT32" i="1"/>
  <c r="AR32" i="1"/>
  <c r="AP32" i="1"/>
  <c r="AN32" i="1"/>
  <c r="AL32" i="1"/>
  <c r="AJ32" i="1"/>
  <c r="AH32" i="1"/>
  <c r="AF32" i="1"/>
  <c r="BD32" i="1" s="1"/>
  <c r="N138" i="2" s="1"/>
  <c r="AB32" i="1"/>
  <c r="Z32" i="1"/>
  <c r="X32" i="1"/>
  <c r="V32" i="1"/>
  <c r="T32" i="1"/>
  <c r="R32" i="1"/>
  <c r="P32" i="1"/>
  <c r="AD32" i="1" s="1"/>
  <c r="N137" i="2" s="1"/>
  <c r="N32" i="1"/>
  <c r="L32" i="1"/>
  <c r="J32" i="1"/>
  <c r="H32" i="1"/>
  <c r="F32" i="1"/>
  <c r="EB31" i="1"/>
  <c r="DZ31" i="1"/>
  <c r="DX31" i="1"/>
  <c r="DV31" i="1"/>
  <c r="DT31" i="1"/>
  <c r="DR31" i="1"/>
  <c r="DP31" i="1"/>
  <c r="DN31" i="1"/>
  <c r="ED31" i="1" s="1"/>
  <c r="N136" i="2" s="1"/>
  <c r="DL31" i="1"/>
  <c r="DJ31" i="1"/>
  <c r="DH31" i="1"/>
  <c r="DF31" i="1"/>
  <c r="DB31" i="1"/>
  <c r="CZ31" i="1"/>
  <c r="CX31" i="1"/>
  <c r="CV31" i="1"/>
  <c r="CT31" i="1"/>
  <c r="CR31" i="1"/>
  <c r="CP31" i="1"/>
  <c r="CN31" i="1"/>
  <c r="CL31" i="1"/>
  <c r="CJ31" i="1"/>
  <c r="DC31" i="1" s="1"/>
  <c r="I135" i="2" s="1"/>
  <c r="L135" i="2" s="1"/>
  <c r="CH31" i="1"/>
  <c r="CF31" i="1"/>
  <c r="CB31" i="1"/>
  <c r="BZ31" i="1"/>
  <c r="BX31" i="1"/>
  <c r="BV31" i="1"/>
  <c r="BT31" i="1"/>
  <c r="BR31" i="1"/>
  <c r="BP31" i="1"/>
  <c r="BN31" i="1"/>
  <c r="BL31" i="1"/>
  <c r="BJ31" i="1"/>
  <c r="BH31" i="1"/>
  <c r="BF31" i="1"/>
  <c r="BB31" i="1"/>
  <c r="AZ31" i="1"/>
  <c r="AX31" i="1"/>
  <c r="AV31" i="1"/>
  <c r="AT31" i="1"/>
  <c r="AR31" i="1"/>
  <c r="AP31" i="1"/>
  <c r="AN31" i="1"/>
  <c r="AL31" i="1"/>
  <c r="AJ31" i="1"/>
  <c r="AH31" i="1"/>
  <c r="AF31" i="1"/>
  <c r="BD31" i="1" s="1"/>
  <c r="N133" i="2" s="1"/>
  <c r="AB31" i="1"/>
  <c r="Z31" i="1"/>
  <c r="X31" i="1"/>
  <c r="V31" i="1"/>
  <c r="T31" i="1"/>
  <c r="R31" i="1"/>
  <c r="P31" i="1"/>
  <c r="N31" i="1"/>
  <c r="L31" i="1"/>
  <c r="J31" i="1"/>
  <c r="H31" i="1"/>
  <c r="F31" i="1"/>
  <c r="EB30" i="1"/>
  <c r="DZ30" i="1"/>
  <c r="DX30" i="1"/>
  <c r="DV30" i="1"/>
  <c r="DT30" i="1"/>
  <c r="DR30" i="1"/>
  <c r="DP30" i="1"/>
  <c r="DN30" i="1"/>
  <c r="DL30" i="1"/>
  <c r="DJ30" i="1"/>
  <c r="DH30" i="1"/>
  <c r="DF30" i="1"/>
  <c r="DB30" i="1"/>
  <c r="CZ30" i="1"/>
  <c r="CX30" i="1"/>
  <c r="CV30" i="1"/>
  <c r="CT30" i="1"/>
  <c r="CR30" i="1"/>
  <c r="CP30" i="1"/>
  <c r="CN30" i="1"/>
  <c r="CL30" i="1"/>
  <c r="CJ30" i="1"/>
  <c r="CH30" i="1"/>
  <c r="CF30" i="1"/>
  <c r="CB30" i="1"/>
  <c r="BZ30" i="1"/>
  <c r="BX30" i="1"/>
  <c r="BV30" i="1"/>
  <c r="BT30" i="1"/>
  <c r="BR30" i="1"/>
  <c r="BP30" i="1"/>
  <c r="BN30" i="1"/>
  <c r="BL30" i="1"/>
  <c r="BJ30" i="1"/>
  <c r="BH30" i="1"/>
  <c r="BF30" i="1"/>
  <c r="BB30" i="1"/>
  <c r="AZ30" i="1"/>
  <c r="AX30" i="1"/>
  <c r="AV30" i="1"/>
  <c r="AT30" i="1"/>
  <c r="AR30" i="1"/>
  <c r="AP30" i="1"/>
  <c r="BD30" i="1" s="1"/>
  <c r="N128" i="2" s="1"/>
  <c r="AN30" i="1"/>
  <c r="AL30" i="1"/>
  <c r="AJ30" i="1"/>
  <c r="AH30" i="1"/>
  <c r="AF30" i="1"/>
  <c r="AB30" i="1"/>
  <c r="Z30" i="1"/>
  <c r="X30" i="1"/>
  <c r="V30" i="1"/>
  <c r="T30" i="1"/>
  <c r="R30" i="1"/>
  <c r="P30" i="1"/>
  <c r="N30" i="1"/>
  <c r="L30" i="1"/>
  <c r="J30" i="1"/>
  <c r="H30" i="1"/>
  <c r="F30" i="1"/>
  <c r="EB29" i="1"/>
  <c r="DZ29" i="1"/>
  <c r="DX29" i="1"/>
  <c r="DV29" i="1"/>
  <c r="DT29" i="1"/>
  <c r="DR29" i="1"/>
  <c r="DP29" i="1"/>
  <c r="DN29" i="1"/>
  <c r="DL29" i="1"/>
  <c r="DJ29" i="1"/>
  <c r="EC29" i="1" s="1"/>
  <c r="I126" i="2" s="1"/>
  <c r="L126" i="2" s="1"/>
  <c r="DH29" i="1"/>
  <c r="DF29" i="1"/>
  <c r="DB29" i="1"/>
  <c r="CZ29" i="1"/>
  <c r="CX29" i="1"/>
  <c r="CV29" i="1"/>
  <c r="CT29" i="1"/>
  <c r="CR29" i="1"/>
  <c r="CP29" i="1"/>
  <c r="CN29" i="1"/>
  <c r="CL29" i="1"/>
  <c r="CJ29" i="1"/>
  <c r="CH29" i="1"/>
  <c r="CF29" i="1"/>
  <c r="CB29" i="1"/>
  <c r="BZ29" i="1"/>
  <c r="BX29" i="1"/>
  <c r="BV29" i="1"/>
  <c r="BT29" i="1"/>
  <c r="BR29" i="1"/>
  <c r="BP29" i="1"/>
  <c r="BN29" i="1"/>
  <c r="BL29" i="1"/>
  <c r="BJ29" i="1"/>
  <c r="BH29" i="1"/>
  <c r="BF29" i="1"/>
  <c r="CD29" i="1" s="1"/>
  <c r="N124" i="2" s="1"/>
  <c r="BB29" i="1"/>
  <c r="AZ29" i="1"/>
  <c r="AX29" i="1"/>
  <c r="AV29" i="1"/>
  <c r="AT29" i="1"/>
  <c r="AR29" i="1"/>
  <c r="AP29" i="1"/>
  <c r="AN29" i="1"/>
  <c r="BD29" i="1" s="1"/>
  <c r="N123" i="2" s="1"/>
  <c r="AL29" i="1"/>
  <c r="AJ29" i="1"/>
  <c r="AH29" i="1"/>
  <c r="AF29" i="1"/>
  <c r="AB29" i="1"/>
  <c r="Z29" i="1"/>
  <c r="X29" i="1"/>
  <c r="V29" i="1"/>
  <c r="T29" i="1"/>
  <c r="R29" i="1"/>
  <c r="P29" i="1"/>
  <c r="N29" i="1"/>
  <c r="L29" i="1"/>
  <c r="J29" i="1"/>
  <c r="AC29" i="1" s="1"/>
  <c r="I122" i="2" s="1"/>
  <c r="L122" i="2" s="1"/>
  <c r="H29" i="1"/>
  <c r="F29" i="1"/>
  <c r="EB28" i="1"/>
  <c r="DZ28" i="1"/>
  <c r="DX28" i="1"/>
  <c r="DV28" i="1"/>
  <c r="DT28" i="1"/>
  <c r="DR28" i="1"/>
  <c r="DP28" i="1"/>
  <c r="DN28" i="1"/>
  <c r="DL28" i="1"/>
  <c r="DJ28" i="1"/>
  <c r="DH28" i="1"/>
  <c r="DF28" i="1"/>
  <c r="DB28" i="1"/>
  <c r="CZ28" i="1"/>
  <c r="CX28" i="1"/>
  <c r="CV28" i="1"/>
  <c r="CT28" i="1"/>
  <c r="CR28" i="1"/>
  <c r="CP28" i="1"/>
  <c r="CN28" i="1"/>
  <c r="CL28" i="1"/>
  <c r="CJ28" i="1"/>
  <c r="CH28" i="1"/>
  <c r="CF28" i="1"/>
  <c r="CD28" i="1"/>
  <c r="N119" i="2" s="1"/>
  <c r="CB28" i="1"/>
  <c r="BZ28" i="1"/>
  <c r="BX28" i="1"/>
  <c r="BV28" i="1"/>
  <c r="BT28" i="1"/>
  <c r="BR28" i="1"/>
  <c r="BP28" i="1"/>
  <c r="BN28" i="1"/>
  <c r="BL28" i="1"/>
  <c r="BJ28" i="1"/>
  <c r="CC28" i="1" s="1"/>
  <c r="I119" i="2" s="1"/>
  <c r="L119" i="2" s="1"/>
  <c r="BH28" i="1"/>
  <c r="BF28" i="1"/>
  <c r="BB28" i="1"/>
  <c r="AZ28" i="1"/>
  <c r="AX28" i="1"/>
  <c r="AV28" i="1"/>
  <c r="AT28" i="1"/>
  <c r="AR28" i="1"/>
  <c r="AP28" i="1"/>
  <c r="AN28" i="1"/>
  <c r="AL28" i="1"/>
  <c r="AJ28" i="1"/>
  <c r="AH28" i="1"/>
  <c r="AF28" i="1"/>
  <c r="AB28" i="1"/>
  <c r="Z28" i="1"/>
  <c r="X28" i="1"/>
  <c r="V28" i="1"/>
  <c r="T28" i="1"/>
  <c r="R28" i="1"/>
  <c r="P28" i="1"/>
  <c r="N28" i="1"/>
  <c r="L28" i="1"/>
  <c r="J28" i="1"/>
  <c r="H28" i="1"/>
  <c r="F28" i="1"/>
  <c r="EB27" i="1"/>
  <c r="DZ27" i="1"/>
  <c r="DX27" i="1"/>
  <c r="DV27" i="1"/>
  <c r="DT27" i="1"/>
  <c r="DR27" i="1"/>
  <c r="DP27" i="1"/>
  <c r="DN27" i="1"/>
  <c r="DL27" i="1"/>
  <c r="DJ27" i="1"/>
  <c r="DH27" i="1"/>
  <c r="DF27" i="1"/>
  <c r="DB27" i="1"/>
  <c r="CZ27" i="1"/>
  <c r="CX27" i="1"/>
  <c r="CV27" i="1"/>
  <c r="CT27" i="1"/>
  <c r="CR27" i="1"/>
  <c r="CP27" i="1"/>
  <c r="CN27" i="1"/>
  <c r="CL27" i="1"/>
  <c r="CJ27" i="1"/>
  <c r="CH27" i="1"/>
  <c r="CF27" i="1"/>
  <c r="CB27" i="1"/>
  <c r="BZ27" i="1"/>
  <c r="BX27" i="1"/>
  <c r="BV27" i="1"/>
  <c r="BT27" i="1"/>
  <c r="BR27" i="1"/>
  <c r="BP27" i="1"/>
  <c r="BN27" i="1"/>
  <c r="CD27" i="1" s="1"/>
  <c r="N114" i="2" s="1"/>
  <c r="BL27" i="1"/>
  <c r="BJ27" i="1"/>
  <c r="BH27" i="1"/>
  <c r="BF27" i="1"/>
  <c r="BB27" i="1"/>
  <c r="AZ27" i="1"/>
  <c r="AX27" i="1"/>
  <c r="AV27" i="1"/>
  <c r="AT27" i="1"/>
  <c r="AR27" i="1"/>
  <c r="AP27" i="1"/>
  <c r="AN27" i="1"/>
  <c r="AL27" i="1"/>
  <c r="AJ27" i="1"/>
  <c r="BC27" i="1" s="1"/>
  <c r="I113" i="2" s="1"/>
  <c r="L113" i="2" s="1"/>
  <c r="AH27" i="1"/>
  <c r="AF27" i="1"/>
  <c r="BD27" i="1" s="1"/>
  <c r="N113" i="2" s="1"/>
  <c r="AB27" i="1"/>
  <c r="Z27" i="1"/>
  <c r="X27" i="1"/>
  <c r="V27" i="1"/>
  <c r="T27" i="1"/>
  <c r="R27" i="1"/>
  <c r="P27" i="1"/>
  <c r="N27" i="1"/>
  <c r="L27" i="1"/>
  <c r="J27" i="1"/>
  <c r="H27" i="1"/>
  <c r="F27" i="1"/>
  <c r="EB26" i="1"/>
  <c r="DZ26" i="1"/>
  <c r="DX26" i="1"/>
  <c r="DV26" i="1"/>
  <c r="DT26" i="1"/>
  <c r="DR26" i="1"/>
  <c r="DP26" i="1"/>
  <c r="DN26" i="1"/>
  <c r="DL26" i="1"/>
  <c r="DJ26" i="1"/>
  <c r="DH26" i="1"/>
  <c r="DF26" i="1"/>
  <c r="DD26" i="1"/>
  <c r="N110" i="2" s="1"/>
  <c r="DB26" i="1"/>
  <c r="CZ26" i="1"/>
  <c r="CX26" i="1"/>
  <c r="CV26" i="1"/>
  <c r="CT26" i="1"/>
  <c r="CR26" i="1"/>
  <c r="CP26" i="1"/>
  <c r="CN26" i="1"/>
  <c r="CL26" i="1"/>
  <c r="CJ26" i="1"/>
  <c r="DC26" i="1" s="1"/>
  <c r="I110" i="2" s="1"/>
  <c r="L110" i="2" s="1"/>
  <c r="CH26" i="1"/>
  <c r="CF26" i="1"/>
  <c r="CB26" i="1"/>
  <c r="BZ26" i="1"/>
  <c r="BX26" i="1"/>
  <c r="BV26" i="1"/>
  <c r="BT26" i="1"/>
  <c r="BR26" i="1"/>
  <c r="BP26" i="1"/>
  <c r="BN26" i="1"/>
  <c r="BL26" i="1"/>
  <c r="BJ26" i="1"/>
  <c r="BH26" i="1"/>
  <c r="BF26" i="1"/>
  <c r="BB26" i="1"/>
  <c r="AZ26" i="1"/>
  <c r="AX26" i="1"/>
  <c r="AV26" i="1"/>
  <c r="AT26" i="1"/>
  <c r="AR26" i="1"/>
  <c r="AP26" i="1"/>
  <c r="AN26" i="1"/>
  <c r="AL26" i="1"/>
  <c r="AJ26" i="1"/>
  <c r="AH26" i="1"/>
  <c r="AF26" i="1"/>
  <c r="AB26" i="1"/>
  <c r="Z26" i="1"/>
  <c r="X26" i="1"/>
  <c r="V26" i="1"/>
  <c r="T26" i="1"/>
  <c r="R26" i="1"/>
  <c r="P26" i="1"/>
  <c r="N26" i="1"/>
  <c r="L26" i="1"/>
  <c r="J26" i="1"/>
  <c r="H26" i="1"/>
  <c r="F26" i="1"/>
  <c r="EE26" i="1" s="1"/>
  <c r="EB25" i="1"/>
  <c r="DZ25" i="1"/>
  <c r="DX25" i="1"/>
  <c r="DV25" i="1"/>
  <c r="DT25" i="1"/>
  <c r="DR25" i="1"/>
  <c r="DP25" i="1"/>
  <c r="DN25" i="1"/>
  <c r="DL25" i="1"/>
  <c r="DJ25" i="1"/>
  <c r="DH25" i="1"/>
  <c r="DF25" i="1"/>
  <c r="ED25" i="1" s="1"/>
  <c r="N106" i="2" s="1"/>
  <c r="DB25" i="1"/>
  <c r="CZ25" i="1"/>
  <c r="CX25" i="1"/>
  <c r="CV25" i="1"/>
  <c r="CT25" i="1"/>
  <c r="CR25" i="1"/>
  <c r="CP25" i="1"/>
  <c r="CN25" i="1"/>
  <c r="DD25" i="1" s="1"/>
  <c r="N105" i="2" s="1"/>
  <c r="CL25" i="1"/>
  <c r="CJ25" i="1"/>
  <c r="CH25" i="1"/>
  <c r="CF25" i="1"/>
  <c r="CB25" i="1"/>
  <c r="BZ25" i="1"/>
  <c r="BX25" i="1"/>
  <c r="BV25" i="1"/>
  <c r="BT25" i="1"/>
  <c r="BR25" i="1"/>
  <c r="BP25" i="1"/>
  <c r="BN25" i="1"/>
  <c r="BL25" i="1"/>
  <c r="BJ25" i="1"/>
  <c r="CC25" i="1" s="1"/>
  <c r="I104" i="2" s="1"/>
  <c r="L104" i="2" s="1"/>
  <c r="BH25" i="1"/>
  <c r="BF25" i="1"/>
  <c r="CD25" i="1" s="1"/>
  <c r="N104" i="2" s="1"/>
  <c r="BB25" i="1"/>
  <c r="AZ25" i="1"/>
  <c r="AX25" i="1"/>
  <c r="AV25" i="1"/>
  <c r="AT25" i="1"/>
  <c r="AR25" i="1"/>
  <c r="AP25" i="1"/>
  <c r="AN25" i="1"/>
  <c r="AL25" i="1"/>
  <c r="AJ25" i="1"/>
  <c r="AH25" i="1"/>
  <c r="AF25" i="1"/>
  <c r="AB25" i="1"/>
  <c r="Z25" i="1"/>
  <c r="X25" i="1"/>
  <c r="V25" i="1"/>
  <c r="T25" i="1"/>
  <c r="R25" i="1"/>
  <c r="P25" i="1"/>
  <c r="N25" i="1"/>
  <c r="L25" i="1"/>
  <c r="J25" i="1"/>
  <c r="H25" i="1"/>
  <c r="F25" i="1"/>
  <c r="AD25" i="1" s="1"/>
  <c r="N102" i="2" s="1"/>
  <c r="EB24" i="1"/>
  <c r="DZ24" i="1"/>
  <c r="DX24" i="1"/>
  <c r="DV24" i="1"/>
  <c r="DT24" i="1"/>
  <c r="DR24" i="1"/>
  <c r="DP24" i="1"/>
  <c r="ED24" i="1" s="1"/>
  <c r="N101" i="2" s="1"/>
  <c r="DN24" i="1"/>
  <c r="DL24" i="1"/>
  <c r="DJ24" i="1"/>
  <c r="DH24" i="1"/>
  <c r="DF24" i="1"/>
  <c r="DB24" i="1"/>
  <c r="CZ24" i="1"/>
  <c r="CX24" i="1"/>
  <c r="CV24" i="1"/>
  <c r="CT24" i="1"/>
  <c r="CR24" i="1"/>
  <c r="CP24" i="1"/>
  <c r="CN24" i="1"/>
  <c r="CL24" i="1"/>
  <c r="CJ24" i="1"/>
  <c r="CH24" i="1"/>
  <c r="CF24" i="1"/>
  <c r="CB24" i="1"/>
  <c r="BZ24" i="1"/>
  <c r="BX24" i="1"/>
  <c r="BV24" i="1"/>
  <c r="BT24" i="1"/>
  <c r="BR24" i="1"/>
  <c r="BP24" i="1"/>
  <c r="BN24" i="1"/>
  <c r="BL24" i="1"/>
  <c r="BJ24" i="1"/>
  <c r="BH24" i="1"/>
  <c r="BF24" i="1"/>
  <c r="BB24" i="1"/>
  <c r="AZ24" i="1"/>
  <c r="AX24" i="1"/>
  <c r="AV24" i="1"/>
  <c r="AT24" i="1"/>
  <c r="AR24" i="1"/>
  <c r="AP24" i="1"/>
  <c r="AN24" i="1"/>
  <c r="AL24" i="1"/>
  <c r="AJ24" i="1"/>
  <c r="AH24" i="1"/>
  <c r="AF24" i="1"/>
  <c r="AD24" i="1"/>
  <c r="N97" i="2" s="1"/>
  <c r="AB24" i="1"/>
  <c r="Z24" i="1"/>
  <c r="X24" i="1"/>
  <c r="V24" i="1"/>
  <c r="T24" i="1"/>
  <c r="R24" i="1"/>
  <c r="P24" i="1"/>
  <c r="N24" i="1"/>
  <c r="L24" i="1"/>
  <c r="J24" i="1"/>
  <c r="AC24" i="1" s="1"/>
  <c r="I97" i="2" s="1"/>
  <c r="L97" i="2" s="1"/>
  <c r="H24" i="1"/>
  <c r="F24" i="1"/>
  <c r="EB23" i="1"/>
  <c r="DZ23" i="1"/>
  <c r="DX23" i="1"/>
  <c r="DV23" i="1"/>
  <c r="DT23" i="1"/>
  <c r="DR23" i="1"/>
  <c r="DP23" i="1"/>
  <c r="DN23" i="1"/>
  <c r="ED23" i="1" s="1"/>
  <c r="N96" i="2" s="1"/>
  <c r="DL23" i="1"/>
  <c r="DJ23" i="1"/>
  <c r="DH23" i="1"/>
  <c r="DF23" i="1"/>
  <c r="DB23" i="1"/>
  <c r="CZ23" i="1"/>
  <c r="CX23" i="1"/>
  <c r="CV23" i="1"/>
  <c r="CT23" i="1"/>
  <c r="CR23" i="1"/>
  <c r="CP23" i="1"/>
  <c r="CN23" i="1"/>
  <c r="CL23" i="1"/>
  <c r="CJ23" i="1"/>
  <c r="DC23" i="1" s="1"/>
  <c r="I95" i="2" s="1"/>
  <c r="L95" i="2" s="1"/>
  <c r="CH23" i="1"/>
  <c r="CF23" i="1"/>
  <c r="CB23" i="1"/>
  <c r="BZ23" i="1"/>
  <c r="BX23" i="1"/>
  <c r="BV23" i="1"/>
  <c r="BT23" i="1"/>
  <c r="BR23" i="1"/>
  <c r="BP23" i="1"/>
  <c r="BN23" i="1"/>
  <c r="BL23" i="1"/>
  <c r="BJ23" i="1"/>
  <c r="BH23" i="1"/>
  <c r="BF23" i="1"/>
  <c r="BB23" i="1"/>
  <c r="AZ23" i="1"/>
  <c r="AX23" i="1"/>
  <c r="AV23" i="1"/>
  <c r="AT23" i="1"/>
  <c r="AR23" i="1"/>
  <c r="AP23" i="1"/>
  <c r="AN23" i="1"/>
  <c r="AL23" i="1"/>
  <c r="AJ23" i="1"/>
  <c r="AH23" i="1"/>
  <c r="AF23" i="1"/>
  <c r="BD23" i="1" s="1"/>
  <c r="N93" i="2" s="1"/>
  <c r="AB23" i="1"/>
  <c r="Z23" i="1"/>
  <c r="X23" i="1"/>
  <c r="V23" i="1"/>
  <c r="T23" i="1"/>
  <c r="R23" i="1"/>
  <c r="P23" i="1"/>
  <c r="N23" i="1"/>
  <c r="L23" i="1"/>
  <c r="J23" i="1"/>
  <c r="H23" i="1"/>
  <c r="F23" i="1"/>
  <c r="EB22" i="1"/>
  <c r="DZ22" i="1"/>
  <c r="DX22" i="1"/>
  <c r="DV22" i="1"/>
  <c r="DT22" i="1"/>
  <c r="DR22" i="1"/>
  <c r="DP22" i="1"/>
  <c r="DN22" i="1"/>
  <c r="DL22" i="1"/>
  <c r="DJ22" i="1"/>
  <c r="DH22" i="1"/>
  <c r="DF22" i="1"/>
  <c r="DB22" i="1"/>
  <c r="CZ22" i="1"/>
  <c r="CX22" i="1"/>
  <c r="CV22" i="1"/>
  <c r="CT22" i="1"/>
  <c r="CR22" i="1"/>
  <c r="CP22" i="1"/>
  <c r="CN22" i="1"/>
  <c r="CL22" i="1"/>
  <c r="CJ22" i="1"/>
  <c r="CH22" i="1"/>
  <c r="CF22" i="1"/>
  <c r="M90" i="2" s="1"/>
  <c r="CB22" i="1"/>
  <c r="BZ22" i="1"/>
  <c r="BX22" i="1"/>
  <c r="BV22" i="1"/>
  <c r="BT22" i="1"/>
  <c r="BR22" i="1"/>
  <c r="BP22" i="1"/>
  <c r="BN22" i="1"/>
  <c r="BL22" i="1"/>
  <c r="BJ22" i="1"/>
  <c r="BH22" i="1"/>
  <c r="BF22" i="1"/>
  <c r="BB22" i="1"/>
  <c r="AZ22" i="1"/>
  <c r="AX22" i="1"/>
  <c r="AV22" i="1"/>
  <c r="AT22" i="1"/>
  <c r="AR22" i="1"/>
  <c r="AP22" i="1"/>
  <c r="BD22" i="1" s="1"/>
  <c r="N88" i="2" s="1"/>
  <c r="AN22" i="1"/>
  <c r="AL22" i="1"/>
  <c r="AJ22" i="1"/>
  <c r="AH22" i="1"/>
  <c r="AF22" i="1"/>
  <c r="AB22" i="1"/>
  <c r="Z22" i="1"/>
  <c r="X22" i="1"/>
  <c r="V22" i="1"/>
  <c r="T22" i="1"/>
  <c r="R22" i="1"/>
  <c r="P22" i="1"/>
  <c r="N22" i="1"/>
  <c r="L22" i="1"/>
  <c r="J22" i="1"/>
  <c r="H22" i="1"/>
  <c r="F22" i="1"/>
  <c r="EB21" i="1"/>
  <c r="DZ21" i="1"/>
  <c r="DX21" i="1"/>
  <c r="DV21" i="1"/>
  <c r="DT21" i="1"/>
  <c r="DR21" i="1"/>
  <c r="DP21" i="1"/>
  <c r="DN21" i="1"/>
  <c r="DL21" i="1"/>
  <c r="DJ21" i="1"/>
  <c r="EC21" i="1" s="1"/>
  <c r="I86" i="2" s="1"/>
  <c r="L86" i="2" s="1"/>
  <c r="DH21" i="1"/>
  <c r="DF21" i="1"/>
  <c r="ED21" i="1" s="1"/>
  <c r="N86" i="2" s="1"/>
  <c r="DB21" i="1"/>
  <c r="CZ21" i="1"/>
  <c r="CX21" i="1"/>
  <c r="CV21" i="1"/>
  <c r="CT21" i="1"/>
  <c r="CR21" i="1"/>
  <c r="CP21" i="1"/>
  <c r="CN21" i="1"/>
  <c r="CL21" i="1"/>
  <c r="CJ21" i="1"/>
  <c r="CH21" i="1"/>
  <c r="CF21" i="1"/>
  <c r="CB21" i="1"/>
  <c r="BZ21" i="1"/>
  <c r="BX21" i="1"/>
  <c r="BV21" i="1"/>
  <c r="BT21" i="1"/>
  <c r="BR21" i="1"/>
  <c r="BP21" i="1"/>
  <c r="BN21" i="1"/>
  <c r="BL21" i="1"/>
  <c r="BJ21" i="1"/>
  <c r="BH21" i="1"/>
  <c r="BF21" i="1"/>
  <c r="CD21" i="1" s="1"/>
  <c r="N84" i="2" s="1"/>
  <c r="BB21" i="1"/>
  <c r="AZ21" i="1"/>
  <c r="AX21" i="1"/>
  <c r="AV21" i="1"/>
  <c r="AT21" i="1"/>
  <c r="AR21" i="1"/>
  <c r="AP21" i="1"/>
  <c r="AN21" i="1"/>
  <c r="BD21" i="1" s="1"/>
  <c r="N83" i="2" s="1"/>
  <c r="AL21" i="1"/>
  <c r="AJ21" i="1"/>
  <c r="AH21" i="1"/>
  <c r="AF21" i="1"/>
  <c r="AB21" i="1"/>
  <c r="Z21" i="1"/>
  <c r="X21" i="1"/>
  <c r="V21" i="1"/>
  <c r="T21" i="1"/>
  <c r="R21" i="1"/>
  <c r="P21" i="1"/>
  <c r="N21" i="1"/>
  <c r="L21" i="1"/>
  <c r="J21" i="1"/>
  <c r="AC21" i="1" s="1"/>
  <c r="I82" i="2" s="1"/>
  <c r="L82" i="2" s="1"/>
  <c r="H21" i="1"/>
  <c r="F21" i="1"/>
  <c r="EB20" i="1"/>
  <c r="DZ20" i="1"/>
  <c r="DX20" i="1"/>
  <c r="DV20" i="1"/>
  <c r="DT20" i="1"/>
  <c r="DR20" i="1"/>
  <c r="DP20" i="1"/>
  <c r="DN20" i="1"/>
  <c r="DL20" i="1"/>
  <c r="DJ20" i="1"/>
  <c r="DH20" i="1"/>
  <c r="DF20" i="1"/>
  <c r="DB20" i="1"/>
  <c r="CZ20" i="1"/>
  <c r="CX20" i="1"/>
  <c r="CV20" i="1"/>
  <c r="CT20" i="1"/>
  <c r="CR20" i="1"/>
  <c r="CP20" i="1"/>
  <c r="CN20" i="1"/>
  <c r="CL20" i="1"/>
  <c r="CJ20" i="1"/>
  <c r="CH20" i="1"/>
  <c r="CF20" i="1"/>
  <c r="CD20" i="1"/>
  <c r="N79" i="2" s="1"/>
  <c r="CB20" i="1"/>
  <c r="BZ20" i="1"/>
  <c r="BX20" i="1"/>
  <c r="BV20" i="1"/>
  <c r="BT20" i="1"/>
  <c r="BR20" i="1"/>
  <c r="BP20" i="1"/>
  <c r="BN20" i="1"/>
  <c r="BL20" i="1"/>
  <c r="BJ20" i="1"/>
  <c r="BH20" i="1"/>
  <c r="BF20" i="1"/>
  <c r="BB20" i="1"/>
  <c r="AZ20" i="1"/>
  <c r="AX20" i="1"/>
  <c r="AV20" i="1"/>
  <c r="AT20" i="1"/>
  <c r="AR20" i="1"/>
  <c r="AP20" i="1"/>
  <c r="AN20" i="1"/>
  <c r="AL20" i="1"/>
  <c r="AJ20" i="1"/>
  <c r="AH20" i="1"/>
  <c r="AF20" i="1"/>
  <c r="AB20" i="1"/>
  <c r="Z20" i="1"/>
  <c r="X20" i="1"/>
  <c r="V20" i="1"/>
  <c r="T20" i="1"/>
  <c r="R20" i="1"/>
  <c r="P20" i="1"/>
  <c r="N20" i="1"/>
  <c r="L20" i="1"/>
  <c r="J20" i="1"/>
  <c r="H20" i="1"/>
  <c r="EE20" i="1" s="1"/>
  <c r="F20" i="1"/>
  <c r="EB19" i="1"/>
  <c r="DZ19" i="1"/>
  <c r="DX19" i="1"/>
  <c r="DV19" i="1"/>
  <c r="DT19" i="1"/>
  <c r="DR19" i="1"/>
  <c r="DP19" i="1"/>
  <c r="DN19" i="1"/>
  <c r="DL19" i="1"/>
  <c r="DJ19" i="1"/>
  <c r="DH19" i="1"/>
  <c r="DF19" i="1"/>
  <c r="DB19" i="1"/>
  <c r="CZ19" i="1"/>
  <c r="CX19" i="1"/>
  <c r="CV19" i="1"/>
  <c r="CT19" i="1"/>
  <c r="CR19" i="1"/>
  <c r="CP19" i="1"/>
  <c r="CN19" i="1"/>
  <c r="CL19" i="1"/>
  <c r="CJ19" i="1"/>
  <c r="CH19" i="1"/>
  <c r="CF19" i="1"/>
  <c r="CB19" i="1"/>
  <c r="BZ19" i="1"/>
  <c r="BX19" i="1"/>
  <c r="BV19" i="1"/>
  <c r="BT19" i="1"/>
  <c r="BR19" i="1"/>
  <c r="BP19" i="1"/>
  <c r="BN19" i="1"/>
  <c r="CD19" i="1" s="1"/>
  <c r="N74" i="2" s="1"/>
  <c r="BL19" i="1"/>
  <c r="BJ19" i="1"/>
  <c r="BH19" i="1"/>
  <c r="BF19" i="1"/>
  <c r="BB19" i="1"/>
  <c r="AZ19" i="1"/>
  <c r="AX19" i="1"/>
  <c r="AV19" i="1"/>
  <c r="AT19" i="1"/>
  <c r="AR19" i="1"/>
  <c r="AP19" i="1"/>
  <c r="AN19" i="1"/>
  <c r="AL19" i="1"/>
  <c r="AJ19" i="1"/>
  <c r="BC19" i="1" s="1"/>
  <c r="I73" i="2" s="1"/>
  <c r="L73" i="2" s="1"/>
  <c r="AH19" i="1"/>
  <c r="AF19" i="1"/>
  <c r="AB19" i="1"/>
  <c r="Z19" i="1"/>
  <c r="X19" i="1"/>
  <c r="V19" i="1"/>
  <c r="T19" i="1"/>
  <c r="R19" i="1"/>
  <c r="P19" i="1"/>
  <c r="N19" i="1"/>
  <c r="L19" i="1"/>
  <c r="J19" i="1"/>
  <c r="H19" i="1"/>
  <c r="F19" i="1"/>
  <c r="EB18" i="1"/>
  <c r="DZ18" i="1"/>
  <c r="DX18" i="1"/>
  <c r="DV18" i="1"/>
  <c r="DT18" i="1"/>
  <c r="DR18" i="1"/>
  <c r="DP18" i="1"/>
  <c r="DN18" i="1"/>
  <c r="DL18" i="1"/>
  <c r="DJ18" i="1"/>
  <c r="DH18" i="1"/>
  <c r="DF18" i="1"/>
  <c r="DD18" i="1"/>
  <c r="N70" i="2" s="1"/>
  <c r="DB18" i="1"/>
  <c r="CZ18" i="1"/>
  <c r="CX18" i="1"/>
  <c r="CV18" i="1"/>
  <c r="CT18" i="1"/>
  <c r="CR18" i="1"/>
  <c r="CP18" i="1"/>
  <c r="CN18" i="1"/>
  <c r="CL18" i="1"/>
  <c r="CJ18" i="1"/>
  <c r="CH18" i="1"/>
  <c r="CF18" i="1"/>
  <c r="CB18" i="1"/>
  <c r="BZ18" i="1"/>
  <c r="BX18" i="1"/>
  <c r="BV18" i="1"/>
  <c r="BT18" i="1"/>
  <c r="BR18" i="1"/>
  <c r="BP18" i="1"/>
  <c r="BN18" i="1"/>
  <c r="BL18" i="1"/>
  <c r="BJ18" i="1"/>
  <c r="BH18" i="1"/>
  <c r="BF18" i="1"/>
  <c r="BB18" i="1"/>
  <c r="AZ18" i="1"/>
  <c r="AX18" i="1"/>
  <c r="AV18" i="1"/>
  <c r="AT18" i="1"/>
  <c r="AR18" i="1"/>
  <c r="AP18" i="1"/>
  <c r="AN18" i="1"/>
  <c r="AL18" i="1"/>
  <c r="AJ18" i="1"/>
  <c r="AH18" i="1"/>
  <c r="AF18" i="1"/>
  <c r="AB18" i="1"/>
  <c r="Z18" i="1"/>
  <c r="X18" i="1"/>
  <c r="V18" i="1"/>
  <c r="T18" i="1"/>
  <c r="R18" i="1"/>
  <c r="P18" i="1"/>
  <c r="N18" i="1"/>
  <c r="L18" i="1"/>
  <c r="J18" i="1"/>
  <c r="H18" i="1"/>
  <c r="F18" i="1"/>
  <c r="EE18" i="1" s="1"/>
  <c r="EB17" i="1"/>
  <c r="DZ17" i="1"/>
  <c r="DX17" i="1"/>
  <c r="DV17" i="1"/>
  <c r="DT17" i="1"/>
  <c r="DR17" i="1"/>
  <c r="DP17" i="1"/>
  <c r="DN17" i="1"/>
  <c r="DL17" i="1"/>
  <c r="DJ17" i="1"/>
  <c r="DH17" i="1"/>
  <c r="DF17" i="1"/>
  <c r="ED17" i="1" s="1"/>
  <c r="N66" i="2" s="1"/>
  <c r="DB17" i="1"/>
  <c r="CZ17" i="1"/>
  <c r="CX17" i="1"/>
  <c r="CV17" i="1"/>
  <c r="CT17" i="1"/>
  <c r="CR17" i="1"/>
  <c r="CP17" i="1"/>
  <c r="CN17" i="1"/>
  <c r="DD17" i="1" s="1"/>
  <c r="N65" i="2" s="1"/>
  <c r="CL17" i="1"/>
  <c r="CJ17" i="1"/>
  <c r="CH17" i="1"/>
  <c r="CF17" i="1"/>
  <c r="CB17" i="1"/>
  <c r="BZ17" i="1"/>
  <c r="BX17" i="1"/>
  <c r="BV17" i="1"/>
  <c r="BT17" i="1"/>
  <c r="BR17" i="1"/>
  <c r="BP17" i="1"/>
  <c r="BN17" i="1"/>
  <c r="BL17" i="1"/>
  <c r="BJ17" i="1"/>
  <c r="CC17" i="1" s="1"/>
  <c r="I64" i="2" s="1"/>
  <c r="L64" i="2" s="1"/>
  <c r="BH17" i="1"/>
  <c r="BF17" i="1"/>
  <c r="CD17" i="1" s="1"/>
  <c r="N64" i="2" s="1"/>
  <c r="BB17" i="1"/>
  <c r="AZ17" i="1"/>
  <c r="AX17" i="1"/>
  <c r="AV17" i="1"/>
  <c r="AT17" i="1"/>
  <c r="AR17" i="1"/>
  <c r="AP17" i="1"/>
  <c r="AN17" i="1"/>
  <c r="AL17" i="1"/>
  <c r="AJ17" i="1"/>
  <c r="AH17" i="1"/>
  <c r="AF17" i="1"/>
  <c r="AB17" i="1"/>
  <c r="Z17" i="1"/>
  <c r="X17" i="1"/>
  <c r="V17" i="1"/>
  <c r="T17" i="1"/>
  <c r="R17" i="1"/>
  <c r="EE17" i="1" s="1"/>
  <c r="P17" i="1"/>
  <c r="N17" i="1"/>
  <c r="L17" i="1"/>
  <c r="J17" i="1"/>
  <c r="H17" i="1"/>
  <c r="F17" i="1"/>
  <c r="ED16" i="1"/>
  <c r="N61" i="2" s="1"/>
  <c r="EB16" i="1"/>
  <c r="DZ16" i="1"/>
  <c r="DX16" i="1"/>
  <c r="DV16" i="1"/>
  <c r="DT16" i="1"/>
  <c r="DR16" i="1"/>
  <c r="DP16" i="1"/>
  <c r="DN16" i="1"/>
  <c r="DL16" i="1"/>
  <c r="DJ16" i="1"/>
  <c r="DH16" i="1"/>
  <c r="DF16" i="1"/>
  <c r="DB16" i="1"/>
  <c r="CZ16" i="1"/>
  <c r="CX16" i="1"/>
  <c r="CV16" i="1"/>
  <c r="CT16" i="1"/>
  <c r="CR16" i="1"/>
  <c r="CP16" i="1"/>
  <c r="CN16" i="1"/>
  <c r="CL16" i="1"/>
  <c r="CJ16" i="1"/>
  <c r="CH16" i="1"/>
  <c r="CF16" i="1"/>
  <c r="CB16" i="1"/>
  <c r="BZ16" i="1"/>
  <c r="BX16" i="1"/>
  <c r="BV16" i="1"/>
  <c r="BT16" i="1"/>
  <c r="BR16" i="1"/>
  <c r="BP16" i="1"/>
  <c r="BN16" i="1"/>
  <c r="BL16" i="1"/>
  <c r="BJ16" i="1"/>
  <c r="BH16" i="1"/>
  <c r="BF16" i="1"/>
  <c r="BB16" i="1"/>
  <c r="AZ16" i="1"/>
  <c r="AX16" i="1"/>
  <c r="AV16" i="1"/>
  <c r="AT16" i="1"/>
  <c r="AR16" i="1"/>
  <c r="AP16" i="1"/>
  <c r="AN16" i="1"/>
  <c r="AL16" i="1"/>
  <c r="AJ16" i="1"/>
  <c r="AH16" i="1"/>
  <c r="AF16" i="1"/>
  <c r="AD16" i="1"/>
  <c r="N57" i="2" s="1"/>
  <c r="AB16" i="1"/>
  <c r="Z16" i="1"/>
  <c r="X16" i="1"/>
  <c r="V16" i="1"/>
  <c r="T16" i="1"/>
  <c r="R16" i="1"/>
  <c r="P16" i="1"/>
  <c r="N16" i="1"/>
  <c r="L16" i="1"/>
  <c r="J16" i="1"/>
  <c r="H16" i="1"/>
  <c r="F16" i="1"/>
  <c r="EB15" i="1"/>
  <c r="DZ15" i="1"/>
  <c r="DX15" i="1"/>
  <c r="DV15" i="1"/>
  <c r="DT15" i="1"/>
  <c r="DR15" i="1"/>
  <c r="DP15" i="1"/>
  <c r="DN15" i="1"/>
  <c r="ED15" i="1" s="1"/>
  <c r="N56" i="2" s="1"/>
  <c r="DL15" i="1"/>
  <c r="DJ15" i="1"/>
  <c r="DH15" i="1"/>
  <c r="DF15" i="1"/>
  <c r="DB15" i="1"/>
  <c r="CZ15" i="1"/>
  <c r="CX15" i="1"/>
  <c r="CV15" i="1"/>
  <c r="CT15" i="1"/>
  <c r="CR15" i="1"/>
  <c r="CP15" i="1"/>
  <c r="CN15" i="1"/>
  <c r="CL15" i="1"/>
  <c r="CJ15" i="1"/>
  <c r="DC15" i="1" s="1"/>
  <c r="I55" i="2" s="1"/>
  <c r="L55" i="2" s="1"/>
  <c r="CH15" i="1"/>
  <c r="CF15" i="1"/>
  <c r="DD15" i="1" s="1"/>
  <c r="N55" i="2" s="1"/>
  <c r="CB15" i="1"/>
  <c r="BZ15" i="1"/>
  <c r="BX15" i="1"/>
  <c r="BV15" i="1"/>
  <c r="BT15" i="1"/>
  <c r="BR15" i="1"/>
  <c r="BP15" i="1"/>
  <c r="BN15" i="1"/>
  <c r="BL15" i="1"/>
  <c r="BJ15" i="1"/>
  <c r="BH15" i="1"/>
  <c r="BF15" i="1"/>
  <c r="BB15" i="1"/>
  <c r="AZ15" i="1"/>
  <c r="AX15" i="1"/>
  <c r="AV15" i="1"/>
  <c r="AT15" i="1"/>
  <c r="AR15" i="1"/>
  <c r="AP15" i="1"/>
  <c r="AN15" i="1"/>
  <c r="AL15" i="1"/>
  <c r="AJ15" i="1"/>
  <c r="AH15" i="1"/>
  <c r="AF15" i="1"/>
  <c r="BD15" i="1" s="1"/>
  <c r="N53" i="2" s="1"/>
  <c r="AB15" i="1"/>
  <c r="Z15" i="1"/>
  <c r="X15" i="1"/>
  <c r="V15" i="1"/>
  <c r="T15" i="1"/>
  <c r="R15" i="1"/>
  <c r="P15" i="1"/>
  <c r="N15" i="1"/>
  <c r="L15" i="1"/>
  <c r="J15" i="1"/>
  <c r="H15" i="1"/>
  <c r="F15" i="1"/>
  <c r="EB14" i="1"/>
  <c r="DZ14" i="1"/>
  <c r="DX14" i="1"/>
  <c r="DV14" i="1"/>
  <c r="DT14" i="1"/>
  <c r="DR14" i="1"/>
  <c r="DP14" i="1"/>
  <c r="DN14" i="1"/>
  <c r="DL14" i="1"/>
  <c r="DJ14" i="1"/>
  <c r="DH14" i="1"/>
  <c r="DF14" i="1"/>
  <c r="DB14" i="1"/>
  <c r="CZ14" i="1"/>
  <c r="CX14" i="1"/>
  <c r="CV14" i="1"/>
  <c r="CT14" i="1"/>
  <c r="CR14" i="1"/>
  <c r="CP14" i="1"/>
  <c r="CN14" i="1"/>
  <c r="CL14" i="1"/>
  <c r="CJ14" i="1"/>
  <c r="CH14" i="1"/>
  <c r="CF14" i="1"/>
  <c r="CB14" i="1"/>
  <c r="BZ14" i="1"/>
  <c r="BX14" i="1"/>
  <c r="BV14" i="1"/>
  <c r="BT14" i="1"/>
  <c r="BR14" i="1"/>
  <c r="BP14" i="1"/>
  <c r="BN14" i="1"/>
  <c r="BL14" i="1"/>
  <c r="BJ14" i="1"/>
  <c r="BH14" i="1"/>
  <c r="BF14" i="1"/>
  <c r="BD14" i="1"/>
  <c r="N48" i="2" s="1"/>
  <c r="BB14" i="1"/>
  <c r="AZ14" i="1"/>
  <c r="AX14" i="1"/>
  <c r="AV14" i="1"/>
  <c r="AT14" i="1"/>
  <c r="AR14" i="1"/>
  <c r="AP14" i="1"/>
  <c r="AN14" i="1"/>
  <c r="AL14" i="1"/>
  <c r="AJ14" i="1"/>
  <c r="AH14" i="1"/>
  <c r="AF14" i="1"/>
  <c r="AB14" i="1"/>
  <c r="Z14" i="1"/>
  <c r="X14" i="1"/>
  <c r="V14" i="1"/>
  <c r="T14" i="1"/>
  <c r="R14" i="1"/>
  <c r="P14" i="1"/>
  <c r="N14" i="1"/>
  <c r="L14" i="1"/>
  <c r="J14" i="1"/>
  <c r="H14" i="1"/>
  <c r="F14" i="1"/>
  <c r="EB13" i="1"/>
  <c r="DZ13" i="1"/>
  <c r="DX13" i="1"/>
  <c r="DV13" i="1"/>
  <c r="DT13" i="1"/>
  <c r="DR13" i="1"/>
  <c r="DP13" i="1"/>
  <c r="DN13" i="1"/>
  <c r="DL13" i="1"/>
  <c r="DJ13" i="1"/>
  <c r="EC13" i="1" s="1"/>
  <c r="I46" i="2" s="1"/>
  <c r="L46" i="2" s="1"/>
  <c r="DH13" i="1"/>
  <c r="DF13" i="1"/>
  <c r="ED13" i="1" s="1"/>
  <c r="N46" i="2" s="1"/>
  <c r="DB13" i="1"/>
  <c r="CZ13" i="1"/>
  <c r="CX13" i="1"/>
  <c r="CV13" i="1"/>
  <c r="CT13" i="1"/>
  <c r="CR13" i="1"/>
  <c r="CP13" i="1"/>
  <c r="CN13" i="1"/>
  <c r="CL13" i="1"/>
  <c r="CJ13" i="1"/>
  <c r="CH13" i="1"/>
  <c r="CF13" i="1"/>
  <c r="CB13" i="1"/>
  <c r="BZ13" i="1"/>
  <c r="BX13" i="1"/>
  <c r="BV13" i="1"/>
  <c r="BT13" i="1"/>
  <c r="BR13" i="1"/>
  <c r="BP13" i="1"/>
  <c r="BN13" i="1"/>
  <c r="BL13" i="1"/>
  <c r="BJ13" i="1"/>
  <c r="BH13" i="1"/>
  <c r="BF13" i="1"/>
  <c r="CD13" i="1" s="1"/>
  <c r="N44" i="2" s="1"/>
  <c r="BB13" i="1"/>
  <c r="AZ13" i="1"/>
  <c r="AX13" i="1"/>
  <c r="AV13" i="1"/>
  <c r="AT13" i="1"/>
  <c r="AR13" i="1"/>
  <c r="AP13" i="1"/>
  <c r="AN13" i="1"/>
  <c r="BD13" i="1" s="1"/>
  <c r="N43" i="2" s="1"/>
  <c r="AL13" i="1"/>
  <c r="AJ13" i="1"/>
  <c r="AH13" i="1"/>
  <c r="AF13" i="1"/>
  <c r="M43" i="2" s="1"/>
  <c r="AB13" i="1"/>
  <c r="Z13" i="1"/>
  <c r="X13" i="1"/>
  <c r="V13" i="1"/>
  <c r="T13" i="1"/>
  <c r="R13" i="1"/>
  <c r="P13" i="1"/>
  <c r="N13" i="1"/>
  <c r="L13" i="1"/>
  <c r="J13" i="1"/>
  <c r="AC13" i="1" s="1"/>
  <c r="I42" i="2" s="1"/>
  <c r="L42" i="2" s="1"/>
  <c r="H13" i="1"/>
  <c r="F13" i="1"/>
  <c r="EB12" i="1"/>
  <c r="DZ12" i="1"/>
  <c r="DX12" i="1"/>
  <c r="DV12" i="1"/>
  <c r="DT12" i="1"/>
  <c r="DR12" i="1"/>
  <c r="DP12" i="1"/>
  <c r="DN12" i="1"/>
  <c r="DL12" i="1"/>
  <c r="DJ12" i="1"/>
  <c r="DH12" i="1"/>
  <c r="DF12" i="1"/>
  <c r="DB12" i="1"/>
  <c r="CZ12" i="1"/>
  <c r="CX12" i="1"/>
  <c r="CV12" i="1"/>
  <c r="CT12" i="1"/>
  <c r="CR12" i="1"/>
  <c r="CP12" i="1"/>
  <c r="CN12" i="1"/>
  <c r="CL12" i="1"/>
  <c r="CJ12" i="1"/>
  <c r="CH12" i="1"/>
  <c r="CF12" i="1"/>
  <c r="CD12" i="1"/>
  <c r="N39" i="2" s="1"/>
  <c r="CB12" i="1"/>
  <c r="BZ12" i="1"/>
  <c r="BX12" i="1"/>
  <c r="BV12" i="1"/>
  <c r="BT12" i="1"/>
  <c r="BR12" i="1"/>
  <c r="BP12" i="1"/>
  <c r="BN12" i="1"/>
  <c r="BL12" i="1"/>
  <c r="BJ12" i="1"/>
  <c r="CC12" i="1" s="1"/>
  <c r="I39" i="2" s="1"/>
  <c r="L39" i="2" s="1"/>
  <c r="BH12" i="1"/>
  <c r="BF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M38" i="2" s="1"/>
  <c r="AB12" i="1"/>
  <c r="Z12" i="1"/>
  <c r="X12" i="1"/>
  <c r="V12" i="1"/>
  <c r="T12" i="1"/>
  <c r="R12" i="1"/>
  <c r="P12" i="1"/>
  <c r="N12" i="1"/>
  <c r="L12" i="1"/>
  <c r="J12" i="1"/>
  <c r="H12" i="1"/>
  <c r="F12" i="1"/>
  <c r="EB11" i="1"/>
  <c r="DZ11" i="1"/>
  <c r="DX11" i="1"/>
  <c r="DV11" i="1"/>
  <c r="DT11" i="1"/>
  <c r="DR11" i="1"/>
  <c r="DP11" i="1"/>
  <c r="DN11" i="1"/>
  <c r="DL11" i="1"/>
  <c r="DJ11" i="1"/>
  <c r="DH11" i="1"/>
  <c r="DF11" i="1"/>
  <c r="DB11" i="1"/>
  <c r="CZ11" i="1"/>
  <c r="CX11" i="1"/>
  <c r="CV11" i="1"/>
  <c r="CT11" i="1"/>
  <c r="CR11" i="1"/>
  <c r="CP11" i="1"/>
  <c r="CN11" i="1"/>
  <c r="CL11" i="1"/>
  <c r="CJ11" i="1"/>
  <c r="CH11" i="1"/>
  <c r="CF11" i="1"/>
  <c r="CB11" i="1"/>
  <c r="BZ11" i="1"/>
  <c r="BX11" i="1"/>
  <c r="BV11" i="1"/>
  <c r="BT11" i="1"/>
  <c r="BR11" i="1"/>
  <c r="BP11" i="1"/>
  <c r="BN11" i="1"/>
  <c r="CD11" i="1" s="1"/>
  <c r="N34" i="2" s="1"/>
  <c r="BL11" i="1"/>
  <c r="BJ11" i="1"/>
  <c r="BH11" i="1"/>
  <c r="BF11" i="1"/>
  <c r="BB11" i="1"/>
  <c r="AZ11" i="1"/>
  <c r="AX11" i="1"/>
  <c r="AV11" i="1"/>
  <c r="AT11" i="1"/>
  <c r="AR11" i="1"/>
  <c r="AP11" i="1"/>
  <c r="AN11" i="1"/>
  <c r="AL11" i="1"/>
  <c r="AJ11" i="1"/>
  <c r="BC11" i="1" s="1"/>
  <c r="I33" i="2" s="1"/>
  <c r="L33" i="2" s="1"/>
  <c r="AH11" i="1"/>
  <c r="AF11" i="1"/>
  <c r="AB11" i="1"/>
  <c r="Z11" i="1"/>
  <c r="X11" i="1"/>
  <c r="V11" i="1"/>
  <c r="T11" i="1"/>
  <c r="R11" i="1"/>
  <c r="P11" i="1"/>
  <c r="N11" i="1"/>
  <c r="L11" i="1"/>
  <c r="J11" i="1"/>
  <c r="H11" i="1"/>
  <c r="F11" i="1"/>
  <c r="EB10" i="1"/>
  <c r="DZ10" i="1"/>
  <c r="DX10" i="1"/>
  <c r="DV10" i="1"/>
  <c r="DT10" i="1"/>
  <c r="DR10" i="1"/>
  <c r="DP10" i="1"/>
  <c r="DN10" i="1"/>
  <c r="DL10" i="1"/>
  <c r="DJ10" i="1"/>
  <c r="DH10" i="1"/>
  <c r="DF10" i="1"/>
  <c r="DD10" i="1"/>
  <c r="N30" i="2" s="1"/>
  <c r="DB10" i="1"/>
  <c r="CZ10" i="1"/>
  <c r="CX10" i="1"/>
  <c r="CV10" i="1"/>
  <c r="CT10" i="1"/>
  <c r="CR10" i="1"/>
  <c r="CP10" i="1"/>
  <c r="CN10" i="1"/>
  <c r="CL10" i="1"/>
  <c r="CJ10" i="1"/>
  <c r="CH10" i="1"/>
  <c r="CF10" i="1"/>
  <c r="CB10" i="1"/>
  <c r="BZ10" i="1"/>
  <c r="BX10" i="1"/>
  <c r="BV10" i="1"/>
  <c r="BT10" i="1"/>
  <c r="BR10" i="1"/>
  <c r="BP10" i="1"/>
  <c r="BN10" i="1"/>
  <c r="BL10" i="1"/>
  <c r="BJ10" i="1"/>
  <c r="BH10" i="1"/>
  <c r="BF10" i="1"/>
  <c r="BB10" i="1"/>
  <c r="AZ10" i="1"/>
  <c r="AX10" i="1"/>
  <c r="AV10" i="1"/>
  <c r="AT10" i="1"/>
  <c r="AR10" i="1"/>
  <c r="AP10" i="1"/>
  <c r="AN10" i="1"/>
  <c r="AL10" i="1"/>
  <c r="AJ10" i="1"/>
  <c r="AH10" i="1"/>
  <c r="AF10" i="1"/>
  <c r="M28" i="2" s="1"/>
  <c r="AB10" i="1"/>
  <c r="Z10" i="1"/>
  <c r="X10" i="1"/>
  <c r="V10" i="1"/>
  <c r="T10" i="1"/>
  <c r="R10" i="1"/>
  <c r="P10" i="1"/>
  <c r="N10" i="1"/>
  <c r="L10" i="1"/>
  <c r="J10" i="1"/>
  <c r="H10" i="1"/>
  <c r="F10" i="1"/>
  <c r="EB9" i="1"/>
  <c r="DZ9" i="1"/>
  <c r="DX9" i="1"/>
  <c r="DV9" i="1"/>
  <c r="DT9" i="1"/>
  <c r="DR9" i="1"/>
  <c r="DP9" i="1"/>
  <c r="DN9" i="1"/>
  <c r="DL9" i="1"/>
  <c r="DJ9" i="1"/>
  <c r="DH9" i="1"/>
  <c r="DF9" i="1"/>
  <c r="ED9" i="1" s="1"/>
  <c r="N26" i="2" s="1"/>
  <c r="DB9" i="1"/>
  <c r="CZ9" i="1"/>
  <c r="CX9" i="1"/>
  <c r="CV9" i="1"/>
  <c r="CT9" i="1"/>
  <c r="CR9" i="1"/>
  <c r="CP9" i="1"/>
  <c r="CN9" i="1"/>
  <c r="DD9" i="1" s="1"/>
  <c r="N25" i="2" s="1"/>
  <c r="CL9" i="1"/>
  <c r="CJ9" i="1"/>
  <c r="CH9" i="1"/>
  <c r="CF9" i="1"/>
  <c r="CB9" i="1"/>
  <c r="BZ9" i="1"/>
  <c r="BX9" i="1"/>
  <c r="BV9" i="1"/>
  <c r="BT9" i="1"/>
  <c r="BR9" i="1"/>
  <c r="BP9" i="1"/>
  <c r="BN9" i="1"/>
  <c r="BL9" i="1"/>
  <c r="BJ9" i="1"/>
  <c r="CC9" i="1" s="1"/>
  <c r="I24" i="2" s="1"/>
  <c r="L24" i="2" s="1"/>
  <c r="BH9" i="1"/>
  <c r="BF9" i="1"/>
  <c r="BB9" i="1"/>
  <c r="AZ9" i="1"/>
  <c r="AX9" i="1"/>
  <c r="AV9" i="1"/>
  <c r="AT9" i="1"/>
  <c r="AR9" i="1"/>
  <c r="AP9" i="1"/>
  <c r="AN9" i="1"/>
  <c r="AL9" i="1"/>
  <c r="AJ9" i="1"/>
  <c r="AH9" i="1"/>
  <c r="AF9" i="1"/>
  <c r="AB9" i="1"/>
  <c r="Z9" i="1"/>
  <c r="X9" i="1"/>
  <c r="V9" i="1"/>
  <c r="T9" i="1"/>
  <c r="R9" i="1"/>
  <c r="EE9" i="1" s="1"/>
  <c r="P9" i="1"/>
  <c r="N9" i="1"/>
  <c r="L9" i="1"/>
  <c r="J9" i="1"/>
  <c r="H9" i="1"/>
  <c r="F9" i="1"/>
  <c r="ED8" i="1"/>
  <c r="N21" i="2" s="1"/>
  <c r="EB8" i="1"/>
  <c r="DZ8" i="1"/>
  <c r="DX8" i="1"/>
  <c r="DV8" i="1"/>
  <c r="DT8" i="1"/>
  <c r="DR8" i="1"/>
  <c r="DP8" i="1"/>
  <c r="DN8" i="1"/>
  <c r="DL8" i="1"/>
  <c r="EC8" i="1" s="1"/>
  <c r="I21" i="2" s="1"/>
  <c r="L21" i="2" s="1"/>
  <c r="DJ8" i="1"/>
  <c r="DH8" i="1"/>
  <c r="DF8" i="1"/>
  <c r="DB8" i="1"/>
  <c r="CZ8" i="1"/>
  <c r="CX8" i="1"/>
  <c r="CV8" i="1"/>
  <c r="CT8" i="1"/>
  <c r="CR8" i="1"/>
  <c r="CP8" i="1"/>
  <c r="CN8" i="1"/>
  <c r="CL8" i="1"/>
  <c r="CJ8" i="1"/>
  <c r="CH8" i="1"/>
  <c r="CF8" i="1"/>
  <c r="CB8" i="1"/>
  <c r="BZ8" i="1"/>
  <c r="BX8" i="1"/>
  <c r="BV8" i="1"/>
  <c r="BT8" i="1"/>
  <c r="BR8" i="1"/>
  <c r="BP8" i="1"/>
  <c r="BN8" i="1"/>
  <c r="BL8" i="1"/>
  <c r="BJ8" i="1"/>
  <c r="BH8" i="1"/>
  <c r="BF8" i="1"/>
  <c r="BB8" i="1"/>
  <c r="AZ8" i="1"/>
  <c r="AX8" i="1"/>
  <c r="AV8" i="1"/>
  <c r="AT8" i="1"/>
  <c r="AR8" i="1"/>
  <c r="AP8" i="1"/>
  <c r="AN8" i="1"/>
  <c r="AL8" i="1"/>
  <c r="AJ8" i="1"/>
  <c r="AH8" i="1"/>
  <c r="AF8" i="1"/>
  <c r="AD8" i="1"/>
  <c r="N17" i="2" s="1"/>
  <c r="AB8" i="1"/>
  <c r="Z8" i="1"/>
  <c r="X8" i="1"/>
  <c r="V8" i="1"/>
  <c r="T8" i="1"/>
  <c r="R8" i="1"/>
  <c r="P8" i="1"/>
  <c r="N8" i="1"/>
  <c r="L8" i="1"/>
  <c r="J8" i="1"/>
  <c r="H8" i="1"/>
  <c r="F8" i="1"/>
  <c r="EB7" i="1"/>
  <c r="DZ7" i="1"/>
  <c r="DX7" i="1"/>
  <c r="DV7" i="1"/>
  <c r="DT7" i="1"/>
  <c r="DR7" i="1"/>
  <c r="DP7" i="1"/>
  <c r="DN7" i="1"/>
  <c r="ED7" i="1" s="1"/>
  <c r="N16" i="2" s="1"/>
  <c r="DL7" i="1"/>
  <c r="DJ7" i="1"/>
  <c r="DH7" i="1"/>
  <c r="DF7" i="1"/>
  <c r="DB7" i="1"/>
  <c r="CZ7" i="1"/>
  <c r="CX7" i="1"/>
  <c r="CV7" i="1"/>
  <c r="CT7" i="1"/>
  <c r="CR7" i="1"/>
  <c r="CP7" i="1"/>
  <c r="CN7" i="1"/>
  <c r="CL7" i="1"/>
  <c r="CJ7" i="1"/>
  <c r="DC7" i="1" s="1"/>
  <c r="I15" i="2" s="1"/>
  <c r="L15" i="2" s="1"/>
  <c r="CH7" i="1"/>
  <c r="CF7" i="1"/>
  <c r="DD7" i="1" s="1"/>
  <c r="N15" i="2" s="1"/>
  <c r="CB7" i="1"/>
  <c r="BZ7" i="1"/>
  <c r="BX7" i="1"/>
  <c r="BV7" i="1"/>
  <c r="BT7" i="1"/>
  <c r="BR7" i="1"/>
  <c r="BP7" i="1"/>
  <c r="BN7" i="1"/>
  <c r="BL7" i="1"/>
  <c r="BJ7" i="1"/>
  <c r="BH7" i="1"/>
  <c r="BF7" i="1"/>
  <c r="BB7" i="1"/>
  <c r="AZ7" i="1"/>
  <c r="AX7" i="1"/>
  <c r="AV7" i="1"/>
  <c r="AT7" i="1"/>
  <c r="AR7" i="1"/>
  <c r="AP7" i="1"/>
  <c r="AN7" i="1"/>
  <c r="AL7" i="1"/>
  <c r="AJ7" i="1"/>
  <c r="AH7" i="1"/>
  <c r="AF7" i="1"/>
  <c r="BD7" i="1" s="1"/>
  <c r="N13" i="2" s="1"/>
  <c r="AB7" i="1"/>
  <c r="Z7" i="1"/>
  <c r="X7" i="1"/>
  <c r="V7" i="1"/>
  <c r="T7" i="1"/>
  <c r="R7" i="1"/>
  <c r="P7" i="1"/>
  <c r="N7" i="1"/>
  <c r="AD7" i="1" s="1"/>
  <c r="N12" i="2" s="1"/>
  <c r="L7" i="1"/>
  <c r="J7" i="1"/>
  <c r="EE7" i="1" s="1"/>
  <c r="H7" i="1"/>
  <c r="F7" i="1"/>
  <c r="EB6" i="1"/>
  <c r="DZ6" i="1"/>
  <c r="DX6" i="1"/>
  <c r="DV6" i="1"/>
  <c r="DT6" i="1"/>
  <c r="DR6" i="1"/>
  <c r="DP6" i="1"/>
  <c r="DN6" i="1"/>
  <c r="DL6" i="1"/>
  <c r="DJ6" i="1"/>
  <c r="DH6" i="1"/>
  <c r="DF6" i="1"/>
  <c r="DB6" i="1"/>
  <c r="CZ6" i="1"/>
  <c r="CX6" i="1"/>
  <c r="CV6" i="1"/>
  <c r="CT6" i="1"/>
  <c r="CR6" i="1"/>
  <c r="CP6" i="1"/>
  <c r="CN6" i="1"/>
  <c r="CL6" i="1"/>
  <c r="CJ6" i="1"/>
  <c r="CH6" i="1"/>
  <c r="DD6" i="1" s="1"/>
  <c r="N10" i="2" s="1"/>
  <c r="CF6" i="1"/>
  <c r="CB6" i="1"/>
  <c r="BZ6" i="1"/>
  <c r="BX6" i="1"/>
  <c r="BV6" i="1"/>
  <c r="BT6" i="1"/>
  <c r="BR6" i="1"/>
  <c r="BP6" i="1"/>
  <c r="BN6" i="1"/>
  <c r="BL6" i="1"/>
  <c r="BJ6" i="1"/>
  <c r="BH6" i="1"/>
  <c r="BF6" i="1"/>
  <c r="BD6" i="1"/>
  <c r="N8" i="2" s="1"/>
  <c r="BB6" i="1"/>
  <c r="AZ6" i="1"/>
  <c r="AX6" i="1"/>
  <c r="AV6" i="1"/>
  <c r="AT6" i="1"/>
  <c r="AR6" i="1"/>
  <c r="AP6" i="1"/>
  <c r="AN6" i="1"/>
  <c r="AL6" i="1"/>
  <c r="BC6" i="1" s="1"/>
  <c r="I8" i="2" s="1"/>
  <c r="L8" i="2" s="1"/>
  <c r="AJ6" i="1"/>
  <c r="AH6" i="1"/>
  <c r="AF6" i="1"/>
  <c r="AB6" i="1"/>
  <c r="Z6" i="1"/>
  <c r="X6" i="1"/>
  <c r="V6" i="1"/>
  <c r="T6" i="1"/>
  <c r="R6" i="1"/>
  <c r="P6" i="1"/>
  <c r="N6" i="1"/>
  <c r="L6" i="1"/>
  <c r="J6" i="1"/>
  <c r="H6" i="1"/>
  <c r="F6" i="1"/>
  <c r="M107" i="3"/>
  <c r="L107" i="3"/>
  <c r="H107" i="3"/>
  <c r="G107" i="3"/>
  <c r="M106" i="3"/>
  <c r="L106" i="3"/>
  <c r="H106" i="3"/>
  <c r="G106" i="3"/>
  <c r="M105" i="3"/>
  <c r="L105" i="3"/>
  <c r="H105" i="3"/>
  <c r="G105" i="3"/>
  <c r="M104" i="3"/>
  <c r="L104" i="3"/>
  <c r="H104" i="3"/>
  <c r="G104" i="3"/>
  <c r="M103" i="3"/>
  <c r="L103" i="3"/>
  <c r="H103" i="3"/>
  <c r="G103" i="3"/>
  <c r="M102" i="3"/>
  <c r="L102" i="3"/>
  <c r="H102" i="3"/>
  <c r="G102" i="3"/>
  <c r="M101" i="3"/>
  <c r="L101" i="3"/>
  <c r="H101" i="3"/>
  <c r="G101" i="3"/>
  <c r="M100" i="3"/>
  <c r="L100" i="3"/>
  <c r="H100" i="3"/>
  <c r="G100" i="3"/>
  <c r="M99" i="3"/>
  <c r="L99" i="3"/>
  <c r="H99" i="3"/>
  <c r="G99" i="3"/>
  <c r="M98" i="3"/>
  <c r="L98" i="3"/>
  <c r="H98" i="3"/>
  <c r="G98" i="3"/>
  <c r="M97" i="3"/>
  <c r="L97" i="3"/>
  <c r="H97" i="3"/>
  <c r="G97" i="3"/>
  <c r="M96" i="3"/>
  <c r="L96" i="3"/>
  <c r="H96" i="3"/>
  <c r="G96" i="3"/>
  <c r="M95" i="3"/>
  <c r="L95" i="3"/>
  <c r="H95" i="3"/>
  <c r="G95" i="3"/>
  <c r="M94" i="3"/>
  <c r="L94" i="3"/>
  <c r="H94" i="3"/>
  <c r="G94" i="3"/>
  <c r="M93" i="3"/>
  <c r="L93" i="3"/>
  <c r="H93" i="3"/>
  <c r="G93" i="3"/>
  <c r="M92" i="3"/>
  <c r="L92" i="3"/>
  <c r="H92" i="3"/>
  <c r="G92" i="3"/>
  <c r="M91" i="3"/>
  <c r="L91" i="3"/>
  <c r="H91" i="3"/>
  <c r="G91" i="3"/>
  <c r="M90" i="3"/>
  <c r="L90" i="3"/>
  <c r="H90" i="3"/>
  <c r="G90" i="3"/>
  <c r="M89" i="3"/>
  <c r="L89" i="3"/>
  <c r="H89" i="3"/>
  <c r="G89" i="3"/>
  <c r="M88" i="3"/>
  <c r="L88" i="3"/>
  <c r="H88" i="3"/>
  <c r="G88" i="3"/>
  <c r="M87" i="3"/>
  <c r="L87" i="3"/>
  <c r="H87" i="3"/>
  <c r="G87" i="3"/>
  <c r="M86" i="3"/>
  <c r="L86" i="3"/>
  <c r="H86" i="3"/>
  <c r="G86" i="3"/>
  <c r="M85" i="3"/>
  <c r="L85" i="3"/>
  <c r="H85" i="3"/>
  <c r="G85" i="3"/>
  <c r="M84" i="3"/>
  <c r="L84" i="3"/>
  <c r="H84" i="3"/>
  <c r="G84" i="3"/>
  <c r="M83" i="3"/>
  <c r="L83" i="3"/>
  <c r="H83" i="3"/>
  <c r="G83" i="3"/>
  <c r="M82" i="3"/>
  <c r="L82" i="3"/>
  <c r="H82" i="3"/>
  <c r="G82" i="3"/>
  <c r="M81" i="3"/>
  <c r="L81" i="3"/>
  <c r="H81" i="3"/>
  <c r="G81" i="3"/>
  <c r="M80" i="3"/>
  <c r="L80" i="3"/>
  <c r="H80" i="3"/>
  <c r="G80" i="3"/>
  <c r="M79" i="3"/>
  <c r="L79" i="3"/>
  <c r="H79" i="3"/>
  <c r="G79" i="3"/>
  <c r="M78" i="3"/>
  <c r="L78" i="3"/>
  <c r="H78" i="3"/>
  <c r="G78" i="3"/>
  <c r="M77" i="3"/>
  <c r="L77" i="3"/>
  <c r="H77" i="3"/>
  <c r="G77" i="3"/>
  <c r="M76" i="3"/>
  <c r="L76" i="3"/>
  <c r="H76" i="3"/>
  <c r="G76" i="3"/>
  <c r="M75" i="3"/>
  <c r="L75" i="3"/>
  <c r="H75" i="3"/>
  <c r="G75" i="3"/>
  <c r="M74" i="3"/>
  <c r="L74" i="3"/>
  <c r="H74" i="3"/>
  <c r="G74" i="3"/>
  <c r="M73" i="3"/>
  <c r="L73" i="3"/>
  <c r="H73" i="3"/>
  <c r="G73" i="3"/>
  <c r="M72" i="3"/>
  <c r="L72" i="3"/>
  <c r="H72" i="3"/>
  <c r="G72" i="3"/>
  <c r="M71" i="3"/>
  <c r="L71" i="3"/>
  <c r="H71" i="3"/>
  <c r="G71" i="3"/>
  <c r="M70" i="3"/>
  <c r="L70" i="3"/>
  <c r="H70" i="3"/>
  <c r="G70" i="3"/>
  <c r="M69" i="3"/>
  <c r="L69" i="3"/>
  <c r="H69" i="3"/>
  <c r="G69" i="3"/>
  <c r="M68" i="3"/>
  <c r="L68" i="3"/>
  <c r="H68" i="3"/>
  <c r="G68" i="3"/>
  <c r="M67" i="3"/>
  <c r="L67" i="3"/>
  <c r="H67" i="3"/>
  <c r="G67" i="3"/>
  <c r="M66" i="3"/>
  <c r="L66" i="3"/>
  <c r="H66" i="3"/>
  <c r="G66" i="3"/>
  <c r="M65" i="3"/>
  <c r="L65" i="3"/>
  <c r="H65" i="3"/>
  <c r="G65" i="3"/>
  <c r="M64" i="3"/>
  <c r="L64" i="3"/>
  <c r="H64" i="3"/>
  <c r="G64" i="3"/>
  <c r="M63" i="3"/>
  <c r="L63" i="3"/>
  <c r="H63" i="3"/>
  <c r="G63" i="3"/>
  <c r="M62" i="3"/>
  <c r="L62" i="3"/>
  <c r="H62" i="3"/>
  <c r="G62" i="3"/>
  <c r="M61" i="3"/>
  <c r="L61" i="3"/>
  <c r="H61" i="3"/>
  <c r="G61" i="3"/>
  <c r="M60" i="3"/>
  <c r="L60" i="3"/>
  <c r="H60" i="3"/>
  <c r="G60" i="3"/>
  <c r="M59" i="3"/>
  <c r="L59" i="3"/>
  <c r="H59" i="3"/>
  <c r="G59" i="3"/>
  <c r="M58" i="3"/>
  <c r="L58" i="3"/>
  <c r="H58" i="3"/>
  <c r="G58" i="3"/>
  <c r="M57" i="3"/>
  <c r="L57" i="3"/>
  <c r="H57" i="3"/>
  <c r="G57" i="3"/>
  <c r="M56" i="3"/>
  <c r="L56" i="3"/>
  <c r="H56" i="3"/>
  <c r="G56" i="3"/>
  <c r="M55" i="3"/>
  <c r="L55" i="3"/>
  <c r="H55" i="3"/>
  <c r="G55" i="3"/>
  <c r="M54" i="3"/>
  <c r="L54" i="3"/>
  <c r="H54" i="3"/>
  <c r="G54" i="3"/>
  <c r="M53" i="3"/>
  <c r="L53" i="3"/>
  <c r="H53" i="3"/>
  <c r="G53" i="3"/>
  <c r="M52" i="3"/>
  <c r="L52" i="3"/>
  <c r="H52" i="3"/>
  <c r="G52" i="3"/>
  <c r="M51" i="3"/>
  <c r="L51" i="3"/>
  <c r="H51" i="3"/>
  <c r="G51" i="3"/>
  <c r="M50" i="3"/>
  <c r="L50" i="3"/>
  <c r="H50" i="3"/>
  <c r="G50" i="3"/>
  <c r="M49" i="3"/>
  <c r="L49" i="3"/>
  <c r="H49" i="3"/>
  <c r="G49" i="3"/>
  <c r="M48" i="3"/>
  <c r="L48" i="3"/>
  <c r="H48" i="3"/>
  <c r="G48" i="3"/>
  <c r="M47" i="3"/>
  <c r="L47" i="3"/>
  <c r="H47" i="3"/>
  <c r="G47" i="3"/>
  <c r="M46" i="3"/>
  <c r="L46" i="3"/>
  <c r="H46" i="3"/>
  <c r="G46" i="3"/>
  <c r="M45" i="3"/>
  <c r="L45" i="3"/>
  <c r="H45" i="3"/>
  <c r="G45" i="3"/>
  <c r="M44" i="3"/>
  <c r="L44" i="3"/>
  <c r="H44" i="3"/>
  <c r="G44" i="3"/>
  <c r="M43" i="3"/>
  <c r="L43" i="3"/>
  <c r="H43" i="3"/>
  <c r="G43" i="3"/>
  <c r="M42" i="3"/>
  <c r="L42" i="3"/>
  <c r="H42" i="3"/>
  <c r="G42" i="3"/>
  <c r="M41" i="3"/>
  <c r="L41" i="3"/>
  <c r="H41" i="3"/>
  <c r="G41" i="3"/>
  <c r="M40" i="3"/>
  <c r="L40" i="3"/>
  <c r="H40" i="3"/>
  <c r="G40" i="3"/>
  <c r="M39" i="3"/>
  <c r="L39" i="3"/>
  <c r="H39" i="3"/>
  <c r="G39" i="3"/>
  <c r="M38" i="3"/>
  <c r="L38" i="3"/>
  <c r="H38" i="3"/>
  <c r="G38" i="3"/>
  <c r="M37" i="3"/>
  <c r="L37" i="3"/>
  <c r="H37" i="3"/>
  <c r="G37" i="3"/>
  <c r="M36" i="3"/>
  <c r="L36" i="3"/>
  <c r="H36" i="3"/>
  <c r="G36" i="3"/>
  <c r="M35" i="3"/>
  <c r="L35" i="3"/>
  <c r="H35" i="3"/>
  <c r="G35" i="3"/>
  <c r="M34" i="3"/>
  <c r="L34" i="3"/>
  <c r="H34" i="3"/>
  <c r="G34" i="3"/>
  <c r="M33" i="3"/>
  <c r="L33" i="3"/>
  <c r="H33" i="3"/>
  <c r="G33" i="3"/>
  <c r="M32" i="3"/>
  <c r="L32" i="3"/>
  <c r="H32" i="3"/>
  <c r="G32" i="3"/>
  <c r="M31" i="3"/>
  <c r="L31" i="3"/>
  <c r="H31" i="3"/>
  <c r="G31" i="3"/>
  <c r="M30" i="3"/>
  <c r="L30" i="3"/>
  <c r="H30" i="3"/>
  <c r="G30" i="3"/>
  <c r="M29" i="3"/>
  <c r="L29" i="3"/>
  <c r="H29" i="3"/>
  <c r="G29" i="3"/>
  <c r="M28" i="3"/>
  <c r="L28" i="3"/>
  <c r="H28" i="3"/>
  <c r="G28" i="3"/>
  <c r="M27" i="3"/>
  <c r="L27" i="3"/>
  <c r="H27" i="3"/>
  <c r="G27" i="3"/>
  <c r="M26" i="3"/>
  <c r="L26" i="3"/>
  <c r="H26" i="3"/>
  <c r="G26" i="3"/>
  <c r="M25" i="3"/>
  <c r="L25" i="3"/>
  <c r="H25" i="3"/>
  <c r="G25" i="3"/>
  <c r="M24" i="3"/>
  <c r="L24" i="3"/>
  <c r="H24" i="3"/>
  <c r="G24" i="3"/>
  <c r="M23" i="3"/>
  <c r="L23" i="3"/>
  <c r="H23" i="3"/>
  <c r="G23" i="3"/>
  <c r="M22" i="3"/>
  <c r="L22" i="3"/>
  <c r="H22" i="3"/>
  <c r="G22" i="3"/>
  <c r="M21" i="3"/>
  <c r="L21" i="3"/>
  <c r="H21" i="3"/>
  <c r="G21" i="3"/>
  <c r="M20" i="3"/>
  <c r="L20" i="3"/>
  <c r="H20" i="3"/>
  <c r="G20" i="3"/>
  <c r="M19" i="3"/>
  <c r="L19" i="3"/>
  <c r="H19" i="3"/>
  <c r="G19" i="3"/>
  <c r="M18" i="3"/>
  <c r="L18" i="3"/>
  <c r="H18" i="3"/>
  <c r="G18" i="3"/>
  <c r="M17" i="3"/>
  <c r="L17" i="3"/>
  <c r="H17" i="3"/>
  <c r="G17" i="3"/>
  <c r="M16" i="3"/>
  <c r="L16" i="3"/>
  <c r="H16" i="3"/>
  <c r="G16" i="3"/>
  <c r="M15" i="3"/>
  <c r="L15" i="3"/>
  <c r="H15" i="3"/>
  <c r="G15" i="3"/>
  <c r="M14" i="3"/>
  <c r="L14" i="3"/>
  <c r="H14" i="3"/>
  <c r="G14" i="3"/>
  <c r="M13" i="3"/>
  <c r="L13" i="3"/>
  <c r="H13" i="3"/>
  <c r="G13" i="3"/>
  <c r="M12" i="3"/>
  <c r="L12" i="3"/>
  <c r="H12" i="3"/>
  <c r="G12" i="3"/>
  <c r="M11" i="3"/>
  <c r="L11" i="3"/>
  <c r="H11" i="3"/>
  <c r="G11" i="3"/>
  <c r="M10" i="3"/>
  <c r="L10" i="3"/>
  <c r="H10" i="3"/>
  <c r="G10" i="3"/>
  <c r="M9" i="3"/>
  <c r="L9" i="3"/>
  <c r="H9" i="3"/>
  <c r="G9" i="3"/>
  <c r="M8" i="3"/>
  <c r="L8" i="3"/>
  <c r="H8" i="3"/>
  <c r="G8" i="3"/>
  <c r="O44" i="2" l="1"/>
  <c r="P44" i="2" s="1"/>
  <c r="O46" i="2"/>
  <c r="P46" i="2" s="1"/>
  <c r="ED14" i="1"/>
  <c r="N51" i="2" s="1"/>
  <c r="EC14" i="1"/>
  <c r="I51" i="2" s="1"/>
  <c r="L51" i="2" s="1"/>
  <c r="O70" i="2"/>
  <c r="P70" i="2" s="1"/>
  <c r="T70" i="2"/>
  <c r="O102" i="2"/>
  <c r="P102" i="2" s="1"/>
  <c r="O104" i="2"/>
  <c r="P104" i="2" s="1"/>
  <c r="O105" i="2"/>
  <c r="P105" i="2" s="1"/>
  <c r="DC25" i="1"/>
  <c r="I105" i="2" s="1"/>
  <c r="L105" i="2" s="1"/>
  <c r="O128" i="2"/>
  <c r="P128" i="2" s="1"/>
  <c r="M23" i="2"/>
  <c r="BD9" i="1"/>
  <c r="N23" i="2" s="1"/>
  <c r="BC9" i="1"/>
  <c r="I23" i="2" s="1"/>
  <c r="L23" i="2" s="1"/>
  <c r="EE10" i="1"/>
  <c r="O30" i="2"/>
  <c r="P30" i="2" s="1"/>
  <c r="O57" i="2"/>
  <c r="P57" i="2" s="1"/>
  <c r="EE23" i="1"/>
  <c r="AD23" i="1"/>
  <c r="N92" i="2" s="1"/>
  <c r="AC23" i="1"/>
  <c r="I92" i="2" s="1"/>
  <c r="M112" i="2"/>
  <c r="EE27" i="1"/>
  <c r="AD27" i="1"/>
  <c r="N112" i="2" s="1"/>
  <c r="AC27" i="1"/>
  <c r="I112" i="2" s="1"/>
  <c r="ED30" i="1"/>
  <c r="N131" i="2" s="1"/>
  <c r="EC30" i="1"/>
  <c r="I131" i="2" s="1"/>
  <c r="L131" i="2" s="1"/>
  <c r="O155" i="2"/>
  <c r="P155" i="2" s="1"/>
  <c r="M200" i="2"/>
  <c r="DD44" i="1"/>
  <c r="N200" i="2" s="1"/>
  <c r="DC44" i="1"/>
  <c r="I200" i="2" s="1"/>
  <c r="L200" i="2" s="1"/>
  <c r="L332" i="2"/>
  <c r="O361" i="2"/>
  <c r="P361" i="2" s="1"/>
  <c r="CD18" i="1"/>
  <c r="N69" i="2" s="1"/>
  <c r="CC18" i="1"/>
  <c r="I69" i="2" s="1"/>
  <c r="L69" i="2" s="1"/>
  <c r="O88" i="2"/>
  <c r="P88" i="2" s="1"/>
  <c r="O124" i="2"/>
  <c r="P124" i="2" s="1"/>
  <c r="ED29" i="1"/>
  <c r="N126" i="2" s="1"/>
  <c r="O150" i="2"/>
  <c r="P150" i="2" s="1"/>
  <c r="DD40" i="1"/>
  <c r="N180" i="2" s="1"/>
  <c r="DC40" i="1"/>
  <c r="I180" i="2" s="1"/>
  <c r="L180" i="2" s="1"/>
  <c r="O330" i="2"/>
  <c r="P330" i="2" s="1"/>
  <c r="O17" i="2"/>
  <c r="P17" i="2" s="1"/>
  <c r="O66" i="2"/>
  <c r="P66" i="2" s="1"/>
  <c r="M134" i="2"/>
  <c r="CD31" i="1"/>
  <c r="N134" i="2" s="1"/>
  <c r="CC31" i="1"/>
  <c r="I134" i="2" s="1"/>
  <c r="L134" i="2" s="1"/>
  <c r="O142" i="2"/>
  <c r="P142" i="2" s="1"/>
  <c r="O144" i="2"/>
  <c r="P144" i="2" s="1"/>
  <c r="O145" i="2"/>
  <c r="P145" i="2" s="1"/>
  <c r="DC33" i="1"/>
  <c r="I145" i="2" s="1"/>
  <c r="L145" i="2" s="1"/>
  <c r="O168" i="2"/>
  <c r="P168" i="2" s="1"/>
  <c r="O175" i="2"/>
  <c r="P175" i="2" s="1"/>
  <c r="O237" i="2"/>
  <c r="P237" i="2" s="1"/>
  <c r="L272" i="2"/>
  <c r="O273" i="2"/>
  <c r="P273" i="2" s="1"/>
  <c r="M296" i="2"/>
  <c r="ED63" i="1"/>
  <c r="N296" i="2" s="1"/>
  <c r="EC63" i="1"/>
  <c r="I296" i="2" s="1"/>
  <c r="L296" i="2" s="1"/>
  <c r="O181" i="2"/>
  <c r="P181" i="2" s="1"/>
  <c r="CD10" i="1"/>
  <c r="N29" i="2" s="1"/>
  <c r="CC10" i="1"/>
  <c r="I29" i="2" s="1"/>
  <c r="L29" i="2" s="1"/>
  <c r="O53" i="2"/>
  <c r="P53" i="2" s="1"/>
  <c r="O55" i="2"/>
  <c r="P55" i="2" s="1"/>
  <c r="O56" i="2"/>
  <c r="P56" i="2" s="1"/>
  <c r="EC15" i="1"/>
  <c r="I56" i="2" s="1"/>
  <c r="L56" i="2" s="1"/>
  <c r="M72" i="2"/>
  <c r="EE19" i="1"/>
  <c r="AD19" i="1"/>
  <c r="N72" i="2" s="1"/>
  <c r="AC19" i="1"/>
  <c r="I72" i="2" s="1"/>
  <c r="ED22" i="1"/>
  <c r="N91" i="2" s="1"/>
  <c r="EC22" i="1"/>
  <c r="I91" i="2" s="1"/>
  <c r="L91" i="2" s="1"/>
  <c r="O110" i="2"/>
  <c r="P110" i="2" s="1"/>
  <c r="BC30" i="1"/>
  <c r="I128" i="2" s="1"/>
  <c r="L128" i="2" s="1"/>
  <c r="O137" i="2"/>
  <c r="P137" i="2" s="1"/>
  <c r="O141" i="2"/>
  <c r="P141" i="2" s="1"/>
  <c r="O101" i="2"/>
  <c r="P101" i="2" s="1"/>
  <c r="O26" i="2"/>
  <c r="P26" i="2" s="1"/>
  <c r="O84" i="2"/>
  <c r="P84" i="2" s="1"/>
  <c r="O86" i="2"/>
  <c r="P86" i="2" s="1"/>
  <c r="T86" i="2"/>
  <c r="EE25" i="1"/>
  <c r="DD27" i="1"/>
  <c r="N115" i="2" s="1"/>
  <c r="EE37" i="1"/>
  <c r="O163" i="2"/>
  <c r="P163" i="2" s="1"/>
  <c r="BC37" i="1"/>
  <c r="I163" i="2" s="1"/>
  <c r="AD38" i="1"/>
  <c r="N167" i="2" s="1"/>
  <c r="AC38" i="1"/>
  <c r="I167" i="2" s="1"/>
  <c r="O13" i="2"/>
  <c r="P13" i="2" s="1"/>
  <c r="O15" i="2"/>
  <c r="P15" i="2" s="1"/>
  <c r="O16" i="2"/>
  <c r="P16" i="2" s="1"/>
  <c r="EC7" i="1"/>
  <c r="I16" i="2" s="1"/>
  <c r="L16" i="2" s="1"/>
  <c r="M36" i="2"/>
  <c r="ED11" i="1"/>
  <c r="N36" i="2" s="1"/>
  <c r="EC11" i="1"/>
  <c r="I36" i="2" s="1"/>
  <c r="L36" i="2" s="1"/>
  <c r="O39" i="2"/>
  <c r="P39" i="2" s="1"/>
  <c r="O97" i="2"/>
  <c r="P97" i="2" s="1"/>
  <c r="EE31" i="1"/>
  <c r="AD31" i="1"/>
  <c r="N132" i="2" s="1"/>
  <c r="AC31" i="1"/>
  <c r="I132" i="2" s="1"/>
  <c r="O159" i="2"/>
  <c r="P159" i="2" s="1"/>
  <c r="M174" i="2"/>
  <c r="CD39" i="1"/>
  <c r="N174" i="2" s="1"/>
  <c r="CC39" i="1"/>
  <c r="I174" i="2" s="1"/>
  <c r="L174" i="2" s="1"/>
  <c r="O230" i="2"/>
  <c r="P230" i="2" s="1"/>
  <c r="O437" i="2"/>
  <c r="P437" i="2" s="1"/>
  <c r="O490" i="2"/>
  <c r="P490" i="2" s="1"/>
  <c r="EE6" i="1"/>
  <c r="O8" i="2"/>
  <c r="P8" i="2" s="1"/>
  <c r="EE8" i="1"/>
  <c r="O21" i="2"/>
  <c r="P21" i="2" s="1"/>
  <c r="BD11" i="1"/>
  <c r="N33" i="2" s="1"/>
  <c r="O34" i="2"/>
  <c r="P34" i="2" s="1"/>
  <c r="CC11" i="1"/>
  <c r="I34" i="2" s="1"/>
  <c r="L34" i="2" s="1"/>
  <c r="BD12" i="1"/>
  <c r="N38" i="2" s="1"/>
  <c r="BC12" i="1"/>
  <c r="I38" i="2" s="1"/>
  <c r="L38" i="2" s="1"/>
  <c r="AC16" i="1"/>
  <c r="I57" i="2" s="1"/>
  <c r="M63" i="2"/>
  <c r="BD17" i="1"/>
  <c r="N63" i="2" s="1"/>
  <c r="BC17" i="1"/>
  <c r="I63" i="2" s="1"/>
  <c r="L63" i="2" s="1"/>
  <c r="DC18" i="1"/>
  <c r="I70" i="2" s="1"/>
  <c r="L70" i="2" s="1"/>
  <c r="M76" i="2"/>
  <c r="ED19" i="1"/>
  <c r="N76" i="2" s="1"/>
  <c r="EC19" i="1"/>
  <c r="I76" i="2" s="1"/>
  <c r="L76" i="2" s="1"/>
  <c r="O79" i="2"/>
  <c r="P79" i="2" s="1"/>
  <c r="O93" i="2"/>
  <c r="P93" i="2" s="1"/>
  <c r="DD23" i="1"/>
  <c r="N95" i="2" s="1"/>
  <c r="O96" i="2"/>
  <c r="P96" i="2" s="1"/>
  <c r="EC23" i="1"/>
  <c r="I96" i="2" s="1"/>
  <c r="L96" i="2" s="1"/>
  <c r="O106" i="2"/>
  <c r="P106" i="2" s="1"/>
  <c r="CD26" i="1"/>
  <c r="N109" i="2" s="1"/>
  <c r="CC26" i="1"/>
  <c r="I109" i="2" s="1"/>
  <c r="L109" i="2" s="1"/>
  <c r="EE34" i="1"/>
  <c r="T164" i="2"/>
  <c r="O164" i="2"/>
  <c r="P164" i="2" s="1"/>
  <c r="ED38" i="1"/>
  <c r="N171" i="2" s="1"/>
  <c r="EC38" i="1"/>
  <c r="I171" i="2" s="1"/>
  <c r="L171" i="2" s="1"/>
  <c r="M192" i="2"/>
  <c r="EE43" i="1"/>
  <c r="AD43" i="1"/>
  <c r="N192" i="2" s="1"/>
  <c r="AC43" i="1"/>
  <c r="I192" i="2" s="1"/>
  <c r="T201" i="2"/>
  <c r="O201" i="2"/>
  <c r="P201" i="2" s="1"/>
  <c r="M211" i="2"/>
  <c r="ED46" i="1"/>
  <c r="N211" i="2" s="1"/>
  <c r="EC46" i="1"/>
  <c r="I211" i="2" s="1"/>
  <c r="L211" i="2" s="1"/>
  <c r="O212" i="2"/>
  <c r="P212" i="2" s="1"/>
  <c r="O218" i="2"/>
  <c r="P218" i="2" s="1"/>
  <c r="T218" i="2"/>
  <c r="BC48" i="1"/>
  <c r="I218" i="2" s="1"/>
  <c r="L218" i="2" s="1"/>
  <c r="EE56" i="1"/>
  <c r="AC56" i="1"/>
  <c r="I257" i="2" s="1"/>
  <c r="AD56" i="1"/>
  <c r="N257" i="2" s="1"/>
  <c r="O259" i="2"/>
  <c r="P259" i="2" s="1"/>
  <c r="ED66" i="1"/>
  <c r="N311" i="2" s="1"/>
  <c r="EC66" i="1"/>
  <c r="I311" i="2" s="1"/>
  <c r="L311" i="2" s="1"/>
  <c r="O379" i="2"/>
  <c r="P379" i="2" s="1"/>
  <c r="M394" i="2"/>
  <c r="CD83" i="1"/>
  <c r="N394" i="2" s="1"/>
  <c r="CC83" i="1"/>
  <c r="I394" i="2" s="1"/>
  <c r="L394" i="2" s="1"/>
  <c r="O12" i="2"/>
  <c r="P12" i="2" s="1"/>
  <c r="AC7" i="1"/>
  <c r="I12" i="2" s="1"/>
  <c r="AD9" i="1"/>
  <c r="N22" i="2" s="1"/>
  <c r="CD9" i="1"/>
  <c r="N24" i="2" s="1"/>
  <c r="O25" i="2"/>
  <c r="P25" i="2" s="1"/>
  <c r="DC9" i="1"/>
  <c r="I25" i="2" s="1"/>
  <c r="L25" i="2" s="1"/>
  <c r="DD11" i="1"/>
  <c r="N35" i="2" s="1"/>
  <c r="BC14" i="1"/>
  <c r="I48" i="2" s="1"/>
  <c r="L48" i="2" s="1"/>
  <c r="M54" i="2"/>
  <c r="CD15" i="1"/>
  <c r="N54" i="2" s="1"/>
  <c r="CC15" i="1"/>
  <c r="I54" i="2" s="1"/>
  <c r="L54" i="2" s="1"/>
  <c r="EC16" i="1"/>
  <c r="I61" i="2" s="1"/>
  <c r="L61" i="2" s="1"/>
  <c r="EE21" i="1"/>
  <c r="O83" i="2"/>
  <c r="P83" i="2" s="1"/>
  <c r="BC21" i="1"/>
  <c r="I83" i="2" s="1"/>
  <c r="AD22" i="1"/>
  <c r="N87" i="2" s="1"/>
  <c r="AC22" i="1"/>
  <c r="I87" i="2" s="1"/>
  <c r="DD24" i="1"/>
  <c r="N100" i="2" s="1"/>
  <c r="DC24" i="1"/>
  <c r="I100" i="2" s="1"/>
  <c r="L100" i="2" s="1"/>
  <c r="M125" i="2"/>
  <c r="DD29" i="1"/>
  <c r="N125" i="2" s="1"/>
  <c r="DC29" i="1"/>
  <c r="I125" i="2" s="1"/>
  <c r="L125" i="2" s="1"/>
  <c r="EE30" i="1"/>
  <c r="EE32" i="1"/>
  <c r="O138" i="2"/>
  <c r="P138" i="2" s="1"/>
  <c r="BD35" i="1"/>
  <c r="N153" i="2" s="1"/>
  <c r="O154" i="2"/>
  <c r="P154" i="2" s="1"/>
  <c r="CC35" i="1"/>
  <c r="I154" i="2" s="1"/>
  <c r="L154" i="2" s="1"/>
  <c r="BD36" i="1"/>
  <c r="N158" i="2" s="1"/>
  <c r="BC36" i="1"/>
  <c r="I158" i="2" s="1"/>
  <c r="L158" i="2" s="1"/>
  <c r="ED37" i="1"/>
  <c r="N166" i="2" s="1"/>
  <c r="AC40" i="1"/>
  <c r="I177" i="2" s="1"/>
  <c r="M183" i="2"/>
  <c r="BD41" i="1"/>
  <c r="N183" i="2" s="1"/>
  <c r="BC41" i="1"/>
  <c r="I183" i="2" s="1"/>
  <c r="L183" i="2" s="1"/>
  <c r="DC42" i="1"/>
  <c r="I190" i="2" s="1"/>
  <c r="L190" i="2" s="1"/>
  <c r="M196" i="2"/>
  <c r="ED43" i="1"/>
  <c r="N196" i="2" s="1"/>
  <c r="EC43" i="1"/>
  <c r="I196" i="2" s="1"/>
  <c r="L196" i="2" s="1"/>
  <c r="CD44" i="1"/>
  <c r="N199" i="2" s="1"/>
  <c r="EE48" i="1"/>
  <c r="AC48" i="1"/>
  <c r="I217" i="2" s="1"/>
  <c r="AD48" i="1"/>
  <c r="N217" i="2" s="1"/>
  <c r="O288" i="2"/>
  <c r="P288" i="2" s="1"/>
  <c r="O352" i="2"/>
  <c r="P352" i="2" s="1"/>
  <c r="AC75" i="1"/>
  <c r="I352" i="2" s="1"/>
  <c r="ED81" i="1"/>
  <c r="N386" i="2" s="1"/>
  <c r="EC81" i="1"/>
  <c r="I386" i="2" s="1"/>
  <c r="L386" i="2" s="1"/>
  <c r="DD82" i="1"/>
  <c r="N390" i="2" s="1"/>
  <c r="DC82" i="1"/>
  <c r="I390" i="2" s="1"/>
  <c r="L390" i="2" s="1"/>
  <c r="DD92" i="1"/>
  <c r="N440" i="2" s="1"/>
  <c r="DC92" i="1"/>
  <c r="I440" i="2" s="1"/>
  <c r="L440" i="2" s="1"/>
  <c r="O481" i="2"/>
  <c r="P481" i="2" s="1"/>
  <c r="AD58" i="1"/>
  <c r="N267" i="2" s="1"/>
  <c r="AC58" i="1"/>
  <c r="I267" i="2" s="1"/>
  <c r="O308" i="2"/>
  <c r="P308" i="2" s="1"/>
  <c r="O321" i="2"/>
  <c r="P321" i="2" s="1"/>
  <c r="T321" i="2"/>
  <c r="O348" i="2"/>
  <c r="P348" i="2" s="1"/>
  <c r="EE100" i="1"/>
  <c r="AD100" i="1"/>
  <c r="N477" i="2" s="1"/>
  <c r="AD6" i="1"/>
  <c r="N7" i="2" s="1"/>
  <c r="AC6" i="1"/>
  <c r="I7" i="2" s="1"/>
  <c r="DD8" i="1"/>
  <c r="N20" i="2" s="1"/>
  <c r="DC8" i="1"/>
  <c r="I20" i="2" s="1"/>
  <c r="L20" i="2" s="1"/>
  <c r="M45" i="2"/>
  <c r="DD13" i="1"/>
  <c r="N45" i="2" s="1"/>
  <c r="DC13" i="1"/>
  <c r="I45" i="2" s="1"/>
  <c r="L45" i="2" s="1"/>
  <c r="EE14" i="1"/>
  <c r="O48" i="2"/>
  <c r="P48" i="2" s="1"/>
  <c r="EE16" i="1"/>
  <c r="O61" i="2"/>
  <c r="P61" i="2" s="1"/>
  <c r="BD19" i="1"/>
  <c r="N73" i="2" s="1"/>
  <c r="O74" i="2"/>
  <c r="P74" i="2" s="1"/>
  <c r="CC19" i="1"/>
  <c r="I74" i="2" s="1"/>
  <c r="L74" i="2" s="1"/>
  <c r="BD20" i="1"/>
  <c r="N78" i="2" s="1"/>
  <c r="BC20" i="1"/>
  <c r="I78" i="2" s="1"/>
  <c r="L78" i="2" s="1"/>
  <c r="M103" i="2"/>
  <c r="BD25" i="1"/>
  <c r="N103" i="2" s="1"/>
  <c r="BC25" i="1"/>
  <c r="I103" i="2" s="1"/>
  <c r="L103" i="2" s="1"/>
  <c r="M116" i="2"/>
  <c r="ED27" i="1"/>
  <c r="N116" i="2" s="1"/>
  <c r="EC27" i="1"/>
  <c r="I116" i="2" s="1"/>
  <c r="L116" i="2" s="1"/>
  <c r="O119" i="2"/>
  <c r="P119" i="2" s="1"/>
  <c r="O133" i="2"/>
  <c r="P133" i="2" s="1"/>
  <c r="DD31" i="1"/>
  <c r="N135" i="2" s="1"/>
  <c r="O136" i="2"/>
  <c r="P136" i="2" s="1"/>
  <c r="EC31" i="1"/>
  <c r="I136" i="2" s="1"/>
  <c r="L136" i="2" s="1"/>
  <c r="T146" i="2"/>
  <c r="O146" i="2"/>
  <c r="P146" i="2" s="1"/>
  <c r="CD34" i="1"/>
  <c r="N149" i="2" s="1"/>
  <c r="CC34" i="1"/>
  <c r="I149" i="2" s="1"/>
  <c r="L149" i="2" s="1"/>
  <c r="EE36" i="1"/>
  <c r="O177" i="2"/>
  <c r="P177" i="2" s="1"/>
  <c r="EE42" i="1"/>
  <c r="O190" i="2"/>
  <c r="P190" i="2" s="1"/>
  <c r="O205" i="2"/>
  <c r="P205" i="2" s="1"/>
  <c r="CD46" i="1"/>
  <c r="N209" i="2" s="1"/>
  <c r="CC46" i="1"/>
  <c r="I209" i="2" s="1"/>
  <c r="L209" i="2" s="1"/>
  <c r="O228" i="2"/>
  <c r="P228" i="2" s="1"/>
  <c r="M252" i="2"/>
  <c r="EE55" i="1"/>
  <c r="AD55" i="1"/>
  <c r="N252" i="2" s="1"/>
  <c r="AC55" i="1"/>
  <c r="I252" i="2" s="1"/>
  <c r="ED65" i="1"/>
  <c r="N306" i="2" s="1"/>
  <c r="EC65" i="1"/>
  <c r="I306" i="2" s="1"/>
  <c r="L306" i="2" s="1"/>
  <c r="EE69" i="1"/>
  <c r="O339" i="2"/>
  <c r="P339" i="2" s="1"/>
  <c r="O375" i="2"/>
  <c r="P375" i="2" s="1"/>
  <c r="ED6" i="1"/>
  <c r="N11" i="2" s="1"/>
  <c r="EC6" i="1"/>
  <c r="I11" i="2" s="1"/>
  <c r="L11" i="2" s="1"/>
  <c r="M32" i="2"/>
  <c r="T34" i="2" s="1"/>
  <c r="EE11" i="1"/>
  <c r="AD11" i="1"/>
  <c r="N32" i="2" s="1"/>
  <c r="AC11" i="1"/>
  <c r="I32" i="2" s="1"/>
  <c r="EE15" i="1"/>
  <c r="AD15" i="1"/>
  <c r="N52" i="2" s="1"/>
  <c r="AC15" i="1"/>
  <c r="I52" i="2" s="1"/>
  <c r="AC17" i="1"/>
  <c r="I62" i="2" s="1"/>
  <c r="O64" i="2"/>
  <c r="P64" i="2" s="1"/>
  <c r="O65" i="2"/>
  <c r="P65" i="2" s="1"/>
  <c r="DC17" i="1"/>
  <c r="I65" i="2" s="1"/>
  <c r="L65" i="2" s="1"/>
  <c r="DD19" i="1"/>
  <c r="N75" i="2" s="1"/>
  <c r="BC22" i="1"/>
  <c r="I88" i="2" s="1"/>
  <c r="L88" i="2" s="1"/>
  <c r="M94" i="2"/>
  <c r="CD23" i="1"/>
  <c r="N94" i="2" s="1"/>
  <c r="CC23" i="1"/>
  <c r="I94" i="2" s="1"/>
  <c r="L94" i="2" s="1"/>
  <c r="EC24" i="1"/>
  <c r="I101" i="2" s="1"/>
  <c r="L101" i="2" s="1"/>
  <c r="EE29" i="1"/>
  <c r="O123" i="2"/>
  <c r="P123" i="2" s="1"/>
  <c r="BC29" i="1"/>
  <c r="I123" i="2" s="1"/>
  <c r="AD30" i="1"/>
  <c r="N127" i="2" s="1"/>
  <c r="AC30" i="1"/>
  <c r="I127" i="2" s="1"/>
  <c r="DD32" i="1"/>
  <c r="N140" i="2" s="1"/>
  <c r="DC32" i="1"/>
  <c r="I140" i="2" s="1"/>
  <c r="L140" i="2" s="1"/>
  <c r="CC36" i="1"/>
  <c r="I159" i="2" s="1"/>
  <c r="L159" i="2" s="1"/>
  <c r="M165" i="2"/>
  <c r="DD37" i="1"/>
  <c r="N165" i="2" s="1"/>
  <c r="DC37" i="1"/>
  <c r="I165" i="2" s="1"/>
  <c r="L165" i="2" s="1"/>
  <c r="EE38" i="1"/>
  <c r="EE40" i="1"/>
  <c r="O193" i="2"/>
  <c r="P193" i="2" s="1"/>
  <c r="O194" i="2"/>
  <c r="P194" i="2" s="1"/>
  <c r="CC43" i="1"/>
  <c r="I194" i="2" s="1"/>
  <c r="L194" i="2" s="1"/>
  <c r="M214" i="2"/>
  <c r="CD47" i="1"/>
  <c r="N214" i="2" s="1"/>
  <c r="CC47" i="1"/>
  <c r="I214" i="2" s="1"/>
  <c r="L214" i="2" s="1"/>
  <c r="O250" i="2"/>
  <c r="P250" i="2" s="1"/>
  <c r="O268" i="2"/>
  <c r="P268" i="2" s="1"/>
  <c r="O281" i="2"/>
  <c r="P281" i="2" s="1"/>
  <c r="O337" i="2"/>
  <c r="P337" i="2" s="1"/>
  <c r="O370" i="2"/>
  <c r="P370" i="2" s="1"/>
  <c r="T423" i="2"/>
  <c r="O423" i="2"/>
  <c r="P423" i="2" s="1"/>
  <c r="BC89" i="1"/>
  <c r="I423" i="2" s="1"/>
  <c r="AD90" i="1"/>
  <c r="N427" i="2" s="1"/>
  <c r="AC90" i="1"/>
  <c r="I427" i="2" s="1"/>
  <c r="O450" i="2"/>
  <c r="P450" i="2" s="1"/>
  <c r="M465" i="2"/>
  <c r="DD97" i="1"/>
  <c r="N465" i="2" s="1"/>
  <c r="DC97" i="1"/>
  <c r="I465" i="2" s="1"/>
  <c r="L465" i="2" s="1"/>
  <c r="O468" i="2"/>
  <c r="P468" i="2" s="1"/>
  <c r="M152" i="2"/>
  <c r="EE35" i="1"/>
  <c r="AD35" i="1"/>
  <c r="N152" i="2" s="1"/>
  <c r="AC35" i="1"/>
  <c r="I152" i="2" s="1"/>
  <c r="Q154" i="2"/>
  <c r="EE39" i="1"/>
  <c r="AD39" i="1"/>
  <c r="N172" i="2" s="1"/>
  <c r="AC39" i="1"/>
  <c r="I172" i="2" s="1"/>
  <c r="O182" i="2"/>
  <c r="P182" i="2" s="1"/>
  <c r="CD41" i="1"/>
  <c r="N184" i="2" s="1"/>
  <c r="O185" i="2"/>
  <c r="P185" i="2" s="1"/>
  <c r="DC41" i="1"/>
  <c r="I185" i="2" s="1"/>
  <c r="L185" i="2" s="1"/>
  <c r="O195" i="2"/>
  <c r="P195" i="2" s="1"/>
  <c r="O198" i="2"/>
  <c r="P198" i="2" s="1"/>
  <c r="BC44" i="1"/>
  <c r="I198" i="2" s="1"/>
  <c r="L198" i="2" s="1"/>
  <c r="BD46" i="1"/>
  <c r="N208" i="2" s="1"/>
  <c r="BC46" i="1"/>
  <c r="I208" i="2" s="1"/>
  <c r="L208" i="2" s="1"/>
  <c r="O222" i="2"/>
  <c r="P222" i="2" s="1"/>
  <c r="AD57" i="1"/>
  <c r="N262" i="2" s="1"/>
  <c r="AC57" i="1"/>
  <c r="I262" i="2" s="1"/>
  <c r="EE57" i="1"/>
  <c r="O279" i="2"/>
  <c r="P279" i="2" s="1"/>
  <c r="M303" i="2"/>
  <c r="BD65" i="1"/>
  <c r="N303" i="2" s="1"/>
  <c r="BC65" i="1"/>
  <c r="I303" i="2" s="1"/>
  <c r="L303" i="2" s="1"/>
  <c r="O419" i="2"/>
  <c r="P419" i="2" s="1"/>
  <c r="EE93" i="1"/>
  <c r="ED96" i="1"/>
  <c r="N461" i="2" s="1"/>
  <c r="EC96" i="1"/>
  <c r="I461" i="2" s="1"/>
  <c r="L461" i="2" s="1"/>
  <c r="O10" i="2"/>
  <c r="P10" i="2" s="1"/>
  <c r="M14" i="2"/>
  <c r="CD7" i="1"/>
  <c r="N14" i="2" s="1"/>
  <c r="CC7" i="1"/>
  <c r="I14" i="2" s="1"/>
  <c r="L14" i="2" s="1"/>
  <c r="AC8" i="1"/>
  <c r="I17" i="2" s="1"/>
  <c r="DC10" i="1"/>
  <c r="I30" i="2" s="1"/>
  <c r="L30" i="2" s="1"/>
  <c r="EE13" i="1"/>
  <c r="O43" i="2"/>
  <c r="P43" i="2" s="1"/>
  <c r="Q43" i="2" s="1"/>
  <c r="R43" i="2" s="1"/>
  <c r="BC13" i="1"/>
  <c r="I43" i="2" s="1"/>
  <c r="AD14" i="1"/>
  <c r="N47" i="2" s="1"/>
  <c r="AC14" i="1"/>
  <c r="I47" i="2" s="1"/>
  <c r="DD16" i="1"/>
  <c r="N60" i="2" s="1"/>
  <c r="DC16" i="1"/>
  <c r="I60" i="2" s="1"/>
  <c r="L60" i="2" s="1"/>
  <c r="CC20" i="1"/>
  <c r="I79" i="2" s="1"/>
  <c r="L79" i="2" s="1"/>
  <c r="M85" i="2"/>
  <c r="DD21" i="1"/>
  <c r="N85" i="2" s="1"/>
  <c r="DC21" i="1"/>
  <c r="I85" i="2" s="1"/>
  <c r="L85" i="2" s="1"/>
  <c r="EE22" i="1"/>
  <c r="EE24" i="1"/>
  <c r="O113" i="2"/>
  <c r="P113" i="2" s="1"/>
  <c r="O114" i="2"/>
  <c r="P114" i="2" s="1"/>
  <c r="CC27" i="1"/>
  <c r="I114" i="2" s="1"/>
  <c r="L114" i="2" s="1"/>
  <c r="BD28" i="1"/>
  <c r="N118" i="2" s="1"/>
  <c r="BC28" i="1"/>
  <c r="I118" i="2" s="1"/>
  <c r="L118" i="2" s="1"/>
  <c r="AC32" i="1"/>
  <c r="I137" i="2" s="1"/>
  <c r="M143" i="2"/>
  <c r="BD33" i="1"/>
  <c r="N143" i="2" s="1"/>
  <c r="BC33" i="1"/>
  <c r="I143" i="2" s="1"/>
  <c r="L143" i="2" s="1"/>
  <c r="DC34" i="1"/>
  <c r="I150" i="2" s="1"/>
  <c r="L150" i="2" s="1"/>
  <c r="M156" i="2"/>
  <c r="ED35" i="1"/>
  <c r="N156" i="2" s="1"/>
  <c r="EC35" i="1"/>
  <c r="I156" i="2" s="1"/>
  <c r="L156" i="2" s="1"/>
  <c r="BD39" i="1"/>
  <c r="N173" i="2" s="1"/>
  <c r="O176" i="2"/>
  <c r="P176" i="2" s="1"/>
  <c r="EC39" i="1"/>
  <c r="I176" i="2" s="1"/>
  <c r="L176" i="2" s="1"/>
  <c r="ED41" i="1"/>
  <c r="N186" i="2" s="1"/>
  <c r="CD42" i="1"/>
  <c r="N189" i="2" s="1"/>
  <c r="CC42" i="1"/>
  <c r="I189" i="2" s="1"/>
  <c r="L189" i="2" s="1"/>
  <c r="DD46" i="1"/>
  <c r="N210" i="2" s="1"/>
  <c r="CD48" i="1"/>
  <c r="N219" i="2" s="1"/>
  <c r="O221" i="2"/>
  <c r="P221" i="2" s="1"/>
  <c r="T221" i="2"/>
  <c r="M245" i="2"/>
  <c r="DD53" i="1"/>
  <c r="N245" i="2" s="1"/>
  <c r="DC53" i="1"/>
  <c r="I245" i="2" s="1"/>
  <c r="L245" i="2" s="1"/>
  <c r="EC64" i="1"/>
  <c r="I301" i="2" s="1"/>
  <c r="L301" i="2" s="1"/>
  <c r="ED64" i="1"/>
  <c r="N301" i="2" s="1"/>
  <c r="O362" i="2"/>
  <c r="P362" i="2" s="1"/>
  <c r="O364" i="2"/>
  <c r="P364" i="2" s="1"/>
  <c r="O365" i="2"/>
  <c r="P365" i="2" s="1"/>
  <c r="DC77" i="1"/>
  <c r="I365" i="2" s="1"/>
  <c r="L365" i="2" s="1"/>
  <c r="O494" i="2"/>
  <c r="P494" i="2" s="1"/>
  <c r="CC103" i="1"/>
  <c r="I494" i="2" s="1"/>
  <c r="L494" i="2" s="1"/>
  <c r="BD104" i="1"/>
  <c r="N498" i="2" s="1"/>
  <c r="BC104" i="1"/>
  <c r="I498" i="2" s="1"/>
  <c r="L498" i="2" s="1"/>
  <c r="AD105" i="1"/>
  <c r="N502" i="2" s="1"/>
  <c r="AC105" i="1"/>
  <c r="I502" i="2" s="1"/>
  <c r="M10" i="2"/>
  <c r="Q10" i="2" s="1"/>
  <c r="R10" i="2" s="1"/>
  <c r="M19" i="2"/>
  <c r="M37" i="2"/>
  <c r="M41" i="2"/>
  <c r="M50" i="2"/>
  <c r="M59" i="2"/>
  <c r="AD17" i="1"/>
  <c r="N62" i="2" s="1"/>
  <c r="M68" i="2"/>
  <c r="M77" i="2"/>
  <c r="M81" i="2"/>
  <c r="M99" i="2"/>
  <c r="M108" i="2"/>
  <c r="M117" i="2"/>
  <c r="M121" i="2"/>
  <c r="M130" i="2"/>
  <c r="M139" i="2"/>
  <c r="M148" i="2"/>
  <c r="M157" i="2"/>
  <c r="M161" i="2"/>
  <c r="M170" i="2"/>
  <c r="M179" i="2"/>
  <c r="M188" i="2"/>
  <c r="M197" i="2"/>
  <c r="T198" i="2" s="1"/>
  <c r="AC44" i="1"/>
  <c r="I197" i="2" s="1"/>
  <c r="M204" i="2"/>
  <c r="EE50" i="1"/>
  <c r="M236" i="2"/>
  <c r="ED51" i="1"/>
  <c r="N236" i="2" s="1"/>
  <c r="M243" i="2"/>
  <c r="BD53" i="1"/>
  <c r="N243" i="2" s="1"/>
  <c r="DC54" i="1"/>
  <c r="I250" i="2" s="1"/>
  <c r="L250" i="2" s="1"/>
  <c r="BD55" i="1"/>
  <c r="N253" i="2" s="1"/>
  <c r="BC55" i="1"/>
  <c r="I253" i="2" s="1"/>
  <c r="L253" i="2" s="1"/>
  <c r="BD56" i="1"/>
  <c r="N258" i="2" s="1"/>
  <c r="BC56" i="1"/>
  <c r="I258" i="2" s="1"/>
  <c r="L258" i="2" s="1"/>
  <c r="CD57" i="1"/>
  <c r="N264" i="2" s="1"/>
  <c r="M294" i="2"/>
  <c r="CD63" i="1"/>
  <c r="N294" i="2" s="1"/>
  <c r="BC66" i="1"/>
  <c r="I308" i="2" s="1"/>
  <c r="L308" i="2" s="1"/>
  <c r="AD69" i="1"/>
  <c r="N322" i="2" s="1"/>
  <c r="M345" i="2"/>
  <c r="DD73" i="1"/>
  <c r="N345" i="2" s="1"/>
  <c r="DC73" i="1"/>
  <c r="I345" i="2" s="1"/>
  <c r="L345" i="2" s="1"/>
  <c r="EE74" i="1"/>
  <c r="EE76" i="1"/>
  <c r="BD79" i="1"/>
  <c r="N373" i="2" s="1"/>
  <c r="O374" i="2"/>
  <c r="P374" i="2" s="1"/>
  <c r="CC79" i="1"/>
  <c r="I374" i="2" s="1"/>
  <c r="L374" i="2" s="1"/>
  <c r="BD80" i="1"/>
  <c r="N378" i="2" s="1"/>
  <c r="BC80" i="1"/>
  <c r="I378" i="2" s="1"/>
  <c r="L378" i="2" s="1"/>
  <c r="EE83" i="1"/>
  <c r="O399" i="2"/>
  <c r="P399" i="2" s="1"/>
  <c r="M403" i="2"/>
  <c r="BD85" i="1"/>
  <c r="N403" i="2" s="1"/>
  <c r="BC85" i="1"/>
  <c r="I403" i="2" s="1"/>
  <c r="L403" i="2" s="1"/>
  <c r="M416" i="2"/>
  <c r="ED87" i="1"/>
  <c r="N416" i="2" s="1"/>
  <c r="EC87" i="1"/>
  <c r="I416" i="2" s="1"/>
  <c r="L416" i="2" s="1"/>
  <c r="O433" i="2"/>
  <c r="P433" i="2" s="1"/>
  <c r="O436" i="2"/>
  <c r="P436" i="2" s="1"/>
  <c r="EC91" i="1"/>
  <c r="I436" i="2" s="1"/>
  <c r="L436" i="2" s="1"/>
  <c r="CD93" i="1"/>
  <c r="N444" i="2" s="1"/>
  <c r="CD94" i="1"/>
  <c r="N449" i="2" s="1"/>
  <c r="CC94" i="1"/>
  <c r="I449" i="2" s="1"/>
  <c r="L449" i="2" s="1"/>
  <c r="AD96" i="1"/>
  <c r="N457" i="2" s="1"/>
  <c r="AC96" i="1"/>
  <c r="I457" i="2" s="1"/>
  <c r="EE102" i="1"/>
  <c r="O504" i="2"/>
  <c r="P504" i="2" s="1"/>
  <c r="M9" i="2"/>
  <c r="M18" i="2"/>
  <c r="M27" i="2"/>
  <c r="M31" i="2"/>
  <c r="M40" i="2"/>
  <c r="M49" i="2"/>
  <c r="M58" i="2"/>
  <c r="M67" i="2"/>
  <c r="M71" i="2"/>
  <c r="M80" i="2"/>
  <c r="M89" i="2"/>
  <c r="M98" i="2"/>
  <c r="M107" i="2"/>
  <c r="M111" i="2"/>
  <c r="M120" i="2"/>
  <c r="M129" i="2"/>
  <c r="M147" i="2"/>
  <c r="M151" i="2"/>
  <c r="M160" i="2"/>
  <c r="M169" i="2"/>
  <c r="M178" i="2"/>
  <c r="M187" i="2"/>
  <c r="M191" i="2"/>
  <c r="DC45" i="1"/>
  <c r="I205" i="2" s="1"/>
  <c r="L205" i="2" s="1"/>
  <c r="M207" i="2"/>
  <c r="EE46" i="1"/>
  <c r="AC47" i="1"/>
  <c r="I212" i="2" s="1"/>
  <c r="O224" i="2"/>
  <c r="P224" i="2" s="1"/>
  <c r="O239" i="2"/>
  <c r="P239" i="2" s="1"/>
  <c r="M254" i="2"/>
  <c r="CD55" i="1"/>
  <c r="N254" i="2" s="1"/>
  <c r="O282" i="2"/>
  <c r="P282" i="2" s="1"/>
  <c r="O290" i="2"/>
  <c r="P290" i="2" s="1"/>
  <c r="O297" i="2"/>
  <c r="P297" i="2" s="1"/>
  <c r="M305" i="2"/>
  <c r="DD65" i="1"/>
  <c r="N305" i="2" s="1"/>
  <c r="M312" i="2"/>
  <c r="EE67" i="1"/>
  <c r="AD67" i="1"/>
  <c r="N312" i="2" s="1"/>
  <c r="DD67" i="1"/>
  <c r="N315" i="2" s="1"/>
  <c r="DC67" i="1"/>
  <c r="I315" i="2" s="1"/>
  <c r="L315" i="2" s="1"/>
  <c r="EE68" i="1"/>
  <c r="DD68" i="1"/>
  <c r="N320" i="2" s="1"/>
  <c r="DC68" i="1"/>
  <c r="I320" i="2" s="1"/>
  <c r="L320" i="2" s="1"/>
  <c r="O324" i="2"/>
  <c r="P324" i="2" s="1"/>
  <c r="T324" i="2"/>
  <c r="O326" i="2"/>
  <c r="P326" i="2" s="1"/>
  <c r="O341" i="2"/>
  <c r="P341" i="2" s="1"/>
  <c r="O353" i="2"/>
  <c r="P353" i="2" s="1"/>
  <c r="O356" i="2"/>
  <c r="P356" i="2" s="1"/>
  <c r="EC75" i="1"/>
  <c r="I356" i="2" s="1"/>
  <c r="L356" i="2" s="1"/>
  <c r="O366" i="2"/>
  <c r="P366" i="2" s="1"/>
  <c r="CD78" i="1"/>
  <c r="N369" i="2" s="1"/>
  <c r="CC78" i="1"/>
  <c r="I369" i="2" s="1"/>
  <c r="L369" i="2" s="1"/>
  <c r="AD80" i="1"/>
  <c r="N377" i="2" s="1"/>
  <c r="AC80" i="1"/>
  <c r="I377" i="2" s="1"/>
  <c r="O397" i="2"/>
  <c r="P397" i="2" s="1"/>
  <c r="EE86" i="1"/>
  <c r="O410" i="2"/>
  <c r="P410" i="2" s="1"/>
  <c r="O422" i="2"/>
  <c r="P422" i="2" s="1"/>
  <c r="O424" i="2"/>
  <c r="P424" i="2" s="1"/>
  <c r="T424" i="2"/>
  <c r="ED90" i="1"/>
  <c r="N431" i="2" s="1"/>
  <c r="EC90" i="1"/>
  <c r="I431" i="2" s="1"/>
  <c r="L431" i="2" s="1"/>
  <c r="DD91" i="1"/>
  <c r="N435" i="2" s="1"/>
  <c r="DC91" i="1"/>
  <c r="I435" i="2" s="1"/>
  <c r="L435" i="2" s="1"/>
  <c r="M452" i="2"/>
  <c r="EE95" i="1"/>
  <c r="AD95" i="1"/>
  <c r="N452" i="2" s="1"/>
  <c r="AC95" i="1"/>
  <c r="I452" i="2" s="1"/>
  <c r="O472" i="2"/>
  <c r="P472" i="2" s="1"/>
  <c r="AC99" i="1"/>
  <c r="I472" i="2" s="1"/>
  <c r="O482" i="2"/>
  <c r="P482" i="2" s="1"/>
  <c r="O485" i="2"/>
  <c r="P485" i="2" s="1"/>
  <c r="DC101" i="1"/>
  <c r="I485" i="2" s="1"/>
  <c r="L485" i="2" s="1"/>
  <c r="O495" i="2"/>
  <c r="P495" i="2" s="1"/>
  <c r="ED105" i="1"/>
  <c r="N506" i="2" s="1"/>
  <c r="EC105" i="1"/>
  <c r="I506" i="2" s="1"/>
  <c r="L506" i="2" s="1"/>
  <c r="M13" i="2"/>
  <c r="Q13" i="2" s="1"/>
  <c r="M22" i="2"/>
  <c r="M26" i="2"/>
  <c r="Q26" i="2" s="1"/>
  <c r="M35" i="2"/>
  <c r="M44" i="2"/>
  <c r="Q44" i="2" s="1"/>
  <c r="M53" i="2"/>
  <c r="Q53" i="2" s="1"/>
  <c r="R53" i="2" s="1"/>
  <c r="M66" i="2"/>
  <c r="Q66" i="2" s="1"/>
  <c r="M75" i="2"/>
  <c r="M84" i="2"/>
  <c r="Q84" i="2" s="1"/>
  <c r="R84" i="2" s="1"/>
  <c r="M93" i="2"/>
  <c r="Q93" i="2" s="1"/>
  <c r="M102" i="2"/>
  <c r="Q102" i="2" s="1"/>
  <c r="M106" i="2"/>
  <c r="Q106" i="2" s="1"/>
  <c r="M115" i="2"/>
  <c r="M124" i="2"/>
  <c r="M133" i="2"/>
  <c r="Q133" i="2" s="1"/>
  <c r="M142" i="2"/>
  <c r="Q142" i="2" s="1"/>
  <c r="M146" i="2"/>
  <c r="Q146" i="2" s="1"/>
  <c r="R146" i="2" s="1"/>
  <c r="M155" i="2"/>
  <c r="Q155" i="2" s="1"/>
  <c r="M164" i="2"/>
  <c r="Q164" i="2" s="1"/>
  <c r="R164" i="2" s="1"/>
  <c r="M173" i="2"/>
  <c r="M182" i="2"/>
  <c r="Q182" i="2" s="1"/>
  <c r="R182" i="2" s="1"/>
  <c r="M186" i="2"/>
  <c r="M195" i="2"/>
  <c r="Q195" i="2" s="1"/>
  <c r="R195" i="2" s="1"/>
  <c r="M216" i="2"/>
  <c r="ED47" i="1"/>
  <c r="N216" i="2" s="1"/>
  <c r="CC48" i="1"/>
  <c r="I219" i="2" s="1"/>
  <c r="L219" i="2" s="1"/>
  <c r="AD50" i="1"/>
  <c r="N227" i="2" s="1"/>
  <c r="AC50" i="1"/>
  <c r="I227" i="2" s="1"/>
  <c r="BD51" i="1"/>
  <c r="N233" i="2" s="1"/>
  <c r="O241" i="2"/>
  <c r="P241" i="2" s="1"/>
  <c r="EE54" i="1"/>
  <c r="O248" i="2"/>
  <c r="P248" i="2" s="1"/>
  <c r="M256" i="2"/>
  <c r="ED55" i="1"/>
  <c r="N256" i="2" s="1"/>
  <c r="M263" i="2"/>
  <c r="BD57" i="1"/>
  <c r="N263" i="2" s="1"/>
  <c r="ED57" i="1"/>
  <c r="N266" i="2" s="1"/>
  <c r="EC57" i="1"/>
  <c r="I266" i="2" s="1"/>
  <c r="L266" i="2" s="1"/>
  <c r="ED58" i="1"/>
  <c r="N271" i="2" s="1"/>
  <c r="EC58" i="1"/>
  <c r="I271" i="2" s="1"/>
  <c r="L271" i="2" s="1"/>
  <c r="O299" i="2"/>
  <c r="P299" i="2" s="1"/>
  <c r="M314" i="2"/>
  <c r="CD67" i="1"/>
  <c r="N314" i="2" s="1"/>
  <c r="CD70" i="1"/>
  <c r="N329" i="2" s="1"/>
  <c r="CC70" i="1"/>
  <c r="I329" i="2" s="1"/>
  <c r="L329" i="2" s="1"/>
  <c r="DD71" i="1"/>
  <c r="N335" i="2" s="1"/>
  <c r="EE73" i="1"/>
  <c r="O343" i="2"/>
  <c r="P343" i="2" s="1"/>
  <c r="BC73" i="1"/>
  <c r="I343" i="2" s="1"/>
  <c r="L343" i="2" s="1"/>
  <c r="AD74" i="1"/>
  <c r="N347" i="2" s="1"/>
  <c r="AC74" i="1"/>
  <c r="I347" i="2" s="1"/>
  <c r="DD76" i="1"/>
  <c r="N360" i="2" s="1"/>
  <c r="DC76" i="1"/>
  <c r="I360" i="2" s="1"/>
  <c r="L360" i="2" s="1"/>
  <c r="ED80" i="1"/>
  <c r="N381" i="2" s="1"/>
  <c r="EC80" i="1"/>
  <c r="I381" i="2" s="1"/>
  <c r="L381" i="2" s="1"/>
  <c r="M385" i="2"/>
  <c r="DD81" i="1"/>
  <c r="N385" i="2" s="1"/>
  <c r="DC81" i="1"/>
  <c r="I385" i="2" s="1"/>
  <c r="L385" i="2" s="1"/>
  <c r="EE82" i="1"/>
  <c r="O388" i="2"/>
  <c r="P388" i="2" s="1"/>
  <c r="EE84" i="1"/>
  <c r="O401" i="2"/>
  <c r="P401" i="2" s="1"/>
  <c r="O414" i="2"/>
  <c r="P414" i="2" s="1"/>
  <c r="CC87" i="1"/>
  <c r="I414" i="2" s="1"/>
  <c r="L414" i="2" s="1"/>
  <c r="BD88" i="1"/>
  <c r="N418" i="2" s="1"/>
  <c r="BC88" i="1"/>
  <c r="I418" i="2" s="1"/>
  <c r="L418" i="2" s="1"/>
  <c r="EE91" i="1"/>
  <c r="M443" i="2"/>
  <c r="BD93" i="1"/>
  <c r="N443" i="2" s="1"/>
  <c r="BC93" i="1"/>
  <c r="I443" i="2" s="1"/>
  <c r="L443" i="2" s="1"/>
  <c r="M456" i="2"/>
  <c r="ED95" i="1"/>
  <c r="N456" i="2" s="1"/>
  <c r="EC95" i="1"/>
  <c r="I456" i="2" s="1"/>
  <c r="L456" i="2" s="1"/>
  <c r="O459" i="2"/>
  <c r="P459" i="2" s="1"/>
  <c r="BD99" i="1"/>
  <c r="N473" i="2" s="1"/>
  <c r="O476" i="2"/>
  <c r="P476" i="2" s="1"/>
  <c r="EC99" i="1"/>
  <c r="I476" i="2" s="1"/>
  <c r="L476" i="2" s="1"/>
  <c r="ED101" i="1"/>
  <c r="N486" i="2" s="1"/>
  <c r="CD102" i="1"/>
  <c r="N489" i="2" s="1"/>
  <c r="CC102" i="1"/>
  <c r="I489" i="2" s="1"/>
  <c r="L489" i="2" s="1"/>
  <c r="BD103" i="1"/>
  <c r="N493" i="2" s="1"/>
  <c r="BC103" i="1"/>
  <c r="I493" i="2" s="1"/>
  <c r="L493" i="2" s="1"/>
  <c r="AD104" i="1"/>
  <c r="N497" i="2" s="1"/>
  <c r="AC104" i="1"/>
  <c r="I497" i="2" s="1"/>
  <c r="M62" i="2"/>
  <c r="T66" i="2" s="1"/>
  <c r="M8" i="2"/>
  <c r="DC6" i="1"/>
  <c r="I10" i="2" s="1"/>
  <c r="L10" i="2" s="1"/>
  <c r="M17" i="2"/>
  <c r="Q17" i="2" s="1"/>
  <c r="CC8" i="1"/>
  <c r="I19" i="2" s="1"/>
  <c r="L19" i="2" s="1"/>
  <c r="M21" i="2"/>
  <c r="Q21" i="2" s="1"/>
  <c r="BC10" i="1"/>
  <c r="I28" i="2" s="1"/>
  <c r="L28" i="2" s="1"/>
  <c r="M30" i="2"/>
  <c r="Q30" i="2" s="1"/>
  <c r="AC12" i="1"/>
  <c r="I37" i="2" s="1"/>
  <c r="M39" i="2"/>
  <c r="Q39" i="2" s="1"/>
  <c r="EC12" i="1"/>
  <c r="I41" i="2" s="1"/>
  <c r="L41" i="2" s="1"/>
  <c r="AD13" i="1"/>
  <c r="N42" i="2" s="1"/>
  <c r="M48" i="2"/>
  <c r="Q48" i="2" s="1"/>
  <c r="DC14" i="1"/>
  <c r="I50" i="2" s="1"/>
  <c r="L50" i="2" s="1"/>
  <c r="M57" i="2"/>
  <c r="Q57" i="2" s="1"/>
  <c r="CC16" i="1"/>
  <c r="I59" i="2" s="1"/>
  <c r="L59" i="2" s="1"/>
  <c r="M61" i="2"/>
  <c r="Q61" i="2" s="1"/>
  <c r="BC18" i="1"/>
  <c r="I68" i="2" s="1"/>
  <c r="L68" i="2" s="1"/>
  <c r="M70" i="2"/>
  <c r="Q70" i="2" s="1"/>
  <c r="AC20" i="1"/>
  <c r="I77" i="2" s="1"/>
  <c r="M79" i="2"/>
  <c r="Q79" i="2" s="1"/>
  <c r="EC20" i="1"/>
  <c r="I81" i="2" s="1"/>
  <c r="L81" i="2" s="1"/>
  <c r="AD21" i="1"/>
  <c r="N82" i="2" s="1"/>
  <c r="M88" i="2"/>
  <c r="Q88" i="2" s="1"/>
  <c r="DC22" i="1"/>
  <c r="I90" i="2" s="1"/>
  <c r="L90" i="2" s="1"/>
  <c r="M97" i="2"/>
  <c r="Q97" i="2" s="1"/>
  <c r="CC24" i="1"/>
  <c r="I99" i="2" s="1"/>
  <c r="L99" i="2" s="1"/>
  <c r="M101" i="2"/>
  <c r="Q101" i="2" s="1"/>
  <c r="R101" i="2" s="1"/>
  <c r="BC26" i="1"/>
  <c r="I108" i="2" s="1"/>
  <c r="L108" i="2" s="1"/>
  <c r="M110" i="2"/>
  <c r="AC28" i="1"/>
  <c r="I117" i="2" s="1"/>
  <c r="M119" i="2"/>
  <c r="EC28" i="1"/>
  <c r="I121" i="2" s="1"/>
  <c r="L121" i="2" s="1"/>
  <c r="AD29" i="1"/>
  <c r="N122" i="2" s="1"/>
  <c r="M128" i="2"/>
  <c r="DC30" i="1"/>
  <c r="I130" i="2" s="1"/>
  <c r="L130" i="2" s="1"/>
  <c r="M137" i="2"/>
  <c r="Q137" i="2" s="1"/>
  <c r="CC32" i="1"/>
  <c r="I139" i="2" s="1"/>
  <c r="L139" i="2" s="1"/>
  <c r="M141" i="2"/>
  <c r="Q141" i="2" s="1"/>
  <c r="BC34" i="1"/>
  <c r="I148" i="2" s="1"/>
  <c r="L148" i="2" s="1"/>
  <c r="M150" i="2"/>
  <c r="Q150" i="2" s="1"/>
  <c r="AC36" i="1"/>
  <c r="I157" i="2" s="1"/>
  <c r="M159" i="2"/>
  <c r="Q159" i="2" s="1"/>
  <c r="EC36" i="1"/>
  <c r="I161" i="2" s="1"/>
  <c r="L161" i="2" s="1"/>
  <c r="AD37" i="1"/>
  <c r="N162" i="2" s="1"/>
  <c r="M168" i="2"/>
  <c r="Q168" i="2" s="1"/>
  <c r="R168" i="2" s="1"/>
  <c r="DC38" i="1"/>
  <c r="I170" i="2" s="1"/>
  <c r="L170" i="2" s="1"/>
  <c r="M177" i="2"/>
  <c r="Q177" i="2" s="1"/>
  <c r="CC40" i="1"/>
  <c r="I179" i="2" s="1"/>
  <c r="L179" i="2" s="1"/>
  <c r="M181" i="2"/>
  <c r="Q181" i="2" s="1"/>
  <c r="R181" i="2" s="1"/>
  <c r="BC42" i="1"/>
  <c r="I188" i="2" s="1"/>
  <c r="L188" i="2" s="1"/>
  <c r="M190" i="2"/>
  <c r="AD44" i="1"/>
  <c r="N197" i="2" s="1"/>
  <c r="EE44" i="1"/>
  <c r="CC45" i="1"/>
  <c r="I204" i="2" s="1"/>
  <c r="L204" i="2" s="1"/>
  <c r="M206" i="2"/>
  <c r="ED45" i="1"/>
  <c r="N206" i="2" s="1"/>
  <c r="M210" i="2"/>
  <c r="DC46" i="1"/>
  <c r="I210" i="2" s="1"/>
  <c r="L210" i="2" s="1"/>
  <c r="BD47" i="1"/>
  <c r="N213" i="2" s="1"/>
  <c r="BC50" i="1"/>
  <c r="I228" i="2" s="1"/>
  <c r="L228" i="2" s="1"/>
  <c r="EC51" i="1"/>
  <c r="I236" i="2" s="1"/>
  <c r="L236" i="2" s="1"/>
  <c r="AD53" i="1"/>
  <c r="N242" i="2" s="1"/>
  <c r="BC53" i="1"/>
  <c r="I243" i="2" s="1"/>
  <c r="L243" i="2" s="1"/>
  <c r="M265" i="2"/>
  <c r="DD57" i="1"/>
  <c r="N265" i="2" s="1"/>
  <c r="DC58" i="1"/>
  <c r="I270" i="2" s="1"/>
  <c r="L270" i="2" s="1"/>
  <c r="M272" i="2"/>
  <c r="EE59" i="1"/>
  <c r="AD59" i="1"/>
  <c r="N272" i="2" s="1"/>
  <c r="DD59" i="1"/>
  <c r="N275" i="2" s="1"/>
  <c r="DC59" i="1"/>
  <c r="I275" i="2" s="1"/>
  <c r="L275" i="2" s="1"/>
  <c r="EE60" i="1"/>
  <c r="DD60" i="1"/>
  <c r="N280" i="2" s="1"/>
  <c r="DC60" i="1"/>
  <c r="I280" i="2" s="1"/>
  <c r="L280" i="2" s="1"/>
  <c r="ED61" i="1"/>
  <c r="N286" i="2" s="1"/>
  <c r="CC63" i="1"/>
  <c r="I294" i="2" s="1"/>
  <c r="L294" i="2" s="1"/>
  <c r="EE66" i="1"/>
  <c r="M316" i="2"/>
  <c r="ED67" i="1"/>
  <c r="N316" i="2" s="1"/>
  <c r="M323" i="2"/>
  <c r="BD69" i="1"/>
  <c r="N323" i="2" s="1"/>
  <c r="BC70" i="1"/>
  <c r="I328" i="2" s="1"/>
  <c r="L328" i="2" s="1"/>
  <c r="DC70" i="1"/>
  <c r="I330" i="2" s="1"/>
  <c r="L330" i="2" s="1"/>
  <c r="BD71" i="1"/>
  <c r="N333" i="2" s="1"/>
  <c r="BC71" i="1"/>
  <c r="I333" i="2" s="1"/>
  <c r="L333" i="2" s="1"/>
  <c r="BD72" i="1"/>
  <c r="N338" i="2" s="1"/>
  <c r="BC72" i="1"/>
  <c r="I338" i="2" s="1"/>
  <c r="L338" i="2" s="1"/>
  <c r="CD73" i="1"/>
  <c r="N344" i="2" s="1"/>
  <c r="BC74" i="1"/>
  <c r="I348" i="2" s="1"/>
  <c r="L348" i="2" s="1"/>
  <c r="ED74" i="1"/>
  <c r="N351" i="2" s="1"/>
  <c r="EC74" i="1"/>
  <c r="I351" i="2" s="1"/>
  <c r="L351" i="2" s="1"/>
  <c r="DD75" i="1"/>
  <c r="N355" i="2" s="1"/>
  <c r="DC75" i="1"/>
  <c r="I355" i="2" s="1"/>
  <c r="L355" i="2" s="1"/>
  <c r="O368" i="2"/>
  <c r="P368" i="2" s="1"/>
  <c r="DC78" i="1"/>
  <c r="I370" i="2" s="1"/>
  <c r="L370" i="2" s="1"/>
  <c r="M372" i="2"/>
  <c r="EE79" i="1"/>
  <c r="AD79" i="1"/>
  <c r="N372" i="2" s="1"/>
  <c r="AC79" i="1"/>
  <c r="I372" i="2" s="1"/>
  <c r="O392" i="2"/>
  <c r="P392" i="2" s="1"/>
  <c r="T392" i="2"/>
  <c r="AC83" i="1"/>
  <c r="I392" i="2" s="1"/>
  <c r="AD85" i="1"/>
  <c r="N402" i="2" s="1"/>
  <c r="O405" i="2"/>
  <c r="P405" i="2" s="1"/>
  <c r="DC85" i="1"/>
  <c r="I405" i="2" s="1"/>
  <c r="L405" i="2" s="1"/>
  <c r="O413" i="2"/>
  <c r="P413" i="2" s="1"/>
  <c r="DD87" i="1"/>
  <c r="N415" i="2" s="1"/>
  <c r="ED89" i="1"/>
  <c r="N426" i="2" s="1"/>
  <c r="EC89" i="1"/>
  <c r="I426" i="2" s="1"/>
  <c r="L426" i="2" s="1"/>
  <c r="DD90" i="1"/>
  <c r="N430" i="2" s="1"/>
  <c r="DC90" i="1"/>
  <c r="I430" i="2" s="1"/>
  <c r="L430" i="2" s="1"/>
  <c r="M434" i="2"/>
  <c r="CD91" i="1"/>
  <c r="N434" i="2" s="1"/>
  <c r="CC91" i="1"/>
  <c r="I434" i="2" s="1"/>
  <c r="L434" i="2" s="1"/>
  <c r="EE97" i="1"/>
  <c r="O463" i="2"/>
  <c r="P463" i="2" s="1"/>
  <c r="BC97" i="1"/>
  <c r="I463" i="2" s="1"/>
  <c r="L463" i="2" s="1"/>
  <c r="AD98" i="1"/>
  <c r="N467" i="2" s="1"/>
  <c r="AC98" i="1"/>
  <c r="I467" i="2" s="1"/>
  <c r="AC100" i="1"/>
  <c r="I477" i="2" s="1"/>
  <c r="DD100" i="1"/>
  <c r="N480" i="2" s="1"/>
  <c r="DC100" i="1"/>
  <c r="I480" i="2" s="1"/>
  <c r="L480" i="2" s="1"/>
  <c r="CD101" i="1"/>
  <c r="N484" i="2" s="1"/>
  <c r="CC101" i="1"/>
  <c r="I484" i="2" s="1"/>
  <c r="L484" i="2" s="1"/>
  <c r="DC102" i="1"/>
  <c r="I490" i="2" s="1"/>
  <c r="L490" i="2" s="1"/>
  <c r="ED104" i="1"/>
  <c r="N501" i="2" s="1"/>
  <c r="EC104" i="1"/>
  <c r="I501" i="2" s="1"/>
  <c r="L501" i="2" s="1"/>
  <c r="M505" i="2"/>
  <c r="DD105" i="1"/>
  <c r="N505" i="2" s="1"/>
  <c r="DC105" i="1"/>
  <c r="I505" i="2" s="1"/>
  <c r="L505" i="2" s="1"/>
  <c r="M138" i="2"/>
  <c r="Q138" i="2" s="1"/>
  <c r="R138" i="2" s="1"/>
  <c r="M12" i="2"/>
  <c r="Q12" i="2" s="1"/>
  <c r="M16" i="2"/>
  <c r="Q16" i="2" s="1"/>
  <c r="CD8" i="1"/>
  <c r="N19" i="2" s="1"/>
  <c r="M25" i="2"/>
  <c r="Q25" i="2" s="1"/>
  <c r="R25" i="2" s="1"/>
  <c r="BD10" i="1"/>
  <c r="N28" i="2" s="1"/>
  <c r="M34" i="2"/>
  <c r="Q34" i="2" s="1"/>
  <c r="R34" i="2" s="1"/>
  <c r="AD12" i="1"/>
  <c r="N37" i="2" s="1"/>
  <c r="ED12" i="1"/>
  <c r="N41" i="2" s="1"/>
  <c r="DD14" i="1"/>
  <c r="N50" i="2" s="1"/>
  <c r="M52" i="2"/>
  <c r="T55" i="2" s="1"/>
  <c r="M56" i="2"/>
  <c r="Q56" i="2" s="1"/>
  <c r="CD16" i="1"/>
  <c r="N59" i="2" s="1"/>
  <c r="M65" i="2"/>
  <c r="BD18" i="1"/>
  <c r="N68" i="2" s="1"/>
  <c r="M74" i="2"/>
  <c r="Q74" i="2" s="1"/>
  <c r="AD20" i="1"/>
  <c r="N77" i="2" s="1"/>
  <c r="ED20" i="1"/>
  <c r="N81" i="2" s="1"/>
  <c r="M83" i="2"/>
  <c r="Q83" i="2" s="1"/>
  <c r="R83" i="2" s="1"/>
  <c r="DD22" i="1"/>
  <c r="N90" i="2" s="1"/>
  <c r="M92" i="2"/>
  <c r="M96" i="2"/>
  <c r="CD24" i="1"/>
  <c r="N99" i="2" s="1"/>
  <c r="M105" i="2"/>
  <c r="Q105" i="2" s="1"/>
  <c r="BD26" i="1"/>
  <c r="N108" i="2" s="1"/>
  <c r="M114" i="2"/>
  <c r="Q114" i="2" s="1"/>
  <c r="AD28" i="1"/>
  <c r="N117" i="2" s="1"/>
  <c r="ED28" i="1"/>
  <c r="N121" i="2" s="1"/>
  <c r="M123" i="2"/>
  <c r="Q123" i="2" s="1"/>
  <c r="DD30" i="1"/>
  <c r="N130" i="2" s="1"/>
  <c r="M132" i="2"/>
  <c r="M136" i="2"/>
  <c r="Q136" i="2" s="1"/>
  <c r="CD32" i="1"/>
  <c r="N139" i="2" s="1"/>
  <c r="I34" i="3" s="1"/>
  <c r="M145" i="2"/>
  <c r="Q145" i="2" s="1"/>
  <c r="BD34" i="1"/>
  <c r="N148" i="2" s="1"/>
  <c r="AD36" i="1"/>
  <c r="N157" i="2" s="1"/>
  <c r="ED36" i="1"/>
  <c r="N161" i="2" s="1"/>
  <c r="M163" i="2"/>
  <c r="Q163" i="2" s="1"/>
  <c r="DD38" i="1"/>
  <c r="N170" i="2" s="1"/>
  <c r="M172" i="2"/>
  <c r="T175" i="2" s="1"/>
  <c r="M176" i="2"/>
  <c r="CD40" i="1"/>
  <c r="N179" i="2" s="1"/>
  <c r="M185" i="2"/>
  <c r="Q185" i="2" s="1"/>
  <c r="R185" i="2" s="1"/>
  <c r="BD42" i="1"/>
  <c r="N188" i="2" s="1"/>
  <c r="M194" i="2"/>
  <c r="M198" i="2"/>
  <c r="Q198" i="2" s="1"/>
  <c r="M202" i="2"/>
  <c r="AD45" i="1"/>
  <c r="N202" i="2" s="1"/>
  <c r="CD45" i="1"/>
  <c r="N204" i="2" s="1"/>
  <c r="EC48" i="1"/>
  <c r="I221" i="2" s="1"/>
  <c r="L221" i="2" s="1"/>
  <c r="M223" i="2"/>
  <c r="BD49" i="1"/>
  <c r="N223" i="2" s="1"/>
  <c r="ED49" i="1"/>
  <c r="N226" i="2" s="1"/>
  <c r="EC49" i="1"/>
  <c r="I226" i="2" s="1"/>
  <c r="L226" i="2" s="1"/>
  <c r="ED50" i="1"/>
  <c r="N231" i="2" s="1"/>
  <c r="EC50" i="1"/>
  <c r="I231" i="2" s="1"/>
  <c r="L231" i="2" s="1"/>
  <c r="AC52" i="1"/>
  <c r="I237" i="2" s="1"/>
  <c r="M274" i="2"/>
  <c r="CD59" i="1"/>
  <c r="N274" i="2" s="1"/>
  <c r="CC60" i="1"/>
  <c r="I279" i="2" s="1"/>
  <c r="L279" i="2" s="1"/>
  <c r="EC60" i="1"/>
  <c r="I281" i="2" s="1"/>
  <c r="L281" i="2" s="1"/>
  <c r="CD61" i="1"/>
  <c r="N284" i="2" s="1"/>
  <c r="CC61" i="1"/>
  <c r="I284" i="2" s="1"/>
  <c r="L284" i="2" s="1"/>
  <c r="CD62" i="1"/>
  <c r="N289" i="2" s="1"/>
  <c r="CC62" i="1"/>
  <c r="I289" i="2" s="1"/>
  <c r="L289" i="2" s="1"/>
  <c r="DD63" i="1"/>
  <c r="N295" i="2" s="1"/>
  <c r="DD66" i="1"/>
  <c r="N310" i="2" s="1"/>
  <c r="AD68" i="1"/>
  <c r="N317" i="2" s="1"/>
  <c r="M325" i="2"/>
  <c r="DD69" i="1"/>
  <c r="N325" i="2" s="1"/>
  <c r="M332" i="2"/>
  <c r="EE71" i="1"/>
  <c r="AD71" i="1"/>
  <c r="N332" i="2" s="1"/>
  <c r="AC72" i="1"/>
  <c r="I337" i="2" s="1"/>
  <c r="CC72" i="1"/>
  <c r="I339" i="2" s="1"/>
  <c r="L339" i="2" s="1"/>
  <c r="AD73" i="1"/>
  <c r="N342" i="2" s="1"/>
  <c r="AC73" i="1"/>
  <c r="I342" i="2" s="1"/>
  <c r="EE75" i="1"/>
  <c r="AC76" i="1"/>
  <c r="I357" i="2" s="1"/>
  <c r="T359" i="2"/>
  <c r="O359" i="2"/>
  <c r="P359" i="2" s="1"/>
  <c r="EC76" i="1"/>
  <c r="I361" i="2" s="1"/>
  <c r="L361" i="2" s="1"/>
  <c r="M363" i="2"/>
  <c r="BD77" i="1"/>
  <c r="N363" i="2" s="1"/>
  <c r="BC77" i="1"/>
  <c r="I363" i="2" s="1"/>
  <c r="L363" i="2" s="1"/>
  <c r="M376" i="2"/>
  <c r="ED79" i="1"/>
  <c r="N376" i="2" s="1"/>
  <c r="EC79" i="1"/>
  <c r="I376" i="2" s="1"/>
  <c r="L376" i="2" s="1"/>
  <c r="BD83" i="1"/>
  <c r="N393" i="2" s="1"/>
  <c r="O396" i="2"/>
  <c r="P396" i="2" s="1"/>
  <c r="EC83" i="1"/>
  <c r="I396" i="2" s="1"/>
  <c r="L396" i="2" s="1"/>
  <c r="CD85" i="1"/>
  <c r="N404" i="2" s="1"/>
  <c r="ED85" i="1"/>
  <c r="N406" i="2" s="1"/>
  <c r="CD86" i="1"/>
  <c r="N409" i="2" s="1"/>
  <c r="CC86" i="1"/>
  <c r="I409" i="2" s="1"/>
  <c r="L409" i="2" s="1"/>
  <c r="AD88" i="1"/>
  <c r="N417" i="2" s="1"/>
  <c r="AC88" i="1"/>
  <c r="I417" i="2" s="1"/>
  <c r="CC88" i="1"/>
  <c r="I419" i="2" s="1"/>
  <c r="L419" i="2" s="1"/>
  <c r="AC92" i="1"/>
  <c r="I437" i="2" s="1"/>
  <c r="ED93" i="1"/>
  <c r="N446" i="2" s="1"/>
  <c r="EE94" i="1"/>
  <c r="CD97" i="1"/>
  <c r="N464" i="2" s="1"/>
  <c r="BC98" i="1"/>
  <c r="I468" i="2" s="1"/>
  <c r="L468" i="2" s="1"/>
  <c r="ED98" i="1"/>
  <c r="N471" i="2" s="1"/>
  <c r="EC98" i="1"/>
  <c r="I471" i="2" s="1"/>
  <c r="L471" i="2" s="1"/>
  <c r="DD99" i="1"/>
  <c r="N475" i="2" s="1"/>
  <c r="DC99" i="1"/>
  <c r="I475" i="2" s="1"/>
  <c r="L475" i="2" s="1"/>
  <c r="EC100" i="1"/>
  <c r="I481" i="2" s="1"/>
  <c r="L481" i="2" s="1"/>
  <c r="BD102" i="1"/>
  <c r="N488" i="2" s="1"/>
  <c r="BC102" i="1"/>
  <c r="I488" i="2" s="1"/>
  <c r="L488" i="2" s="1"/>
  <c r="M492" i="2"/>
  <c r="EE103" i="1"/>
  <c r="AD103" i="1"/>
  <c r="N492" i="2" s="1"/>
  <c r="AC103" i="1"/>
  <c r="I492" i="2" s="1"/>
  <c r="M7" i="2"/>
  <c r="CC6" i="1"/>
  <c r="I9" i="2" s="1"/>
  <c r="L9" i="2" s="1"/>
  <c r="M11" i="2"/>
  <c r="BC8" i="1"/>
  <c r="I18" i="2" s="1"/>
  <c r="L18" i="2" s="1"/>
  <c r="M20" i="2"/>
  <c r="AC10" i="1"/>
  <c r="I27" i="2" s="1"/>
  <c r="M29" i="2"/>
  <c r="EC10" i="1"/>
  <c r="I31" i="2" s="1"/>
  <c r="L31" i="2" s="1"/>
  <c r="DC12" i="1"/>
  <c r="I40" i="2" s="1"/>
  <c r="L40" i="2" s="1"/>
  <c r="EE12" i="1"/>
  <c r="M47" i="2"/>
  <c r="T48" i="2" s="1"/>
  <c r="CC14" i="1"/>
  <c r="I49" i="2" s="1"/>
  <c r="L49" i="2" s="1"/>
  <c r="M51" i="2"/>
  <c r="BC16" i="1"/>
  <c r="I58" i="2" s="1"/>
  <c r="L58" i="2" s="1"/>
  <c r="M60" i="2"/>
  <c r="AC18" i="1"/>
  <c r="I67" i="2" s="1"/>
  <c r="M69" i="2"/>
  <c r="EC18" i="1"/>
  <c r="I71" i="2" s="1"/>
  <c r="L71" i="2" s="1"/>
  <c r="M78" i="2"/>
  <c r="DC20" i="1"/>
  <c r="I80" i="2" s="1"/>
  <c r="L80" i="2" s="1"/>
  <c r="M87" i="2"/>
  <c r="T88" i="2" s="1"/>
  <c r="CC22" i="1"/>
  <c r="I89" i="2" s="1"/>
  <c r="L89" i="2" s="1"/>
  <c r="M91" i="2"/>
  <c r="BC24" i="1"/>
  <c r="I98" i="2" s="1"/>
  <c r="M100" i="2"/>
  <c r="AC26" i="1"/>
  <c r="I107" i="2" s="1"/>
  <c r="M109" i="2"/>
  <c r="EC26" i="1"/>
  <c r="I111" i="2" s="1"/>
  <c r="L111" i="2" s="1"/>
  <c r="M118" i="2"/>
  <c r="DC28" i="1"/>
  <c r="I120" i="2" s="1"/>
  <c r="L120" i="2" s="1"/>
  <c r="EE28" i="1"/>
  <c r="M127" i="2"/>
  <c r="CC30" i="1"/>
  <c r="I129" i="2" s="1"/>
  <c r="L129" i="2" s="1"/>
  <c r="M131" i="2"/>
  <c r="BC32" i="1"/>
  <c r="I138" i="2" s="1"/>
  <c r="L138" i="2" s="1"/>
  <c r="M140" i="2"/>
  <c r="AC34" i="1"/>
  <c r="I147" i="2" s="1"/>
  <c r="M149" i="2"/>
  <c r="EC34" i="1"/>
  <c r="I151" i="2" s="1"/>
  <c r="L151" i="2" s="1"/>
  <c r="M158" i="2"/>
  <c r="DC36" i="1"/>
  <c r="I160" i="2" s="1"/>
  <c r="L160" i="2" s="1"/>
  <c r="M167" i="2"/>
  <c r="CC38" i="1"/>
  <c r="I169" i="2" s="1"/>
  <c r="L169" i="2" s="1"/>
  <c r="M171" i="2"/>
  <c r="BC40" i="1"/>
  <c r="I178" i="2" s="1"/>
  <c r="L178" i="2" s="1"/>
  <c r="M180" i="2"/>
  <c r="AC42" i="1"/>
  <c r="I187" i="2" s="1"/>
  <c r="M189" i="2"/>
  <c r="EC42" i="1"/>
  <c r="I191" i="2" s="1"/>
  <c r="L191" i="2" s="1"/>
  <c r="BC45" i="1"/>
  <c r="I203" i="2" s="1"/>
  <c r="M205" i="2"/>
  <c r="Q205" i="2" s="1"/>
  <c r="AC46" i="1"/>
  <c r="I207" i="2" s="1"/>
  <c r="M209" i="2"/>
  <c r="M212" i="2"/>
  <c r="Q212" i="2" s="1"/>
  <c r="R212" i="2" s="1"/>
  <c r="EE47" i="1"/>
  <c r="M225" i="2"/>
  <c r="DD49" i="1"/>
  <c r="N225" i="2" s="1"/>
  <c r="DC50" i="1"/>
  <c r="I230" i="2" s="1"/>
  <c r="L230" i="2" s="1"/>
  <c r="M232" i="2"/>
  <c r="EE51" i="1"/>
  <c r="AD51" i="1"/>
  <c r="N232" i="2" s="1"/>
  <c r="DD51" i="1"/>
  <c r="N235" i="2" s="1"/>
  <c r="DC51" i="1"/>
  <c r="I235" i="2" s="1"/>
  <c r="L235" i="2" s="1"/>
  <c r="EE52" i="1"/>
  <c r="DD52" i="1"/>
  <c r="N240" i="2" s="1"/>
  <c r="DC52" i="1"/>
  <c r="I240" i="2" s="1"/>
  <c r="L240" i="2" s="1"/>
  <c r="O246" i="2"/>
  <c r="P246" i="2" s="1"/>
  <c r="CC55" i="1"/>
  <c r="I254" i="2" s="1"/>
  <c r="L254" i="2" s="1"/>
  <c r="ED56" i="1"/>
  <c r="N261" i="2" s="1"/>
  <c r="EE58" i="1"/>
  <c r="M276" i="2"/>
  <c r="ED59" i="1"/>
  <c r="N276" i="2" s="1"/>
  <c r="M283" i="2"/>
  <c r="BD61" i="1"/>
  <c r="N283" i="2" s="1"/>
  <c r="BC62" i="1"/>
  <c r="I288" i="2" s="1"/>
  <c r="L288" i="2" s="1"/>
  <c r="DC62" i="1"/>
  <c r="I290" i="2" s="1"/>
  <c r="L290" i="2" s="1"/>
  <c r="BD63" i="1"/>
  <c r="N293" i="2" s="1"/>
  <c r="BC63" i="1"/>
  <c r="I293" i="2" s="1"/>
  <c r="BD64" i="1"/>
  <c r="N298" i="2" s="1"/>
  <c r="BC64" i="1"/>
  <c r="I298" i="2" s="1"/>
  <c r="L298" i="2" s="1"/>
  <c r="CD65" i="1"/>
  <c r="N304" i="2" s="1"/>
  <c r="DC65" i="1"/>
  <c r="I305" i="2" s="1"/>
  <c r="L305" i="2" s="1"/>
  <c r="AC67" i="1"/>
  <c r="I312" i="2" s="1"/>
  <c r="CD68" i="1"/>
  <c r="N319" i="2" s="1"/>
  <c r="M334" i="2"/>
  <c r="CD71" i="1"/>
  <c r="N334" i="2" s="1"/>
  <c r="ED73" i="1"/>
  <c r="N346" i="2" s="1"/>
  <c r="EC73" i="1"/>
  <c r="I346" i="2" s="1"/>
  <c r="L346" i="2" s="1"/>
  <c r="DD74" i="1"/>
  <c r="N350" i="2" s="1"/>
  <c r="DC74" i="1"/>
  <c r="I350" i="2" s="1"/>
  <c r="L350" i="2" s="1"/>
  <c r="M354" i="2"/>
  <c r="CD75" i="1"/>
  <c r="N354" i="2" s="1"/>
  <c r="CC75" i="1"/>
  <c r="I354" i="2" s="1"/>
  <c r="L354" i="2" s="1"/>
  <c r="EE77" i="1"/>
  <c r="EE81" i="1"/>
  <c r="O383" i="2"/>
  <c r="P383" i="2" s="1"/>
  <c r="BC81" i="1"/>
  <c r="I383" i="2" s="1"/>
  <c r="AD82" i="1"/>
  <c r="N387" i="2" s="1"/>
  <c r="AC82" i="1"/>
  <c r="I387" i="2" s="1"/>
  <c r="O395" i="2"/>
  <c r="P395" i="2" s="1"/>
  <c r="DD84" i="1"/>
  <c r="N400" i="2" s="1"/>
  <c r="DC84" i="1"/>
  <c r="I400" i="2" s="1"/>
  <c r="L400" i="2" s="1"/>
  <c r="ED88" i="1"/>
  <c r="N421" i="2" s="1"/>
  <c r="EC88" i="1"/>
  <c r="I421" i="2" s="1"/>
  <c r="L421" i="2" s="1"/>
  <c r="M425" i="2"/>
  <c r="DD89" i="1"/>
  <c r="N425" i="2" s="1"/>
  <c r="DC89" i="1"/>
  <c r="I425" i="2" s="1"/>
  <c r="L425" i="2" s="1"/>
  <c r="EE90" i="1"/>
  <c r="O428" i="2"/>
  <c r="P428" i="2" s="1"/>
  <c r="EE92" i="1"/>
  <c r="O441" i="2"/>
  <c r="P441" i="2" s="1"/>
  <c r="O454" i="2"/>
  <c r="P454" i="2" s="1"/>
  <c r="CC95" i="1"/>
  <c r="I454" i="2" s="1"/>
  <c r="L454" i="2" s="1"/>
  <c r="BD96" i="1"/>
  <c r="N458" i="2" s="1"/>
  <c r="BC96" i="1"/>
  <c r="I458" i="2" s="1"/>
  <c r="L458" i="2" s="1"/>
  <c r="AD97" i="1"/>
  <c r="N462" i="2" s="1"/>
  <c r="AC97" i="1"/>
  <c r="I462" i="2" s="1"/>
  <c r="EE99" i="1"/>
  <c r="CD100" i="1"/>
  <c r="N479" i="2" s="1"/>
  <c r="CC100" i="1"/>
  <c r="I479" i="2" s="1"/>
  <c r="L479" i="2" s="1"/>
  <c r="M483" i="2"/>
  <c r="BD101" i="1"/>
  <c r="N483" i="2" s="1"/>
  <c r="BC101" i="1"/>
  <c r="I483" i="2" s="1"/>
  <c r="L483" i="2" s="1"/>
  <c r="M496" i="2"/>
  <c r="ED103" i="1"/>
  <c r="N496" i="2" s="1"/>
  <c r="EC103" i="1"/>
  <c r="I496" i="2" s="1"/>
  <c r="L496" i="2" s="1"/>
  <c r="O499" i="2"/>
  <c r="P499" i="2" s="1"/>
  <c r="CD6" i="1"/>
  <c r="N9" i="2" s="1"/>
  <c r="BC7" i="1"/>
  <c r="I13" i="2" s="1"/>
  <c r="L13" i="2" s="1"/>
  <c r="M15" i="2"/>
  <c r="Q15" i="2" s="1"/>
  <c r="BD8" i="1"/>
  <c r="N18" i="2" s="1"/>
  <c r="AC9" i="1"/>
  <c r="I22" i="2" s="1"/>
  <c r="M24" i="2"/>
  <c r="EC9" i="1"/>
  <c r="I26" i="2" s="1"/>
  <c r="L26" i="2" s="1"/>
  <c r="AD10" i="1"/>
  <c r="N27" i="2" s="1"/>
  <c r="ED10" i="1"/>
  <c r="N31" i="2" s="1"/>
  <c r="M33" i="2"/>
  <c r="DC11" i="1"/>
  <c r="I35" i="2" s="1"/>
  <c r="L35" i="2" s="1"/>
  <c r="DD12" i="1"/>
  <c r="N40" i="2" s="1"/>
  <c r="M42" i="2"/>
  <c r="CC13" i="1"/>
  <c r="I44" i="2" s="1"/>
  <c r="L44" i="2" s="1"/>
  <c r="M46" i="2"/>
  <c r="Q46" i="2" s="1"/>
  <c r="CD14" i="1"/>
  <c r="N49" i="2" s="1"/>
  <c r="BC15" i="1"/>
  <c r="I53" i="2" s="1"/>
  <c r="L53" i="2" s="1"/>
  <c r="M55" i="2"/>
  <c r="Q55" i="2" s="1"/>
  <c r="BD16" i="1"/>
  <c r="N58" i="2" s="1"/>
  <c r="M64" i="2"/>
  <c r="Q64" i="2" s="1"/>
  <c r="EC17" i="1"/>
  <c r="I66" i="2" s="1"/>
  <c r="L66" i="2" s="1"/>
  <c r="AD18" i="1"/>
  <c r="N67" i="2" s="1"/>
  <c r="ED18" i="1"/>
  <c r="N71" i="2" s="1"/>
  <c r="M73" i="2"/>
  <c r="T74" i="2" s="1"/>
  <c r="DC19" i="1"/>
  <c r="I75" i="2" s="1"/>
  <c r="L75" i="2" s="1"/>
  <c r="DD20" i="1"/>
  <c r="N80" i="2" s="1"/>
  <c r="M82" i="2"/>
  <c r="T84" i="2" s="1"/>
  <c r="CC21" i="1"/>
  <c r="I84" i="2" s="1"/>
  <c r="L84" i="2" s="1"/>
  <c r="M86" i="2"/>
  <c r="Q86" i="2" s="1"/>
  <c r="R86" i="2" s="1"/>
  <c r="CD22" i="1"/>
  <c r="N89" i="2" s="1"/>
  <c r="BC23" i="1"/>
  <c r="I93" i="2" s="1"/>
  <c r="L93" i="2" s="1"/>
  <c r="M95" i="2"/>
  <c r="BD24" i="1"/>
  <c r="N98" i="2" s="1"/>
  <c r="AC25" i="1"/>
  <c r="I102" i="2" s="1"/>
  <c r="M104" i="2"/>
  <c r="Q104" i="2" s="1"/>
  <c r="EC25" i="1"/>
  <c r="I106" i="2" s="1"/>
  <c r="L106" i="2" s="1"/>
  <c r="AD26" i="1"/>
  <c r="N107" i="2" s="1"/>
  <c r="ED26" i="1"/>
  <c r="N111" i="2" s="1"/>
  <c r="M113" i="2"/>
  <c r="Q113" i="2" s="1"/>
  <c r="R113" i="2" s="1"/>
  <c r="DC27" i="1"/>
  <c r="I115" i="2" s="1"/>
  <c r="L115" i="2" s="1"/>
  <c r="DD28" i="1"/>
  <c r="N120" i="2" s="1"/>
  <c r="M122" i="2"/>
  <c r="CC29" i="1"/>
  <c r="I124" i="2" s="1"/>
  <c r="L124" i="2" s="1"/>
  <c r="M126" i="2"/>
  <c r="CD30" i="1"/>
  <c r="N129" i="2" s="1"/>
  <c r="BC31" i="1"/>
  <c r="I133" i="2" s="1"/>
  <c r="L133" i="2" s="1"/>
  <c r="M135" i="2"/>
  <c r="AC33" i="1"/>
  <c r="I142" i="2" s="1"/>
  <c r="M144" i="2"/>
  <c r="Q144" i="2" s="1"/>
  <c r="R144" i="2" s="1"/>
  <c r="EC33" i="1"/>
  <c r="I146" i="2" s="1"/>
  <c r="L146" i="2" s="1"/>
  <c r="AD34" i="1"/>
  <c r="N147" i="2" s="1"/>
  <c r="ED34" i="1"/>
  <c r="N151" i="2" s="1"/>
  <c r="M153" i="2"/>
  <c r="DC35" i="1"/>
  <c r="I155" i="2" s="1"/>
  <c r="L155" i="2" s="1"/>
  <c r="DD36" i="1"/>
  <c r="N160" i="2" s="1"/>
  <c r="M162" i="2"/>
  <c r="T163" i="2" s="1"/>
  <c r="CC37" i="1"/>
  <c r="I164" i="2" s="1"/>
  <c r="L164" i="2" s="1"/>
  <c r="M166" i="2"/>
  <c r="CD38" i="1"/>
  <c r="N169" i="2" s="1"/>
  <c r="BC39" i="1"/>
  <c r="I173" i="2" s="1"/>
  <c r="L173" i="2" s="1"/>
  <c r="M175" i="2"/>
  <c r="Q175" i="2" s="1"/>
  <c r="BD40" i="1"/>
  <c r="N178" i="2" s="1"/>
  <c r="AC41" i="1"/>
  <c r="I182" i="2" s="1"/>
  <c r="M184" i="2"/>
  <c r="EC41" i="1"/>
  <c r="I186" i="2" s="1"/>
  <c r="L186" i="2" s="1"/>
  <c r="AD42" i="1"/>
  <c r="N187" i="2" s="1"/>
  <c r="ED42" i="1"/>
  <c r="N191" i="2" s="1"/>
  <c r="M193" i="2"/>
  <c r="Q193" i="2" s="1"/>
  <c r="DC43" i="1"/>
  <c r="I195" i="2" s="1"/>
  <c r="L195" i="2" s="1"/>
  <c r="M201" i="2"/>
  <c r="Q201" i="2" s="1"/>
  <c r="EC44" i="1"/>
  <c r="I201" i="2" s="1"/>
  <c r="L201" i="2" s="1"/>
  <c r="BD45" i="1"/>
  <c r="N203" i="2" s="1"/>
  <c r="AD46" i="1"/>
  <c r="N207" i="2" s="1"/>
  <c r="M215" i="2"/>
  <c r="DC47" i="1"/>
  <c r="I215" i="2" s="1"/>
  <c r="L215" i="2" s="1"/>
  <c r="DD47" i="1"/>
  <c r="N215" i="2" s="1"/>
  <c r="EC47" i="1"/>
  <c r="I216" i="2" s="1"/>
  <c r="L216" i="2" s="1"/>
  <c r="EE49" i="1"/>
  <c r="M234" i="2"/>
  <c r="CD51" i="1"/>
  <c r="N234" i="2" s="1"/>
  <c r="CC52" i="1"/>
  <c r="I239" i="2" s="1"/>
  <c r="L239" i="2" s="1"/>
  <c r="EC52" i="1"/>
  <c r="I241" i="2" s="1"/>
  <c r="L241" i="2" s="1"/>
  <c r="CD53" i="1"/>
  <c r="N244" i="2" s="1"/>
  <c r="CC53" i="1"/>
  <c r="I244" i="2" s="1"/>
  <c r="L244" i="2" s="1"/>
  <c r="CD54" i="1"/>
  <c r="N249" i="2" s="1"/>
  <c r="CC54" i="1"/>
  <c r="I249" i="2" s="1"/>
  <c r="L249" i="2" s="1"/>
  <c r="DD55" i="1"/>
  <c r="N255" i="2" s="1"/>
  <c r="EC55" i="1"/>
  <c r="I256" i="2" s="1"/>
  <c r="L256" i="2" s="1"/>
  <c r="BC57" i="1"/>
  <c r="I263" i="2" s="1"/>
  <c r="L263" i="2" s="1"/>
  <c r="DD58" i="1"/>
  <c r="N270" i="2" s="1"/>
  <c r="AD60" i="1"/>
  <c r="N277" i="2" s="1"/>
  <c r="M285" i="2"/>
  <c r="DD61" i="1"/>
  <c r="N285" i="2" s="1"/>
  <c r="M292" i="2"/>
  <c r="EE63" i="1"/>
  <c r="AD63" i="1"/>
  <c r="N292" i="2" s="1"/>
  <c r="EE64" i="1"/>
  <c r="AC64" i="1"/>
  <c r="I297" i="2" s="1"/>
  <c r="CC64" i="1"/>
  <c r="I299" i="2" s="1"/>
  <c r="L299" i="2" s="1"/>
  <c r="AD65" i="1"/>
  <c r="N302" i="2" s="1"/>
  <c r="AC65" i="1"/>
  <c r="I302" i="2" s="1"/>
  <c r="AD66" i="1"/>
  <c r="N307" i="2" s="1"/>
  <c r="AC66" i="1"/>
  <c r="I307" i="2" s="1"/>
  <c r="BD67" i="1"/>
  <c r="N313" i="2" s="1"/>
  <c r="CC67" i="1"/>
  <c r="I314" i="2" s="1"/>
  <c r="L314" i="2" s="1"/>
  <c r="EE70" i="1"/>
  <c r="BD70" i="1"/>
  <c r="N328" i="2" s="1"/>
  <c r="M336" i="2"/>
  <c r="ED71" i="1"/>
  <c r="N336" i="2" s="1"/>
  <c r="EC72" i="1"/>
  <c r="I341" i="2" s="1"/>
  <c r="L341" i="2" s="1"/>
  <c r="AD76" i="1"/>
  <c r="N357" i="2" s="1"/>
  <c r="EE78" i="1"/>
  <c r="CD81" i="1"/>
  <c r="N384" i="2" s="1"/>
  <c r="ED82" i="1"/>
  <c r="N391" i="2" s="1"/>
  <c r="EC82" i="1"/>
  <c r="I391" i="2" s="1"/>
  <c r="L391" i="2" s="1"/>
  <c r="AC84" i="1"/>
  <c r="I397" i="2" s="1"/>
  <c r="BD86" i="1"/>
  <c r="N408" i="2" s="1"/>
  <c r="BC86" i="1"/>
  <c r="I408" i="2" s="1"/>
  <c r="L408" i="2" s="1"/>
  <c r="DC86" i="1"/>
  <c r="I410" i="2" s="1"/>
  <c r="L410" i="2" s="1"/>
  <c r="M412" i="2"/>
  <c r="T413" i="2" s="1"/>
  <c r="EE87" i="1"/>
  <c r="AD87" i="1"/>
  <c r="N412" i="2" s="1"/>
  <c r="AC87" i="1"/>
  <c r="I412" i="2" s="1"/>
  <c r="O432" i="2"/>
  <c r="P432" i="2" s="1"/>
  <c r="AC91" i="1"/>
  <c r="I432" i="2" s="1"/>
  <c r="T442" i="2"/>
  <c r="O442" i="2"/>
  <c r="P442" i="2" s="1"/>
  <c r="O445" i="2"/>
  <c r="P445" i="2" s="1"/>
  <c r="DC93" i="1"/>
  <c r="I445" i="2" s="1"/>
  <c r="L445" i="2" s="1"/>
  <c r="BD95" i="1"/>
  <c r="N453" i="2" s="1"/>
  <c r="DD95" i="1"/>
  <c r="N455" i="2" s="1"/>
  <c r="CC96" i="1"/>
  <c r="I459" i="2" s="1"/>
  <c r="L459" i="2" s="1"/>
  <c r="ED97" i="1"/>
  <c r="N466" i="2" s="1"/>
  <c r="EC97" i="1"/>
  <c r="I466" i="2" s="1"/>
  <c r="L466" i="2" s="1"/>
  <c r="DD98" i="1"/>
  <c r="N470" i="2" s="1"/>
  <c r="DC98" i="1"/>
  <c r="I470" i="2" s="1"/>
  <c r="L470" i="2" s="1"/>
  <c r="M474" i="2"/>
  <c r="CD99" i="1"/>
  <c r="N474" i="2" s="1"/>
  <c r="CC99" i="1"/>
  <c r="I474" i="2" s="1"/>
  <c r="L474" i="2" s="1"/>
  <c r="EE105" i="1"/>
  <c r="T503" i="2"/>
  <c r="O503" i="2"/>
  <c r="P503" i="2" s="1"/>
  <c r="BC105" i="1"/>
  <c r="I503" i="2" s="1"/>
  <c r="L503" i="2" s="1"/>
  <c r="M199" i="2"/>
  <c r="M208" i="2"/>
  <c r="M217" i="2"/>
  <c r="M221" i="2"/>
  <c r="Q221" i="2" s="1"/>
  <c r="M230" i="2"/>
  <c r="M239" i="2"/>
  <c r="Q239" i="2" s="1"/>
  <c r="M248" i="2"/>
  <c r="Q248" i="2" s="1"/>
  <c r="M257" i="2"/>
  <c r="T259" i="2" s="1"/>
  <c r="M261" i="2"/>
  <c r="M270" i="2"/>
  <c r="M279" i="2"/>
  <c r="M288" i="2"/>
  <c r="Q288" i="2" s="1"/>
  <c r="M297" i="2"/>
  <c r="Q297" i="2" s="1"/>
  <c r="R297" i="2" s="1"/>
  <c r="M301" i="2"/>
  <c r="T299" i="2" s="1"/>
  <c r="M310" i="2"/>
  <c r="M319" i="2"/>
  <c r="M328" i="2"/>
  <c r="M337" i="2"/>
  <c r="Q337" i="2" s="1"/>
  <c r="M341" i="2"/>
  <c r="Q341" i="2" s="1"/>
  <c r="M350" i="2"/>
  <c r="M359" i="2"/>
  <c r="Q359" i="2" s="1"/>
  <c r="M368" i="2"/>
  <c r="Q368" i="2" s="1"/>
  <c r="M377" i="2"/>
  <c r="M381" i="2"/>
  <c r="M390" i="2"/>
  <c r="M399" i="2"/>
  <c r="Q399" i="2" s="1"/>
  <c r="M408" i="2"/>
  <c r="M417" i="2"/>
  <c r="M421" i="2"/>
  <c r="M430" i="2"/>
  <c r="M439" i="2"/>
  <c r="M448" i="2"/>
  <c r="M457" i="2"/>
  <c r="T459" i="2" s="1"/>
  <c r="M461" i="2"/>
  <c r="M470" i="2"/>
  <c r="M479" i="2"/>
  <c r="M488" i="2"/>
  <c r="M497" i="2"/>
  <c r="T499" i="2" s="1"/>
  <c r="M501" i="2"/>
  <c r="M220" i="2"/>
  <c r="M229" i="2"/>
  <c r="M238" i="2"/>
  <c r="M247" i="2"/>
  <c r="T250" i="2" s="1"/>
  <c r="M251" i="2"/>
  <c r="M260" i="2"/>
  <c r="M269" i="2"/>
  <c r="M278" i="2"/>
  <c r="M287" i="2"/>
  <c r="T288" i="2" s="1"/>
  <c r="M291" i="2"/>
  <c r="M300" i="2"/>
  <c r="M309" i="2"/>
  <c r="M318" i="2"/>
  <c r="M327" i="2"/>
  <c r="M331" i="2"/>
  <c r="M340" i="2"/>
  <c r="M349" i="2"/>
  <c r="M358" i="2"/>
  <c r="M367" i="2"/>
  <c r="T370" i="2" s="1"/>
  <c r="M371" i="2"/>
  <c r="M380" i="2"/>
  <c r="M389" i="2"/>
  <c r="M398" i="2"/>
  <c r="T399" i="2" s="1"/>
  <c r="M407" i="2"/>
  <c r="T410" i="2" s="1"/>
  <c r="M411" i="2"/>
  <c r="M420" i="2"/>
  <c r="M429" i="2"/>
  <c r="M438" i="2"/>
  <c r="M447" i="2"/>
  <c r="T450" i="2" s="1"/>
  <c r="M451" i="2"/>
  <c r="M460" i="2"/>
  <c r="M469" i="2"/>
  <c r="M478" i="2"/>
  <c r="M487" i="2"/>
  <c r="T490" i="2" s="1"/>
  <c r="M491" i="2"/>
  <c r="M500" i="2"/>
  <c r="M224" i="2"/>
  <c r="Q224" i="2" s="1"/>
  <c r="M233" i="2"/>
  <c r="M242" i="2"/>
  <c r="T246" i="2" s="1"/>
  <c r="M246" i="2"/>
  <c r="Q246" i="2" s="1"/>
  <c r="R246" i="2" s="1"/>
  <c r="M255" i="2"/>
  <c r="M264" i="2"/>
  <c r="M273" i="2"/>
  <c r="Q273" i="2" s="1"/>
  <c r="R273" i="2" s="1"/>
  <c r="M282" i="2"/>
  <c r="Q282" i="2" s="1"/>
  <c r="M286" i="2"/>
  <c r="M295" i="2"/>
  <c r="M304" i="2"/>
  <c r="M313" i="2"/>
  <c r="M322" i="2"/>
  <c r="M326" i="2"/>
  <c r="Q326" i="2" s="1"/>
  <c r="M335" i="2"/>
  <c r="M344" i="2"/>
  <c r="M353" i="2"/>
  <c r="Q353" i="2" s="1"/>
  <c r="M362" i="2"/>
  <c r="Q362" i="2" s="1"/>
  <c r="M366" i="2"/>
  <c r="Q366" i="2" s="1"/>
  <c r="M375" i="2"/>
  <c r="Q375" i="2" s="1"/>
  <c r="M384" i="2"/>
  <c r="M393" i="2"/>
  <c r="M402" i="2"/>
  <c r="M406" i="2"/>
  <c r="M415" i="2"/>
  <c r="M424" i="2"/>
  <c r="Q424" i="2" s="1"/>
  <c r="M433" i="2"/>
  <c r="Q433" i="2" s="1"/>
  <c r="M442" i="2"/>
  <c r="Q442" i="2" s="1"/>
  <c r="M446" i="2"/>
  <c r="M455" i="2"/>
  <c r="M464" i="2"/>
  <c r="M473" i="2"/>
  <c r="M482" i="2"/>
  <c r="Q482" i="2" s="1"/>
  <c r="M486" i="2"/>
  <c r="M495" i="2"/>
  <c r="Q495" i="2" s="1"/>
  <c r="R495" i="2" s="1"/>
  <c r="M504" i="2"/>
  <c r="Q504" i="2" s="1"/>
  <c r="M219" i="2"/>
  <c r="M228" i="2"/>
  <c r="Q228" i="2" s="1"/>
  <c r="M237" i="2"/>
  <c r="Q237" i="2" s="1"/>
  <c r="M241" i="2"/>
  <c r="Q241" i="2" s="1"/>
  <c r="M250" i="2"/>
  <c r="Q250" i="2" s="1"/>
  <c r="R250" i="2" s="1"/>
  <c r="M259" i="2"/>
  <c r="Q259" i="2" s="1"/>
  <c r="M268" i="2"/>
  <c r="Q268" i="2" s="1"/>
  <c r="R268" i="2" s="1"/>
  <c r="M277" i="2"/>
  <c r="T281" i="2" s="1"/>
  <c r="M281" i="2"/>
  <c r="Q281" i="2" s="1"/>
  <c r="M290" i="2"/>
  <c r="Q290" i="2" s="1"/>
  <c r="M299" i="2"/>
  <c r="Q299" i="2" s="1"/>
  <c r="M308" i="2"/>
  <c r="Q308" i="2" s="1"/>
  <c r="M317" i="2"/>
  <c r="M321" i="2"/>
  <c r="Q321" i="2" s="1"/>
  <c r="M330" i="2"/>
  <c r="Q330" i="2" s="1"/>
  <c r="R330" i="2" s="1"/>
  <c r="M339" i="2"/>
  <c r="Q339" i="2" s="1"/>
  <c r="R339" i="2" s="1"/>
  <c r="M348" i="2"/>
  <c r="Q348" i="2" s="1"/>
  <c r="M357" i="2"/>
  <c r="CC76" i="1"/>
  <c r="I359" i="2" s="1"/>
  <c r="L359" i="2" s="1"/>
  <c r="M361" i="2"/>
  <c r="Q361" i="2" s="1"/>
  <c r="BC78" i="1"/>
  <c r="I368" i="2" s="1"/>
  <c r="L368" i="2" s="1"/>
  <c r="M370" i="2"/>
  <c r="Q370" i="2" s="1"/>
  <c r="M379" i="2"/>
  <c r="Q379" i="2" s="1"/>
  <c r="AD81" i="1"/>
  <c r="N382" i="2" s="1"/>
  <c r="M388" i="2"/>
  <c r="Q388" i="2" s="1"/>
  <c r="M397" i="2"/>
  <c r="Q397" i="2" s="1"/>
  <c r="R397" i="2" s="1"/>
  <c r="CC84" i="1"/>
  <c r="I399" i="2" s="1"/>
  <c r="L399" i="2" s="1"/>
  <c r="M401" i="2"/>
  <c r="Q401" i="2" s="1"/>
  <c r="M410" i="2"/>
  <c r="Q410" i="2" s="1"/>
  <c r="M419" i="2"/>
  <c r="Q419" i="2" s="1"/>
  <c r="M428" i="2"/>
  <c r="Q428" i="2" s="1"/>
  <c r="M437" i="2"/>
  <c r="Q437" i="2" s="1"/>
  <c r="CC92" i="1"/>
  <c r="I439" i="2" s="1"/>
  <c r="L439" i="2" s="1"/>
  <c r="M441" i="2"/>
  <c r="Q441" i="2" s="1"/>
  <c r="R441" i="2" s="1"/>
  <c r="M450" i="2"/>
  <c r="M459" i="2"/>
  <c r="Q459" i="2" s="1"/>
  <c r="M468" i="2"/>
  <c r="Q468" i="2" s="1"/>
  <c r="R468" i="2" s="1"/>
  <c r="M477" i="2"/>
  <c r="M481" i="2"/>
  <c r="Q481" i="2" s="1"/>
  <c r="M490" i="2"/>
  <c r="Q490" i="2" s="1"/>
  <c r="M499" i="2"/>
  <c r="Q499" i="2" s="1"/>
  <c r="M343" i="2"/>
  <c r="Q343" i="2" s="1"/>
  <c r="M352" i="2"/>
  <c r="T353" i="2" s="1"/>
  <c r="M356" i="2"/>
  <c r="M365" i="2"/>
  <c r="Q365" i="2" s="1"/>
  <c r="R365" i="2" s="1"/>
  <c r="M374" i="2"/>
  <c r="Q374" i="2" s="1"/>
  <c r="M383" i="2"/>
  <c r="Q383" i="2" s="1"/>
  <c r="M392" i="2"/>
  <c r="Q392" i="2" s="1"/>
  <c r="M396" i="2"/>
  <c r="Q396" i="2" s="1"/>
  <c r="M405" i="2"/>
  <c r="Q405" i="2" s="1"/>
  <c r="M414" i="2"/>
  <c r="Q414" i="2" s="1"/>
  <c r="R414" i="2" s="1"/>
  <c r="M423" i="2"/>
  <c r="Q423" i="2" s="1"/>
  <c r="M432" i="2"/>
  <c r="Q432" i="2" s="1"/>
  <c r="M436" i="2"/>
  <c r="Q436" i="2" s="1"/>
  <c r="CD92" i="1"/>
  <c r="N439" i="2" s="1"/>
  <c r="M445" i="2"/>
  <c r="Q445" i="2" s="1"/>
  <c r="BD94" i="1"/>
  <c r="N448" i="2" s="1"/>
  <c r="M454" i="2"/>
  <c r="Q454" i="2" s="1"/>
  <c r="M463" i="2"/>
  <c r="Q463" i="2" s="1"/>
  <c r="R463" i="2" s="1"/>
  <c r="M472" i="2"/>
  <c r="Q472" i="2" s="1"/>
  <c r="M476" i="2"/>
  <c r="M485" i="2"/>
  <c r="Q485" i="2" s="1"/>
  <c r="M494" i="2"/>
  <c r="Q494" i="2" s="1"/>
  <c r="R494" i="2" s="1"/>
  <c r="M503" i="2"/>
  <c r="Q503" i="2" s="1"/>
  <c r="M218" i="2"/>
  <c r="Q218" i="2" s="1"/>
  <c r="DC48" i="1"/>
  <c r="I220" i="2" s="1"/>
  <c r="L220" i="2" s="1"/>
  <c r="M227" i="2"/>
  <c r="T228" i="2" s="1"/>
  <c r="CC50" i="1"/>
  <c r="I229" i="2" s="1"/>
  <c r="L229" i="2" s="1"/>
  <c r="M231" i="2"/>
  <c r="BC52" i="1"/>
  <c r="I238" i="2" s="1"/>
  <c r="L238" i="2" s="1"/>
  <c r="M240" i="2"/>
  <c r="AC54" i="1"/>
  <c r="I247" i="2" s="1"/>
  <c r="M249" i="2"/>
  <c r="EC54" i="1"/>
  <c r="I251" i="2" s="1"/>
  <c r="L251" i="2" s="1"/>
  <c r="M258" i="2"/>
  <c r="DC56" i="1"/>
  <c r="I260" i="2" s="1"/>
  <c r="L260" i="2" s="1"/>
  <c r="M267" i="2"/>
  <c r="CC58" i="1"/>
  <c r="I269" i="2" s="1"/>
  <c r="L269" i="2" s="1"/>
  <c r="M271" i="2"/>
  <c r="BC60" i="1"/>
  <c r="I278" i="2" s="1"/>
  <c r="M280" i="2"/>
  <c r="AC62" i="1"/>
  <c r="I287" i="2" s="1"/>
  <c r="M289" i="2"/>
  <c r="EC62" i="1"/>
  <c r="I291" i="2" s="1"/>
  <c r="L291" i="2" s="1"/>
  <c r="M298" i="2"/>
  <c r="DC64" i="1"/>
  <c r="I300" i="2" s="1"/>
  <c r="L300" i="2" s="1"/>
  <c r="M307" i="2"/>
  <c r="T308" i="2" s="1"/>
  <c r="CC66" i="1"/>
  <c r="I309" i="2" s="1"/>
  <c r="L309" i="2" s="1"/>
  <c r="M311" i="2"/>
  <c r="BC68" i="1"/>
  <c r="I318" i="2" s="1"/>
  <c r="M320" i="2"/>
  <c r="AC70" i="1"/>
  <c r="I327" i="2" s="1"/>
  <c r="M329" i="2"/>
  <c r="EC70" i="1"/>
  <c r="I331" i="2" s="1"/>
  <c r="L331" i="2" s="1"/>
  <c r="M338" i="2"/>
  <c r="T339" i="2" s="1"/>
  <c r="DC72" i="1"/>
  <c r="I340" i="2" s="1"/>
  <c r="L340" i="2" s="1"/>
  <c r="EE72" i="1"/>
  <c r="M347" i="2"/>
  <c r="CC74" i="1"/>
  <c r="I349" i="2" s="1"/>
  <c r="L349" i="2" s="1"/>
  <c r="M351" i="2"/>
  <c r="BC76" i="1"/>
  <c r="I358" i="2" s="1"/>
  <c r="L358" i="2" s="1"/>
  <c r="M360" i="2"/>
  <c r="AC78" i="1"/>
  <c r="I367" i="2" s="1"/>
  <c r="M369" i="2"/>
  <c r="EC78" i="1"/>
  <c r="I371" i="2" s="1"/>
  <c r="L371" i="2" s="1"/>
  <c r="M378" i="2"/>
  <c r="DC80" i="1"/>
  <c r="I380" i="2" s="1"/>
  <c r="L380" i="2" s="1"/>
  <c r="EE80" i="1"/>
  <c r="M387" i="2"/>
  <c r="CC82" i="1"/>
  <c r="I389" i="2" s="1"/>
  <c r="L389" i="2" s="1"/>
  <c r="M391" i="2"/>
  <c r="BC84" i="1"/>
  <c r="I398" i="2" s="1"/>
  <c r="L398" i="2" s="1"/>
  <c r="M400" i="2"/>
  <c r="AC86" i="1"/>
  <c r="I407" i="2" s="1"/>
  <c r="M409" i="2"/>
  <c r="EC86" i="1"/>
  <c r="I411" i="2" s="1"/>
  <c r="L411" i="2" s="1"/>
  <c r="M418" i="2"/>
  <c r="DC88" i="1"/>
  <c r="I420" i="2" s="1"/>
  <c r="L420" i="2" s="1"/>
  <c r="EE88" i="1"/>
  <c r="M427" i="2"/>
  <c r="T428" i="2" s="1"/>
  <c r="CC90" i="1"/>
  <c r="I429" i="2" s="1"/>
  <c r="L429" i="2" s="1"/>
  <c r="M431" i="2"/>
  <c r="BC92" i="1"/>
  <c r="I438" i="2" s="1"/>
  <c r="L438" i="2" s="1"/>
  <c r="M440" i="2"/>
  <c r="AC94" i="1"/>
  <c r="I447" i="2" s="1"/>
  <c r="M449" i="2"/>
  <c r="EC94" i="1"/>
  <c r="I451" i="2" s="1"/>
  <c r="L451" i="2" s="1"/>
  <c r="M458" i="2"/>
  <c r="DC96" i="1"/>
  <c r="I460" i="2" s="1"/>
  <c r="L460" i="2" s="1"/>
  <c r="EE96" i="1"/>
  <c r="M467" i="2"/>
  <c r="T468" i="2" s="1"/>
  <c r="CC98" i="1"/>
  <c r="I469" i="2" s="1"/>
  <c r="L469" i="2" s="1"/>
  <c r="M471" i="2"/>
  <c r="BC100" i="1"/>
  <c r="I478" i="2" s="1"/>
  <c r="L478" i="2" s="1"/>
  <c r="M480" i="2"/>
  <c r="AC102" i="1"/>
  <c r="I487" i="2" s="1"/>
  <c r="M489" i="2"/>
  <c r="EC102" i="1"/>
  <c r="I491" i="2" s="1"/>
  <c r="L491" i="2" s="1"/>
  <c r="M498" i="2"/>
  <c r="DC104" i="1"/>
  <c r="I500" i="2" s="1"/>
  <c r="L500" i="2" s="1"/>
  <c r="EE104" i="1"/>
  <c r="M213" i="2"/>
  <c r="DD48" i="1"/>
  <c r="N220" i="2" s="1"/>
  <c r="M222" i="2"/>
  <c r="Q222" i="2" s="1"/>
  <c r="CC49" i="1"/>
  <c r="I224" i="2" s="1"/>
  <c r="M226" i="2"/>
  <c r="CD50" i="1"/>
  <c r="N229" i="2" s="1"/>
  <c r="BC51" i="1"/>
  <c r="I233" i="2" s="1"/>
  <c r="M235" i="2"/>
  <c r="BD52" i="1"/>
  <c r="N238" i="2" s="1"/>
  <c r="AC53" i="1"/>
  <c r="I242" i="2" s="1"/>
  <c r="M244" i="2"/>
  <c r="EC53" i="1"/>
  <c r="I246" i="2" s="1"/>
  <c r="L246" i="2" s="1"/>
  <c r="AD54" i="1"/>
  <c r="N247" i="2" s="1"/>
  <c r="ED54" i="1"/>
  <c r="N251" i="2" s="1"/>
  <c r="M253" i="2"/>
  <c r="DC55" i="1"/>
  <c r="I255" i="2" s="1"/>
  <c r="L255" i="2" s="1"/>
  <c r="DD56" i="1"/>
  <c r="N260" i="2" s="1"/>
  <c r="M262" i="2"/>
  <c r="CC57" i="1"/>
  <c r="I264" i="2" s="1"/>
  <c r="L264" i="2" s="1"/>
  <c r="M266" i="2"/>
  <c r="CD58" i="1"/>
  <c r="N269" i="2" s="1"/>
  <c r="BC59" i="1"/>
  <c r="I273" i="2" s="1"/>
  <c r="L273" i="2" s="1"/>
  <c r="M275" i="2"/>
  <c r="BD60" i="1"/>
  <c r="N278" i="2" s="1"/>
  <c r="AC61" i="1"/>
  <c r="I282" i="2" s="1"/>
  <c r="M284" i="2"/>
  <c r="T282" i="2" s="1"/>
  <c r="EC61" i="1"/>
  <c r="I286" i="2" s="1"/>
  <c r="L286" i="2" s="1"/>
  <c r="AD62" i="1"/>
  <c r="N287" i="2" s="1"/>
  <c r="ED62" i="1"/>
  <c r="N291" i="2" s="1"/>
  <c r="M293" i="2"/>
  <c r="DC63" i="1"/>
  <c r="I295" i="2" s="1"/>
  <c r="L295" i="2" s="1"/>
  <c r="DD64" i="1"/>
  <c r="N300" i="2" s="1"/>
  <c r="M302" i="2"/>
  <c r="CC65" i="1"/>
  <c r="I304" i="2" s="1"/>
  <c r="L304" i="2" s="1"/>
  <c r="M306" i="2"/>
  <c r="CD66" i="1"/>
  <c r="N309" i="2" s="1"/>
  <c r="BC67" i="1"/>
  <c r="I313" i="2" s="1"/>
  <c r="L313" i="2" s="1"/>
  <c r="M315" i="2"/>
  <c r="BD68" i="1"/>
  <c r="N318" i="2" s="1"/>
  <c r="AC69" i="1"/>
  <c r="I322" i="2" s="1"/>
  <c r="M324" i="2"/>
  <c r="Q324" i="2" s="1"/>
  <c r="EC69" i="1"/>
  <c r="I326" i="2" s="1"/>
  <c r="L326" i="2" s="1"/>
  <c r="AD70" i="1"/>
  <c r="N327" i="2" s="1"/>
  <c r="ED70" i="1"/>
  <c r="N331" i="2" s="1"/>
  <c r="M333" i="2"/>
  <c r="DC71" i="1"/>
  <c r="I335" i="2" s="1"/>
  <c r="L335" i="2" s="1"/>
  <c r="DD72" i="1"/>
  <c r="N340" i="2" s="1"/>
  <c r="M342" i="2"/>
  <c r="CC73" i="1"/>
  <c r="I344" i="2" s="1"/>
  <c r="L344" i="2" s="1"/>
  <c r="M346" i="2"/>
  <c r="T343" i="2" s="1"/>
  <c r="CD74" i="1"/>
  <c r="N349" i="2" s="1"/>
  <c r="BC75" i="1"/>
  <c r="I353" i="2" s="1"/>
  <c r="L353" i="2" s="1"/>
  <c r="M355" i="2"/>
  <c r="BD76" i="1"/>
  <c r="N358" i="2" s="1"/>
  <c r="AC77" i="1"/>
  <c r="I362" i="2" s="1"/>
  <c r="M364" i="2"/>
  <c r="EC77" i="1"/>
  <c r="I366" i="2" s="1"/>
  <c r="L366" i="2" s="1"/>
  <c r="AD78" i="1"/>
  <c r="N367" i="2" s="1"/>
  <c r="ED78" i="1"/>
  <c r="N371" i="2" s="1"/>
  <c r="M373" i="2"/>
  <c r="DC79" i="1"/>
  <c r="I375" i="2" s="1"/>
  <c r="L375" i="2" s="1"/>
  <c r="DD80" i="1"/>
  <c r="N380" i="2" s="1"/>
  <c r="M382" i="2"/>
  <c r="CC81" i="1"/>
  <c r="I384" i="2" s="1"/>
  <c r="L384" i="2" s="1"/>
  <c r="M386" i="2"/>
  <c r="CD82" i="1"/>
  <c r="N389" i="2" s="1"/>
  <c r="BC83" i="1"/>
  <c r="I393" i="2" s="1"/>
  <c r="L393" i="2" s="1"/>
  <c r="M395" i="2"/>
  <c r="Q395" i="2" s="1"/>
  <c r="BD84" i="1"/>
  <c r="N398" i="2" s="1"/>
  <c r="AC85" i="1"/>
  <c r="I402" i="2" s="1"/>
  <c r="M404" i="2"/>
  <c r="EC85" i="1"/>
  <c r="I406" i="2" s="1"/>
  <c r="L406" i="2" s="1"/>
  <c r="AD86" i="1"/>
  <c r="N407" i="2" s="1"/>
  <c r="ED86" i="1"/>
  <c r="N411" i="2" s="1"/>
  <c r="M413" i="2"/>
  <c r="Q413" i="2" s="1"/>
  <c r="R413" i="2" s="1"/>
  <c r="DC87" i="1"/>
  <c r="I415" i="2" s="1"/>
  <c r="L415" i="2" s="1"/>
  <c r="DD88" i="1"/>
  <c r="N420" i="2" s="1"/>
  <c r="M422" i="2"/>
  <c r="Q422" i="2" s="1"/>
  <c r="CC89" i="1"/>
  <c r="I424" i="2" s="1"/>
  <c r="L424" i="2" s="1"/>
  <c r="M426" i="2"/>
  <c r="CD90" i="1"/>
  <c r="N429" i="2" s="1"/>
  <c r="BC91" i="1"/>
  <c r="I433" i="2" s="1"/>
  <c r="L433" i="2" s="1"/>
  <c r="M435" i="2"/>
  <c r="BD92" i="1"/>
  <c r="N438" i="2" s="1"/>
  <c r="I94" i="3" s="1"/>
  <c r="AC93" i="1"/>
  <c r="I442" i="2" s="1"/>
  <c r="M444" i="2"/>
  <c r="EC93" i="1"/>
  <c r="I446" i="2" s="1"/>
  <c r="L446" i="2" s="1"/>
  <c r="AD94" i="1"/>
  <c r="N447" i="2" s="1"/>
  <c r="ED94" i="1"/>
  <c r="N451" i="2" s="1"/>
  <c r="M453" i="2"/>
  <c r="DC95" i="1"/>
  <c r="I455" i="2" s="1"/>
  <c r="L455" i="2" s="1"/>
  <c r="DD96" i="1"/>
  <c r="N460" i="2" s="1"/>
  <c r="M462" i="2"/>
  <c r="CC97" i="1"/>
  <c r="I464" i="2" s="1"/>
  <c r="L464" i="2" s="1"/>
  <c r="M466" i="2"/>
  <c r="CD98" i="1"/>
  <c r="N469" i="2" s="1"/>
  <c r="BC99" i="1"/>
  <c r="I473" i="2" s="1"/>
  <c r="L473" i="2" s="1"/>
  <c r="M475" i="2"/>
  <c r="BD100" i="1"/>
  <c r="N478" i="2" s="1"/>
  <c r="AC101" i="1"/>
  <c r="I482" i="2" s="1"/>
  <c r="M484" i="2"/>
  <c r="EC101" i="1"/>
  <c r="I486" i="2" s="1"/>
  <c r="L486" i="2" s="1"/>
  <c r="AD102" i="1"/>
  <c r="N487" i="2" s="1"/>
  <c r="ED102" i="1"/>
  <c r="N491" i="2" s="1"/>
  <c r="M493" i="2"/>
  <c r="DC103" i="1"/>
  <c r="I495" i="2" s="1"/>
  <c r="L495" i="2" s="1"/>
  <c r="DD104" i="1"/>
  <c r="N500" i="2" s="1"/>
  <c r="M502" i="2"/>
  <c r="T504" i="2" s="1"/>
  <c r="CC105" i="1"/>
  <c r="I504" i="2" s="1"/>
  <c r="L504" i="2" s="1"/>
  <c r="M506" i="2"/>
  <c r="T319" i="2" l="1"/>
  <c r="O319" i="2"/>
  <c r="P319" i="2" s="1"/>
  <c r="O289" i="2"/>
  <c r="P289" i="2" s="1"/>
  <c r="T289" i="2"/>
  <c r="T415" i="2"/>
  <c r="O415" i="2"/>
  <c r="P415" i="2" s="1"/>
  <c r="T368" i="2"/>
  <c r="T338" i="2"/>
  <c r="O338" i="2"/>
  <c r="P338" i="2" s="1"/>
  <c r="I74" i="3"/>
  <c r="N74" i="3"/>
  <c r="Q316" i="2"/>
  <c r="O275" i="2"/>
  <c r="P275" i="2" s="1"/>
  <c r="T275" i="2"/>
  <c r="O242" i="2"/>
  <c r="P242" i="2" s="1"/>
  <c r="T242" i="2"/>
  <c r="N55" i="3"/>
  <c r="I55" i="3"/>
  <c r="R141" i="2"/>
  <c r="S141" i="2"/>
  <c r="L117" i="2"/>
  <c r="F30" i="3"/>
  <c r="O82" i="2"/>
  <c r="P82" i="2" s="1"/>
  <c r="T82" i="2"/>
  <c r="I23" i="3"/>
  <c r="N23" i="3"/>
  <c r="R57" i="2"/>
  <c r="T497" i="2"/>
  <c r="O497" i="2"/>
  <c r="P497" i="2" s="1"/>
  <c r="I106" i="3"/>
  <c r="N106" i="3"/>
  <c r="T443" i="2"/>
  <c r="O443" i="2"/>
  <c r="P443" i="2" s="1"/>
  <c r="I95" i="3"/>
  <c r="N95" i="3"/>
  <c r="T401" i="2"/>
  <c r="T256" i="2"/>
  <c r="O256" i="2"/>
  <c r="P256" i="2" s="1"/>
  <c r="L227" i="2"/>
  <c r="F52" i="3"/>
  <c r="S106" i="2"/>
  <c r="R106" i="2"/>
  <c r="L452" i="2"/>
  <c r="F97" i="3"/>
  <c r="T397" i="2"/>
  <c r="L212" i="2"/>
  <c r="F49" i="3"/>
  <c r="Q169" i="2"/>
  <c r="R169" i="2" s="1"/>
  <c r="T457" i="2"/>
  <c r="O457" i="2"/>
  <c r="P457" i="2" s="1"/>
  <c r="I98" i="3"/>
  <c r="N98" i="3"/>
  <c r="Q243" i="2"/>
  <c r="T498" i="2"/>
  <c r="O498" i="2"/>
  <c r="P498" i="2" s="1"/>
  <c r="T143" i="2"/>
  <c r="O143" i="2"/>
  <c r="P143" i="2" s="1"/>
  <c r="I35" i="3"/>
  <c r="N35" i="3"/>
  <c r="T461" i="2"/>
  <c r="O461" i="2"/>
  <c r="P461" i="2" s="1"/>
  <c r="T184" i="2"/>
  <c r="O184" i="2"/>
  <c r="P184" i="2" s="1"/>
  <c r="T152" i="2"/>
  <c r="O152" i="2"/>
  <c r="P152" i="2" s="1"/>
  <c r="I37" i="3"/>
  <c r="N37" i="3"/>
  <c r="T268" i="2"/>
  <c r="L32" i="2"/>
  <c r="F13" i="3"/>
  <c r="T196" i="2"/>
  <c r="O196" i="2"/>
  <c r="P196" i="2" s="1"/>
  <c r="O87" i="2"/>
  <c r="P87" i="2" s="1"/>
  <c r="Q87" i="2" s="1"/>
  <c r="T87" i="2"/>
  <c r="N24" i="3"/>
  <c r="I24" i="3"/>
  <c r="L12" i="2"/>
  <c r="F9" i="3"/>
  <c r="L167" i="2"/>
  <c r="F40" i="3"/>
  <c r="T56" i="2"/>
  <c r="T181" i="2"/>
  <c r="T168" i="2"/>
  <c r="L112" i="2"/>
  <c r="F29" i="3"/>
  <c r="T57" i="2"/>
  <c r="O389" i="2"/>
  <c r="P389" i="2" s="1"/>
  <c r="T389" i="2"/>
  <c r="L242" i="2"/>
  <c r="F55" i="3"/>
  <c r="Q338" i="2"/>
  <c r="R383" i="2"/>
  <c r="R366" i="2"/>
  <c r="S366" i="2"/>
  <c r="Q497" i="2"/>
  <c r="T357" i="2"/>
  <c r="O357" i="2"/>
  <c r="P357" i="2" s="1"/>
  <c r="I78" i="3"/>
  <c r="N78" i="3"/>
  <c r="Q493" i="2"/>
  <c r="T451" i="2"/>
  <c r="O451" i="2"/>
  <c r="P451" i="2" s="1"/>
  <c r="O429" i="2"/>
  <c r="P429" i="2" s="1"/>
  <c r="T429" i="2"/>
  <c r="T407" i="2"/>
  <c r="O407" i="2"/>
  <c r="P407" i="2" s="1"/>
  <c r="N88" i="3"/>
  <c r="I88" i="3"/>
  <c r="S324" i="2"/>
  <c r="R324" i="2"/>
  <c r="L282" i="2"/>
  <c r="F63" i="3"/>
  <c r="T260" i="2"/>
  <c r="O260" i="2"/>
  <c r="P260" i="2" s="1"/>
  <c r="Q260" i="2" s="1"/>
  <c r="R260" i="2" s="1"/>
  <c r="O238" i="2"/>
  <c r="P238" i="2" s="1"/>
  <c r="T238" i="2"/>
  <c r="S485" i="2"/>
  <c r="R485" i="2"/>
  <c r="R436" i="2"/>
  <c r="S436" i="2"/>
  <c r="R374" i="2"/>
  <c r="S374" i="2"/>
  <c r="S419" i="2"/>
  <c r="R419" i="2"/>
  <c r="R370" i="2"/>
  <c r="S370" i="2"/>
  <c r="R321" i="2"/>
  <c r="S321" i="2"/>
  <c r="R259" i="2"/>
  <c r="S259" i="2"/>
  <c r="R424" i="2"/>
  <c r="S424" i="2"/>
  <c r="S362" i="2"/>
  <c r="R362" i="2"/>
  <c r="Q451" i="2"/>
  <c r="Q389" i="2"/>
  <c r="Q488" i="2"/>
  <c r="R359" i="2"/>
  <c r="S359" i="2"/>
  <c r="Q230" i="2"/>
  <c r="L432" i="2"/>
  <c r="F93" i="3"/>
  <c r="T307" i="2"/>
  <c r="O307" i="2"/>
  <c r="P307" i="2" s="1"/>
  <c r="Q307" i="2" s="1"/>
  <c r="I68" i="3"/>
  <c r="N68" i="3"/>
  <c r="R201" i="2"/>
  <c r="S201" i="2"/>
  <c r="O178" i="2"/>
  <c r="P178" i="2" s="1"/>
  <c r="T178" i="2"/>
  <c r="I42" i="3"/>
  <c r="N42" i="3"/>
  <c r="O111" i="2"/>
  <c r="P111" i="2" s="1"/>
  <c r="T111" i="2"/>
  <c r="T89" i="2"/>
  <c r="O89" i="2"/>
  <c r="P89" i="2" s="1"/>
  <c r="O67" i="2"/>
  <c r="P67" i="2" s="1"/>
  <c r="T67" i="2"/>
  <c r="N20" i="3"/>
  <c r="I20" i="3"/>
  <c r="T387" i="2"/>
  <c r="O387" i="2"/>
  <c r="P387" i="2" s="1"/>
  <c r="I84" i="3"/>
  <c r="N84" i="3"/>
  <c r="Q354" i="2"/>
  <c r="R354" i="2" s="1"/>
  <c r="L312" i="2"/>
  <c r="F69" i="3"/>
  <c r="L207" i="2"/>
  <c r="F48" i="3"/>
  <c r="O464" i="2"/>
  <c r="P464" i="2" s="1"/>
  <c r="T464" i="2"/>
  <c r="O409" i="2"/>
  <c r="P409" i="2" s="1"/>
  <c r="T409" i="2"/>
  <c r="T376" i="2"/>
  <c r="O376" i="2"/>
  <c r="P376" i="2" s="1"/>
  <c r="L357" i="2"/>
  <c r="F78" i="3"/>
  <c r="O231" i="2"/>
  <c r="P231" i="2" s="1"/>
  <c r="Q231" i="2" s="1"/>
  <c r="T231" i="2"/>
  <c r="O170" i="2"/>
  <c r="P170" i="2" s="1"/>
  <c r="T170" i="2"/>
  <c r="O99" i="2"/>
  <c r="P99" i="2" s="1"/>
  <c r="T99" i="2"/>
  <c r="O68" i="2"/>
  <c r="P68" i="2" s="1"/>
  <c r="Q68" i="2" s="1"/>
  <c r="T68" i="2"/>
  <c r="T505" i="2"/>
  <c r="O505" i="2"/>
  <c r="P505" i="2" s="1"/>
  <c r="O480" i="2"/>
  <c r="P480" i="2" s="1"/>
  <c r="T480" i="2"/>
  <c r="T272" i="2"/>
  <c r="O272" i="2"/>
  <c r="P272" i="2" s="1"/>
  <c r="I61" i="3"/>
  <c r="N61" i="3"/>
  <c r="Q110" i="2"/>
  <c r="R110" i="2" s="1"/>
  <c r="R21" i="2"/>
  <c r="S21" i="2"/>
  <c r="T473" i="2"/>
  <c r="O473" i="2"/>
  <c r="P473" i="2" s="1"/>
  <c r="I101" i="3"/>
  <c r="N101" i="3"/>
  <c r="Q443" i="2"/>
  <c r="Q256" i="2"/>
  <c r="O227" i="2"/>
  <c r="P227" i="2" s="1"/>
  <c r="T227" i="2"/>
  <c r="N52" i="3"/>
  <c r="I52" i="3"/>
  <c r="R102" i="2"/>
  <c r="R26" i="2"/>
  <c r="S26" i="2"/>
  <c r="O452" i="2"/>
  <c r="P452" i="2" s="1"/>
  <c r="T452" i="2"/>
  <c r="I97" i="3"/>
  <c r="N97" i="3"/>
  <c r="L377" i="2"/>
  <c r="F82" i="3"/>
  <c r="T356" i="2"/>
  <c r="Q89" i="2"/>
  <c r="T264" i="2"/>
  <c r="O264" i="2"/>
  <c r="P264" i="2" s="1"/>
  <c r="T236" i="2"/>
  <c r="O236" i="2"/>
  <c r="P236" i="2" s="1"/>
  <c r="Q170" i="2"/>
  <c r="T176" i="2"/>
  <c r="Q143" i="2"/>
  <c r="T113" i="2"/>
  <c r="O60" i="2"/>
  <c r="P60" i="2" s="1"/>
  <c r="Q60" i="2" s="1"/>
  <c r="R60" i="2" s="1"/>
  <c r="T60" i="2"/>
  <c r="L17" i="2"/>
  <c r="F10" i="3"/>
  <c r="T182" i="2"/>
  <c r="T193" i="2"/>
  <c r="T65" i="2"/>
  <c r="T32" i="2"/>
  <c r="O32" i="2"/>
  <c r="P32" i="2" s="1"/>
  <c r="I13" i="3"/>
  <c r="N13" i="3"/>
  <c r="O78" i="2"/>
  <c r="P78" i="2" s="1"/>
  <c r="T78" i="2"/>
  <c r="O20" i="2"/>
  <c r="P20" i="2" s="1"/>
  <c r="Q20" i="2" s="1"/>
  <c r="R20" i="2" s="1"/>
  <c r="T20" i="2"/>
  <c r="O440" i="2"/>
  <c r="P440" i="2" s="1"/>
  <c r="T440" i="2"/>
  <c r="Q196" i="2"/>
  <c r="R196" i="2" s="1"/>
  <c r="T158" i="2"/>
  <c r="O158" i="2"/>
  <c r="P158" i="2" s="1"/>
  <c r="L83" i="2"/>
  <c r="F23" i="3"/>
  <c r="T12" i="2"/>
  <c r="T311" i="2"/>
  <c r="O311" i="2"/>
  <c r="P311" i="2" s="1"/>
  <c r="Q311" i="2" s="1"/>
  <c r="L192" i="2"/>
  <c r="F45" i="3"/>
  <c r="O95" i="2"/>
  <c r="P95" i="2" s="1"/>
  <c r="T95" i="2"/>
  <c r="T167" i="2"/>
  <c r="O167" i="2"/>
  <c r="P167" i="2" s="1"/>
  <c r="N40" i="3"/>
  <c r="I40" i="3"/>
  <c r="T141" i="2"/>
  <c r="N54" i="3"/>
  <c r="O134" i="2"/>
  <c r="P134" i="2" s="1"/>
  <c r="T134" i="2"/>
  <c r="T330" i="2"/>
  <c r="O112" i="2"/>
  <c r="P112" i="2" s="1"/>
  <c r="T112" i="2"/>
  <c r="I29" i="3"/>
  <c r="N29" i="3"/>
  <c r="S239" i="2"/>
  <c r="R239" i="2"/>
  <c r="S46" i="2"/>
  <c r="R46" i="2"/>
  <c r="T454" i="2"/>
  <c r="T232" i="2"/>
  <c r="O232" i="2"/>
  <c r="P232" i="2" s="1"/>
  <c r="I53" i="3"/>
  <c r="N53" i="3"/>
  <c r="S136" i="2"/>
  <c r="R136" i="2"/>
  <c r="T491" i="2"/>
  <c r="O491" i="2"/>
  <c r="P491" i="2" s="1"/>
  <c r="T469" i="2"/>
  <c r="O469" i="2"/>
  <c r="P469" i="2" s="1"/>
  <c r="T447" i="2"/>
  <c r="O447" i="2"/>
  <c r="P447" i="2" s="1"/>
  <c r="N96" i="3"/>
  <c r="I96" i="3"/>
  <c r="Q426" i="2"/>
  <c r="R426" i="2" s="1"/>
  <c r="Q364" i="2"/>
  <c r="L322" i="2"/>
  <c r="F71" i="3"/>
  <c r="T300" i="2"/>
  <c r="O300" i="2"/>
  <c r="P300" i="2" s="1"/>
  <c r="O278" i="2"/>
  <c r="P278" i="2" s="1"/>
  <c r="T278" i="2"/>
  <c r="L447" i="2"/>
  <c r="F96" i="3"/>
  <c r="Q387" i="2"/>
  <c r="Q298" i="2"/>
  <c r="Q476" i="2"/>
  <c r="R432" i="2"/>
  <c r="S432" i="2"/>
  <c r="R410" i="2"/>
  <c r="S410" i="2"/>
  <c r="Q317" i="2"/>
  <c r="R317" i="2" s="1"/>
  <c r="R482" i="2"/>
  <c r="Q415" i="2"/>
  <c r="R353" i="2"/>
  <c r="S353" i="2"/>
  <c r="R224" i="2"/>
  <c r="Q447" i="2"/>
  <c r="S288" i="2"/>
  <c r="R288" i="2"/>
  <c r="S221" i="2"/>
  <c r="R221" i="2"/>
  <c r="T455" i="2"/>
  <c r="O455" i="2"/>
  <c r="P455" i="2" s="1"/>
  <c r="T432" i="2"/>
  <c r="O408" i="2"/>
  <c r="P408" i="2" s="1"/>
  <c r="T408" i="2"/>
  <c r="O336" i="2"/>
  <c r="P336" i="2" s="1"/>
  <c r="T336" i="2"/>
  <c r="L302" i="2"/>
  <c r="F67" i="3"/>
  <c r="O285" i="2"/>
  <c r="P285" i="2" s="1"/>
  <c r="T285" i="2"/>
  <c r="T249" i="2"/>
  <c r="O249" i="2"/>
  <c r="P249" i="2" s="1"/>
  <c r="Q249" i="2" s="1"/>
  <c r="S175" i="2"/>
  <c r="R175" i="2"/>
  <c r="T129" i="2"/>
  <c r="O129" i="2"/>
  <c r="P129" i="2" s="1"/>
  <c r="O107" i="2"/>
  <c r="P107" i="2" s="1"/>
  <c r="T107" i="2"/>
  <c r="N28" i="3"/>
  <c r="I28" i="3"/>
  <c r="L22" i="2"/>
  <c r="F11" i="3"/>
  <c r="O496" i="2"/>
  <c r="P496" i="2" s="1"/>
  <c r="T496" i="2"/>
  <c r="L462" i="2"/>
  <c r="F99" i="3"/>
  <c r="T441" i="2"/>
  <c r="L383" i="2"/>
  <c r="S383" i="2" s="1"/>
  <c r="F83" i="3"/>
  <c r="O283" i="2"/>
  <c r="P283" i="2" s="1"/>
  <c r="T283" i="2"/>
  <c r="N63" i="3"/>
  <c r="I63" i="3"/>
  <c r="Q232" i="2"/>
  <c r="R232" i="2" s="1"/>
  <c r="R205" i="2"/>
  <c r="S205" i="2"/>
  <c r="Q78" i="2"/>
  <c r="O488" i="2"/>
  <c r="P488" i="2" s="1"/>
  <c r="T488" i="2"/>
  <c r="T406" i="2"/>
  <c r="O406" i="2"/>
  <c r="P406" i="2" s="1"/>
  <c r="Q376" i="2"/>
  <c r="O325" i="2"/>
  <c r="P325" i="2" s="1"/>
  <c r="T325" i="2"/>
  <c r="T284" i="2"/>
  <c r="O284" i="2"/>
  <c r="P284" i="2" s="1"/>
  <c r="S198" i="2"/>
  <c r="R198" i="2"/>
  <c r="R163" i="2"/>
  <c r="O130" i="2"/>
  <c r="P130" i="2" s="1"/>
  <c r="T130" i="2"/>
  <c r="Q96" i="2"/>
  <c r="R96" i="2" s="1"/>
  <c r="Q65" i="2"/>
  <c r="T28" i="2"/>
  <c r="O28" i="2"/>
  <c r="P28" i="2" s="1"/>
  <c r="Q28" i="2" s="1"/>
  <c r="Q505" i="2"/>
  <c r="L477" i="2"/>
  <c r="F102" i="3"/>
  <c r="T434" i="2"/>
  <c r="O434" i="2"/>
  <c r="P434" i="2" s="1"/>
  <c r="I93" i="3"/>
  <c r="N93" i="3"/>
  <c r="L372" i="2"/>
  <c r="F81" i="3"/>
  <c r="T355" i="2"/>
  <c r="O355" i="2"/>
  <c r="P355" i="2" s="1"/>
  <c r="O333" i="2"/>
  <c r="P333" i="2" s="1"/>
  <c r="T333" i="2"/>
  <c r="O197" i="2"/>
  <c r="P197" i="2" s="1"/>
  <c r="T197" i="2"/>
  <c r="I46" i="3"/>
  <c r="N46" i="3"/>
  <c r="O162" i="2"/>
  <c r="P162" i="2" s="1"/>
  <c r="T162" i="2"/>
  <c r="N39" i="3"/>
  <c r="I39" i="3"/>
  <c r="R137" i="2"/>
  <c r="R79" i="2"/>
  <c r="S79" i="2"/>
  <c r="R48" i="2"/>
  <c r="S48" i="2"/>
  <c r="T493" i="2"/>
  <c r="O493" i="2"/>
  <c r="P493" i="2" s="1"/>
  <c r="O381" i="2"/>
  <c r="P381" i="2" s="1"/>
  <c r="T381" i="2"/>
  <c r="R155" i="2"/>
  <c r="S155" i="2"/>
  <c r="S93" i="2"/>
  <c r="R93" i="2"/>
  <c r="T485" i="2"/>
  <c r="O377" i="2"/>
  <c r="P377" i="2" s="1"/>
  <c r="T377" i="2"/>
  <c r="I82" i="3"/>
  <c r="N82" i="3"/>
  <c r="T305" i="2"/>
  <c r="O305" i="2"/>
  <c r="P305" i="2" s="1"/>
  <c r="T254" i="2"/>
  <c r="O254" i="2"/>
  <c r="P254" i="2" s="1"/>
  <c r="Q151" i="2"/>
  <c r="T449" i="2"/>
  <c r="O449" i="2"/>
  <c r="P449" i="2" s="1"/>
  <c r="Q449" i="2" s="1"/>
  <c r="O416" i="2"/>
  <c r="P416" i="2" s="1"/>
  <c r="T416" i="2"/>
  <c r="Q236" i="2"/>
  <c r="R236" i="2" s="1"/>
  <c r="Q161" i="2"/>
  <c r="Q99" i="2"/>
  <c r="T362" i="2"/>
  <c r="O219" i="2"/>
  <c r="P219" i="2" s="1"/>
  <c r="T219" i="2"/>
  <c r="O173" i="2"/>
  <c r="P173" i="2" s="1"/>
  <c r="Q173" i="2" s="1"/>
  <c r="T173" i="2"/>
  <c r="L137" i="2"/>
  <c r="S137" i="2" s="1"/>
  <c r="F34" i="3"/>
  <c r="L47" i="2"/>
  <c r="F16" i="3"/>
  <c r="L262" i="2"/>
  <c r="F59" i="3"/>
  <c r="Q152" i="2"/>
  <c r="R152" i="2" s="1"/>
  <c r="L427" i="2"/>
  <c r="F92" i="3"/>
  <c r="O140" i="2"/>
  <c r="P140" i="2" s="1"/>
  <c r="Q140" i="2" s="1"/>
  <c r="T140" i="2"/>
  <c r="T64" i="2"/>
  <c r="T177" i="2"/>
  <c r="T136" i="2"/>
  <c r="O116" i="2"/>
  <c r="P116" i="2" s="1"/>
  <c r="T116" i="2"/>
  <c r="L7" i="2"/>
  <c r="F8" i="3"/>
  <c r="T83" i="2"/>
  <c r="T35" i="2"/>
  <c r="O35" i="2"/>
  <c r="P35" i="2" s="1"/>
  <c r="Q35" i="2" s="1"/>
  <c r="T192" i="2"/>
  <c r="O192" i="2"/>
  <c r="P192" i="2" s="1"/>
  <c r="I45" i="3"/>
  <c r="N45" i="3"/>
  <c r="O174" i="2"/>
  <c r="P174" i="2" s="1"/>
  <c r="T174" i="2"/>
  <c r="T97" i="2"/>
  <c r="T16" i="2"/>
  <c r="L163" i="2"/>
  <c r="S163" i="2" s="1"/>
  <c r="F39" i="3"/>
  <c r="N34" i="3"/>
  <c r="O91" i="2"/>
  <c r="P91" i="2" s="1"/>
  <c r="Q91" i="2" s="1"/>
  <c r="T91" i="2"/>
  <c r="I54" i="3"/>
  <c r="Q134" i="2"/>
  <c r="T200" i="2"/>
  <c r="O200" i="2"/>
  <c r="P200" i="2" s="1"/>
  <c r="T30" i="2"/>
  <c r="S379" i="2"/>
  <c r="R379" i="2"/>
  <c r="Q242" i="2"/>
  <c r="T160" i="2"/>
  <c r="O160" i="2"/>
  <c r="P160" i="2" s="1"/>
  <c r="Q160" i="2" s="1"/>
  <c r="O425" i="2"/>
  <c r="P425" i="2" s="1"/>
  <c r="Q425" i="2" s="1"/>
  <c r="T425" i="2"/>
  <c r="T37" i="2"/>
  <c r="O37" i="2"/>
  <c r="P37" i="2" s="1"/>
  <c r="Q37" i="2" s="1"/>
  <c r="R37" i="2" s="1"/>
  <c r="I14" i="3"/>
  <c r="N14" i="3"/>
  <c r="T487" i="2"/>
  <c r="O487" i="2"/>
  <c r="P487" i="2" s="1"/>
  <c r="N104" i="3"/>
  <c r="I104" i="3"/>
  <c r="Q466" i="2"/>
  <c r="L362" i="2"/>
  <c r="F79" i="3"/>
  <c r="O340" i="2"/>
  <c r="P340" i="2" s="1"/>
  <c r="T340" i="2"/>
  <c r="T318" i="2"/>
  <c r="O318" i="2"/>
  <c r="P318" i="2" s="1"/>
  <c r="Q318" i="2" s="1"/>
  <c r="Q275" i="2"/>
  <c r="L233" i="2"/>
  <c r="F53" i="3"/>
  <c r="Q440" i="2"/>
  <c r="R440" i="2" s="1"/>
  <c r="L327" i="2"/>
  <c r="F72" i="3"/>
  <c r="R472" i="2"/>
  <c r="R423" i="2"/>
  <c r="Q356" i="2"/>
  <c r="R459" i="2"/>
  <c r="S459" i="2"/>
  <c r="S401" i="2"/>
  <c r="R401" i="2"/>
  <c r="S361" i="2"/>
  <c r="R361" i="2"/>
  <c r="S308" i="2"/>
  <c r="R308" i="2"/>
  <c r="S241" i="2"/>
  <c r="R241" i="2"/>
  <c r="Q473" i="2"/>
  <c r="R473" i="2" s="1"/>
  <c r="Q406" i="2"/>
  <c r="S282" i="2"/>
  <c r="R282" i="2"/>
  <c r="Q408" i="2"/>
  <c r="R408" i="2" s="1"/>
  <c r="S341" i="2"/>
  <c r="R341" i="2"/>
  <c r="Q279" i="2"/>
  <c r="T474" i="2"/>
  <c r="O474" i="2"/>
  <c r="P474" i="2" s="1"/>
  <c r="T453" i="2"/>
  <c r="O453" i="2"/>
  <c r="P453" i="2" s="1"/>
  <c r="Q453" i="2" s="1"/>
  <c r="L397" i="2"/>
  <c r="F86" i="3"/>
  <c r="Q336" i="2"/>
  <c r="O302" i="2"/>
  <c r="P302" i="2" s="1"/>
  <c r="Q302" i="2" s="1"/>
  <c r="T302" i="2"/>
  <c r="N67" i="3"/>
  <c r="I67" i="3"/>
  <c r="Q285" i="2"/>
  <c r="O215" i="2"/>
  <c r="P215" i="2" s="1"/>
  <c r="T215" i="2"/>
  <c r="R193" i="2"/>
  <c r="S193" i="2"/>
  <c r="T151" i="2"/>
  <c r="O151" i="2"/>
  <c r="P151" i="2" s="1"/>
  <c r="S64" i="2"/>
  <c r="R64" i="2"/>
  <c r="O40" i="2"/>
  <c r="P40" i="2" s="1"/>
  <c r="T40" i="2"/>
  <c r="T18" i="2"/>
  <c r="O18" i="2"/>
  <c r="P18" i="2" s="1"/>
  <c r="Q18" i="2" s="1"/>
  <c r="I10" i="3"/>
  <c r="N10" i="3"/>
  <c r="Q496" i="2"/>
  <c r="T462" i="2"/>
  <c r="O462" i="2"/>
  <c r="P462" i="2" s="1"/>
  <c r="I99" i="3"/>
  <c r="N99" i="3"/>
  <c r="O421" i="2"/>
  <c r="P421" i="2" s="1"/>
  <c r="Q421" i="2" s="1"/>
  <c r="T421" i="2"/>
  <c r="T350" i="2"/>
  <c r="O350" i="2"/>
  <c r="P350" i="2" s="1"/>
  <c r="Q350" i="2" s="1"/>
  <c r="T304" i="2"/>
  <c r="O304" i="2"/>
  <c r="P304" i="2" s="1"/>
  <c r="Q283" i="2"/>
  <c r="L203" i="2"/>
  <c r="F47" i="3"/>
  <c r="Q167" i="2"/>
  <c r="L107" i="2"/>
  <c r="F28" i="3"/>
  <c r="T446" i="2"/>
  <c r="O446" i="2"/>
  <c r="P446" i="2" s="1"/>
  <c r="T404" i="2"/>
  <c r="O404" i="2"/>
  <c r="P404" i="2" s="1"/>
  <c r="Q404" i="2" s="1"/>
  <c r="R404" i="2" s="1"/>
  <c r="L342" i="2"/>
  <c r="F75" i="3"/>
  <c r="Q325" i="2"/>
  <c r="O226" i="2"/>
  <c r="P226" i="2" s="1"/>
  <c r="T226" i="2"/>
  <c r="Q194" i="2"/>
  <c r="O161" i="2"/>
  <c r="P161" i="2" s="1"/>
  <c r="T161" i="2"/>
  <c r="R123" i="2"/>
  <c r="O59" i="2"/>
  <c r="P59" i="2" s="1"/>
  <c r="T59" i="2"/>
  <c r="L467" i="2"/>
  <c r="F100" i="3"/>
  <c r="Q434" i="2"/>
  <c r="T372" i="2"/>
  <c r="O372" i="2"/>
  <c r="P372" i="2" s="1"/>
  <c r="I81" i="3"/>
  <c r="N81" i="3"/>
  <c r="O286" i="2"/>
  <c r="P286" i="2" s="1"/>
  <c r="Q286" i="2" s="1"/>
  <c r="T286" i="2"/>
  <c r="Q272" i="2"/>
  <c r="T213" i="2"/>
  <c r="O213" i="2"/>
  <c r="P213" i="2" s="1"/>
  <c r="Q213" i="2" s="1"/>
  <c r="I49" i="3"/>
  <c r="N49" i="3"/>
  <c r="Q190" i="2"/>
  <c r="L77" i="2"/>
  <c r="F22" i="3"/>
  <c r="T42" i="2"/>
  <c r="O42" i="2"/>
  <c r="P42" i="2" s="1"/>
  <c r="Q42" i="2" s="1"/>
  <c r="R42" i="2" s="1"/>
  <c r="I15" i="3"/>
  <c r="N15" i="3"/>
  <c r="S17" i="2"/>
  <c r="R17" i="2"/>
  <c r="O335" i="2"/>
  <c r="P335" i="2" s="1"/>
  <c r="T335" i="2"/>
  <c r="O271" i="2"/>
  <c r="P271" i="2" s="1"/>
  <c r="Q271" i="2" s="1"/>
  <c r="T271" i="2"/>
  <c r="T248" i="2"/>
  <c r="T216" i="2"/>
  <c r="O216" i="2"/>
  <c r="P216" i="2" s="1"/>
  <c r="S13" i="2"/>
  <c r="R13" i="2"/>
  <c r="Q452" i="2"/>
  <c r="R452" i="2" s="1"/>
  <c r="T422" i="2"/>
  <c r="T320" i="2"/>
  <c r="O320" i="2"/>
  <c r="P320" i="2" s="1"/>
  <c r="Q305" i="2"/>
  <c r="R305" i="2" s="1"/>
  <c r="Q254" i="2"/>
  <c r="T444" i="2"/>
  <c r="O444" i="2"/>
  <c r="P444" i="2" s="1"/>
  <c r="Q444" i="2" s="1"/>
  <c r="Q416" i="2"/>
  <c r="O378" i="2"/>
  <c r="P378" i="2" s="1"/>
  <c r="T378" i="2"/>
  <c r="O345" i="2"/>
  <c r="P345" i="2" s="1"/>
  <c r="T345" i="2"/>
  <c r="T258" i="2"/>
  <c r="O258" i="2"/>
  <c r="P258" i="2" s="1"/>
  <c r="Q157" i="2"/>
  <c r="T494" i="2"/>
  <c r="O301" i="2"/>
  <c r="P301" i="2" s="1"/>
  <c r="T301" i="2"/>
  <c r="O210" i="2"/>
  <c r="P210" i="2" s="1"/>
  <c r="T210" i="2"/>
  <c r="O47" i="2"/>
  <c r="P47" i="2" s="1"/>
  <c r="Q47" i="2" s="1"/>
  <c r="T47" i="2"/>
  <c r="N16" i="3"/>
  <c r="I16" i="3"/>
  <c r="T14" i="2"/>
  <c r="O14" i="2"/>
  <c r="P14" i="2" s="1"/>
  <c r="I9" i="3"/>
  <c r="N9" i="3"/>
  <c r="T419" i="2"/>
  <c r="T262" i="2"/>
  <c r="O262" i="2"/>
  <c r="P262" i="2" s="1"/>
  <c r="I59" i="3"/>
  <c r="N59" i="3"/>
  <c r="L172" i="2"/>
  <c r="F41" i="3"/>
  <c r="T427" i="2"/>
  <c r="O427" i="2"/>
  <c r="P427" i="2" s="1"/>
  <c r="Q427" i="2" s="1"/>
  <c r="N92" i="3"/>
  <c r="I92" i="3"/>
  <c r="T337" i="2"/>
  <c r="L127" i="2"/>
  <c r="F32" i="3"/>
  <c r="O94" i="2"/>
  <c r="P94" i="2" s="1"/>
  <c r="T94" i="2"/>
  <c r="Q32" i="2"/>
  <c r="Q116" i="2"/>
  <c r="R116" i="2" s="1"/>
  <c r="T7" i="2"/>
  <c r="O7" i="2"/>
  <c r="P7" i="2" s="1"/>
  <c r="N8" i="3"/>
  <c r="I8" i="3"/>
  <c r="O390" i="2"/>
  <c r="P390" i="2" s="1"/>
  <c r="T390" i="2"/>
  <c r="O217" i="2"/>
  <c r="P217" i="2" s="1"/>
  <c r="Q217" i="2" s="1"/>
  <c r="T217" i="2"/>
  <c r="I50" i="3"/>
  <c r="N50" i="3"/>
  <c r="T125" i="2"/>
  <c r="O125" i="2"/>
  <c r="P125" i="2" s="1"/>
  <c r="T212" i="2"/>
  <c r="T109" i="2"/>
  <c r="O109" i="2"/>
  <c r="P109" i="2" s="1"/>
  <c r="Q109" i="2" s="1"/>
  <c r="T93" i="2"/>
  <c r="O63" i="2"/>
  <c r="P63" i="2" s="1"/>
  <c r="T63" i="2"/>
  <c r="T33" i="2"/>
  <c r="O33" i="2"/>
  <c r="P33" i="2" s="1"/>
  <c r="Q174" i="2"/>
  <c r="L72" i="2"/>
  <c r="F21" i="3"/>
  <c r="T296" i="2"/>
  <c r="O296" i="2"/>
  <c r="P296" i="2" s="1"/>
  <c r="T237" i="2"/>
  <c r="T145" i="2"/>
  <c r="T180" i="2"/>
  <c r="O180" i="2"/>
  <c r="P180" i="2" s="1"/>
  <c r="Q200" i="2"/>
  <c r="Q112" i="2"/>
  <c r="T105" i="2"/>
  <c r="O51" i="2"/>
  <c r="P51" i="2" s="1"/>
  <c r="T51" i="2"/>
  <c r="T367" i="2"/>
  <c r="O367" i="2"/>
  <c r="P367" i="2" s="1"/>
  <c r="I80" i="3"/>
  <c r="N80" i="3"/>
  <c r="T220" i="2"/>
  <c r="O220" i="2"/>
  <c r="P220" i="2" s="1"/>
  <c r="R428" i="2"/>
  <c r="S428" i="2"/>
  <c r="Q304" i="2"/>
  <c r="S368" i="2"/>
  <c r="R368" i="2"/>
  <c r="L307" i="2"/>
  <c r="F68" i="3"/>
  <c r="Q51" i="2"/>
  <c r="S74" i="2"/>
  <c r="R74" i="2"/>
  <c r="S422" i="2"/>
  <c r="R422" i="2"/>
  <c r="L402" i="2"/>
  <c r="F87" i="3"/>
  <c r="T380" i="2"/>
  <c r="O380" i="2"/>
  <c r="P380" i="2" s="1"/>
  <c r="Q380" i="2" s="1"/>
  <c r="T358" i="2"/>
  <c r="O358" i="2"/>
  <c r="P358" i="2" s="1"/>
  <c r="Q293" i="2"/>
  <c r="T251" i="2"/>
  <c r="O251" i="2"/>
  <c r="P251" i="2" s="1"/>
  <c r="Q251" i="2" s="1"/>
  <c r="O229" i="2"/>
  <c r="P229" i="2" s="1"/>
  <c r="T229" i="2"/>
  <c r="Q498" i="2"/>
  <c r="Q409" i="2"/>
  <c r="Q320" i="2"/>
  <c r="Q289" i="2"/>
  <c r="Q258" i="2"/>
  <c r="Q227" i="2"/>
  <c r="Q352" i="2"/>
  <c r="Q450" i="2"/>
  <c r="S299" i="2"/>
  <c r="R299" i="2"/>
  <c r="S237" i="2"/>
  <c r="R237" i="2"/>
  <c r="Q464" i="2"/>
  <c r="R464" i="2" s="1"/>
  <c r="Q335" i="2"/>
  <c r="R335" i="2" s="1"/>
  <c r="Q491" i="2"/>
  <c r="Q429" i="2"/>
  <c r="Q367" i="2"/>
  <c r="R367" i="2" s="1"/>
  <c r="Q300" i="2"/>
  <c r="Q238" i="2"/>
  <c r="Q461" i="2"/>
  <c r="R399" i="2"/>
  <c r="S399" i="2"/>
  <c r="R337" i="2"/>
  <c r="Q208" i="2"/>
  <c r="Q474" i="2"/>
  <c r="L412" i="2"/>
  <c r="F89" i="3"/>
  <c r="O328" i="2"/>
  <c r="P328" i="2" s="1"/>
  <c r="T328" i="2"/>
  <c r="O277" i="2"/>
  <c r="P277" i="2" s="1"/>
  <c r="T277" i="2"/>
  <c r="I62" i="3"/>
  <c r="N62" i="3"/>
  <c r="T244" i="2"/>
  <c r="O244" i="2"/>
  <c r="P244" i="2" s="1"/>
  <c r="T191" i="2"/>
  <c r="O191" i="2"/>
  <c r="P191" i="2" s="1"/>
  <c r="O169" i="2"/>
  <c r="P169" i="2" s="1"/>
  <c r="T169" i="2"/>
  <c r="T147" i="2"/>
  <c r="O147" i="2"/>
  <c r="P147" i="2" s="1"/>
  <c r="Q147" i="2" s="1"/>
  <c r="R147" i="2" s="1"/>
  <c r="I36" i="3"/>
  <c r="N36" i="3"/>
  <c r="S104" i="2"/>
  <c r="R104" i="2"/>
  <c r="Q82" i="2"/>
  <c r="R82" i="2" s="1"/>
  <c r="O58" i="2"/>
  <c r="P58" i="2" s="1"/>
  <c r="T58" i="2"/>
  <c r="I18" i="3"/>
  <c r="N18" i="3"/>
  <c r="S15" i="2"/>
  <c r="R15" i="2"/>
  <c r="T383" i="2"/>
  <c r="T276" i="2"/>
  <c r="O276" i="2"/>
  <c r="P276" i="2" s="1"/>
  <c r="T240" i="2"/>
  <c r="O240" i="2"/>
  <c r="P240" i="2" s="1"/>
  <c r="Q240" i="2" s="1"/>
  <c r="O225" i="2"/>
  <c r="P225" i="2" s="1"/>
  <c r="T225" i="2"/>
  <c r="Q7" i="2"/>
  <c r="R7" i="2" s="1"/>
  <c r="L437" i="2"/>
  <c r="F94" i="3"/>
  <c r="T363" i="2"/>
  <c r="O363" i="2"/>
  <c r="P363" i="2" s="1"/>
  <c r="N79" i="3"/>
  <c r="I79" i="3"/>
  <c r="T342" i="2"/>
  <c r="O342" i="2"/>
  <c r="P342" i="2" s="1"/>
  <c r="Q342" i="2" s="1"/>
  <c r="N75" i="3"/>
  <c r="I75" i="3"/>
  <c r="O317" i="2"/>
  <c r="P317" i="2" s="1"/>
  <c r="T317" i="2"/>
  <c r="I70" i="3"/>
  <c r="N70" i="3"/>
  <c r="O223" i="2"/>
  <c r="P223" i="2" s="1"/>
  <c r="T223" i="2"/>
  <c r="N51" i="3"/>
  <c r="I51" i="3"/>
  <c r="T188" i="2"/>
  <c r="O188" i="2"/>
  <c r="P188" i="2" s="1"/>
  <c r="T157" i="2"/>
  <c r="O157" i="2"/>
  <c r="P157" i="2" s="1"/>
  <c r="I38" i="3"/>
  <c r="N38" i="3"/>
  <c r="T121" i="2"/>
  <c r="O121" i="2"/>
  <c r="P121" i="2" s="1"/>
  <c r="Q121" i="2" s="1"/>
  <c r="O90" i="2"/>
  <c r="P90" i="2" s="1"/>
  <c r="Q90" i="2" s="1"/>
  <c r="T90" i="2"/>
  <c r="S56" i="2"/>
  <c r="R56" i="2"/>
  <c r="T19" i="2"/>
  <c r="O19" i="2"/>
  <c r="P19" i="2" s="1"/>
  <c r="Q19" i="2" s="1"/>
  <c r="T501" i="2"/>
  <c r="O501" i="2"/>
  <c r="P501" i="2" s="1"/>
  <c r="Q501" i="2" s="1"/>
  <c r="T467" i="2"/>
  <c r="O467" i="2"/>
  <c r="P467" i="2" s="1"/>
  <c r="Q467" i="2" s="1"/>
  <c r="N100" i="3"/>
  <c r="I100" i="3"/>
  <c r="T405" i="2"/>
  <c r="T351" i="2"/>
  <c r="O351" i="2"/>
  <c r="P351" i="2" s="1"/>
  <c r="Q351" i="2" s="1"/>
  <c r="R351" i="2" s="1"/>
  <c r="S159" i="2"/>
  <c r="R159" i="2"/>
  <c r="Q128" i="2"/>
  <c r="R128" i="2" s="1"/>
  <c r="S70" i="2"/>
  <c r="R70" i="2"/>
  <c r="T489" i="2"/>
  <c r="O489" i="2"/>
  <c r="P489" i="2" s="1"/>
  <c r="T418" i="2"/>
  <c r="O418" i="2"/>
  <c r="P418" i="2" s="1"/>
  <c r="Q418" i="2" s="1"/>
  <c r="T388" i="2"/>
  <c r="T360" i="2"/>
  <c r="O360" i="2"/>
  <c r="P360" i="2" s="1"/>
  <c r="Q360" i="2" s="1"/>
  <c r="Q216" i="2"/>
  <c r="R142" i="2"/>
  <c r="T482" i="2"/>
  <c r="O369" i="2"/>
  <c r="P369" i="2" s="1"/>
  <c r="T369" i="2"/>
  <c r="T341" i="2"/>
  <c r="T297" i="2"/>
  <c r="T239" i="2"/>
  <c r="Q129" i="2"/>
  <c r="Q67" i="2"/>
  <c r="Q345" i="2"/>
  <c r="T156" i="2"/>
  <c r="O156" i="2"/>
  <c r="P156" i="2" s="1"/>
  <c r="O118" i="2"/>
  <c r="P118" i="2" s="1"/>
  <c r="Q118" i="2" s="1"/>
  <c r="T118" i="2"/>
  <c r="L43" i="2"/>
  <c r="F15" i="3"/>
  <c r="Q14" i="2"/>
  <c r="T222" i="2"/>
  <c r="T195" i="2"/>
  <c r="T172" i="2"/>
  <c r="O172" i="2"/>
  <c r="P172" i="2" s="1"/>
  <c r="I41" i="3"/>
  <c r="N41" i="3"/>
  <c r="L423" i="2"/>
  <c r="S423" i="2" s="1"/>
  <c r="F91" i="3"/>
  <c r="O214" i="2"/>
  <c r="P214" i="2" s="1"/>
  <c r="T214" i="2"/>
  <c r="O127" i="2"/>
  <c r="P127" i="2" s="1"/>
  <c r="T127" i="2"/>
  <c r="I32" i="3"/>
  <c r="N32" i="3"/>
  <c r="Q94" i="2"/>
  <c r="L62" i="2"/>
  <c r="F19" i="3"/>
  <c r="T306" i="2"/>
  <c r="O306" i="2"/>
  <c r="P306" i="2" s="1"/>
  <c r="T209" i="2"/>
  <c r="O209" i="2"/>
  <c r="P209" i="2" s="1"/>
  <c r="Q209" i="2" s="1"/>
  <c r="O135" i="2"/>
  <c r="P135" i="2" s="1"/>
  <c r="Q135" i="2" s="1"/>
  <c r="T135" i="2"/>
  <c r="T477" i="2"/>
  <c r="O477" i="2"/>
  <c r="P477" i="2" s="1"/>
  <c r="Q477" i="2" s="1"/>
  <c r="I102" i="3"/>
  <c r="N102" i="3"/>
  <c r="L267" i="2"/>
  <c r="F60" i="3"/>
  <c r="L217" i="2"/>
  <c r="F50" i="3"/>
  <c r="T183" i="2"/>
  <c r="O183" i="2"/>
  <c r="P183" i="2" s="1"/>
  <c r="I43" i="3"/>
  <c r="N43" i="3"/>
  <c r="T154" i="2"/>
  <c r="Q125" i="2"/>
  <c r="R125" i="2" s="1"/>
  <c r="O394" i="2"/>
  <c r="P394" i="2" s="1"/>
  <c r="T394" i="2"/>
  <c r="T257" i="2"/>
  <c r="O257" i="2"/>
  <c r="P257" i="2" s="1"/>
  <c r="I58" i="3"/>
  <c r="N58" i="3"/>
  <c r="Q192" i="2"/>
  <c r="T106" i="2"/>
  <c r="T79" i="2"/>
  <c r="Q63" i="2"/>
  <c r="T39" i="2"/>
  <c r="O72" i="2"/>
  <c r="P72" i="2" s="1"/>
  <c r="T72" i="2"/>
  <c r="I21" i="3"/>
  <c r="N21" i="3"/>
  <c r="Q296" i="2"/>
  <c r="T69" i="2"/>
  <c r="O69" i="2"/>
  <c r="P69" i="2" s="1"/>
  <c r="Q69" i="2" s="1"/>
  <c r="L92" i="2"/>
  <c r="F25" i="3"/>
  <c r="T104" i="2"/>
  <c r="Q284" i="2"/>
  <c r="R284" i="2" s="1"/>
  <c r="S481" i="2"/>
  <c r="R481" i="2"/>
  <c r="S433" i="2"/>
  <c r="R433" i="2"/>
  <c r="T255" i="2"/>
  <c r="O255" i="2"/>
  <c r="P255" i="2" s="1"/>
  <c r="O71" i="2"/>
  <c r="P71" i="2" s="1"/>
  <c r="Q71" i="2" s="1"/>
  <c r="T71" i="2"/>
  <c r="L387" i="2"/>
  <c r="F84" i="3"/>
  <c r="S105" i="2"/>
  <c r="R105" i="2"/>
  <c r="Q462" i="2"/>
  <c r="L442" i="2"/>
  <c r="F95" i="3"/>
  <c r="O420" i="2"/>
  <c r="P420" i="2" s="1"/>
  <c r="T420" i="2"/>
  <c r="T398" i="2"/>
  <c r="O398" i="2"/>
  <c r="P398" i="2" s="1"/>
  <c r="I86" i="3"/>
  <c r="N86" i="3"/>
  <c r="Q355" i="2"/>
  <c r="Q333" i="2"/>
  <c r="O291" i="2"/>
  <c r="P291" i="2" s="1"/>
  <c r="T291" i="2"/>
  <c r="T269" i="2"/>
  <c r="O269" i="2"/>
  <c r="P269" i="2" s="1"/>
  <c r="Q269" i="2" s="1"/>
  <c r="O247" i="2"/>
  <c r="P247" i="2" s="1"/>
  <c r="Q247" i="2" s="1"/>
  <c r="T247" i="2"/>
  <c r="N56" i="3"/>
  <c r="I56" i="3"/>
  <c r="Q226" i="2"/>
  <c r="L407" i="2"/>
  <c r="F88" i="3"/>
  <c r="Q378" i="2"/>
  <c r="L318" i="2"/>
  <c r="F70" i="3"/>
  <c r="L287" i="2"/>
  <c r="F64" i="3"/>
  <c r="S454" i="2"/>
  <c r="R454" i="2"/>
  <c r="S405" i="2"/>
  <c r="R405" i="2"/>
  <c r="S343" i="2"/>
  <c r="R343" i="2"/>
  <c r="Q357" i="2"/>
  <c r="S290" i="2"/>
  <c r="R290" i="2"/>
  <c r="S228" i="2"/>
  <c r="R228" i="2"/>
  <c r="Q455" i="2"/>
  <c r="S326" i="2"/>
  <c r="R326" i="2"/>
  <c r="Q264" i="2"/>
  <c r="R264" i="2" s="1"/>
  <c r="Q487" i="2"/>
  <c r="Q420" i="2"/>
  <c r="Q358" i="2"/>
  <c r="R358" i="2" s="1"/>
  <c r="Q291" i="2"/>
  <c r="Q229" i="2"/>
  <c r="Q457" i="2"/>
  <c r="Q390" i="2"/>
  <c r="Q328" i="2"/>
  <c r="O412" i="2"/>
  <c r="P412" i="2" s="1"/>
  <c r="T412" i="2"/>
  <c r="N89" i="3"/>
  <c r="I89" i="3"/>
  <c r="T391" i="2"/>
  <c r="O391" i="2"/>
  <c r="P391" i="2" s="1"/>
  <c r="Q391" i="2" s="1"/>
  <c r="L297" i="2"/>
  <c r="F66" i="3"/>
  <c r="O270" i="2"/>
  <c r="P270" i="2" s="1"/>
  <c r="Q270" i="2" s="1"/>
  <c r="T270" i="2"/>
  <c r="Q215" i="2"/>
  <c r="R215" i="2" s="1"/>
  <c r="T187" i="2"/>
  <c r="O187" i="2"/>
  <c r="P187" i="2" s="1"/>
  <c r="I44" i="3"/>
  <c r="N44" i="3"/>
  <c r="L102" i="2"/>
  <c r="S102" i="2" s="1"/>
  <c r="F27" i="3"/>
  <c r="O80" i="2"/>
  <c r="P80" i="2" s="1"/>
  <c r="Q80" i="2" s="1"/>
  <c r="T80" i="2"/>
  <c r="R55" i="2"/>
  <c r="S55" i="2"/>
  <c r="Q33" i="2"/>
  <c r="R33" i="2" s="1"/>
  <c r="T483" i="2"/>
  <c r="O483" i="2"/>
  <c r="P483" i="2" s="1"/>
  <c r="I103" i="3"/>
  <c r="N103" i="3"/>
  <c r="T458" i="2"/>
  <c r="O458" i="2"/>
  <c r="P458" i="2" s="1"/>
  <c r="O400" i="2"/>
  <c r="P400" i="2" s="1"/>
  <c r="T400" i="2"/>
  <c r="T346" i="2"/>
  <c r="O346" i="2"/>
  <c r="P346" i="2" s="1"/>
  <c r="O298" i="2"/>
  <c r="P298" i="2" s="1"/>
  <c r="T298" i="2"/>
  <c r="I66" i="3"/>
  <c r="N66" i="3"/>
  <c r="Q276" i="2"/>
  <c r="Q225" i="2"/>
  <c r="Q158" i="2"/>
  <c r="Q127" i="2"/>
  <c r="L98" i="2"/>
  <c r="F26" i="3"/>
  <c r="L67" i="2"/>
  <c r="F20" i="3"/>
  <c r="L492" i="2"/>
  <c r="F105" i="3"/>
  <c r="T475" i="2"/>
  <c r="O475" i="2"/>
  <c r="P475" i="2" s="1"/>
  <c r="Q363" i="2"/>
  <c r="T310" i="2"/>
  <c r="O310" i="2"/>
  <c r="P310" i="2" s="1"/>
  <c r="O274" i="2"/>
  <c r="P274" i="2" s="1"/>
  <c r="T274" i="2"/>
  <c r="Q223" i="2"/>
  <c r="T148" i="2"/>
  <c r="O148" i="2"/>
  <c r="P148" i="2" s="1"/>
  <c r="Q148" i="2" s="1"/>
  <c r="T117" i="2"/>
  <c r="O117" i="2"/>
  <c r="P117" i="2" s="1"/>
  <c r="Q117" i="2" s="1"/>
  <c r="R117" i="2" s="1"/>
  <c r="I30" i="3"/>
  <c r="N30" i="3"/>
  <c r="R16" i="2"/>
  <c r="S16" i="2"/>
  <c r="T430" i="2"/>
  <c r="O430" i="2"/>
  <c r="P430" i="2" s="1"/>
  <c r="Q430" i="2" s="1"/>
  <c r="R430" i="2" s="1"/>
  <c r="Q372" i="2"/>
  <c r="T323" i="2"/>
  <c r="O323" i="2"/>
  <c r="P323" i="2" s="1"/>
  <c r="T280" i="2"/>
  <c r="O280" i="2"/>
  <c r="P280" i="2" s="1"/>
  <c r="T265" i="2"/>
  <c r="O265" i="2"/>
  <c r="P265" i="2" s="1"/>
  <c r="Q210" i="2"/>
  <c r="L157" i="2"/>
  <c r="F38" i="3"/>
  <c r="O122" i="2"/>
  <c r="P122" i="2" s="1"/>
  <c r="Q122" i="2" s="1"/>
  <c r="R122" i="2" s="1"/>
  <c r="T122" i="2"/>
  <c r="I31" i="3"/>
  <c r="N31" i="3"/>
  <c r="S97" i="2"/>
  <c r="R97" i="2"/>
  <c r="R39" i="2"/>
  <c r="S39" i="2"/>
  <c r="Q8" i="2"/>
  <c r="T486" i="2"/>
  <c r="O486" i="2"/>
  <c r="P486" i="2" s="1"/>
  <c r="Q486" i="2" s="1"/>
  <c r="R486" i="2" s="1"/>
  <c r="O456" i="2"/>
  <c r="P456" i="2" s="1"/>
  <c r="T456" i="2"/>
  <c r="L347" i="2"/>
  <c r="F76" i="3"/>
  <c r="O329" i="2"/>
  <c r="P329" i="2" s="1"/>
  <c r="Q329" i="2" s="1"/>
  <c r="T329" i="2"/>
  <c r="O266" i="2"/>
  <c r="P266" i="2" s="1"/>
  <c r="T266" i="2"/>
  <c r="T241" i="2"/>
  <c r="S133" i="2"/>
  <c r="R133" i="2"/>
  <c r="S66" i="2"/>
  <c r="R66" i="2"/>
  <c r="T506" i="2"/>
  <c r="O506" i="2"/>
  <c r="P506" i="2" s="1"/>
  <c r="Q506" i="2" s="1"/>
  <c r="L472" i="2"/>
  <c r="S472" i="2" s="1"/>
  <c r="F101" i="3"/>
  <c r="T435" i="2"/>
  <c r="O435" i="2"/>
  <c r="P435" i="2" s="1"/>
  <c r="Q435" i="2" s="1"/>
  <c r="Q191" i="2"/>
  <c r="Q58" i="2"/>
  <c r="T436" i="2"/>
  <c r="T403" i="2"/>
  <c r="O403" i="2"/>
  <c r="P403" i="2" s="1"/>
  <c r="T374" i="2"/>
  <c r="T322" i="2"/>
  <c r="O322" i="2"/>
  <c r="P322" i="2" s="1"/>
  <c r="I71" i="3"/>
  <c r="N71" i="3"/>
  <c r="T253" i="2"/>
  <c r="O253" i="2"/>
  <c r="P253" i="2" s="1"/>
  <c r="Q253" i="2" s="1"/>
  <c r="L197" i="2"/>
  <c r="F46" i="3"/>
  <c r="Q139" i="2"/>
  <c r="L502" i="2"/>
  <c r="F107" i="3"/>
  <c r="O189" i="2"/>
  <c r="P189" i="2" s="1"/>
  <c r="Q189" i="2" s="1"/>
  <c r="T189" i="2"/>
  <c r="Q156" i="2"/>
  <c r="R156" i="2" s="1"/>
  <c r="T85" i="2"/>
  <c r="O85" i="2"/>
  <c r="P85" i="2" s="1"/>
  <c r="Q85" i="2" s="1"/>
  <c r="R85" i="2" s="1"/>
  <c r="T43" i="2"/>
  <c r="O303" i="2"/>
  <c r="P303" i="2" s="1"/>
  <c r="T303" i="2"/>
  <c r="N91" i="3"/>
  <c r="Q214" i="2"/>
  <c r="L123" i="2"/>
  <c r="S123" i="2" s="1"/>
  <c r="F31" i="3"/>
  <c r="L52" i="2"/>
  <c r="F17" i="3"/>
  <c r="T11" i="2"/>
  <c r="O11" i="2"/>
  <c r="P11" i="2" s="1"/>
  <c r="Q11" i="2" s="1"/>
  <c r="L252" i="2"/>
  <c r="F57" i="3"/>
  <c r="O103" i="2"/>
  <c r="P103" i="2" s="1"/>
  <c r="T103" i="2"/>
  <c r="I27" i="3"/>
  <c r="N27" i="3"/>
  <c r="T73" i="2"/>
  <c r="O73" i="2"/>
  <c r="P73" i="2" s="1"/>
  <c r="T45" i="2"/>
  <c r="O45" i="2"/>
  <c r="P45" i="2" s="1"/>
  <c r="O267" i="2"/>
  <c r="P267" i="2" s="1"/>
  <c r="Q267" i="2" s="1"/>
  <c r="R267" i="2" s="1"/>
  <c r="T267" i="2"/>
  <c r="N60" i="3"/>
  <c r="I60" i="3"/>
  <c r="O386" i="2"/>
  <c r="P386" i="2" s="1"/>
  <c r="Q386" i="2" s="1"/>
  <c r="T386" i="2"/>
  <c r="Q183" i="2"/>
  <c r="T153" i="2"/>
  <c r="O153" i="2"/>
  <c r="P153" i="2" s="1"/>
  <c r="Q153" i="2" s="1"/>
  <c r="T25" i="2"/>
  <c r="Q394" i="2"/>
  <c r="L257" i="2"/>
  <c r="F58" i="3"/>
  <c r="O211" i="2"/>
  <c r="P211" i="2" s="1"/>
  <c r="T211" i="2"/>
  <c r="L57" i="2"/>
  <c r="S57" i="2" s="1"/>
  <c r="F18" i="3"/>
  <c r="T21" i="2"/>
  <c r="T437" i="2"/>
  <c r="T159" i="2"/>
  <c r="T15" i="2"/>
  <c r="T26" i="2"/>
  <c r="T137" i="2"/>
  <c r="T53" i="2"/>
  <c r="T273" i="2"/>
  <c r="T144" i="2"/>
  <c r="T150" i="2"/>
  <c r="T155" i="2"/>
  <c r="O92" i="2"/>
  <c r="P92" i="2" s="1"/>
  <c r="Q92" i="2" s="1"/>
  <c r="T92" i="2"/>
  <c r="I25" i="3"/>
  <c r="N25" i="3"/>
  <c r="T23" i="2"/>
  <c r="O23" i="2"/>
  <c r="P23" i="2" s="1"/>
  <c r="T46" i="2"/>
  <c r="Q475" i="2"/>
  <c r="R475" i="2" s="1"/>
  <c r="Q346" i="2"/>
  <c r="Q480" i="2"/>
  <c r="R480" i="2" s="1"/>
  <c r="Q398" i="2"/>
  <c r="Q301" i="2"/>
  <c r="R301" i="2" s="1"/>
  <c r="L182" i="2"/>
  <c r="F43" i="3"/>
  <c r="T354" i="2"/>
  <c r="O354" i="2"/>
  <c r="P354" i="2" s="1"/>
  <c r="I77" i="3"/>
  <c r="N77" i="3"/>
  <c r="L147" i="2"/>
  <c r="F36" i="3"/>
  <c r="T202" i="2"/>
  <c r="O202" i="2"/>
  <c r="P202" i="2" s="1"/>
  <c r="Q202" i="2" s="1"/>
  <c r="N47" i="3"/>
  <c r="I47" i="3"/>
  <c r="L482" i="2"/>
  <c r="S482" i="2" s="1"/>
  <c r="F103" i="3"/>
  <c r="O460" i="2"/>
  <c r="P460" i="2" s="1"/>
  <c r="Q460" i="2" s="1"/>
  <c r="T460" i="2"/>
  <c r="T438" i="2"/>
  <c r="O438" i="2"/>
  <c r="P438" i="2" s="1"/>
  <c r="Q438" i="2" s="1"/>
  <c r="N94" i="3"/>
  <c r="R395" i="2"/>
  <c r="S395" i="2"/>
  <c r="T331" i="2"/>
  <c r="O331" i="2"/>
  <c r="P331" i="2" s="1"/>
  <c r="T309" i="2"/>
  <c r="O309" i="2"/>
  <c r="P309" i="2" s="1"/>
  <c r="Q309" i="2" s="1"/>
  <c r="O287" i="2"/>
  <c r="P287" i="2" s="1"/>
  <c r="T287" i="2"/>
  <c r="I64" i="3"/>
  <c r="N64" i="3"/>
  <c r="Q266" i="2"/>
  <c r="L224" i="2"/>
  <c r="S224" i="2" s="1"/>
  <c r="F51" i="3"/>
  <c r="Q489" i="2"/>
  <c r="Q400" i="2"/>
  <c r="Q280" i="2"/>
  <c r="R218" i="2"/>
  <c r="S218" i="2"/>
  <c r="O448" i="2"/>
  <c r="P448" i="2" s="1"/>
  <c r="Q448" i="2" s="1"/>
  <c r="R448" i="2" s="1"/>
  <c r="T448" i="2"/>
  <c r="R396" i="2"/>
  <c r="S396" i="2"/>
  <c r="R499" i="2"/>
  <c r="S499" i="2"/>
  <c r="S388" i="2"/>
  <c r="R388" i="2"/>
  <c r="S348" i="2"/>
  <c r="R348" i="2"/>
  <c r="S281" i="2"/>
  <c r="R281" i="2"/>
  <c r="Q219" i="2"/>
  <c r="Q446" i="2"/>
  <c r="R446" i="2" s="1"/>
  <c r="Q322" i="2"/>
  <c r="Q255" i="2"/>
  <c r="Q478" i="2"/>
  <c r="Q287" i="2"/>
  <c r="Q220" i="2"/>
  <c r="Q381" i="2"/>
  <c r="Q319" i="2"/>
  <c r="Q257" i="2"/>
  <c r="T470" i="2"/>
  <c r="O470" i="2"/>
  <c r="P470" i="2" s="1"/>
  <c r="Q470" i="2" s="1"/>
  <c r="T445" i="2"/>
  <c r="T384" i="2"/>
  <c r="O384" i="2"/>
  <c r="P384" i="2" s="1"/>
  <c r="Q384" i="2" s="1"/>
  <c r="R384" i="2" s="1"/>
  <c r="T207" i="2"/>
  <c r="O207" i="2"/>
  <c r="P207" i="2" s="1"/>
  <c r="Q207" i="2" s="1"/>
  <c r="N48" i="3"/>
  <c r="I48" i="3"/>
  <c r="O120" i="2"/>
  <c r="P120" i="2" s="1"/>
  <c r="Q120" i="2" s="1"/>
  <c r="T120" i="2"/>
  <c r="O98" i="2"/>
  <c r="P98" i="2" s="1"/>
  <c r="Q98" i="2" s="1"/>
  <c r="T98" i="2"/>
  <c r="I26" i="3"/>
  <c r="N26" i="3"/>
  <c r="T31" i="2"/>
  <c r="O31" i="2"/>
  <c r="P31" i="2" s="1"/>
  <c r="Q31" i="2" s="1"/>
  <c r="O9" i="2"/>
  <c r="P9" i="2" s="1"/>
  <c r="Q9" i="2" s="1"/>
  <c r="T9" i="2"/>
  <c r="Q483" i="2"/>
  <c r="R483" i="2" s="1"/>
  <c r="T334" i="2"/>
  <c r="O334" i="2"/>
  <c r="P334" i="2" s="1"/>
  <c r="L293" i="2"/>
  <c r="F65" i="3"/>
  <c r="L187" i="2"/>
  <c r="F44" i="3"/>
  <c r="O492" i="2"/>
  <c r="P492" i="2" s="1"/>
  <c r="Q492" i="2" s="1"/>
  <c r="T492" i="2"/>
  <c r="I105" i="3"/>
  <c r="N105" i="3"/>
  <c r="L417" i="2"/>
  <c r="F90" i="3"/>
  <c r="T396" i="2"/>
  <c r="L337" i="2"/>
  <c r="S337" i="2" s="1"/>
  <c r="F74" i="3"/>
  <c r="O295" i="2"/>
  <c r="P295" i="2" s="1"/>
  <c r="Q295" i="2" s="1"/>
  <c r="T295" i="2"/>
  <c r="Q274" i="2"/>
  <c r="T179" i="2"/>
  <c r="O179" i="2"/>
  <c r="P179" i="2" s="1"/>
  <c r="Q179" i="2" s="1"/>
  <c r="R145" i="2"/>
  <c r="S145" i="2"/>
  <c r="S114" i="2"/>
  <c r="R114" i="2"/>
  <c r="T81" i="2"/>
  <c r="O81" i="2"/>
  <c r="P81" i="2" s="1"/>
  <c r="Q81" i="2" s="1"/>
  <c r="T50" i="2"/>
  <c r="O50" i="2"/>
  <c r="P50" i="2" s="1"/>
  <c r="Q50" i="2" s="1"/>
  <c r="R12" i="2"/>
  <c r="S12" i="2"/>
  <c r="T402" i="2"/>
  <c r="O402" i="2"/>
  <c r="P402" i="2" s="1"/>
  <c r="Q402" i="2" s="1"/>
  <c r="R402" i="2" s="1"/>
  <c r="N87" i="3"/>
  <c r="I87" i="3"/>
  <c r="O344" i="2"/>
  <c r="P344" i="2" s="1"/>
  <c r="Q344" i="2" s="1"/>
  <c r="R344" i="2" s="1"/>
  <c r="T344" i="2"/>
  <c r="Q323" i="2"/>
  <c r="Q265" i="2"/>
  <c r="T206" i="2"/>
  <c r="O206" i="2"/>
  <c r="P206" i="2" s="1"/>
  <c r="R150" i="2"/>
  <c r="S150" i="2"/>
  <c r="S61" i="2"/>
  <c r="R61" i="2"/>
  <c r="L37" i="2"/>
  <c r="F14" i="3"/>
  <c r="Q62" i="2"/>
  <c r="Q456" i="2"/>
  <c r="R456" i="2" s="1"/>
  <c r="O347" i="2"/>
  <c r="P347" i="2" s="1"/>
  <c r="Q347" i="2" s="1"/>
  <c r="T347" i="2"/>
  <c r="I76" i="3"/>
  <c r="N76" i="3"/>
  <c r="T314" i="2"/>
  <c r="O314" i="2"/>
  <c r="P314" i="2" s="1"/>
  <c r="O263" i="2"/>
  <c r="P263" i="2" s="1"/>
  <c r="T263" i="2"/>
  <c r="Q124" i="2"/>
  <c r="T472" i="2"/>
  <c r="T366" i="2"/>
  <c r="T315" i="2"/>
  <c r="O315" i="2"/>
  <c r="P315" i="2" s="1"/>
  <c r="Q315" i="2" s="1"/>
  <c r="T290" i="2"/>
  <c r="Q187" i="2"/>
  <c r="Q111" i="2"/>
  <c r="R111" i="2" s="1"/>
  <c r="Q403" i="2"/>
  <c r="Q197" i="2"/>
  <c r="Q130" i="2"/>
  <c r="R130" i="2" s="1"/>
  <c r="O62" i="2"/>
  <c r="P62" i="2" s="1"/>
  <c r="T62" i="2"/>
  <c r="I19" i="3"/>
  <c r="N19" i="3"/>
  <c r="T502" i="2"/>
  <c r="O502" i="2"/>
  <c r="P502" i="2" s="1"/>
  <c r="Q502" i="2" s="1"/>
  <c r="I107" i="3"/>
  <c r="N107" i="3"/>
  <c r="T365" i="2"/>
  <c r="O245" i="2"/>
  <c r="P245" i="2" s="1"/>
  <c r="T245" i="2"/>
  <c r="O186" i="2"/>
  <c r="P186" i="2" s="1"/>
  <c r="Q186" i="2" s="1"/>
  <c r="T186" i="2"/>
  <c r="T114" i="2"/>
  <c r="T10" i="2"/>
  <c r="Q303" i="2"/>
  <c r="R303" i="2" s="1"/>
  <c r="T185" i="2"/>
  <c r="R154" i="2"/>
  <c r="S154" i="2"/>
  <c r="T465" i="2"/>
  <c r="O465" i="2"/>
  <c r="P465" i="2" s="1"/>
  <c r="I91" i="3"/>
  <c r="O165" i="2"/>
  <c r="P165" i="2" s="1"/>
  <c r="T165" i="2"/>
  <c r="T123" i="2"/>
  <c r="O75" i="2"/>
  <c r="P75" i="2" s="1"/>
  <c r="Q75" i="2" s="1"/>
  <c r="T75" i="2"/>
  <c r="O52" i="2"/>
  <c r="P52" i="2" s="1"/>
  <c r="Q52" i="2" s="1"/>
  <c r="T52" i="2"/>
  <c r="I17" i="3"/>
  <c r="N17" i="3"/>
  <c r="T252" i="2"/>
  <c r="O252" i="2"/>
  <c r="P252" i="2" s="1"/>
  <c r="Q252" i="2" s="1"/>
  <c r="I57" i="3"/>
  <c r="N57" i="3"/>
  <c r="T205" i="2"/>
  <c r="T149" i="2"/>
  <c r="O149" i="2"/>
  <c r="P149" i="2" s="1"/>
  <c r="T133" i="2"/>
  <c r="Q103" i="2"/>
  <c r="Q45" i="2"/>
  <c r="T348" i="2"/>
  <c r="L352" i="2"/>
  <c r="F77" i="3"/>
  <c r="T199" i="2"/>
  <c r="O199" i="2"/>
  <c r="P199" i="2" s="1"/>
  <c r="Q199" i="2" s="1"/>
  <c r="R199" i="2" s="1"/>
  <c r="L177" i="2"/>
  <c r="F42" i="3"/>
  <c r="T138" i="2"/>
  <c r="O100" i="2"/>
  <c r="P100" i="2" s="1"/>
  <c r="Q100" i="2" s="1"/>
  <c r="R100" i="2" s="1"/>
  <c r="T100" i="2"/>
  <c r="T24" i="2"/>
  <c r="O24" i="2"/>
  <c r="P24" i="2" s="1"/>
  <c r="Q24" i="2" s="1"/>
  <c r="Q211" i="2"/>
  <c r="T171" i="2"/>
  <c r="O171" i="2"/>
  <c r="P171" i="2" s="1"/>
  <c r="Q171" i="2" s="1"/>
  <c r="L132" i="2"/>
  <c r="F33" i="3"/>
  <c r="T13" i="2"/>
  <c r="O115" i="2"/>
  <c r="P115" i="2" s="1"/>
  <c r="T115" i="2"/>
  <c r="Q72" i="2"/>
  <c r="T17" i="2"/>
  <c r="O126" i="2"/>
  <c r="P126" i="2" s="1"/>
  <c r="Q126" i="2" s="1"/>
  <c r="R126" i="2" s="1"/>
  <c r="T126" i="2"/>
  <c r="T361" i="2"/>
  <c r="Q23" i="2"/>
  <c r="T102" i="2"/>
  <c r="T44" i="2"/>
  <c r="T411" i="2"/>
  <c r="O411" i="2"/>
  <c r="P411" i="2" s="1"/>
  <c r="Q411" i="2" s="1"/>
  <c r="Q262" i="2"/>
  <c r="L367" i="2"/>
  <c r="F80" i="3"/>
  <c r="T439" i="2"/>
  <c r="O439" i="2"/>
  <c r="P439" i="2" s="1"/>
  <c r="Q331" i="2"/>
  <c r="T466" i="2"/>
  <c r="O466" i="2"/>
  <c r="P466" i="2" s="1"/>
  <c r="T479" i="2"/>
  <c r="O479" i="2"/>
  <c r="P479" i="2" s="1"/>
  <c r="Q479" i="2" s="1"/>
  <c r="Q172" i="2"/>
  <c r="O500" i="2"/>
  <c r="P500" i="2" s="1"/>
  <c r="Q500" i="2" s="1"/>
  <c r="T500" i="2"/>
  <c r="T478" i="2"/>
  <c r="O478" i="2"/>
  <c r="P478" i="2" s="1"/>
  <c r="T371" i="2"/>
  <c r="O371" i="2"/>
  <c r="P371" i="2" s="1"/>
  <c r="Q371" i="2" s="1"/>
  <c r="O349" i="2"/>
  <c r="P349" i="2" s="1"/>
  <c r="Q349" i="2" s="1"/>
  <c r="T349" i="2"/>
  <c r="T327" i="2"/>
  <c r="O327" i="2"/>
  <c r="P327" i="2" s="1"/>
  <c r="Q327" i="2" s="1"/>
  <c r="R327" i="2" s="1"/>
  <c r="I72" i="3"/>
  <c r="N72" i="3"/>
  <c r="Q306" i="2"/>
  <c r="Q244" i="2"/>
  <c r="R244" i="2" s="1"/>
  <c r="R222" i="2"/>
  <c r="S222" i="2"/>
  <c r="L487" i="2"/>
  <c r="F104" i="3"/>
  <c r="Q458" i="2"/>
  <c r="Q369" i="2"/>
  <c r="L278" i="2"/>
  <c r="F62" i="3"/>
  <c r="L247" i="2"/>
  <c r="F56" i="3"/>
  <c r="R503" i="2"/>
  <c r="S503" i="2"/>
  <c r="S445" i="2"/>
  <c r="R445" i="2"/>
  <c r="R392" i="2"/>
  <c r="S490" i="2"/>
  <c r="R490" i="2"/>
  <c r="S437" i="2"/>
  <c r="R437" i="2"/>
  <c r="O382" i="2"/>
  <c r="P382" i="2" s="1"/>
  <c r="Q382" i="2" s="1"/>
  <c r="T382" i="2"/>
  <c r="I83" i="3"/>
  <c r="N83" i="3"/>
  <c r="Q277" i="2"/>
  <c r="R277" i="2" s="1"/>
  <c r="S504" i="2"/>
  <c r="R504" i="2"/>
  <c r="R442" i="2"/>
  <c r="S442" i="2"/>
  <c r="S375" i="2"/>
  <c r="R375" i="2"/>
  <c r="Q313" i="2"/>
  <c r="R313" i="2" s="1"/>
  <c r="Q469" i="2"/>
  <c r="Q407" i="2"/>
  <c r="Q340" i="2"/>
  <c r="Q278" i="2"/>
  <c r="Q439" i="2"/>
  <c r="Q377" i="2"/>
  <c r="Q310" i="2"/>
  <c r="R248" i="2"/>
  <c r="S248" i="2"/>
  <c r="Q412" i="2"/>
  <c r="O313" i="2"/>
  <c r="P313" i="2" s="1"/>
  <c r="T313" i="2"/>
  <c r="T292" i="2"/>
  <c r="O292" i="2"/>
  <c r="P292" i="2" s="1"/>
  <c r="Q292" i="2" s="1"/>
  <c r="I65" i="3"/>
  <c r="N65" i="3"/>
  <c r="O234" i="2"/>
  <c r="P234" i="2" s="1"/>
  <c r="Q234" i="2" s="1"/>
  <c r="T234" i="2"/>
  <c r="T203" i="2"/>
  <c r="O203" i="2"/>
  <c r="P203" i="2" s="1"/>
  <c r="Q203" i="2" s="1"/>
  <c r="Q184" i="2"/>
  <c r="Q162" i="2"/>
  <c r="L142" i="2"/>
  <c r="S142" i="2" s="1"/>
  <c r="F35" i="3"/>
  <c r="Q95" i="2"/>
  <c r="R95" i="2" s="1"/>
  <c r="Q73" i="2"/>
  <c r="T49" i="2"/>
  <c r="O49" i="2"/>
  <c r="P49" i="2" s="1"/>
  <c r="Q49" i="2" s="1"/>
  <c r="T27" i="2"/>
  <c r="O27" i="2"/>
  <c r="P27" i="2" s="1"/>
  <c r="Q27" i="2" s="1"/>
  <c r="N12" i="3"/>
  <c r="I12" i="3"/>
  <c r="T395" i="2"/>
  <c r="Q334" i="2"/>
  <c r="O293" i="2"/>
  <c r="P293" i="2" s="1"/>
  <c r="T293" i="2"/>
  <c r="T261" i="2"/>
  <c r="O261" i="2"/>
  <c r="P261" i="2" s="1"/>
  <c r="Q261" i="2" s="1"/>
  <c r="O235" i="2"/>
  <c r="P235" i="2" s="1"/>
  <c r="Q235" i="2" s="1"/>
  <c r="T235" i="2"/>
  <c r="Q180" i="2"/>
  <c r="Q149" i="2"/>
  <c r="L27" i="2"/>
  <c r="F12" i="3"/>
  <c r="T471" i="2"/>
  <c r="O471" i="2"/>
  <c r="P471" i="2" s="1"/>
  <c r="Q471" i="2" s="1"/>
  <c r="O417" i="2"/>
  <c r="P417" i="2" s="1"/>
  <c r="Q417" i="2" s="1"/>
  <c r="T417" i="2"/>
  <c r="I90" i="3"/>
  <c r="N90" i="3"/>
  <c r="T393" i="2"/>
  <c r="O393" i="2"/>
  <c r="P393" i="2" s="1"/>
  <c r="Q393" i="2" s="1"/>
  <c r="I85" i="3"/>
  <c r="N85" i="3"/>
  <c r="O332" i="2"/>
  <c r="P332" i="2" s="1"/>
  <c r="Q332" i="2" s="1"/>
  <c r="T332" i="2"/>
  <c r="I73" i="3"/>
  <c r="N73" i="3"/>
  <c r="L237" i="2"/>
  <c r="F54" i="3"/>
  <c r="T204" i="2"/>
  <c r="O204" i="2"/>
  <c r="P204" i="2" s="1"/>
  <c r="Q204" i="2" s="1"/>
  <c r="R204" i="2" s="1"/>
  <c r="Q176" i="2"/>
  <c r="O139" i="2"/>
  <c r="P139" i="2" s="1"/>
  <c r="T139" i="2"/>
  <c r="O108" i="2"/>
  <c r="P108" i="2" s="1"/>
  <c r="Q108" i="2" s="1"/>
  <c r="T108" i="2"/>
  <c r="T77" i="2"/>
  <c r="O77" i="2"/>
  <c r="P77" i="2" s="1"/>
  <c r="Q77" i="2" s="1"/>
  <c r="R77" i="2" s="1"/>
  <c r="I22" i="3"/>
  <c r="N22" i="3"/>
  <c r="T41" i="2"/>
  <c r="O41" i="2"/>
  <c r="P41" i="2" s="1"/>
  <c r="Q41" i="2" s="1"/>
  <c r="O484" i="2"/>
  <c r="P484" i="2" s="1"/>
  <c r="Q484" i="2" s="1"/>
  <c r="T484" i="2"/>
  <c r="T463" i="2"/>
  <c r="T426" i="2"/>
  <c r="O426" i="2"/>
  <c r="P426" i="2" s="1"/>
  <c r="L392" i="2"/>
  <c r="S392" i="2" s="1"/>
  <c r="F85" i="3"/>
  <c r="T316" i="2"/>
  <c r="O316" i="2"/>
  <c r="P316" i="2" s="1"/>
  <c r="Q206" i="2"/>
  <c r="R177" i="2"/>
  <c r="S177" i="2"/>
  <c r="Q119" i="2"/>
  <c r="S88" i="2"/>
  <c r="R88" i="2"/>
  <c r="R30" i="2"/>
  <c r="S30" i="2"/>
  <c r="L497" i="2"/>
  <c r="F106" i="3"/>
  <c r="T476" i="2"/>
  <c r="T414" i="2"/>
  <c r="O385" i="2"/>
  <c r="P385" i="2" s="1"/>
  <c r="Q385" i="2" s="1"/>
  <c r="T385" i="2"/>
  <c r="Q314" i="2"/>
  <c r="Q263" i="2"/>
  <c r="O233" i="2"/>
  <c r="P233" i="2" s="1"/>
  <c r="Q233" i="2" s="1"/>
  <c r="T233" i="2"/>
  <c r="Q115" i="2"/>
  <c r="R44" i="2"/>
  <c r="S44" i="2"/>
  <c r="T495" i="2"/>
  <c r="T431" i="2"/>
  <c r="O431" i="2"/>
  <c r="P431" i="2" s="1"/>
  <c r="Q431" i="2" s="1"/>
  <c r="T326" i="2"/>
  <c r="O312" i="2"/>
  <c r="P312" i="2" s="1"/>
  <c r="Q312" i="2" s="1"/>
  <c r="T312" i="2"/>
  <c r="I69" i="3"/>
  <c r="N69" i="3"/>
  <c r="T224" i="2"/>
  <c r="Q178" i="2"/>
  <c r="R178" i="2" s="1"/>
  <c r="Q107" i="2"/>
  <c r="Q40" i="2"/>
  <c r="L457" i="2"/>
  <c r="F98" i="3"/>
  <c r="T433" i="2"/>
  <c r="O373" i="2"/>
  <c r="P373" i="2" s="1"/>
  <c r="Q373" i="2" s="1"/>
  <c r="R373" i="2" s="1"/>
  <c r="T373" i="2"/>
  <c r="O294" i="2"/>
  <c r="P294" i="2" s="1"/>
  <c r="Q294" i="2" s="1"/>
  <c r="T294" i="2"/>
  <c r="O243" i="2"/>
  <c r="P243" i="2" s="1"/>
  <c r="T243" i="2"/>
  <c r="Q188" i="2"/>
  <c r="Q59" i="2"/>
  <c r="T364" i="2"/>
  <c r="Q245" i="2"/>
  <c r="T279" i="2"/>
  <c r="T208" i="2"/>
  <c r="O208" i="2"/>
  <c r="P208" i="2" s="1"/>
  <c r="L152" i="2"/>
  <c r="F37" i="3"/>
  <c r="Q465" i="2"/>
  <c r="T194" i="2"/>
  <c r="Q165" i="2"/>
  <c r="T375" i="2"/>
  <c r="T190" i="2"/>
  <c r="T119" i="2"/>
  <c r="T61" i="2"/>
  <c r="T481" i="2"/>
  <c r="T352" i="2"/>
  <c r="O166" i="2"/>
  <c r="P166" i="2" s="1"/>
  <c r="Q166" i="2" s="1"/>
  <c r="T166" i="2"/>
  <c r="L87" i="2"/>
  <c r="F24" i="3"/>
  <c r="T54" i="2"/>
  <c r="O54" i="2"/>
  <c r="P54" i="2" s="1"/>
  <c r="Q54" i="2" s="1"/>
  <c r="T22" i="2"/>
  <c r="O22" i="2"/>
  <c r="P22" i="2" s="1"/>
  <c r="Q22" i="2" s="1"/>
  <c r="R22" i="2" s="1"/>
  <c r="I11" i="3"/>
  <c r="N11" i="3"/>
  <c r="T379" i="2"/>
  <c r="T96" i="2"/>
  <c r="O76" i="2"/>
  <c r="P76" i="2" s="1"/>
  <c r="Q76" i="2" s="1"/>
  <c r="T76" i="2"/>
  <c r="T38" i="2"/>
  <c r="O38" i="2"/>
  <c r="P38" i="2" s="1"/>
  <c r="Q38" i="2" s="1"/>
  <c r="T8" i="2"/>
  <c r="T230" i="2"/>
  <c r="O132" i="2"/>
  <c r="P132" i="2" s="1"/>
  <c r="Q132" i="2" s="1"/>
  <c r="T132" i="2"/>
  <c r="I33" i="3"/>
  <c r="N33" i="3"/>
  <c r="T36" i="2"/>
  <c r="O36" i="2"/>
  <c r="P36" i="2" s="1"/>
  <c r="Q36" i="2" s="1"/>
  <c r="T101" i="2"/>
  <c r="T110" i="2"/>
  <c r="T29" i="2"/>
  <c r="O29" i="2"/>
  <c r="P29" i="2" s="1"/>
  <c r="Q29" i="2" s="1"/>
  <c r="F61" i="3"/>
  <c r="T142" i="2"/>
  <c r="T124" i="2"/>
  <c r="F73" i="3"/>
  <c r="O131" i="2"/>
  <c r="P131" i="2" s="1"/>
  <c r="Q131" i="2" s="1"/>
  <c r="T131" i="2"/>
  <c r="T128" i="2"/>
  <c r="R36" i="2" l="1"/>
  <c r="S36" i="2"/>
  <c r="R261" i="2"/>
  <c r="S261" i="2"/>
  <c r="S292" i="2"/>
  <c r="R292" i="2"/>
  <c r="R24" i="2"/>
  <c r="S24" i="2"/>
  <c r="S295" i="2"/>
  <c r="R295" i="2"/>
  <c r="S98" i="2"/>
  <c r="R98" i="2"/>
  <c r="R189" i="2"/>
  <c r="S189" i="2"/>
  <c r="S418" i="2"/>
  <c r="R418" i="2"/>
  <c r="S121" i="2"/>
  <c r="R121" i="2"/>
  <c r="R251" i="2"/>
  <c r="S251" i="2"/>
  <c r="S449" i="2"/>
  <c r="R449" i="2"/>
  <c r="R307" i="2"/>
  <c r="S307" i="2"/>
  <c r="R382" i="2"/>
  <c r="S382" i="2"/>
  <c r="R52" i="2"/>
  <c r="S52" i="2"/>
  <c r="S186" i="2"/>
  <c r="R186" i="2"/>
  <c r="S492" i="2"/>
  <c r="R492" i="2"/>
  <c r="S11" i="2"/>
  <c r="R11" i="2"/>
  <c r="S270" i="2"/>
  <c r="R270" i="2"/>
  <c r="R71" i="2"/>
  <c r="S71" i="2"/>
  <c r="R318" i="2"/>
  <c r="S318" i="2"/>
  <c r="S425" i="2"/>
  <c r="R425" i="2"/>
  <c r="R35" i="2"/>
  <c r="S35" i="2"/>
  <c r="R249" i="2"/>
  <c r="S249" i="2"/>
  <c r="R471" i="2"/>
  <c r="S471" i="2"/>
  <c r="R27" i="2"/>
  <c r="S27" i="2"/>
  <c r="S460" i="2"/>
  <c r="R460" i="2"/>
  <c r="R329" i="2"/>
  <c r="S329" i="2"/>
  <c r="S80" i="2"/>
  <c r="R80" i="2"/>
  <c r="S501" i="2"/>
  <c r="R501" i="2"/>
  <c r="S213" i="2"/>
  <c r="R213" i="2"/>
  <c r="S68" i="2"/>
  <c r="R68" i="2"/>
  <c r="S54" i="2"/>
  <c r="R54" i="2"/>
  <c r="R312" i="2"/>
  <c r="S312" i="2"/>
  <c r="R393" i="2"/>
  <c r="S393" i="2"/>
  <c r="S49" i="2"/>
  <c r="R49" i="2"/>
  <c r="S500" i="2"/>
  <c r="R500" i="2"/>
  <c r="S9" i="2"/>
  <c r="R9" i="2"/>
  <c r="S120" i="2"/>
  <c r="R120" i="2"/>
  <c r="S470" i="2"/>
  <c r="R470" i="2"/>
  <c r="S92" i="2"/>
  <c r="R92" i="2"/>
  <c r="R386" i="2"/>
  <c r="S386" i="2"/>
  <c r="S435" i="2"/>
  <c r="R435" i="2"/>
  <c r="R148" i="2"/>
  <c r="S148" i="2"/>
  <c r="S477" i="2"/>
  <c r="R477" i="2"/>
  <c r="S19" i="2"/>
  <c r="R19" i="2"/>
  <c r="S342" i="2"/>
  <c r="R342" i="2"/>
  <c r="S271" i="2"/>
  <c r="R271" i="2"/>
  <c r="S453" i="2"/>
  <c r="R453" i="2"/>
  <c r="S160" i="2"/>
  <c r="R160" i="2"/>
  <c r="R29" i="2"/>
  <c r="S29" i="2"/>
  <c r="S431" i="2"/>
  <c r="R431" i="2"/>
  <c r="S484" i="2"/>
  <c r="R484" i="2"/>
  <c r="S108" i="2"/>
  <c r="R108" i="2"/>
  <c r="S349" i="2"/>
  <c r="R349" i="2"/>
  <c r="R479" i="2"/>
  <c r="S479" i="2"/>
  <c r="R252" i="2"/>
  <c r="S252" i="2"/>
  <c r="S50" i="2"/>
  <c r="R50" i="2"/>
  <c r="S179" i="2"/>
  <c r="R179" i="2"/>
  <c r="S391" i="2"/>
  <c r="R391" i="2"/>
  <c r="S247" i="2"/>
  <c r="R247" i="2"/>
  <c r="S69" i="2"/>
  <c r="R69" i="2"/>
  <c r="R444" i="2"/>
  <c r="S444" i="2"/>
  <c r="S286" i="2"/>
  <c r="R286" i="2"/>
  <c r="S140" i="2"/>
  <c r="R140" i="2"/>
  <c r="S233" i="2"/>
  <c r="R233" i="2"/>
  <c r="R75" i="2"/>
  <c r="S75" i="2"/>
  <c r="R31" i="2"/>
  <c r="S31" i="2"/>
  <c r="S132" i="2"/>
  <c r="R132" i="2"/>
  <c r="S294" i="2"/>
  <c r="R294" i="2"/>
  <c r="S41" i="2"/>
  <c r="R41" i="2"/>
  <c r="R234" i="2"/>
  <c r="S234" i="2"/>
  <c r="S371" i="2"/>
  <c r="R371" i="2"/>
  <c r="S171" i="2"/>
  <c r="R171" i="2"/>
  <c r="R207" i="2"/>
  <c r="S207" i="2"/>
  <c r="S438" i="2"/>
  <c r="R438" i="2"/>
  <c r="R202" i="2"/>
  <c r="S202" i="2"/>
  <c r="S269" i="2"/>
  <c r="R269" i="2"/>
  <c r="R135" i="2"/>
  <c r="S135" i="2"/>
  <c r="R360" i="2"/>
  <c r="S360" i="2"/>
  <c r="S240" i="2"/>
  <c r="R240" i="2"/>
  <c r="S380" i="2"/>
  <c r="R380" i="2"/>
  <c r="R91" i="2"/>
  <c r="S91" i="2"/>
  <c r="S76" i="2"/>
  <c r="R76" i="2"/>
  <c r="S315" i="2"/>
  <c r="R315" i="2"/>
  <c r="S350" i="2"/>
  <c r="R350" i="2"/>
  <c r="S411" i="2"/>
  <c r="R411" i="2"/>
  <c r="S81" i="2"/>
  <c r="R81" i="2"/>
  <c r="S309" i="2"/>
  <c r="R309" i="2"/>
  <c r="R153" i="2"/>
  <c r="S153" i="2"/>
  <c r="R253" i="2"/>
  <c r="S253" i="2"/>
  <c r="S506" i="2"/>
  <c r="R506" i="2"/>
  <c r="S209" i="2"/>
  <c r="R209" i="2"/>
  <c r="R467" i="2"/>
  <c r="S467" i="2"/>
  <c r="S109" i="2"/>
  <c r="R109" i="2"/>
  <c r="S217" i="2"/>
  <c r="R217" i="2"/>
  <c r="S427" i="2"/>
  <c r="R427" i="2"/>
  <c r="R47" i="2"/>
  <c r="S47" i="2"/>
  <c r="S421" i="2"/>
  <c r="R421" i="2"/>
  <c r="S18" i="2"/>
  <c r="R18" i="2"/>
  <c r="S302" i="2"/>
  <c r="R302" i="2"/>
  <c r="S311" i="2"/>
  <c r="R311" i="2"/>
  <c r="S231" i="2"/>
  <c r="R231" i="2"/>
  <c r="R131" i="2"/>
  <c r="S131" i="2"/>
  <c r="S166" i="2"/>
  <c r="R166" i="2"/>
  <c r="S385" i="2"/>
  <c r="R385" i="2"/>
  <c r="S332" i="2"/>
  <c r="R332" i="2"/>
  <c r="S417" i="2"/>
  <c r="R417" i="2"/>
  <c r="S235" i="2"/>
  <c r="R235" i="2"/>
  <c r="S502" i="2"/>
  <c r="R502" i="2"/>
  <c r="S347" i="2"/>
  <c r="R347" i="2"/>
  <c r="S118" i="2"/>
  <c r="R118" i="2"/>
  <c r="R173" i="2"/>
  <c r="S173" i="2"/>
  <c r="R87" i="2"/>
  <c r="S87" i="2"/>
  <c r="S176" i="2"/>
  <c r="R176" i="2"/>
  <c r="P62" i="3"/>
  <c r="J62" i="3"/>
  <c r="K62" i="3" s="1"/>
  <c r="O62" i="3"/>
  <c r="P21" i="3"/>
  <c r="O21" i="3"/>
  <c r="K21" i="3"/>
  <c r="J21" i="3"/>
  <c r="R157" i="2"/>
  <c r="S157" i="2"/>
  <c r="S466" i="2"/>
  <c r="R466" i="2"/>
  <c r="R161" i="2"/>
  <c r="S161" i="2"/>
  <c r="O37" i="3"/>
  <c r="P37" i="3" s="1"/>
  <c r="K37" i="3"/>
  <c r="J37" i="3"/>
  <c r="R119" i="2"/>
  <c r="S119" i="2"/>
  <c r="S162" i="2"/>
  <c r="R162" i="2"/>
  <c r="R377" i="2"/>
  <c r="S377" i="2"/>
  <c r="O80" i="3"/>
  <c r="J80" i="3"/>
  <c r="K80" i="3" s="1"/>
  <c r="O33" i="3"/>
  <c r="J33" i="3"/>
  <c r="K33" i="3" s="1"/>
  <c r="P33" i="3"/>
  <c r="S187" i="2"/>
  <c r="R187" i="2"/>
  <c r="S319" i="2"/>
  <c r="R319" i="2"/>
  <c r="R255" i="2"/>
  <c r="S255" i="2"/>
  <c r="P51" i="3"/>
  <c r="J51" i="3"/>
  <c r="K51" i="3" s="1"/>
  <c r="O51" i="3"/>
  <c r="J43" i="3"/>
  <c r="K43" i="3" s="1"/>
  <c r="O43" i="3"/>
  <c r="O31" i="3"/>
  <c r="J31" i="3"/>
  <c r="K31" i="3" s="1"/>
  <c r="K46" i="3"/>
  <c r="J46" i="3"/>
  <c r="O46" i="3"/>
  <c r="P46" i="3" s="1"/>
  <c r="R127" i="2"/>
  <c r="S127" i="2"/>
  <c r="J27" i="3"/>
  <c r="K27" i="3" s="1"/>
  <c r="O27" i="3"/>
  <c r="S229" i="2"/>
  <c r="R229" i="2"/>
  <c r="R355" i="2"/>
  <c r="S355" i="2"/>
  <c r="S296" i="2"/>
  <c r="R296" i="2"/>
  <c r="O60" i="3"/>
  <c r="J60" i="3"/>
  <c r="K60" i="3" s="1"/>
  <c r="R67" i="2"/>
  <c r="S67" i="2"/>
  <c r="S409" i="2"/>
  <c r="R409" i="2"/>
  <c r="R200" i="2"/>
  <c r="S200" i="2"/>
  <c r="S272" i="2"/>
  <c r="R272" i="2"/>
  <c r="O100" i="3"/>
  <c r="K100" i="3"/>
  <c r="J100" i="3"/>
  <c r="S65" i="2"/>
  <c r="R65" i="2"/>
  <c r="O29" i="3"/>
  <c r="K29" i="3"/>
  <c r="J29" i="3"/>
  <c r="O49" i="3"/>
  <c r="P49" i="3" s="1"/>
  <c r="J49" i="3"/>
  <c r="K49" i="3" s="1"/>
  <c r="S38" i="2"/>
  <c r="R38" i="2"/>
  <c r="R59" i="2"/>
  <c r="S59" i="2"/>
  <c r="R310" i="2"/>
  <c r="S310" i="2"/>
  <c r="R394" i="2"/>
  <c r="S394" i="2"/>
  <c r="R139" i="2"/>
  <c r="S139" i="2"/>
  <c r="S320" i="2"/>
  <c r="R320" i="2"/>
  <c r="S112" i="2"/>
  <c r="R112" i="2"/>
  <c r="S434" i="2"/>
  <c r="R434" i="2"/>
  <c r="S493" i="2"/>
  <c r="R493" i="2"/>
  <c r="S243" i="2"/>
  <c r="R243" i="2"/>
  <c r="S188" i="2"/>
  <c r="R188" i="2"/>
  <c r="K98" i="3"/>
  <c r="J98" i="3"/>
  <c r="P98" i="3"/>
  <c r="O98" i="3"/>
  <c r="R115" i="2"/>
  <c r="S115" i="2"/>
  <c r="S184" i="2"/>
  <c r="R184" i="2"/>
  <c r="R439" i="2"/>
  <c r="S439" i="2"/>
  <c r="S369" i="2"/>
  <c r="R369" i="2"/>
  <c r="S306" i="2"/>
  <c r="R306" i="2"/>
  <c r="S45" i="2"/>
  <c r="R45" i="2"/>
  <c r="S62" i="2"/>
  <c r="R62" i="2"/>
  <c r="K74" i="3"/>
  <c r="J74" i="3"/>
  <c r="O74" i="3"/>
  <c r="S381" i="2"/>
  <c r="R381" i="2"/>
  <c r="S322" i="2"/>
  <c r="R322" i="2"/>
  <c r="K18" i="3"/>
  <c r="J18" i="3"/>
  <c r="P18" i="3"/>
  <c r="O18" i="3"/>
  <c r="O101" i="3"/>
  <c r="J101" i="3"/>
  <c r="K101" i="3" s="1"/>
  <c r="R158" i="2"/>
  <c r="S158" i="2"/>
  <c r="S291" i="2"/>
  <c r="R291" i="2"/>
  <c r="R455" i="2"/>
  <c r="S455" i="2"/>
  <c r="S462" i="2"/>
  <c r="R462" i="2"/>
  <c r="S192" i="2"/>
  <c r="R192" i="2"/>
  <c r="S129" i="2"/>
  <c r="R129" i="2"/>
  <c r="S429" i="2"/>
  <c r="R429" i="2"/>
  <c r="S174" i="2"/>
  <c r="R174" i="2"/>
  <c r="O41" i="3"/>
  <c r="J41" i="3"/>
  <c r="K41" i="3" s="1"/>
  <c r="J22" i="3"/>
  <c r="K22" i="3" s="1"/>
  <c r="O22" i="3"/>
  <c r="S194" i="2"/>
  <c r="R194" i="2"/>
  <c r="S283" i="2"/>
  <c r="R283" i="2"/>
  <c r="S336" i="2"/>
  <c r="R336" i="2"/>
  <c r="S279" i="2"/>
  <c r="R279" i="2"/>
  <c r="P39" i="3"/>
  <c r="O39" i="3"/>
  <c r="J39" i="3"/>
  <c r="K39" i="3" s="1"/>
  <c r="S387" i="2"/>
  <c r="R387" i="2"/>
  <c r="R143" i="2"/>
  <c r="S143" i="2"/>
  <c r="O78" i="3"/>
  <c r="J78" i="3"/>
  <c r="K78" i="3" s="1"/>
  <c r="P93" i="3"/>
  <c r="O93" i="3"/>
  <c r="J93" i="3"/>
  <c r="K93" i="3" s="1"/>
  <c r="J63" i="3"/>
  <c r="K63" i="3" s="1"/>
  <c r="O63" i="3"/>
  <c r="O9" i="3"/>
  <c r="J9" i="3"/>
  <c r="K9" i="3" s="1"/>
  <c r="O52" i="3"/>
  <c r="J52" i="3"/>
  <c r="P52" i="3"/>
  <c r="K52" i="3"/>
  <c r="O65" i="3"/>
  <c r="J65" i="3"/>
  <c r="K65" i="3" s="1"/>
  <c r="S478" i="2"/>
  <c r="R478" i="2"/>
  <c r="S489" i="2"/>
  <c r="R489" i="2"/>
  <c r="S457" i="2"/>
  <c r="R457" i="2"/>
  <c r="S333" i="2"/>
  <c r="R333" i="2"/>
  <c r="O72" i="3"/>
  <c r="J72" i="3"/>
  <c r="P72" i="3"/>
  <c r="K72" i="3"/>
  <c r="O92" i="3"/>
  <c r="P92" i="3" s="1"/>
  <c r="J92" i="3"/>
  <c r="K92" i="3" s="1"/>
  <c r="O82" i="3"/>
  <c r="J82" i="3"/>
  <c r="K82" i="3" s="1"/>
  <c r="O61" i="3"/>
  <c r="J61" i="3"/>
  <c r="K61" i="3"/>
  <c r="J106" i="3"/>
  <c r="K106" i="3" s="1"/>
  <c r="O106" i="3"/>
  <c r="J54" i="3"/>
  <c r="K54" i="3" s="1"/>
  <c r="O54" i="3"/>
  <c r="O12" i="3"/>
  <c r="J12" i="3"/>
  <c r="K12" i="3" s="1"/>
  <c r="R203" i="2"/>
  <c r="S203" i="2"/>
  <c r="S262" i="2"/>
  <c r="R262" i="2"/>
  <c r="K42" i="3"/>
  <c r="P42" i="3"/>
  <c r="O42" i="3"/>
  <c r="J42" i="3"/>
  <c r="R103" i="2"/>
  <c r="S103" i="2"/>
  <c r="J14" i="3"/>
  <c r="K14" i="3" s="1"/>
  <c r="P14" i="3"/>
  <c r="O14" i="3"/>
  <c r="S265" i="2"/>
  <c r="R265" i="2"/>
  <c r="S266" i="2"/>
  <c r="R266" i="2"/>
  <c r="O36" i="3"/>
  <c r="J36" i="3"/>
  <c r="K36" i="3" s="1"/>
  <c r="P36" i="3"/>
  <c r="O57" i="3"/>
  <c r="P57" i="3"/>
  <c r="J57" i="3"/>
  <c r="K57" i="3" s="1"/>
  <c r="R214" i="2"/>
  <c r="S214" i="2"/>
  <c r="S223" i="2"/>
  <c r="R223" i="2"/>
  <c r="O105" i="3"/>
  <c r="J105" i="3"/>
  <c r="K105" i="3"/>
  <c r="R378" i="2"/>
  <c r="S378" i="2"/>
  <c r="R491" i="2"/>
  <c r="S491" i="2"/>
  <c r="S450" i="2"/>
  <c r="R450" i="2"/>
  <c r="S498" i="2"/>
  <c r="R498" i="2"/>
  <c r="S304" i="2"/>
  <c r="R304" i="2"/>
  <c r="O32" i="3"/>
  <c r="J32" i="3"/>
  <c r="K32" i="3" s="1"/>
  <c r="P86" i="3"/>
  <c r="O86" i="3"/>
  <c r="J86" i="3"/>
  <c r="K86" i="3" s="1"/>
  <c r="R356" i="2"/>
  <c r="S356" i="2"/>
  <c r="J59" i="3"/>
  <c r="K59" i="3" s="1"/>
  <c r="O59" i="3"/>
  <c r="O23" i="3"/>
  <c r="J23" i="3"/>
  <c r="K23" i="3" s="1"/>
  <c r="S389" i="2"/>
  <c r="R389" i="2"/>
  <c r="S338" i="2"/>
  <c r="R338" i="2"/>
  <c r="R151" i="2"/>
  <c r="S151" i="2"/>
  <c r="S298" i="2"/>
  <c r="R298" i="2"/>
  <c r="O24" i="3"/>
  <c r="J24" i="3"/>
  <c r="K24" i="3" s="1"/>
  <c r="R40" i="2"/>
  <c r="S40" i="2"/>
  <c r="R206" i="2"/>
  <c r="S206" i="2"/>
  <c r="S278" i="2"/>
  <c r="R278" i="2"/>
  <c r="S458" i="2"/>
  <c r="R458" i="2"/>
  <c r="S323" i="2"/>
  <c r="R323" i="2"/>
  <c r="S220" i="2"/>
  <c r="R220" i="2"/>
  <c r="K103" i="3"/>
  <c r="J103" i="3"/>
  <c r="O103" i="3"/>
  <c r="R398" i="2"/>
  <c r="S398" i="2"/>
  <c r="S183" i="2"/>
  <c r="R183" i="2"/>
  <c r="S225" i="2"/>
  <c r="R225" i="2"/>
  <c r="P66" i="3"/>
  <c r="J66" i="3"/>
  <c r="K66" i="3" s="1"/>
  <c r="O66" i="3"/>
  <c r="R420" i="2"/>
  <c r="S420" i="2"/>
  <c r="O88" i="3"/>
  <c r="K88" i="3"/>
  <c r="J88" i="3"/>
  <c r="S216" i="2"/>
  <c r="R216" i="2"/>
  <c r="R352" i="2"/>
  <c r="S352" i="2"/>
  <c r="S190" i="2"/>
  <c r="R190" i="2"/>
  <c r="O28" i="3"/>
  <c r="K28" i="3"/>
  <c r="J28" i="3"/>
  <c r="P28" i="3"/>
  <c r="O53" i="3"/>
  <c r="P53" i="3" s="1"/>
  <c r="K53" i="3"/>
  <c r="J53" i="3"/>
  <c r="J79" i="3"/>
  <c r="K79" i="3" s="1"/>
  <c r="O79" i="3"/>
  <c r="K102" i="3"/>
  <c r="J102" i="3"/>
  <c r="O102" i="3"/>
  <c r="S78" i="2"/>
  <c r="R78" i="2"/>
  <c r="J11" i="3"/>
  <c r="K11" i="3" s="1"/>
  <c r="P11" i="3"/>
  <c r="O11" i="3"/>
  <c r="K67" i="3"/>
  <c r="J67" i="3"/>
  <c r="O67" i="3"/>
  <c r="P67" i="3" s="1"/>
  <c r="O96" i="3"/>
  <c r="J96" i="3"/>
  <c r="K96" i="3" s="1"/>
  <c r="J71" i="3"/>
  <c r="K71" i="3" s="1"/>
  <c r="O71" i="3"/>
  <c r="S89" i="2"/>
  <c r="R89" i="2"/>
  <c r="O48" i="3"/>
  <c r="J48" i="3"/>
  <c r="K48" i="3" s="1"/>
  <c r="R230" i="2"/>
  <c r="S230" i="2"/>
  <c r="R451" i="2"/>
  <c r="S451" i="2"/>
  <c r="J55" i="3"/>
  <c r="K55" i="3" s="1"/>
  <c r="O55" i="3"/>
  <c r="O13" i="3"/>
  <c r="J13" i="3"/>
  <c r="K13" i="3" s="1"/>
  <c r="P97" i="3"/>
  <c r="O97" i="3"/>
  <c r="J97" i="3"/>
  <c r="K97" i="3"/>
  <c r="O73" i="3"/>
  <c r="J73" i="3"/>
  <c r="K73" i="3" s="1"/>
  <c r="S172" i="2"/>
  <c r="R172" i="2"/>
  <c r="R257" i="2"/>
  <c r="S257" i="2"/>
  <c r="R363" i="2"/>
  <c r="S363" i="2"/>
  <c r="J94" i="3"/>
  <c r="K94" i="3" s="1"/>
  <c r="P94" i="3"/>
  <c r="O94" i="3"/>
  <c r="S208" i="2"/>
  <c r="R208" i="2"/>
  <c r="R32" i="2"/>
  <c r="S32" i="2"/>
  <c r="J99" i="3"/>
  <c r="K99" i="3" s="1"/>
  <c r="O99" i="3"/>
  <c r="S488" i="2"/>
  <c r="R488" i="2"/>
  <c r="S316" i="2"/>
  <c r="R316" i="2"/>
  <c r="R107" i="2"/>
  <c r="S107" i="2"/>
  <c r="R263" i="2"/>
  <c r="S263" i="2"/>
  <c r="R149" i="2"/>
  <c r="S149" i="2"/>
  <c r="S334" i="2"/>
  <c r="R334" i="2"/>
  <c r="S73" i="2"/>
  <c r="R73" i="2"/>
  <c r="R412" i="2"/>
  <c r="S412" i="2"/>
  <c r="S340" i="2"/>
  <c r="R340" i="2"/>
  <c r="O104" i="3"/>
  <c r="J104" i="3"/>
  <c r="K104" i="3" s="1"/>
  <c r="S72" i="2"/>
  <c r="R72" i="2"/>
  <c r="R211" i="2"/>
  <c r="S211" i="2"/>
  <c r="R197" i="2"/>
  <c r="S197" i="2"/>
  <c r="K90" i="3"/>
  <c r="J90" i="3"/>
  <c r="P90" i="3"/>
  <c r="O90" i="3"/>
  <c r="S287" i="2"/>
  <c r="R287" i="2"/>
  <c r="S219" i="2"/>
  <c r="R219" i="2"/>
  <c r="S280" i="2"/>
  <c r="R280" i="2"/>
  <c r="J107" i="3"/>
  <c r="K107" i="3" s="1"/>
  <c r="P107" i="3"/>
  <c r="O107" i="3"/>
  <c r="S58" i="2"/>
  <c r="R58" i="2"/>
  <c r="R8" i="2"/>
  <c r="S8" i="2"/>
  <c r="O20" i="3"/>
  <c r="J20" i="3"/>
  <c r="K20" i="3" s="1"/>
  <c r="S276" i="2"/>
  <c r="R276" i="2"/>
  <c r="R487" i="2"/>
  <c r="S487" i="2"/>
  <c r="P25" i="3"/>
  <c r="O25" i="3"/>
  <c r="J25" i="3"/>
  <c r="K25" i="3" s="1"/>
  <c r="O19" i="3"/>
  <c r="K19" i="3"/>
  <c r="J19" i="3"/>
  <c r="O89" i="3"/>
  <c r="J89" i="3"/>
  <c r="K89" i="3" s="1"/>
  <c r="S227" i="2"/>
  <c r="R227" i="2"/>
  <c r="S254" i="2"/>
  <c r="R254" i="2"/>
  <c r="R325" i="2"/>
  <c r="S325" i="2"/>
  <c r="S496" i="2"/>
  <c r="R496" i="2"/>
  <c r="S285" i="2"/>
  <c r="R285" i="2"/>
  <c r="S134" i="2"/>
  <c r="R134" i="2"/>
  <c r="O16" i="3"/>
  <c r="J16" i="3"/>
  <c r="K16" i="3" s="1"/>
  <c r="P16" i="3"/>
  <c r="S376" i="2"/>
  <c r="R376" i="2"/>
  <c r="J83" i="3"/>
  <c r="K83" i="3" s="1"/>
  <c r="P83" i="3"/>
  <c r="O83" i="3"/>
  <c r="S415" i="2"/>
  <c r="R415" i="2"/>
  <c r="S476" i="2"/>
  <c r="R476" i="2"/>
  <c r="K10" i="3"/>
  <c r="J10" i="3"/>
  <c r="P10" i="3"/>
  <c r="O10" i="3"/>
  <c r="R23" i="2"/>
  <c r="S23" i="2"/>
  <c r="J95" i="3"/>
  <c r="K95" i="3" s="1"/>
  <c r="O95" i="3"/>
  <c r="P95" i="3" s="1"/>
  <c r="S345" i="2"/>
  <c r="R345" i="2"/>
  <c r="S300" i="2"/>
  <c r="R300" i="2"/>
  <c r="R165" i="2"/>
  <c r="S165" i="2"/>
  <c r="S245" i="2"/>
  <c r="R245" i="2"/>
  <c r="R314" i="2"/>
  <c r="S314" i="2"/>
  <c r="S180" i="2"/>
  <c r="R180" i="2"/>
  <c r="S407" i="2"/>
  <c r="R407" i="2"/>
  <c r="O56" i="3"/>
  <c r="J56" i="3"/>
  <c r="K56" i="3"/>
  <c r="P56" i="3"/>
  <c r="S331" i="2"/>
  <c r="R331" i="2"/>
  <c r="S403" i="2"/>
  <c r="R403" i="2"/>
  <c r="O44" i="3"/>
  <c r="J44" i="3"/>
  <c r="K44" i="3"/>
  <c r="S346" i="2"/>
  <c r="R346" i="2"/>
  <c r="K58" i="3"/>
  <c r="O58" i="3"/>
  <c r="J58" i="3"/>
  <c r="K38" i="3"/>
  <c r="O38" i="3"/>
  <c r="P38" i="3" s="1"/>
  <c r="J38" i="3"/>
  <c r="S328" i="2"/>
  <c r="R328" i="2"/>
  <c r="O64" i="3"/>
  <c r="J64" i="3"/>
  <c r="K64" i="3" s="1"/>
  <c r="J91" i="3"/>
  <c r="K91" i="3" s="1"/>
  <c r="O91" i="3"/>
  <c r="S14" i="2"/>
  <c r="R14" i="2"/>
  <c r="S461" i="2"/>
  <c r="R461" i="2"/>
  <c r="S258" i="2"/>
  <c r="R258" i="2"/>
  <c r="J87" i="3"/>
  <c r="K87" i="3" s="1"/>
  <c r="O87" i="3"/>
  <c r="P87" i="3" s="1"/>
  <c r="R51" i="2"/>
  <c r="S51" i="2"/>
  <c r="J75" i="3"/>
  <c r="K75" i="3" s="1"/>
  <c r="P75" i="3"/>
  <c r="O75" i="3"/>
  <c r="R242" i="2"/>
  <c r="S242" i="2"/>
  <c r="O81" i="3"/>
  <c r="K81" i="3"/>
  <c r="J81" i="3"/>
  <c r="S505" i="2"/>
  <c r="R505" i="2"/>
  <c r="O45" i="3"/>
  <c r="J45" i="3"/>
  <c r="K45" i="3" s="1"/>
  <c r="S170" i="2"/>
  <c r="R170" i="2"/>
  <c r="R256" i="2"/>
  <c r="S256" i="2"/>
  <c r="O69" i="3"/>
  <c r="P69" i="3"/>
  <c r="J69" i="3"/>
  <c r="K69" i="3" s="1"/>
  <c r="S497" i="2"/>
  <c r="R497" i="2"/>
  <c r="O40" i="3"/>
  <c r="P40" i="3" s="1"/>
  <c r="J40" i="3"/>
  <c r="K40" i="3"/>
  <c r="J30" i="3"/>
  <c r="K30" i="3" s="1"/>
  <c r="O30" i="3"/>
  <c r="S465" i="2"/>
  <c r="R465" i="2"/>
  <c r="R210" i="2"/>
  <c r="S210" i="2"/>
  <c r="O70" i="3"/>
  <c r="J70" i="3"/>
  <c r="K70" i="3" s="1"/>
  <c r="S293" i="2"/>
  <c r="R293" i="2"/>
  <c r="K47" i="3"/>
  <c r="P47" i="3"/>
  <c r="J47" i="3"/>
  <c r="O47" i="3"/>
  <c r="O85" i="3"/>
  <c r="P85" i="3"/>
  <c r="J85" i="3"/>
  <c r="K85" i="3" s="1"/>
  <c r="P35" i="3"/>
  <c r="O35" i="3"/>
  <c r="J35" i="3"/>
  <c r="K35" i="3" s="1"/>
  <c r="S469" i="2"/>
  <c r="R469" i="2"/>
  <c r="O77" i="3"/>
  <c r="J77" i="3"/>
  <c r="K77" i="3" s="1"/>
  <c r="P77" i="3"/>
  <c r="S124" i="2"/>
  <c r="R124" i="2"/>
  <c r="S274" i="2"/>
  <c r="R274" i="2"/>
  <c r="R400" i="2"/>
  <c r="S400" i="2"/>
  <c r="K17" i="3"/>
  <c r="O17" i="3"/>
  <c r="J17" i="3"/>
  <c r="S191" i="2"/>
  <c r="R191" i="2"/>
  <c r="O76" i="3"/>
  <c r="P76" i="3" s="1"/>
  <c r="J76" i="3"/>
  <c r="K76" i="3"/>
  <c r="S372" i="2"/>
  <c r="R372" i="2"/>
  <c r="J26" i="3"/>
  <c r="K26" i="3" s="1"/>
  <c r="O26" i="3"/>
  <c r="P26" i="3" s="1"/>
  <c r="R390" i="2"/>
  <c r="S390" i="2"/>
  <c r="S357" i="2"/>
  <c r="R357" i="2"/>
  <c r="R226" i="2"/>
  <c r="S226" i="2"/>
  <c r="O84" i="3"/>
  <c r="J84" i="3"/>
  <c r="K84" i="3"/>
  <c r="R63" i="2"/>
  <c r="S63" i="2"/>
  <c r="P50" i="3"/>
  <c r="O50" i="3"/>
  <c r="J50" i="3"/>
  <c r="K50" i="3" s="1"/>
  <c r="S94" i="2"/>
  <c r="R94" i="2"/>
  <c r="O15" i="3"/>
  <c r="K15" i="3"/>
  <c r="J15" i="3"/>
  <c r="P15" i="3"/>
  <c r="S90" i="2"/>
  <c r="R90" i="2"/>
  <c r="S474" i="2"/>
  <c r="R474" i="2"/>
  <c r="R238" i="2"/>
  <c r="S238" i="2"/>
  <c r="S289" i="2"/>
  <c r="R289" i="2"/>
  <c r="O68" i="3"/>
  <c r="P68" i="3" s="1"/>
  <c r="J68" i="3"/>
  <c r="K68" i="3" s="1"/>
  <c r="R416" i="2"/>
  <c r="S416" i="2"/>
  <c r="S167" i="2"/>
  <c r="R167" i="2"/>
  <c r="R406" i="2"/>
  <c r="S406" i="2"/>
  <c r="S275" i="2"/>
  <c r="R275" i="2"/>
  <c r="O8" i="3"/>
  <c r="P8" i="3" s="1"/>
  <c r="K8" i="3"/>
  <c r="J8" i="3"/>
  <c r="K34" i="3"/>
  <c r="J34" i="3"/>
  <c r="O34" i="3"/>
  <c r="P34" i="3" s="1"/>
  <c r="R99" i="2"/>
  <c r="S99" i="2"/>
  <c r="R28" i="2"/>
  <c r="S28" i="2"/>
  <c r="R447" i="2"/>
  <c r="S447" i="2"/>
  <c r="R364" i="2"/>
  <c r="S364" i="2"/>
  <c r="R443" i="2"/>
  <c r="S443" i="2"/>
  <c r="Q77" i="3" l="1"/>
  <c r="AA77" i="3" s="1"/>
  <c r="Q51" i="3"/>
  <c r="AA51" i="3" s="1"/>
  <c r="Q95" i="3"/>
  <c r="AA95" i="3" s="1"/>
  <c r="Q94" i="3"/>
  <c r="AA94" i="3" s="1"/>
  <c r="Q9" i="3"/>
  <c r="AA9" i="3" s="1"/>
  <c r="Q33" i="3"/>
  <c r="AA33" i="3" s="1"/>
  <c r="Q62" i="3"/>
  <c r="AA62" i="3" s="1"/>
  <c r="Q14" i="3"/>
  <c r="AA14" i="3" s="1"/>
  <c r="Q87" i="3"/>
  <c r="AA87" i="3" s="1"/>
  <c r="Q16" i="3"/>
  <c r="AA16" i="3" s="1"/>
  <c r="Q79" i="3"/>
  <c r="AA79" i="3" s="1"/>
  <c r="Q49" i="3"/>
  <c r="AA49" i="3" s="1"/>
  <c r="Q35" i="3"/>
  <c r="AA35" i="3" s="1"/>
  <c r="Q64" i="3"/>
  <c r="AA64" i="3" s="1"/>
  <c r="Q11" i="3"/>
  <c r="AA11" i="3" s="1"/>
  <c r="Q57" i="3"/>
  <c r="AA57" i="3" s="1"/>
  <c r="Q82" i="3"/>
  <c r="AA82" i="3" s="1"/>
  <c r="Q69" i="3"/>
  <c r="AA69" i="3" s="1"/>
  <c r="Q107" i="3"/>
  <c r="AA107" i="3" s="1"/>
  <c r="Q36" i="3"/>
  <c r="AA36" i="3" s="1"/>
  <c r="Q26" i="3"/>
  <c r="AA26" i="3" s="1"/>
  <c r="Q25" i="3"/>
  <c r="AA25" i="3" s="1"/>
  <c r="Q86" i="3"/>
  <c r="AA86" i="3" s="1"/>
  <c r="Q92" i="3"/>
  <c r="AA92" i="3" s="1"/>
  <c r="Q93" i="3"/>
  <c r="AA93" i="3" s="1"/>
  <c r="Q106" i="3"/>
  <c r="AA106" i="3" s="1"/>
  <c r="Q68" i="3"/>
  <c r="AA68" i="3" s="1"/>
  <c r="Q50" i="3"/>
  <c r="AA50" i="3" s="1"/>
  <c r="Q85" i="3"/>
  <c r="AA85" i="3" s="1"/>
  <c r="Q75" i="3"/>
  <c r="AA75" i="3" s="1"/>
  <c r="Q83" i="3"/>
  <c r="AA83" i="3" s="1"/>
  <c r="Q13" i="3"/>
  <c r="AA13" i="3" s="1"/>
  <c r="Q66" i="3"/>
  <c r="AA66" i="3" s="1"/>
  <c r="Q39" i="3"/>
  <c r="AA39" i="3" s="1"/>
  <c r="V104" i="3"/>
  <c r="R104" i="3"/>
  <c r="V105" i="3"/>
  <c r="R105" i="3"/>
  <c r="Q42" i="3"/>
  <c r="AA42" i="3" s="1"/>
  <c r="Q72" i="3"/>
  <c r="AA72" i="3" s="1"/>
  <c r="V9" i="3"/>
  <c r="R9" i="3"/>
  <c r="Q46" i="3"/>
  <c r="AA46" i="3" s="1"/>
  <c r="Q34" i="3"/>
  <c r="AA34" i="3" s="1"/>
  <c r="V35" i="3"/>
  <c r="R35" i="3"/>
  <c r="V70" i="3"/>
  <c r="R70" i="3"/>
  <c r="R64" i="3"/>
  <c r="V64" i="3"/>
  <c r="R83" i="3"/>
  <c r="V83" i="3"/>
  <c r="V73" i="3"/>
  <c r="R73" i="3"/>
  <c r="V55" i="3"/>
  <c r="R55" i="3"/>
  <c r="R48" i="3"/>
  <c r="V48" i="3"/>
  <c r="V96" i="3"/>
  <c r="R96" i="3"/>
  <c r="V88" i="3"/>
  <c r="R88" i="3"/>
  <c r="R32" i="3"/>
  <c r="V32" i="3"/>
  <c r="R18" i="3"/>
  <c r="V18" i="3"/>
  <c r="R98" i="3"/>
  <c r="V98" i="3"/>
  <c r="Q100" i="3"/>
  <c r="AA100" i="3" s="1"/>
  <c r="R51" i="3"/>
  <c r="V51" i="3"/>
  <c r="R80" i="3"/>
  <c r="V80" i="3"/>
  <c r="V21" i="3"/>
  <c r="R21" i="3"/>
  <c r="R84" i="3"/>
  <c r="V84" i="3"/>
  <c r="V89" i="3"/>
  <c r="R89" i="3"/>
  <c r="Q67" i="3"/>
  <c r="AA67" i="3" s="1"/>
  <c r="Q102" i="3"/>
  <c r="AA102" i="3" s="1"/>
  <c r="V61" i="3"/>
  <c r="R61" i="3"/>
  <c r="R41" i="3"/>
  <c r="V41" i="3"/>
  <c r="V29" i="3"/>
  <c r="R29" i="3"/>
  <c r="Q21" i="3"/>
  <c r="AA21" i="3" s="1"/>
  <c r="P70" i="3"/>
  <c r="Q40" i="3"/>
  <c r="AA40" i="3" s="1"/>
  <c r="V45" i="3"/>
  <c r="R45" i="3"/>
  <c r="Q38" i="3"/>
  <c r="AA38" i="3" s="1"/>
  <c r="R44" i="3"/>
  <c r="V44" i="3"/>
  <c r="Q56" i="3"/>
  <c r="AA56" i="3" s="1"/>
  <c r="P89" i="3"/>
  <c r="R19" i="3"/>
  <c r="V19" i="3"/>
  <c r="R107" i="3"/>
  <c r="V107" i="3"/>
  <c r="R11" i="3"/>
  <c r="V11" i="3"/>
  <c r="R79" i="3"/>
  <c r="V79" i="3"/>
  <c r="P88" i="3"/>
  <c r="P105" i="3"/>
  <c r="R14" i="3"/>
  <c r="V14" i="3"/>
  <c r="P9" i="3"/>
  <c r="P29" i="3"/>
  <c r="R60" i="3"/>
  <c r="V60" i="3"/>
  <c r="R27" i="3"/>
  <c r="V27" i="3"/>
  <c r="V43" i="3"/>
  <c r="R43" i="3"/>
  <c r="R33" i="3"/>
  <c r="V33" i="3"/>
  <c r="V38" i="3"/>
  <c r="R38" i="3"/>
  <c r="Q76" i="3"/>
  <c r="AA76" i="3" s="1"/>
  <c r="Q47" i="3"/>
  <c r="AA47" i="3" s="1"/>
  <c r="V81" i="3"/>
  <c r="R81" i="3"/>
  <c r="Q97" i="3"/>
  <c r="AA97" i="3" s="1"/>
  <c r="R103" i="3"/>
  <c r="V103" i="3"/>
  <c r="R23" i="3"/>
  <c r="V23" i="3"/>
  <c r="V82" i="3"/>
  <c r="R82" i="3"/>
  <c r="P84" i="3"/>
  <c r="V17" i="3"/>
  <c r="R17" i="3"/>
  <c r="V77" i="3"/>
  <c r="R77" i="3"/>
  <c r="V85" i="3"/>
  <c r="R85" i="3"/>
  <c r="V30" i="3"/>
  <c r="R30" i="3"/>
  <c r="P19" i="3"/>
  <c r="P55" i="3"/>
  <c r="Q55" i="3" s="1"/>
  <c r="AA55" i="3" s="1"/>
  <c r="P48" i="3"/>
  <c r="P79" i="3"/>
  <c r="R59" i="3"/>
  <c r="V59" i="3"/>
  <c r="R36" i="3"/>
  <c r="V36" i="3"/>
  <c r="R106" i="3"/>
  <c r="V106" i="3"/>
  <c r="V65" i="3"/>
  <c r="R65" i="3"/>
  <c r="R22" i="3"/>
  <c r="V22" i="3"/>
  <c r="V74" i="3"/>
  <c r="R74" i="3"/>
  <c r="P27" i="3"/>
  <c r="P43" i="3"/>
  <c r="Q43" i="3" s="1"/>
  <c r="AA43" i="3" s="1"/>
  <c r="P80" i="3"/>
  <c r="Q80" i="3" s="1"/>
  <c r="AA80" i="3" s="1"/>
  <c r="V8" i="3"/>
  <c r="R8" i="3"/>
  <c r="Q19" i="3"/>
  <c r="AA19" i="3" s="1"/>
  <c r="Q90" i="3"/>
  <c r="AA90" i="3" s="1"/>
  <c r="R102" i="3"/>
  <c r="V102" i="3"/>
  <c r="V24" i="3"/>
  <c r="R24" i="3"/>
  <c r="V12" i="3"/>
  <c r="R12" i="3"/>
  <c r="V78" i="3"/>
  <c r="R78" i="3"/>
  <c r="R31" i="3"/>
  <c r="V31" i="3"/>
  <c r="V34" i="3"/>
  <c r="R34" i="3"/>
  <c r="Q15" i="3"/>
  <c r="AA15" i="3" s="1"/>
  <c r="V50" i="3"/>
  <c r="R50" i="3"/>
  <c r="P30" i="3"/>
  <c r="R56" i="3"/>
  <c r="V56" i="3"/>
  <c r="R99" i="3"/>
  <c r="V99" i="3"/>
  <c r="V13" i="3"/>
  <c r="R13" i="3"/>
  <c r="R71" i="3"/>
  <c r="V71" i="3"/>
  <c r="P96" i="3"/>
  <c r="Q96" i="3" s="1"/>
  <c r="AA96" i="3" s="1"/>
  <c r="P102" i="3"/>
  <c r="V28" i="3"/>
  <c r="R28" i="3"/>
  <c r="P103" i="3"/>
  <c r="P23" i="3"/>
  <c r="P32" i="3"/>
  <c r="Q32" i="3" s="1"/>
  <c r="AA32" i="3" s="1"/>
  <c r="Q105" i="3"/>
  <c r="AA105" i="3" s="1"/>
  <c r="V57" i="3"/>
  <c r="R57" i="3"/>
  <c r="V42" i="3"/>
  <c r="R42" i="3"/>
  <c r="P61" i="3"/>
  <c r="P82" i="3"/>
  <c r="R72" i="3"/>
  <c r="V72" i="3"/>
  <c r="R63" i="3"/>
  <c r="V63" i="3"/>
  <c r="P78" i="3"/>
  <c r="V101" i="3"/>
  <c r="R101" i="3"/>
  <c r="P60" i="3"/>
  <c r="P31" i="3"/>
  <c r="Q31" i="3" s="1"/>
  <c r="AA31" i="3" s="1"/>
  <c r="V62" i="3"/>
  <c r="R62" i="3"/>
  <c r="V20" i="3"/>
  <c r="R20" i="3"/>
  <c r="Q53" i="3"/>
  <c r="AA53" i="3" s="1"/>
  <c r="Q61" i="3"/>
  <c r="AA61" i="3" s="1"/>
  <c r="V100" i="3"/>
  <c r="R100" i="3"/>
  <c r="Q8" i="3"/>
  <c r="AA8" i="3" s="1"/>
  <c r="Q84" i="3"/>
  <c r="AA84" i="3" s="1"/>
  <c r="R76" i="3"/>
  <c r="V76" i="3"/>
  <c r="V47" i="3"/>
  <c r="R47" i="3"/>
  <c r="R40" i="3"/>
  <c r="V40" i="3"/>
  <c r="P45" i="3"/>
  <c r="R91" i="3"/>
  <c r="V91" i="3"/>
  <c r="P64" i="3"/>
  <c r="V58" i="3"/>
  <c r="R58" i="3"/>
  <c r="P44" i="3"/>
  <c r="R95" i="3"/>
  <c r="V95" i="3"/>
  <c r="R10" i="3"/>
  <c r="V10" i="3"/>
  <c r="V25" i="3"/>
  <c r="R25" i="3"/>
  <c r="P20" i="3"/>
  <c r="Q20" i="3" s="1"/>
  <c r="AA20" i="3" s="1"/>
  <c r="P99" i="3"/>
  <c r="P73" i="3"/>
  <c r="V97" i="3"/>
  <c r="R97" i="3"/>
  <c r="R53" i="3"/>
  <c r="V53" i="3"/>
  <c r="V66" i="3"/>
  <c r="R66" i="3"/>
  <c r="P24" i="3"/>
  <c r="P59" i="3"/>
  <c r="P12" i="3"/>
  <c r="Q12" i="3" s="1"/>
  <c r="AA12" i="3" s="1"/>
  <c r="V54" i="3"/>
  <c r="R54" i="3"/>
  <c r="P106" i="3"/>
  <c r="V92" i="3"/>
  <c r="R92" i="3"/>
  <c r="Q52" i="3"/>
  <c r="AA52" i="3" s="1"/>
  <c r="P63" i="3"/>
  <c r="Q63" i="3" s="1"/>
  <c r="AA63" i="3" s="1"/>
  <c r="V93" i="3"/>
  <c r="R93" i="3"/>
  <c r="P22" i="3"/>
  <c r="Q18" i="3"/>
  <c r="AA18" i="3" s="1"/>
  <c r="Q98" i="3"/>
  <c r="AA98" i="3" s="1"/>
  <c r="Q29" i="3"/>
  <c r="AA29" i="3" s="1"/>
  <c r="V37" i="3"/>
  <c r="R37" i="3"/>
  <c r="R26" i="3"/>
  <c r="V26" i="3"/>
  <c r="R87" i="3"/>
  <c r="V87" i="3"/>
  <c r="Q10" i="3"/>
  <c r="AA10" i="3" s="1"/>
  <c r="P104" i="3"/>
  <c r="Q104" i="3" s="1"/>
  <c r="AA104" i="3" s="1"/>
  <c r="R67" i="3"/>
  <c r="V67" i="3"/>
  <c r="Q28" i="3"/>
  <c r="AA28" i="3" s="1"/>
  <c r="R52" i="3"/>
  <c r="V52" i="3"/>
  <c r="V49" i="3"/>
  <c r="R49" i="3"/>
  <c r="V46" i="3"/>
  <c r="R46" i="3"/>
  <c r="Q37" i="3"/>
  <c r="AA37" i="3" s="1"/>
  <c r="R68" i="3"/>
  <c r="V68" i="3"/>
  <c r="R15" i="3"/>
  <c r="V15" i="3"/>
  <c r="P17" i="3"/>
  <c r="Q17" i="3" s="1"/>
  <c r="AA17" i="3" s="1"/>
  <c r="V69" i="3"/>
  <c r="R69" i="3"/>
  <c r="P81" i="3"/>
  <c r="R75" i="3"/>
  <c r="V75" i="3"/>
  <c r="P91" i="3"/>
  <c r="P58" i="3"/>
  <c r="V16" i="3"/>
  <c r="R16" i="3"/>
  <c r="R90" i="3"/>
  <c r="V90" i="3"/>
  <c r="R94" i="3"/>
  <c r="V94" i="3"/>
  <c r="P13" i="3"/>
  <c r="P71" i="3"/>
  <c r="V86" i="3"/>
  <c r="R86" i="3"/>
  <c r="P54" i="3"/>
  <c r="P65" i="3"/>
  <c r="V39" i="3"/>
  <c r="R39" i="3"/>
  <c r="P41" i="3"/>
  <c r="P101" i="3"/>
  <c r="P74" i="3"/>
  <c r="P100" i="3"/>
  <c r="Y88" i="3" l="1"/>
  <c r="Z88" i="3" s="1"/>
  <c r="T93" i="3"/>
  <c r="S93" i="3"/>
  <c r="U93" i="3" s="1"/>
  <c r="Y93" i="3" s="1"/>
  <c r="Z93" i="3" s="1"/>
  <c r="X32" i="3"/>
  <c r="Y32" i="3" s="1"/>
  <c r="Z32" i="3" s="1"/>
  <c r="W32" i="3"/>
  <c r="T15" i="3"/>
  <c r="S15" i="3"/>
  <c r="U15" i="3" s="1"/>
  <c r="T91" i="3"/>
  <c r="S91" i="3"/>
  <c r="U91" i="3" s="1"/>
  <c r="Y91" i="3" s="1"/>
  <c r="Z91" i="3" s="1"/>
  <c r="T27" i="3"/>
  <c r="S27" i="3"/>
  <c r="U27" i="3" s="1"/>
  <c r="Y27" i="3" s="1"/>
  <c r="Z27" i="3" s="1"/>
  <c r="X29" i="3"/>
  <c r="W29" i="3"/>
  <c r="T32" i="3"/>
  <c r="S32" i="3"/>
  <c r="U32" i="3" s="1"/>
  <c r="T39" i="3"/>
  <c r="S39" i="3"/>
  <c r="U39" i="3" s="1"/>
  <c r="X94" i="3"/>
  <c r="W94" i="3"/>
  <c r="X75" i="3"/>
  <c r="W75" i="3"/>
  <c r="W68" i="3"/>
  <c r="X68" i="3"/>
  <c r="X52" i="3"/>
  <c r="W52" i="3"/>
  <c r="W97" i="3"/>
  <c r="X97" i="3"/>
  <c r="W95" i="3"/>
  <c r="X95" i="3"/>
  <c r="T76" i="3"/>
  <c r="S76" i="3"/>
  <c r="T71" i="3"/>
  <c r="S71" i="3"/>
  <c r="U71" i="3" s="1"/>
  <c r="Y71" i="3" s="1"/>
  <c r="Z71" i="3" s="1"/>
  <c r="T50" i="3"/>
  <c r="S50" i="3"/>
  <c r="T78" i="3"/>
  <c r="S78" i="3"/>
  <c r="U78" i="3" s="1"/>
  <c r="Y78" i="3" s="1"/>
  <c r="Z78" i="3" s="1"/>
  <c r="T106" i="3"/>
  <c r="S106" i="3"/>
  <c r="U106" i="3" s="1"/>
  <c r="X17" i="3"/>
  <c r="W17" i="3"/>
  <c r="T38" i="3"/>
  <c r="S38" i="3"/>
  <c r="W60" i="3"/>
  <c r="X60" i="3"/>
  <c r="X79" i="3"/>
  <c r="W79" i="3"/>
  <c r="W45" i="3"/>
  <c r="X45" i="3"/>
  <c r="X41" i="3"/>
  <c r="W41" i="3"/>
  <c r="T21" i="3"/>
  <c r="S21" i="3"/>
  <c r="U21" i="3" s="1"/>
  <c r="X98" i="3"/>
  <c r="W98" i="3"/>
  <c r="T88" i="3"/>
  <c r="S88" i="3"/>
  <c r="U88" i="3" s="1"/>
  <c r="T73" i="3"/>
  <c r="S73" i="3"/>
  <c r="Q81" i="3"/>
  <c r="AA81" i="3" s="1"/>
  <c r="T105" i="3"/>
  <c r="S105" i="3"/>
  <c r="U105" i="3" s="1"/>
  <c r="Y105" i="3" s="1"/>
  <c r="Z105" i="3" s="1"/>
  <c r="Q27" i="3"/>
  <c r="AA27" i="3" s="1"/>
  <c r="Q54" i="3"/>
  <c r="AA54" i="3" s="1"/>
  <c r="Q60" i="3"/>
  <c r="AA60" i="3" s="1"/>
  <c r="Y20" i="3"/>
  <c r="Z20" i="3" s="1"/>
  <c r="Q45" i="3"/>
  <c r="AA45" i="3" s="1"/>
  <c r="Q22" i="3"/>
  <c r="AA22" i="3" s="1"/>
  <c r="Q99" i="3"/>
  <c r="AA99" i="3" s="1"/>
  <c r="Q73" i="3"/>
  <c r="AA73" i="3" s="1"/>
  <c r="T49" i="3"/>
  <c r="S49" i="3"/>
  <c r="U49" i="3" s="1"/>
  <c r="W10" i="3"/>
  <c r="X10" i="3"/>
  <c r="W62" i="3"/>
  <c r="X62" i="3"/>
  <c r="X31" i="3"/>
  <c r="W31" i="3"/>
  <c r="X77" i="3"/>
  <c r="W77" i="3"/>
  <c r="W93" i="3"/>
  <c r="X93" i="3"/>
  <c r="T72" i="3"/>
  <c r="S72" i="3"/>
  <c r="U72" i="3" s="1"/>
  <c r="T19" i="3"/>
  <c r="S19" i="3"/>
  <c r="U19" i="3" s="1"/>
  <c r="Y19" i="3" s="1"/>
  <c r="Z19" i="3" s="1"/>
  <c r="W39" i="3"/>
  <c r="X39" i="3"/>
  <c r="T94" i="3"/>
  <c r="S94" i="3"/>
  <c r="U94" i="3" s="1"/>
  <c r="T75" i="3"/>
  <c r="S75" i="3"/>
  <c r="U75" i="3" s="1"/>
  <c r="Y75" i="3" s="1"/>
  <c r="Z75" i="3" s="1"/>
  <c r="T68" i="3"/>
  <c r="S68" i="3"/>
  <c r="U68" i="3" s="1"/>
  <c r="Y68" i="3" s="1"/>
  <c r="Z68" i="3" s="1"/>
  <c r="T52" i="3"/>
  <c r="S52" i="3"/>
  <c r="U52" i="3" s="1"/>
  <c r="Y52" i="3" s="1"/>
  <c r="Z52" i="3" s="1"/>
  <c r="W87" i="3"/>
  <c r="X87" i="3"/>
  <c r="T95" i="3"/>
  <c r="S95" i="3"/>
  <c r="U95" i="3" s="1"/>
  <c r="Y95" i="3" s="1"/>
  <c r="Z95" i="3" s="1"/>
  <c r="W40" i="3"/>
  <c r="X40" i="3"/>
  <c r="T101" i="3"/>
  <c r="S101" i="3"/>
  <c r="U101" i="3" s="1"/>
  <c r="Y101" i="3" s="1"/>
  <c r="Z101" i="3" s="1"/>
  <c r="T13" i="3"/>
  <c r="S13" i="3"/>
  <c r="U13" i="3" s="1"/>
  <c r="Y13" i="3" s="1"/>
  <c r="Z13" i="3" s="1"/>
  <c r="W50" i="3"/>
  <c r="X50" i="3"/>
  <c r="X78" i="3"/>
  <c r="W78" i="3"/>
  <c r="T74" i="3"/>
  <c r="S74" i="3"/>
  <c r="U74" i="3" s="1"/>
  <c r="Y74" i="3" s="1"/>
  <c r="Z74" i="3" s="1"/>
  <c r="W36" i="3"/>
  <c r="X36" i="3"/>
  <c r="T30" i="3"/>
  <c r="S30" i="3"/>
  <c r="U30" i="3" s="1"/>
  <c r="Y30" i="3" s="1"/>
  <c r="Z30" i="3" s="1"/>
  <c r="X38" i="3"/>
  <c r="W38" i="3"/>
  <c r="T60" i="3"/>
  <c r="S60" i="3"/>
  <c r="U60" i="3" s="1"/>
  <c r="Y60" i="3" s="1"/>
  <c r="Z60" i="3" s="1"/>
  <c r="T79" i="3"/>
  <c r="S79" i="3"/>
  <c r="U79" i="3" s="1"/>
  <c r="Y79" i="3" s="1"/>
  <c r="Z79" i="3" s="1"/>
  <c r="T41" i="3"/>
  <c r="S41" i="3"/>
  <c r="U41" i="3" s="1"/>
  <c r="Y41" i="3" s="1"/>
  <c r="Z41" i="3" s="1"/>
  <c r="X21" i="3"/>
  <c r="W21" i="3"/>
  <c r="T98" i="3"/>
  <c r="S98" i="3"/>
  <c r="U98" i="3" s="1"/>
  <c r="Y98" i="3" s="1"/>
  <c r="Z98" i="3" s="1"/>
  <c r="W88" i="3"/>
  <c r="X88" i="3"/>
  <c r="X73" i="3"/>
  <c r="W73" i="3"/>
  <c r="X105" i="3"/>
  <c r="W105" i="3"/>
  <c r="T54" i="3"/>
  <c r="S54" i="3"/>
  <c r="U54" i="3" s="1"/>
  <c r="Y54" i="3" s="1"/>
  <c r="Z54" i="3" s="1"/>
  <c r="W72" i="3"/>
  <c r="X72" i="3"/>
  <c r="W19" i="3"/>
  <c r="X19" i="3"/>
  <c r="T55" i="3"/>
  <c r="S55" i="3"/>
  <c r="T10" i="3"/>
  <c r="S10" i="3"/>
  <c r="U10" i="3" s="1"/>
  <c r="Y10" i="3" s="1"/>
  <c r="Z10" i="3" s="1"/>
  <c r="T84" i="3"/>
  <c r="S84" i="3"/>
  <c r="U84" i="3" s="1"/>
  <c r="X55" i="3"/>
  <c r="W55" i="3"/>
  <c r="W90" i="3"/>
  <c r="X90" i="3"/>
  <c r="T87" i="3"/>
  <c r="S87" i="3"/>
  <c r="U87" i="3" s="1"/>
  <c r="Y87" i="3" s="1"/>
  <c r="Z87" i="3" s="1"/>
  <c r="T40" i="3"/>
  <c r="S40" i="3"/>
  <c r="U40" i="3" s="1"/>
  <c r="W101" i="3"/>
  <c r="X101" i="3"/>
  <c r="T42" i="3"/>
  <c r="S42" i="3"/>
  <c r="W13" i="3"/>
  <c r="X13" i="3"/>
  <c r="T12" i="3"/>
  <c r="S12" i="3"/>
  <c r="U12" i="3" s="1"/>
  <c r="W74" i="3"/>
  <c r="X74" i="3"/>
  <c r="T36" i="3"/>
  <c r="S36" i="3"/>
  <c r="X30" i="3"/>
  <c r="W30" i="3"/>
  <c r="T82" i="3"/>
  <c r="S82" i="3"/>
  <c r="U82" i="3" s="1"/>
  <c r="T81" i="3"/>
  <c r="S81" i="3"/>
  <c r="U81" i="3" s="1"/>
  <c r="Y81" i="3" s="1"/>
  <c r="Z81" i="3" s="1"/>
  <c r="X33" i="3"/>
  <c r="W33" i="3"/>
  <c r="X11" i="3"/>
  <c r="W11" i="3"/>
  <c r="T61" i="3"/>
  <c r="S61" i="3"/>
  <c r="U61" i="3" s="1"/>
  <c r="T89" i="3"/>
  <c r="S89" i="3"/>
  <c r="U89" i="3" s="1"/>
  <c r="Y89" i="3" s="1"/>
  <c r="Z89" i="3" s="1"/>
  <c r="X80" i="3"/>
  <c r="W80" i="3"/>
  <c r="Q74" i="3"/>
  <c r="AA74" i="3" s="1"/>
  <c r="T96" i="3"/>
  <c r="S96" i="3"/>
  <c r="X83" i="3"/>
  <c r="W83" i="3"/>
  <c r="T70" i="3"/>
  <c r="S70" i="3"/>
  <c r="U70" i="3" s="1"/>
  <c r="Y70" i="3" s="1"/>
  <c r="Z70" i="3" s="1"/>
  <c r="T9" i="3"/>
  <c r="S9" i="3"/>
  <c r="U9" i="3" s="1"/>
  <c r="Q103" i="3"/>
  <c r="AA103" i="3" s="1"/>
  <c r="Q101" i="3"/>
  <c r="AA101" i="3" s="1"/>
  <c r="Q41" i="3"/>
  <c r="AA41" i="3" s="1"/>
  <c r="Y12" i="3"/>
  <c r="Z12" i="3" s="1"/>
  <c r="Q23" i="3"/>
  <c r="AA23" i="3" s="1"/>
  <c r="W27" i="3"/>
  <c r="X27" i="3"/>
  <c r="X84" i="3"/>
  <c r="W84" i="3"/>
  <c r="W71" i="3"/>
  <c r="X71" i="3"/>
  <c r="X106" i="3"/>
  <c r="W106" i="3"/>
  <c r="T103" i="3"/>
  <c r="S103" i="3"/>
  <c r="U103" i="3" s="1"/>
  <c r="Y103" i="3" s="1"/>
  <c r="Z103" i="3" s="1"/>
  <c r="T45" i="3"/>
  <c r="S45" i="3"/>
  <c r="T64" i="3"/>
  <c r="S64" i="3"/>
  <c r="U64" i="3" s="1"/>
  <c r="T90" i="3"/>
  <c r="S90" i="3"/>
  <c r="U90" i="3" s="1"/>
  <c r="Y90" i="3" s="1"/>
  <c r="Z90" i="3" s="1"/>
  <c r="T69" i="3"/>
  <c r="S69" i="3"/>
  <c r="U69" i="3" s="1"/>
  <c r="X26" i="3"/>
  <c r="W26" i="3"/>
  <c r="T92" i="3"/>
  <c r="S92" i="3"/>
  <c r="U92" i="3" s="1"/>
  <c r="Y92" i="3" s="1"/>
  <c r="Z92" i="3" s="1"/>
  <c r="T66" i="3"/>
  <c r="S66" i="3"/>
  <c r="U66" i="3" s="1"/>
  <c r="Y66" i="3" s="1"/>
  <c r="Z66" i="3" s="1"/>
  <c r="T58" i="3"/>
  <c r="S58" i="3"/>
  <c r="U58" i="3" s="1"/>
  <c r="Y58" i="3" s="1"/>
  <c r="Z58" i="3" s="1"/>
  <c r="T47" i="3"/>
  <c r="S47" i="3"/>
  <c r="T20" i="3"/>
  <c r="S20" i="3"/>
  <c r="U20" i="3" s="1"/>
  <c r="X42" i="3"/>
  <c r="W42" i="3"/>
  <c r="T28" i="3"/>
  <c r="S28" i="3"/>
  <c r="U28" i="3" s="1"/>
  <c r="Y28" i="3" s="1"/>
  <c r="Z28" i="3" s="1"/>
  <c r="X99" i="3"/>
  <c r="W99" i="3"/>
  <c r="X12" i="3"/>
  <c r="W12" i="3"/>
  <c r="X22" i="3"/>
  <c r="W22" i="3"/>
  <c r="X59" i="3"/>
  <c r="W59" i="3"/>
  <c r="T85" i="3"/>
  <c r="S85" i="3"/>
  <c r="X82" i="3"/>
  <c r="W82" i="3"/>
  <c r="W81" i="3"/>
  <c r="X81" i="3"/>
  <c r="T33" i="3"/>
  <c r="S33" i="3"/>
  <c r="U33" i="3" s="1"/>
  <c r="Y33" i="3" s="1"/>
  <c r="Z33" i="3" s="1"/>
  <c r="T11" i="3"/>
  <c r="S11" i="3"/>
  <c r="X44" i="3"/>
  <c r="W44" i="3"/>
  <c r="X61" i="3"/>
  <c r="W61" i="3"/>
  <c r="X89" i="3"/>
  <c r="W89" i="3"/>
  <c r="T80" i="3"/>
  <c r="S80" i="3"/>
  <c r="X96" i="3"/>
  <c r="W96" i="3"/>
  <c r="T83" i="3"/>
  <c r="S83" i="3"/>
  <c r="U83" i="3" s="1"/>
  <c r="Y83" i="3" s="1"/>
  <c r="Z83" i="3" s="1"/>
  <c r="W70" i="3"/>
  <c r="X70" i="3"/>
  <c r="X9" i="3"/>
  <c r="W9" i="3"/>
  <c r="W37" i="3"/>
  <c r="X37" i="3"/>
  <c r="X91" i="3"/>
  <c r="W91" i="3"/>
  <c r="W100" i="3"/>
  <c r="X100" i="3"/>
  <c r="T56" i="3"/>
  <c r="S56" i="3"/>
  <c r="W65" i="3"/>
  <c r="X65" i="3"/>
  <c r="T97" i="3"/>
  <c r="S97" i="3"/>
  <c r="U97" i="3" s="1"/>
  <c r="Y97" i="3" s="1"/>
  <c r="Z97" i="3" s="1"/>
  <c r="W76" i="3"/>
  <c r="X76" i="3"/>
  <c r="T102" i="3"/>
  <c r="S102" i="3"/>
  <c r="T17" i="3"/>
  <c r="S17" i="3"/>
  <c r="U17" i="3" s="1"/>
  <c r="Y17" i="3" s="1"/>
  <c r="Z17" i="3" s="1"/>
  <c r="T86" i="3"/>
  <c r="S86" i="3"/>
  <c r="U86" i="3" s="1"/>
  <c r="Y86" i="3" s="1"/>
  <c r="Z86" i="3" s="1"/>
  <c r="T16" i="3"/>
  <c r="S16" i="3"/>
  <c r="U16" i="3" s="1"/>
  <c r="X69" i="3"/>
  <c r="W69" i="3"/>
  <c r="T46" i="3"/>
  <c r="S46" i="3"/>
  <c r="U46" i="3" s="1"/>
  <c r="Y46" i="3" s="1"/>
  <c r="Z46" i="3" s="1"/>
  <c r="X67" i="3"/>
  <c r="W67" i="3"/>
  <c r="T26" i="3"/>
  <c r="S26" i="3"/>
  <c r="U26" i="3" s="1"/>
  <c r="W92" i="3"/>
  <c r="X92" i="3"/>
  <c r="W66" i="3"/>
  <c r="X66" i="3"/>
  <c r="T25" i="3"/>
  <c r="S25" i="3"/>
  <c r="U25" i="3" s="1"/>
  <c r="Y25" i="3" s="1"/>
  <c r="Z25" i="3" s="1"/>
  <c r="X58" i="3"/>
  <c r="W58" i="3"/>
  <c r="W47" i="3"/>
  <c r="X47" i="3"/>
  <c r="X20" i="3"/>
  <c r="W20" i="3"/>
  <c r="X63" i="3"/>
  <c r="W63" i="3"/>
  <c r="T57" i="3"/>
  <c r="S57" i="3"/>
  <c r="U57" i="3" s="1"/>
  <c r="Y57" i="3" s="1"/>
  <c r="Z57" i="3" s="1"/>
  <c r="W28" i="3"/>
  <c r="X28" i="3"/>
  <c r="T99" i="3"/>
  <c r="S99" i="3"/>
  <c r="U99" i="3" s="1"/>
  <c r="Y99" i="3" s="1"/>
  <c r="Z99" i="3" s="1"/>
  <c r="T34" i="3"/>
  <c r="S34" i="3"/>
  <c r="U34" i="3" s="1"/>
  <c r="Y34" i="3" s="1"/>
  <c r="Z34" i="3" s="1"/>
  <c r="T24" i="3"/>
  <c r="S24" i="3"/>
  <c r="U24" i="3" s="1"/>
  <c r="Y24" i="3" s="1"/>
  <c r="Z24" i="3" s="1"/>
  <c r="T8" i="3"/>
  <c r="S8" i="3"/>
  <c r="T22" i="3"/>
  <c r="S22" i="3"/>
  <c r="U22" i="3" s="1"/>
  <c r="Y22" i="3" s="1"/>
  <c r="Z22" i="3" s="1"/>
  <c r="T59" i="3"/>
  <c r="S59" i="3"/>
  <c r="U59" i="3" s="1"/>
  <c r="Y59" i="3" s="1"/>
  <c r="Z59" i="3" s="1"/>
  <c r="X85" i="3"/>
  <c r="W85" i="3"/>
  <c r="W23" i="3"/>
  <c r="X23" i="3"/>
  <c r="T43" i="3"/>
  <c r="S43" i="3"/>
  <c r="U43" i="3" s="1"/>
  <c r="Y43" i="3" s="1"/>
  <c r="Z43" i="3" s="1"/>
  <c r="X14" i="3"/>
  <c r="W14" i="3"/>
  <c r="X107" i="3"/>
  <c r="W107" i="3"/>
  <c r="T44" i="3"/>
  <c r="S44" i="3"/>
  <c r="Q88" i="3"/>
  <c r="AA88" i="3" s="1"/>
  <c r="Q44" i="3"/>
  <c r="AA44" i="3" s="1"/>
  <c r="X51" i="3"/>
  <c r="W51" i="3"/>
  <c r="X18" i="3"/>
  <c r="W18" i="3"/>
  <c r="X48" i="3"/>
  <c r="W48" i="3"/>
  <c r="Q58" i="3"/>
  <c r="AA58" i="3" s="1"/>
  <c r="T35" i="3"/>
  <c r="S35" i="3"/>
  <c r="T104" i="3"/>
  <c r="S104" i="3"/>
  <c r="Q48" i="3"/>
  <c r="AA48" i="3" s="1"/>
  <c r="Q30" i="3"/>
  <c r="AA30" i="3" s="1"/>
  <c r="Q89" i="3"/>
  <c r="AA89" i="3" s="1"/>
  <c r="Q24" i="3"/>
  <c r="AA24" i="3" s="1"/>
  <c r="Q78" i="3"/>
  <c r="AA78" i="3" s="1"/>
  <c r="Q65" i="3"/>
  <c r="AA65" i="3" s="1"/>
  <c r="Q71" i="3"/>
  <c r="AA71" i="3" s="1"/>
  <c r="Q70" i="3"/>
  <c r="AA70" i="3" s="1"/>
  <c r="Q59" i="3"/>
  <c r="AA59" i="3" s="1"/>
  <c r="Q91" i="3"/>
  <c r="AA91" i="3" s="1"/>
  <c r="W15" i="3"/>
  <c r="X15" i="3"/>
  <c r="T53" i="3"/>
  <c r="S53" i="3"/>
  <c r="X102" i="3"/>
  <c r="W102" i="3"/>
  <c r="X103" i="3"/>
  <c r="W103" i="3"/>
  <c r="T29" i="3"/>
  <c r="S29" i="3"/>
  <c r="X64" i="3"/>
  <c r="W64" i="3"/>
  <c r="W49" i="3"/>
  <c r="X49" i="3"/>
  <c r="X54" i="3"/>
  <c r="W54" i="3"/>
  <c r="T31" i="3"/>
  <c r="S31" i="3"/>
  <c r="W86" i="3"/>
  <c r="X86" i="3"/>
  <c r="X16" i="3"/>
  <c r="W16" i="3"/>
  <c r="X46" i="3"/>
  <c r="W46" i="3"/>
  <c r="T67" i="3"/>
  <c r="S67" i="3"/>
  <c r="T37" i="3"/>
  <c r="S37" i="3"/>
  <c r="W53" i="3"/>
  <c r="X53" i="3"/>
  <c r="W25" i="3"/>
  <c r="X25" i="3"/>
  <c r="T100" i="3"/>
  <c r="S100" i="3"/>
  <c r="T62" i="3"/>
  <c r="S62" i="3"/>
  <c r="T63" i="3"/>
  <c r="S63" i="3"/>
  <c r="U63" i="3" s="1"/>
  <c r="Y63" i="3" s="1"/>
  <c r="Z63" i="3" s="1"/>
  <c r="W57" i="3"/>
  <c r="X57" i="3"/>
  <c r="W56" i="3"/>
  <c r="X56" i="3"/>
  <c r="W34" i="3"/>
  <c r="X34" i="3"/>
  <c r="X24" i="3"/>
  <c r="W24" i="3"/>
  <c r="X8" i="3"/>
  <c r="W8" i="3"/>
  <c r="T65" i="3"/>
  <c r="S65" i="3"/>
  <c r="T77" i="3"/>
  <c r="S77" i="3"/>
  <c r="T23" i="3"/>
  <c r="S23" i="3"/>
  <c r="U23" i="3" s="1"/>
  <c r="Y23" i="3" s="1"/>
  <c r="Z23" i="3" s="1"/>
  <c r="X43" i="3"/>
  <c r="W43" i="3"/>
  <c r="T14" i="3"/>
  <c r="S14" i="3"/>
  <c r="T107" i="3"/>
  <c r="S107" i="3"/>
  <c r="T51" i="3"/>
  <c r="S51" i="3"/>
  <c r="U51" i="3" s="1"/>
  <c r="Y51" i="3" s="1"/>
  <c r="Z51" i="3" s="1"/>
  <c r="T18" i="3"/>
  <c r="S18" i="3"/>
  <c r="U18" i="3" s="1"/>
  <c r="Y18" i="3" s="1"/>
  <c r="Z18" i="3" s="1"/>
  <c r="T48" i="3"/>
  <c r="S48" i="3"/>
  <c r="X35" i="3"/>
  <c r="W35" i="3"/>
  <c r="X104" i="3"/>
  <c r="W104" i="3"/>
  <c r="Y16" i="3" l="1"/>
  <c r="Z16" i="3" s="1"/>
  <c r="Y9" i="3"/>
  <c r="Z9" i="3" s="1"/>
  <c r="U107" i="3"/>
  <c r="Y107" i="3" s="1"/>
  <c r="Z107" i="3" s="1"/>
  <c r="U77" i="3"/>
  <c r="Y77" i="3" s="1"/>
  <c r="Z77" i="3" s="1"/>
  <c r="U62" i="3"/>
  <c r="Y62" i="3" s="1"/>
  <c r="Z62" i="3" s="1"/>
  <c r="U37" i="3"/>
  <c r="Y37" i="3" s="1"/>
  <c r="Z37" i="3" s="1"/>
  <c r="U53" i="3"/>
  <c r="Y53" i="3" s="1"/>
  <c r="Z53" i="3" s="1"/>
  <c r="U104" i="3"/>
  <c r="Y104" i="3" s="1"/>
  <c r="Z104" i="3" s="1"/>
  <c r="U36" i="3"/>
  <c r="Y36" i="3" s="1"/>
  <c r="Z36" i="3" s="1"/>
  <c r="U42" i="3"/>
  <c r="Y42" i="3" s="1"/>
  <c r="Z42" i="3" s="1"/>
  <c r="U55" i="3"/>
  <c r="Y55" i="3" s="1"/>
  <c r="Z55" i="3" s="1"/>
  <c r="Y26" i="3"/>
  <c r="Z26" i="3" s="1"/>
  <c r="Y106" i="3"/>
  <c r="Z106" i="3" s="1"/>
  <c r="U76" i="3"/>
  <c r="Y76" i="3" s="1"/>
  <c r="Z76" i="3" s="1"/>
  <c r="Y69" i="3"/>
  <c r="Z69" i="3" s="1"/>
  <c r="Y39" i="3"/>
  <c r="Z39" i="3" s="1"/>
  <c r="U48" i="3"/>
  <c r="Y48" i="3" s="1"/>
  <c r="Z48" i="3" s="1"/>
  <c r="U14" i="3"/>
  <c r="Y14" i="3" s="1"/>
  <c r="Z14" i="3" s="1"/>
  <c r="U65" i="3"/>
  <c r="Y65" i="3" s="1"/>
  <c r="Z65" i="3" s="1"/>
  <c r="U100" i="3"/>
  <c r="Y100" i="3" s="1"/>
  <c r="Z100" i="3" s="1"/>
  <c r="U67" i="3"/>
  <c r="Y67" i="3" s="1"/>
  <c r="Z67" i="3" s="1"/>
  <c r="U31" i="3"/>
  <c r="Y31" i="3" s="1"/>
  <c r="Z31" i="3" s="1"/>
  <c r="U29" i="3"/>
  <c r="Y29" i="3" s="1"/>
  <c r="Z29" i="3" s="1"/>
  <c r="U35" i="3"/>
  <c r="Y35" i="3" s="1"/>
  <c r="Z35" i="3" s="1"/>
  <c r="Y72" i="3"/>
  <c r="Z72" i="3" s="1"/>
  <c r="Y15" i="3"/>
  <c r="Z15" i="3" s="1"/>
  <c r="Y49" i="3"/>
  <c r="Z49" i="3" s="1"/>
  <c r="Y64" i="3"/>
  <c r="Z64" i="3" s="1"/>
  <c r="Y21" i="3"/>
  <c r="Z21" i="3" s="1"/>
  <c r="Y61" i="3"/>
  <c r="Z61" i="3" s="1"/>
  <c r="Y82" i="3"/>
  <c r="Z82" i="3" s="1"/>
  <c r="Y40" i="3"/>
  <c r="Z40" i="3" s="1"/>
  <c r="Y84" i="3"/>
  <c r="Z84" i="3" s="1"/>
  <c r="Y94" i="3"/>
  <c r="Z94" i="3" s="1"/>
  <c r="U44" i="3"/>
  <c r="Y44" i="3" s="1"/>
  <c r="Z44" i="3" s="1"/>
  <c r="U8" i="3"/>
  <c r="Y8" i="3" s="1"/>
  <c r="Z8" i="3" s="1"/>
  <c r="U102" i="3"/>
  <c r="Y102" i="3" s="1"/>
  <c r="Z102" i="3" s="1"/>
  <c r="U56" i="3"/>
  <c r="Y56" i="3" s="1"/>
  <c r="Z56" i="3" s="1"/>
  <c r="U80" i="3"/>
  <c r="Y80" i="3" s="1"/>
  <c r="Z80" i="3" s="1"/>
  <c r="U11" i="3"/>
  <c r="Y11" i="3" s="1"/>
  <c r="Z11" i="3" s="1"/>
  <c r="U85" i="3"/>
  <c r="Y85" i="3" s="1"/>
  <c r="Z85" i="3" s="1"/>
  <c r="U47" i="3"/>
  <c r="Y47" i="3" s="1"/>
  <c r="Z47" i="3" s="1"/>
  <c r="U45" i="3"/>
  <c r="Y45" i="3" s="1"/>
  <c r="Z45" i="3" s="1"/>
  <c r="U96" i="3"/>
  <c r="Y96" i="3" s="1"/>
  <c r="Z96" i="3" s="1"/>
  <c r="U73" i="3"/>
  <c r="Y73" i="3" s="1"/>
  <c r="Z73" i="3" s="1"/>
  <c r="U38" i="3"/>
  <c r="Y38" i="3" s="1"/>
  <c r="Z38" i="3" s="1"/>
  <c r="U50" i="3"/>
  <c r="Y50" i="3" s="1"/>
  <c r="Z50" i="3" s="1"/>
</calcChain>
</file>

<file path=xl/sharedStrings.xml><?xml version="1.0" encoding="utf-8"?>
<sst xmlns="http://schemas.openxmlformats.org/spreadsheetml/2006/main" count="2981" uniqueCount="308">
  <si>
    <t>DATA PEMAKAIAN BULANAN &amp; HARIAN BAHAN BAKU — PT. JJ Top Cosmindo Sidoarjo (2021–2025)</t>
  </si>
  <si>
    <t>σ_d dihitung dari 60 nilai d_harian (12 bulan × 5 tahun) per bahan  ·  d_harian = Pemakaian Bulanan ÷ Hari/Bulan  ·  Warna KUNING = input/turunan aktual  ·  Warna HIJAU = formula Excel  ·  Warna MERAH MUDA = σ_d (dipakai di sheet Data Historis)</t>
  </si>
  <si>
    <t>No</t>
  </si>
  <si>
    <t>Kode</t>
  </si>
  <si>
    <t>Nama Bahan Baku</t>
  </si>
  <si>
    <t>Satuan</t>
  </si>
  <si>
    <t>TAHUN 2021</t>
  </si>
  <si>
    <t>TAHUN 2022</t>
  </si>
  <si>
    <t>TAHUN 2023</t>
  </si>
  <si>
    <t>TAHUN 2024</t>
  </si>
  <si>
    <t>TAHUN 2025</t>
  </si>
  <si>
    <t>σ_d Global
(Std Dev d_harian
5 Tahun × 12 Bln)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</si>
  <si>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</si>
  <si>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</si>
  <si>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</si>
  <si>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</si>
  <si>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</si>
  <si>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</si>
  <si>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</si>
  <si>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</si>
  <si>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</si>
  <si>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</si>
  <si>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</si>
  <si>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</si>
  <si>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Total
Pemakaian
(unit/thn)</t>
  </si>
  <si>
    <t>σ_d
2021</t>
  </si>
  <si>
    <t>σ_d
2022</t>
  </si>
  <si>
    <t>σ_d
2023</t>
  </si>
  <si>
    <t>σ_d
2024</t>
  </si>
  <si>
    <t>σ_d
2025</t>
  </si>
  <si>
    <t>Pemakaian
(unit/31hr)</t>
  </si>
  <si>
    <t>d_harian
(unit/hr)</t>
  </si>
  <si>
    <t>Pemakaian
(unit/28hr)</t>
  </si>
  <si>
    <t>Pemakaian
(unit/30hr)</t>
  </si>
  <si>
    <t>BB001</t>
  </si>
  <si>
    <t>Phenoxyethanol</t>
  </si>
  <si>
    <t>kg</t>
  </si>
  <si>
    <t>BB002</t>
  </si>
  <si>
    <t>Glycerin</t>
  </si>
  <si>
    <t>BB003</t>
  </si>
  <si>
    <t>Cetyl Alcohol</t>
  </si>
  <si>
    <t>BB004</t>
  </si>
  <si>
    <t>Stearic Acid</t>
  </si>
  <si>
    <t>BB005</t>
  </si>
  <si>
    <t>Titanium Dioxide</t>
  </si>
  <si>
    <t>BB006</t>
  </si>
  <si>
    <t>Sodium Lauryl Sulfate</t>
  </si>
  <si>
    <t>BB007</t>
  </si>
  <si>
    <t>Propylene Glycol</t>
  </si>
  <si>
    <t>BB008</t>
  </si>
  <si>
    <t>Carbomer 940</t>
  </si>
  <si>
    <t>BB009</t>
  </si>
  <si>
    <t>Kaolin Clay</t>
  </si>
  <si>
    <t>BB010</t>
  </si>
  <si>
    <t>Talc Powder</t>
  </si>
  <si>
    <t>BB011</t>
  </si>
  <si>
    <t>Aqua DM</t>
  </si>
  <si>
    <t>L</t>
  </si>
  <si>
    <t>BB012</t>
  </si>
  <si>
    <t>Zinc Oxide</t>
  </si>
  <si>
    <t>BB013</t>
  </si>
  <si>
    <t>Niacinamide</t>
  </si>
  <si>
    <t>BB014</t>
  </si>
  <si>
    <t>Allantoin</t>
  </si>
  <si>
    <t>BB015</t>
  </si>
  <si>
    <t>Panthenol</t>
  </si>
  <si>
    <t>BB016</t>
  </si>
  <si>
    <t>Cocamidopropyl Betaine</t>
  </si>
  <si>
    <t>BB017</t>
  </si>
  <si>
    <t>Disodium EDTA</t>
  </si>
  <si>
    <t>BB018</t>
  </si>
  <si>
    <t>Cetearyl Alcohol</t>
  </si>
  <si>
    <t>BB019</t>
  </si>
  <si>
    <t>Polysorbate 20</t>
  </si>
  <si>
    <t>BB020</t>
  </si>
  <si>
    <t>Polysorbate 80</t>
  </si>
  <si>
    <t>BB021</t>
  </si>
  <si>
    <t>PEG-40 Hydrogenated Castor Oil</t>
  </si>
  <si>
    <t>BB022</t>
  </si>
  <si>
    <t>Caprylic/Capric Triglyceride</t>
  </si>
  <si>
    <t>BB023</t>
  </si>
  <si>
    <t>Isopropyl Myristate</t>
  </si>
  <si>
    <t>BB024</t>
  </si>
  <si>
    <t>Dimethicone 350</t>
  </si>
  <si>
    <t>BB025</t>
  </si>
  <si>
    <t>Cyclopentasiloxane</t>
  </si>
  <si>
    <t>BB026</t>
  </si>
  <si>
    <t>BHT</t>
  </si>
  <si>
    <t>BB027</t>
  </si>
  <si>
    <t>Tocopheryl Acetate</t>
  </si>
  <si>
    <t>BB028</t>
  </si>
  <si>
    <t>Ascorbic Acid</t>
  </si>
  <si>
    <t>BB029</t>
  </si>
  <si>
    <t>Sodium Hyaluronate</t>
  </si>
  <si>
    <t>BB030</t>
  </si>
  <si>
    <t>Aloe Vera Extract</t>
  </si>
  <si>
    <t>BB031</t>
  </si>
  <si>
    <t>Green Tea Extract</t>
  </si>
  <si>
    <t>BB032</t>
  </si>
  <si>
    <t>Chamomile Extract</t>
  </si>
  <si>
    <t>BB033</t>
  </si>
  <si>
    <t>Licorice Extract</t>
  </si>
  <si>
    <t>BB034</t>
  </si>
  <si>
    <t>Salicylic Acid</t>
  </si>
  <si>
    <t>BB035</t>
  </si>
  <si>
    <t>Lactic Acid</t>
  </si>
  <si>
    <t>BB036</t>
  </si>
  <si>
    <t>Citric Acid</t>
  </si>
  <si>
    <t>BB037</t>
  </si>
  <si>
    <t>Triethanolamine</t>
  </si>
  <si>
    <t>BB038</t>
  </si>
  <si>
    <t>Sodium Benzoate</t>
  </si>
  <si>
    <t>BB039</t>
  </si>
  <si>
    <t>Potassium Sorbate</t>
  </si>
  <si>
    <t>BB040</t>
  </si>
  <si>
    <t>Methylparaben</t>
  </si>
  <si>
    <t>BB041</t>
  </si>
  <si>
    <t>Propylparaben</t>
  </si>
  <si>
    <t>BB042</t>
  </si>
  <si>
    <t>Fragrance Oil - Floral</t>
  </si>
  <si>
    <t>BB043</t>
  </si>
  <si>
    <t>Fragrance Oil - Citrus</t>
  </si>
  <si>
    <t>BB044</t>
  </si>
  <si>
    <t>Fragrance Oil - Powdery</t>
  </si>
  <si>
    <t>BB045</t>
  </si>
  <si>
    <t>Fragrance Oil - Herbal</t>
  </si>
  <si>
    <t>BB046</t>
  </si>
  <si>
    <t>Menthol Crystal</t>
  </si>
  <si>
    <t>BB047</t>
  </si>
  <si>
    <t>Camphor</t>
  </si>
  <si>
    <t>BB048</t>
  </si>
  <si>
    <t>Ethanol 96%</t>
  </si>
  <si>
    <t>BB049</t>
  </si>
  <si>
    <t>Isopropyl Alcohol</t>
  </si>
  <si>
    <t>BB050</t>
  </si>
  <si>
    <t>Hydrogen Peroxide</t>
  </si>
  <si>
    <t>BB051</t>
  </si>
  <si>
    <t>Cetyl Palmitate</t>
  </si>
  <si>
    <t>BB052</t>
  </si>
  <si>
    <t>Glyceryl Monostearate</t>
  </si>
  <si>
    <t>BB053</t>
  </si>
  <si>
    <t>PEG-100 Stearate</t>
  </si>
  <si>
    <t>BB054</t>
  </si>
  <si>
    <t>Ceteareth-20</t>
  </si>
  <si>
    <t>BB055</t>
  </si>
  <si>
    <t>Lanolin</t>
  </si>
  <si>
    <t>BB056</t>
  </si>
  <si>
    <t>Petrolatum</t>
  </si>
  <si>
    <t>BB057</t>
  </si>
  <si>
    <t>Beeswax</t>
  </si>
  <si>
    <t>BB058</t>
  </si>
  <si>
    <t>Microcrystalline Wax</t>
  </si>
  <si>
    <t>BB059</t>
  </si>
  <si>
    <t>Paraffin Wax</t>
  </si>
  <si>
    <t>BB060</t>
  </si>
  <si>
    <t>Shea Butter</t>
  </si>
  <si>
    <t>BB061</t>
  </si>
  <si>
    <t>Cocoa Butter</t>
  </si>
  <si>
    <t>BB062</t>
  </si>
  <si>
    <t>Mineral Oil</t>
  </si>
  <si>
    <t>BB063</t>
  </si>
  <si>
    <t>Sunflower Seed Oil</t>
  </si>
  <si>
    <t>BB064</t>
  </si>
  <si>
    <t>Sweet Almond Oil</t>
  </si>
  <si>
    <t>BB065</t>
  </si>
  <si>
    <t>Jojoba Oil</t>
  </si>
  <si>
    <t>BB066</t>
  </si>
  <si>
    <t>Argan Oil</t>
  </si>
  <si>
    <t>BB067</t>
  </si>
  <si>
    <t>Castor Oil</t>
  </si>
  <si>
    <t>BB068</t>
  </si>
  <si>
    <t>Olive Oil</t>
  </si>
  <si>
    <t>BB069</t>
  </si>
  <si>
    <t>Silica</t>
  </si>
  <si>
    <t>BB070</t>
  </si>
  <si>
    <t>Magnesium Stearate</t>
  </si>
  <si>
    <t>BB071</t>
  </si>
  <si>
    <t>Calamine</t>
  </si>
  <si>
    <t>BB072</t>
  </si>
  <si>
    <t>Bentonite</t>
  </si>
  <si>
    <t>BB073</t>
  </si>
  <si>
    <t>Xanthan Gum</t>
  </si>
  <si>
    <t>BB074</t>
  </si>
  <si>
    <t>Hydroxyethyl Cellulose</t>
  </si>
  <si>
    <t>BB075</t>
  </si>
  <si>
    <t>Guar Gum</t>
  </si>
  <si>
    <t>BB076</t>
  </si>
  <si>
    <t>Sodium Chloride</t>
  </si>
  <si>
    <t>BB077</t>
  </si>
  <si>
    <t>Sodium Bicarbonate</t>
  </si>
  <si>
    <t>BB078</t>
  </si>
  <si>
    <t>Calcium Carbonate</t>
  </si>
  <si>
    <t>BB079</t>
  </si>
  <si>
    <t>Dicalcium Phosphate</t>
  </si>
  <si>
    <t>BB080</t>
  </si>
  <si>
    <t>Sorbitol Powder</t>
  </si>
  <si>
    <t>BB081</t>
  </si>
  <si>
    <t>Mannitol</t>
  </si>
  <si>
    <t>BB082</t>
  </si>
  <si>
    <t>Mica Pearl Pigment</t>
  </si>
  <si>
    <t>BB083</t>
  </si>
  <si>
    <t>Iron Oxide Red</t>
  </si>
  <si>
    <t>BB084</t>
  </si>
  <si>
    <t>Iron Oxide Yellow</t>
  </si>
  <si>
    <t>BB085</t>
  </si>
  <si>
    <t>Iron Oxide Black</t>
  </si>
  <si>
    <t>BB086</t>
  </si>
  <si>
    <t>FD&amp;C Blue No. 1</t>
  </si>
  <si>
    <t>BB087</t>
  </si>
  <si>
    <t>FD&amp;C Yellow No. 5</t>
  </si>
  <si>
    <t>BB088</t>
  </si>
  <si>
    <t>DMDM Hydantoin</t>
  </si>
  <si>
    <t>BB089</t>
  </si>
  <si>
    <t>Imidazolidinyl Urea</t>
  </si>
  <si>
    <t>BB090</t>
  </si>
  <si>
    <t>Phenyl Trimethicone</t>
  </si>
  <si>
    <t>BB091</t>
  </si>
  <si>
    <t>Acrylates Copolymer</t>
  </si>
  <si>
    <t>BB092</t>
  </si>
  <si>
    <t>PVP K30</t>
  </si>
  <si>
    <t>BB093</t>
  </si>
  <si>
    <t>Polyquaternium-10</t>
  </si>
  <si>
    <t>BB094</t>
  </si>
  <si>
    <t>Sodium PCA</t>
  </si>
  <si>
    <t>BB095</t>
  </si>
  <si>
    <t>Urea</t>
  </si>
  <si>
    <t>BB096</t>
  </si>
  <si>
    <t>Zinc PCA</t>
  </si>
  <si>
    <t>BB097</t>
  </si>
  <si>
    <t>Alpha Arbutin</t>
  </si>
  <si>
    <t>BB098</t>
  </si>
  <si>
    <t>Tranexamic Acid</t>
  </si>
  <si>
    <t>BB099</t>
  </si>
  <si>
    <t>Kaempferia Galanga Extract</t>
  </si>
  <si>
    <t>BB100</t>
  </si>
  <si>
    <t>Titanium Dioxide Anatase</t>
  </si>
  <si>
    <t>DATA HISTORIS BAHAN BAKU 5 TAHUN (2021–2025) — PT. JJ Top Cosmindo Sidoarjo</t>
  </si>
  <si>
    <t>D = total tahunan dari Data Bulanan  |  d = rata-rata d_harian 12 bulan dari Data Bulanan  |  σ_d = STDEV(12 d_harian tahun tsb.) dari Data Bulanan  |  SS = 1.65 × σ_d × √LT</t>
  </si>
  <si>
    <t>EOQ = √(2DS/H)  |  σ_DL = σ_d × √LT  |  SS = 1.65 × σ_DL  |  ROP = d × LT + SS  |  Slope = SUMPRODUCT({-2,-1,0,1,2}, D) / 10  |  R² = Slope² × 10 / (ΣD² − (ΣD)²/5)</t>
  </si>
  <si>
    <t>🟡 Kuning = data input/referensi Bulanan  |  🟢 Hijau = formula EOQ  |  🟠 Oranye = formula SS  |  🟣 Ungu = formula ROP  |  🔵 Biru = analisis trend</t>
  </si>
  <si>
    <t>DATA IDENTITAS &amp; INPUT AKTUAL
(D, d, σ_d dari Data Bulanan)</t>
  </si>
  <si>
    <t>PERHITUNGAN EOQ</t>
  </si>
  <si>
    <t>PERHITUNGAN σ_DL &amp; SAFETY STOCK (SS)
Z = 1.65 (Service Level 95%)</t>
  </si>
  <si>
    <t>PERHITUNGAN ROP &amp; STATUS</t>
  </si>
  <si>
    <t>ANALISIS TREND &amp; FLUKTUATIF</t>
  </si>
  <si>
    <t>Tahun</t>
  </si>
  <si>
    <t>Kategori</t>
  </si>
  <si>
    <t>Stok Aktual
(unit)</t>
  </si>
  <si>
    <t>LT Lead Time
(hari)</t>
  </si>
  <si>
    <t>(D) Permintaan
Tahunan (unit/thn)</t>
  </si>
  <si>
    <t>(S) Biaya
Pemesanan (Rp/order)</t>
  </si>
  <si>
    <t>(H) Biaya
Simpan (Rp/unit/thn)</t>
  </si>
  <si>
    <t>EOQ
= √(2×D×S/H)</t>
  </si>
  <si>
    <t>(d) Permintaan
Harian (unit/hr)</t>
  </si>
  <si>
    <t>σ_d per Tahun
(Std Dev 12 d_harian)</t>
  </si>
  <si>
    <t>σ_DL
= σ_d × √LT</t>
  </si>
  <si>
    <t>SS (SL 95%)
= 1.65 × σ_DL</t>
  </si>
  <si>
    <t>ROP
= d × LT + SS</t>
  </si>
  <si>
    <t>Selisih
(Stok − ROP)</t>
  </si>
  <si>
    <t>STATUS</t>
  </si>
  <si>
    <t>CV
= σ_d / d̄</t>
  </si>
  <si>
    <t>Slope Trend
(unit/thn)</t>
  </si>
  <si>
    <t>R² Trend</t>
  </si>
  <si>
    <t>Lokal</t>
  </si>
  <si>
    <t>Impor</t>
  </si>
  <si>
    <t>KETERANGAN RUMUS — SHEET DATA HISTORIS 5 TAHUN</t>
  </si>
  <si>
    <t>D (Permintaan Tahunan) = ROUND(total pemakaian tahunan dari sheet Data Bulanan, 0)  — per bahan per tahun</t>
  </si>
  <si>
    <t>d (Permintaan Harian) = AVERAGE dari 12 nilai d_harian (Jan–Des) di sheet Data Bulanan  — rata-rata harian dalam satu tahun</t>
  </si>
  <si>
    <t>σ_d = referensi ke kolom σ_d per tahun di sheet Data Bulanan (formula STDEV 12 d_harian saja, sudah benar)  — nilai ~20-30 unit/hr</t>
  </si>
  <si>
    <t>σ_DL = σ_d × √LT  |  SS = 1.65 × σ_DL  (Z=1.65 untuk Service Level 95%)  |  ROP = d × LT + SS  |  EOQ = √(2×D×S/H)</t>
  </si>
  <si>
    <t>Slope = SUMPRODUCT({-2,-1,0,1,2}, D_range) / 10  — regresi linier dengan tahun tersentral {-2,-1,0,1,2}; nilai negatif = tren turun, positif = naik</t>
  </si>
  <si>
    <t>R² = Slope² × 10 / (SUMPRODUCT(D,D) − SUM(D)²/5)  — kekuatan trend (0=tidak ada, 1=sempurna)</t>
  </si>
  <si>
    <t>CV = σ_d / d̄  |  Nilai CV 0.20–0.35 pada data kosmetik adalah WAJAR karena permintaan sangat bervariasi antar bulan (musiman)</t>
  </si>
  <si>
    <t>EVALUASI TOTAL INVENTORY COST (TIC) — PT. JJ Top Cosmindo Sidoarjo</t>
  </si>
  <si>
    <t>TIC = (D/Q)×S + (Q/2)×H + SS×H  |  Service Level 95% (Z=1.65)  |  Metode Lama: Q=D÷12, S &amp; H observasi (lebih tinggi)  |  Metode EOQ: Q optimal dari Data Historis 5 Tahun</t>
  </si>
  <si>
    <t>TIC minimum → Q paling efisien  |  EOQ optimal: d(TIC)/dQ=0 → Biaya Pesan = Biaya Simpan</t>
  </si>
  <si>
    <t>IDENTITAS</t>
  </si>
  <si>
    <t>PARAMETER DASAR
(dari Data EOQ-ROP)</t>
  </si>
  <si>
    <t>① METODE LAMA vs EOQ BARU</t>
  </si>
  <si>
    <t>② Q KECIL vs OPTIMAL vs BESAR</t>
  </si>
  <si>
    <t>KESIMPULAN &amp; REKOMENDASI</t>
  </si>
  <si>
    <t>D_avg
(unit/thn)</t>
  </si>
  <si>
    <t>S_obs Biaya Pesan
(Rp/order)
[Metode Lama]</t>
  </si>
  <si>
    <t>H_obs Biaya Simpan
(Rp/unit/thn)
[Metode Lama]</t>
  </si>
  <si>
    <t>SS_obs (SL95%)
1.65×σ_d×√LT
[Metode Lama]</t>
  </si>
  <si>
    <t>Q_obs (D÷12)
Order Bulanan
[Metode Lama]</t>
  </si>
  <si>
    <t>TIC Metode Lama
(D/Q_obs)×S_obs
+(Q_obs/2)×H_obs+SS_obs×H_obs</t>
  </si>
  <si>
    <t>S_eoq Biaya Pesan
(Rp/order)
[Metode EOQ]</t>
  </si>
  <si>
    <t>H_eoq Biaya Simpan
(Rp/unit/thn)
[Metode EOQ]</t>
  </si>
  <si>
    <t>SS_eoq (SL95%)
1.65×σ_d×√LT
[Metode EOQ]</t>
  </si>
  <si>
    <t>Q_eoq = √(2DS/H)
[Metode EOQ]</t>
  </si>
  <si>
    <t>TIC Metode EOQ
(D/Q_eoq)×S_eoq
+(Q_eoq/2)×H_eoq+SS_eoq×H_eoq</t>
  </si>
  <si>
    <t>Δ TIC
(Hemat Rp/thn)</t>
  </si>
  <si>
    <t>Q Kecil
(50% EOQ)</t>
  </si>
  <si>
    <t>B.Pesan Q Kecil
(D/Q×S_eoq)</t>
  </si>
  <si>
    <t>B.Simpan Q Kecil
((Q/2+SS_eoq)×H_eoq)</t>
  </si>
  <si>
    <t>TIC Q Kecil
(Rp/thn)</t>
  </si>
  <si>
    <t>Q Besar
(150% EOQ)</t>
  </si>
  <si>
    <t>B.Pesan Q Besar
(D/Q×S_eoq)</t>
  </si>
  <si>
    <t>TIC Q Besar
(Rp/thn)</t>
  </si>
  <si>
    <t>TIC Minimum
(MIN semua TIC)</t>
  </si>
  <si>
    <t>Q Optimal
Rekomendasi</t>
  </si>
  <si>
    <t>Hemat
(%)</t>
  </si>
  <si>
    <t>TOTAL SEMUA 100 BAHAN BAKU</t>
  </si>
  <si>
    <t>KETERANGAN RUMUS TIC</t>
  </si>
  <si>
    <t>TIC = (D/Q)×S + (Q/2)×H + SS×H  |  D=D_adj, Q=kuantitas order, S=biaya pesan, H=biaya simpan, SS=safety stock (SL95%, Z=1.65)</t>
  </si>
  <si>
    <t>① Metode Lama: Q=EOQ rata² historis | EOQ Baru: Q=EOQ baru terkoreksi | Δ TIC positif → EOQ Baru lebih hemat | Semua data dari sheet Data EOQ-ROP</t>
  </si>
  <si>
    <t>② Q Kecil(50%): order sering→B.Pesan↑,B.Simpan↓ | Q Optimal(EOQ): TIC minimum | Q Besar(150%): order jarang→B.Pesan↓,B.Simpan↑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</si>
</sst>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5" x14ac:knownFonts="1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i/>
      <sz val="9"/>
      <color rgb="FF1F3864"/>
      <name val="Cambria"/>
      <charset val="1"/>
    </font>
    <font>
      <b/>
      <sz val="10"/>
      <color rgb="FFFFFFFF"/>
      <name val="Cambria"/>
      <charset val="1"/>
    </font>
    <font>
      <b/>
      <sz val="9"/>
      <color rgb="FFC55A11"/>
      <name val="Cambria"/>
      <charset val="1"/>
    </font>
    <font>
      <b/>
      <sz val="10"/>
      <color rgb="FF1F3864"/>
      <name val="Cambria"/>
      <charset val="1"/>
    </font>
    <font>
      <b/>
      <sz val="9"/>
      <color rgb="FF375623"/>
      <name val="Cambria"/>
      <charset val="1"/>
    </font>
    <font>
      <b/>
      <sz val="8"/>
      <color rgb="FF7F6000"/>
      <name val="Cambria"/>
      <charset val="1"/>
    </font>
    <font>
      <b/>
      <sz val="8"/>
      <color rgb="FF375623"/>
      <name val="Cambria"/>
      <charset val="1"/>
    </font>
    <font>
      <b/>
      <sz val="9"/>
      <name val="Cambria"/>
      <charset val="1"/>
    </font>
    <font>
      <sz val="9"/>
      <name val="Cambria"/>
      <charset val="1"/>
    </font>
    <font>
      <b/>
      <sz val="12"/>
      <color rgb="FFFFFFFF"/>
      <name val="Calibri"/>
      <charset val="1"/>
    </font>
    <font>
      <i/>
      <sz val="9"/>
      <color rgb="FF1F3864"/>
      <name val="Calibri"/>
      <charset val="1"/>
    </font>
    <font>
      <i/>
      <sz val="9"/>
      <color rgb="FF2E4057"/>
      <name val="Calibri"/>
      <charset val="1"/>
    </font>
    <font>
      <i/>
      <sz val="8"/>
      <color rgb="FF1F3864"/>
      <name val="Calibri"/>
      <charset val="1"/>
    </font>
    <font>
      <b/>
      <sz val="9"/>
      <color rgb="FFFFFFFF"/>
      <name val="Calibri"/>
      <charset val="1"/>
    </font>
    <font>
      <b/>
      <sz val="8.5"/>
      <color rgb="FFFFFFFF"/>
      <name val="Calibri"/>
      <charset val="1"/>
    </font>
    <font>
      <sz val="9"/>
      <color rgb="FF000000"/>
      <name val="Calibri"/>
      <charset val="1"/>
    </font>
    <font>
      <b/>
      <sz val="9"/>
      <color rgb="FF1F3864"/>
      <name val="Calibri"/>
      <charset val="1"/>
    </font>
    <font>
      <b/>
      <sz val="9"/>
      <color rgb="FF843C0C"/>
      <name val="Calibri"/>
      <charset val="1"/>
    </font>
    <font>
      <sz val="9"/>
      <name val="Calibri"/>
      <charset val="1"/>
    </font>
    <font>
      <b/>
      <sz val="9"/>
      <name val="Calibri"/>
      <charset val="1"/>
    </font>
    <font>
      <i/>
      <sz val="9"/>
      <color rgb="FF1F497D"/>
      <name val="Calibri"/>
      <charset val="1"/>
    </font>
    <font>
      <sz val="8.5"/>
      <color rgb="FF375623"/>
      <name val="Calibri"/>
      <charset val="1"/>
    </font>
    <font>
      <sz val="8.5"/>
      <color rgb="FF1F3864"/>
      <name val="Calibri"/>
      <charset val="1"/>
    </font>
    <font>
      <sz val="8.5"/>
      <color rgb="FF843C0C"/>
      <name val="Calibri"/>
      <charset val="1"/>
    </font>
    <font>
      <sz val="8.5"/>
      <color rgb="FF4A235A"/>
      <name val="Calibri"/>
      <charset val="1"/>
    </font>
    <font>
      <sz val="8.5"/>
      <color rgb="FF1F497D"/>
      <name val="Calibri"/>
      <charset val="1"/>
    </font>
    <font>
      <i/>
      <sz val="9"/>
      <color rgb="FF4A235A"/>
      <name val="Calibri"/>
      <charset val="1"/>
    </font>
    <font>
      <i/>
      <sz val="8"/>
      <color rgb="FF4A235A"/>
      <name val="Calibri"/>
      <charset val="1"/>
    </font>
    <font>
      <b/>
      <sz val="9"/>
      <color rgb="FF000000"/>
      <name val="Calibri"/>
      <charset val="1"/>
    </font>
    <font>
      <sz val="8.5"/>
      <name val="Calibri"/>
      <charset val="1"/>
    </font>
    <font>
      <b/>
      <sz val="10"/>
      <color rgb="FFFFFFFF"/>
      <name val="Calibri"/>
      <charset val="1"/>
    </font>
    <font>
      <sz val="8.5"/>
      <color rgb="FF1A5276"/>
      <name val="Calibri"/>
      <charset val="1"/>
    </font>
    <font>
      <sz val="8.5"/>
      <color rgb="FF7D6608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8080"/>
      </patternFill>
    </fill>
    <fill>
      <patternFill patternType="solid">
        <fgColor rgb="FFFCE4D6"/>
        <bgColor rgb="FFFFD7D7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DF3CC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F2F2F2"/>
      </patternFill>
    </fill>
    <fill>
      <patternFill patternType="solid">
        <fgColor rgb="FF375623"/>
        <bgColor rgb="FF2E4057"/>
      </patternFill>
    </fill>
    <fill>
      <patternFill patternType="solid">
        <fgColor rgb="FF843C0C"/>
        <bgColor rgb="FF7F6000"/>
      </patternFill>
    </fill>
    <fill>
      <patternFill patternType="solid">
        <fgColor rgb="FF4A235A"/>
        <bgColor rgb="FF6C3483"/>
      </patternFill>
    </fill>
    <fill>
      <patternFill patternType="solid">
        <fgColor rgb="FF1F497D"/>
        <bgColor rgb="FF1A5276"/>
      </patternFill>
    </fill>
    <fill>
      <patternFill patternType="solid">
        <fgColor rgb="FFF2F2F2"/>
        <bgColor rgb="FFEBF3FB"/>
      </patternFill>
    </fill>
    <fill>
      <patternFill patternType="solid">
        <fgColor rgb="FFFFFDE7"/>
        <bgColor rgb="FFFEF9E7"/>
      </patternFill>
    </fill>
    <fill>
      <patternFill patternType="solid">
        <fgColor rgb="FFFFD7D7"/>
        <bgColor rgb="FFFCE4D6"/>
      </patternFill>
    </fill>
    <fill>
      <patternFill patternType="solid">
        <fgColor rgb="FFEDE0F5"/>
        <bgColor rgb="FFF0E6FF"/>
      </patternFill>
    </fill>
    <fill>
      <patternFill patternType="solid">
        <fgColor rgb="FFFFFFFF"/>
        <bgColor rgb="FFFFFDE7"/>
      </patternFill>
    </fill>
    <fill>
      <patternFill patternType="solid">
        <fgColor rgb="FFE8D5F5"/>
        <bgColor rgb="FFEDE0F5"/>
      </patternFill>
    </fill>
    <fill>
      <patternFill patternType="solid">
        <fgColor rgb="FFF3EAF9"/>
        <bgColor rgb="FFF4ECF7"/>
      </patternFill>
    </fill>
    <fill>
      <patternFill patternType="solid">
        <fgColor rgb="FF6C3483"/>
        <bgColor rgb="FF993366"/>
      </patternFill>
    </fill>
    <fill>
      <patternFill patternType="solid">
        <fgColor rgb="FF1A5276"/>
        <bgColor rgb="FF1F497D"/>
      </patternFill>
    </fill>
    <fill>
      <patternFill patternType="solid">
        <fgColor rgb="FF196F3D"/>
        <bgColor rgb="FF375623"/>
      </patternFill>
    </fill>
    <fill>
      <patternFill patternType="solid">
        <fgColor rgb="FF1B2631"/>
        <bgColor rgb="FF1F3864"/>
      </patternFill>
    </fill>
    <fill>
      <patternFill patternType="solid">
        <fgColor rgb="FF7D6608"/>
        <bgColor rgb="FF7F6000"/>
      </patternFill>
    </fill>
    <fill>
      <patternFill patternType="solid">
        <fgColor rgb="FFB8860B"/>
        <bgColor rgb="FFC55A11"/>
      </patternFill>
    </fill>
    <fill>
      <patternFill patternType="solid">
        <fgColor rgb="FFF4ECF7"/>
        <bgColor rgb="FFF3EAF9"/>
      </patternFill>
    </fill>
    <fill>
      <patternFill patternType="solid">
        <fgColor rgb="FFF0E6FF"/>
        <bgColor rgb="FFF3EAF9"/>
      </patternFill>
    </fill>
    <fill>
      <patternFill patternType="solid">
        <fgColor rgb="FFD5F5E3"/>
        <bgColor rgb="FFE2EFDA"/>
      </patternFill>
    </fill>
    <fill>
      <patternFill patternType="solid">
        <fgColor rgb="FFFEF9E7"/>
        <bgColor rgb="FFFFFDE7"/>
      </patternFill>
    </fill>
    <fill>
      <patternFill patternType="solid">
        <fgColor rgb="FFFDF3CC"/>
        <bgColor rgb="FFFFF2CC"/>
      </patternFill>
    </fill>
    <fill>
      <patternFill patternType="solid">
        <fgColor rgb="FFD7BDE2"/>
        <bgColor rgb="FFE8D5F5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2E75B6"/>
      </left>
      <right style="medium">
        <color rgb="FF2E75B6"/>
      </right>
      <top style="thin">
        <color rgb="FFAAAAAA"/>
      </top>
      <bottom style="thin">
        <color rgb="FFAAAAAA"/>
      </bottom>
      <diagonal/>
    </border>
    <border>
      <left style="medium">
        <color rgb="FFC55A11"/>
      </left>
      <right style="medium">
        <color rgb="FFC55A1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4" fillId="31" borderId="0" xfId="0" applyFont="1" applyFill="1" applyAlignment="1">
      <alignment horizontal="left" vertical="center"/>
    </xf>
    <xf numFmtId="0" fontId="33" fillId="3" borderId="0" xfId="0" applyFont="1" applyFill="1" applyAlignment="1">
      <alignment horizontal="left" vertical="center"/>
    </xf>
    <xf numFmtId="0" fontId="26" fillId="20" borderId="0" xfId="0" applyFont="1" applyFill="1" applyAlignment="1">
      <alignment horizontal="left" vertical="center"/>
    </xf>
    <xf numFmtId="0" fontId="16" fillId="13" borderId="0" xfId="0" applyFont="1" applyFill="1" applyAlignment="1">
      <alignment horizontal="left" vertical="center"/>
    </xf>
    <xf numFmtId="0" fontId="32" fillId="13" borderId="7" xfId="0" applyFont="1" applyFill="1" applyBorder="1" applyAlignment="1">
      <alignment horizontal="center" vertical="center"/>
    </xf>
    <xf numFmtId="0" fontId="0" fillId="20" borderId="0" xfId="0" applyFill="1"/>
    <xf numFmtId="0" fontId="15" fillId="25" borderId="0" xfId="0" applyFont="1" applyFill="1" applyAlignment="1">
      <alignment horizontal="center" vertical="center" wrapText="1"/>
    </xf>
    <xf numFmtId="0" fontId="15" fillId="24" borderId="0" xfId="0" applyFont="1" applyFill="1" applyAlignment="1">
      <alignment horizontal="center" vertical="center" wrapText="1"/>
    </xf>
    <xf numFmtId="0" fontId="15" fillId="23" borderId="0" xfId="0" applyFont="1" applyFill="1" applyAlignment="1">
      <alignment horizontal="center" vertical="center" wrapText="1"/>
    </xf>
    <xf numFmtId="0" fontId="15" fillId="22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29" fillId="21" borderId="0" xfId="0" applyFont="1" applyFill="1" applyAlignment="1">
      <alignment horizontal="center" vertical="center" wrapText="1"/>
    </xf>
    <xf numFmtId="0" fontId="28" fillId="20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9" fillId="0" borderId="3" xfId="0" applyFont="1" applyBorder="1"/>
    <xf numFmtId="0" fontId="10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3" fontId="10" fillId="8" borderId="3" xfId="0" applyNumberFormat="1" applyFont="1" applyFill="1" applyBorder="1" applyAlignment="1">
      <alignment horizontal="right" vertical="center"/>
    </xf>
    <xf numFmtId="2" fontId="10" fillId="7" borderId="3" xfId="0" applyNumberFormat="1" applyFont="1" applyFill="1" applyBorder="1" applyAlignment="1">
      <alignment horizontal="right" vertical="center"/>
    </xf>
    <xf numFmtId="3" fontId="9" fillId="7" borderId="4" xfId="0" applyNumberFormat="1" applyFont="1" applyFill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2" fontId="4" fillId="5" borderId="5" xfId="0" applyNumberFormat="1" applyFont="1" applyFill="1" applyBorder="1" applyAlignment="1">
      <alignment horizontal="right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12" borderId="6" xfId="0" applyFont="1" applyFill="1" applyBorder="1" applyAlignment="1">
      <alignment horizontal="center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left" vertical="center"/>
    </xf>
    <xf numFmtId="3" fontId="18" fillId="16" borderId="6" xfId="0" applyNumberFormat="1" applyFont="1" applyFill="1" applyBorder="1" applyAlignment="1">
      <alignment horizontal="center" vertical="center"/>
    </xf>
    <xf numFmtId="3" fontId="15" fillId="11" borderId="6" xfId="0" applyNumberFormat="1" applyFont="1" applyFill="1" applyBorder="1" applyAlignment="1">
      <alignment horizontal="center" vertical="center"/>
    </xf>
    <xf numFmtId="4" fontId="18" fillId="16" borderId="6" xfId="0" applyNumberFormat="1" applyFont="1" applyFill="1" applyBorder="1" applyAlignment="1">
      <alignment horizontal="center" vertical="center"/>
    </xf>
    <xf numFmtId="4" fontId="19" fillId="17" borderId="6" xfId="0" applyNumberFormat="1" applyFont="1" applyFill="1" applyBorder="1" applyAlignment="1">
      <alignment horizontal="center" vertical="center"/>
    </xf>
    <xf numFmtId="4" fontId="15" fillId="12" borderId="6" xfId="0" applyNumberFormat="1" applyFont="1" applyFill="1" applyBorder="1" applyAlignment="1">
      <alignment horizontal="center" vertical="center"/>
    </xf>
    <xf numFmtId="3" fontId="15" fillId="12" borderId="6" xfId="0" applyNumberFormat="1" applyFont="1" applyFill="1" applyBorder="1" applyAlignment="1">
      <alignment horizontal="center" vertical="center"/>
    </xf>
    <xf numFmtId="3" fontId="15" fillId="13" borderId="6" xfId="0" applyNumberFormat="1" applyFont="1" applyFill="1" applyBorder="1" applyAlignment="1">
      <alignment horizontal="center" vertical="center"/>
    </xf>
    <xf numFmtId="3" fontId="20" fillId="18" borderId="6" xfId="0" applyNumberFormat="1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4" fontId="22" fillId="9" borderId="6" xfId="0" applyNumberFormat="1" applyFont="1" applyFill="1" applyBorder="1" applyAlignment="1">
      <alignment horizontal="center" vertical="center"/>
    </xf>
    <xf numFmtId="164" fontId="22" fillId="9" borderId="6" xfId="0" applyNumberFormat="1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left" vertical="center"/>
    </xf>
    <xf numFmtId="0" fontId="16" fillId="22" borderId="6" xfId="0" applyFont="1" applyFill="1" applyBorder="1" applyAlignment="1">
      <alignment horizontal="center" vertical="center" wrapText="1"/>
    </xf>
    <xf numFmtId="0" fontId="16" fillId="23" borderId="6" xfId="0" applyFont="1" applyFill="1" applyBorder="1" applyAlignment="1">
      <alignment horizontal="center" vertical="center" wrapText="1"/>
    </xf>
    <xf numFmtId="0" fontId="16" fillId="24" borderId="6" xfId="0" applyFont="1" applyFill="1" applyBorder="1" applyAlignment="1">
      <alignment horizontal="center" vertical="center" wrapText="1"/>
    </xf>
    <xf numFmtId="0" fontId="16" fillId="26" borderId="6" xfId="0" applyFont="1" applyFill="1" applyBorder="1" applyAlignment="1">
      <alignment horizontal="center" vertical="center" wrapText="1"/>
    </xf>
    <xf numFmtId="0" fontId="16" fillId="27" borderId="6" xfId="0" applyFont="1" applyFill="1" applyBorder="1" applyAlignment="1">
      <alignment horizontal="center" vertical="center" wrapText="1"/>
    </xf>
    <xf numFmtId="0" fontId="16" fillId="25" borderId="6" xfId="0" applyFont="1" applyFill="1" applyBorder="1" applyAlignment="1">
      <alignment horizontal="center" vertical="center" wrapText="1"/>
    </xf>
    <xf numFmtId="0" fontId="16" fillId="25" borderId="7" xfId="0" applyFont="1" applyFill="1" applyBorder="1" applyAlignment="1">
      <alignment horizontal="center" vertical="center" wrapText="1"/>
    </xf>
    <xf numFmtId="10" fontId="16" fillId="25" borderId="7" xfId="0" applyNumberFormat="1" applyFont="1" applyFill="1" applyBorder="1" applyAlignment="1">
      <alignment horizontal="center" vertical="center" wrapText="1"/>
    </xf>
    <xf numFmtId="0" fontId="20" fillId="28" borderId="6" xfId="0" applyFont="1" applyFill="1" applyBorder="1" applyAlignment="1">
      <alignment horizontal="center" vertical="center"/>
    </xf>
    <xf numFmtId="0" fontId="20" fillId="28" borderId="6" xfId="0" applyFont="1" applyFill="1" applyBorder="1" applyAlignment="1">
      <alignment horizontal="left" vertical="center"/>
    </xf>
    <xf numFmtId="3" fontId="20" fillId="29" borderId="6" xfId="0" applyNumberFormat="1" applyFont="1" applyFill="1" applyBorder="1" applyAlignment="1">
      <alignment horizontal="center" vertical="center"/>
    </xf>
    <xf numFmtId="3" fontId="20" fillId="3" borderId="6" xfId="0" applyNumberFormat="1" applyFont="1" applyFill="1" applyBorder="1" applyAlignment="1">
      <alignment horizontal="center" vertical="center"/>
    </xf>
    <xf numFmtId="3" fontId="30" fillId="3" borderId="6" xfId="0" applyNumberFormat="1" applyFont="1" applyFill="1" applyBorder="1" applyAlignment="1">
      <alignment horizontal="center" vertical="center"/>
    </xf>
    <xf numFmtId="3" fontId="20" fillId="30" borderId="6" xfId="0" applyNumberFormat="1" applyFont="1" applyFill="1" applyBorder="1" applyAlignment="1">
      <alignment horizontal="center" vertical="center"/>
    </xf>
    <xf numFmtId="3" fontId="30" fillId="30" borderId="6" xfId="0" applyNumberFormat="1" applyFont="1" applyFill="1" applyBorder="1" applyAlignment="1">
      <alignment horizontal="center" vertical="center"/>
    </xf>
    <xf numFmtId="3" fontId="17" fillId="31" borderId="6" xfId="0" applyNumberFormat="1" applyFont="1" applyFill="1" applyBorder="1" applyAlignment="1">
      <alignment horizontal="center" vertical="center"/>
    </xf>
    <xf numFmtId="3" fontId="30" fillId="31" borderId="6" xfId="0" applyNumberFormat="1" applyFont="1" applyFill="1" applyBorder="1" applyAlignment="1">
      <alignment horizontal="center" vertical="center"/>
    </xf>
    <xf numFmtId="3" fontId="17" fillId="32" borderId="6" xfId="0" applyNumberFormat="1" applyFont="1" applyFill="1" applyBorder="1" applyAlignment="1">
      <alignment horizontal="center" vertical="center"/>
    </xf>
    <xf numFmtId="3" fontId="30" fillId="32" borderId="6" xfId="0" applyNumberFormat="1" applyFont="1" applyFill="1" applyBorder="1" applyAlignment="1">
      <alignment horizontal="center" vertical="center"/>
    </xf>
    <xf numFmtId="3" fontId="30" fillId="33" borderId="6" xfId="0" applyNumberFormat="1" applyFont="1" applyFill="1" applyBorder="1" applyAlignment="1">
      <alignment horizontal="center" vertical="center"/>
    </xf>
    <xf numFmtId="0" fontId="21" fillId="33" borderId="6" xfId="0" applyFont="1" applyFill="1" applyBorder="1" applyAlignment="1">
      <alignment horizontal="center" vertical="center" wrapText="1"/>
    </xf>
    <xf numFmtId="10" fontId="17" fillId="33" borderId="6" xfId="0" applyNumberFormat="1" applyFont="1" applyFill="1" applyBorder="1" applyAlignment="1">
      <alignment horizontal="center" vertical="center"/>
    </xf>
    <xf numFmtId="0" fontId="31" fillId="33" borderId="7" xfId="0" applyFont="1" applyFill="1" applyBorder="1" applyAlignment="1">
      <alignment horizontal="left" vertical="center" wrapText="1"/>
    </xf>
    <xf numFmtId="10" fontId="17" fillId="31" borderId="6" xfId="0" applyNumberFormat="1" applyFont="1" applyFill="1" applyBorder="1" applyAlignment="1">
      <alignment horizontal="center" vertical="center"/>
    </xf>
    <xf numFmtId="0" fontId="20" fillId="19" borderId="6" xfId="0" applyFont="1" applyFill="1" applyBorder="1" applyAlignment="1">
      <alignment horizontal="center" vertical="center"/>
    </xf>
    <xf numFmtId="0" fontId="20" fillId="19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23" fillId="7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0" fontId="26" fillId="18" borderId="0" xfId="0" applyFont="1" applyFill="1" applyAlignment="1">
      <alignment horizontal="left" vertical="center"/>
    </xf>
    <xf numFmtId="0" fontId="27" fillId="9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FEF9E7"/>
      <rgbColor rgb="FF800000"/>
      <rgbColor rgb="FF196F3D"/>
      <rgbColor rgb="FF000080"/>
      <rgbColor rgb="FF7D6608"/>
      <rgbColor rgb="FF800080"/>
      <rgbColor rgb="FF008080"/>
      <rgbColor rgb="FFD7BDE2"/>
      <rgbColor rgb="FF7F6000"/>
      <rgbColor rgb="FFF0E6FF"/>
      <rgbColor rgb="FF6C3483"/>
      <rgbColor rgb="FFFFFDE7"/>
      <rgbColor rgb="FFEBF3FB"/>
      <rgbColor rgb="FF4A235A"/>
      <rgbColor rgb="FFF3EAF9"/>
      <rgbColor rgb="FF1A5276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AF1"/>
      <rgbColor rgb="FFD5F5E3"/>
      <rgbColor rgb="FFFDF3CC"/>
      <rgbColor rgb="FFD6E4F0"/>
      <rgbColor rgb="FFEDE0F5"/>
      <rgbColor rgb="FFE8D5F5"/>
      <rgbColor rgb="FFFFD7D7"/>
      <rgbColor rgb="FF2E75B6"/>
      <rgbColor rgb="FFF4ECF7"/>
      <rgbColor rgb="FFF2F2F2"/>
      <rgbColor rgb="FFFCE4D6"/>
      <rgbColor rgb="FFB8860B"/>
      <rgbColor rgb="FFC55A11"/>
      <rgbColor rgb="FF666699"/>
      <rgbColor rgb="FFAAAAAA"/>
      <rgbColor rgb="FF1F3864"/>
      <rgbColor rgb="FF339966"/>
      <rgbColor rgb="FF375623"/>
      <rgbColor rgb="FF1B2631"/>
      <rgbColor rgb="FF843C0C"/>
      <rgbColor rgb="FF993366"/>
      <rgbColor rgb="FF1F497D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0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8" customWidth="1"/>
    <col min="3" max="3" width="22" customWidth="1"/>
    <col min="4" max="4" width="7" customWidth="1"/>
    <col min="5" max="5" width="10" customWidth="1"/>
    <col min="6" max="6" width="8" customWidth="1"/>
    <col min="7" max="7" width="10" customWidth="1"/>
    <col min="8" max="8" width="8" customWidth="1"/>
    <col min="9" max="9" width="10" customWidth="1"/>
    <col min="10" max="10" width="8" customWidth="1"/>
    <col min="11" max="11" width="10" customWidth="1"/>
    <col min="12" max="12" width="8" customWidth="1"/>
    <col min="13" max="13" width="10" customWidth="1"/>
    <col min="14" max="14" width="8" customWidth="1"/>
    <col min="15" max="15" width="10" customWidth="1"/>
    <col min="16" max="16" width="8" customWidth="1"/>
    <col min="17" max="17" width="10" customWidth="1"/>
    <col min="18" max="18" width="8" customWidth="1"/>
    <col min="19" max="19" width="10" customWidth="1"/>
    <col min="20" max="20" width="8" customWidth="1"/>
    <col min="21" max="21" width="10" customWidth="1"/>
    <col min="22" max="22" width="8" customWidth="1"/>
    <col min="23" max="23" width="10" customWidth="1"/>
    <col min="24" max="24" width="8" customWidth="1"/>
    <col min="25" max="25" width="10" customWidth="1"/>
    <col min="26" max="26" width="8" customWidth="1"/>
    <col min="27" max="27" width="10" customWidth="1"/>
    <col min="28" max="28" width="8" customWidth="1"/>
    <col min="29" max="29" width="10" customWidth="1"/>
    <col min="30" max="30" width="8" customWidth="1"/>
    <col min="31" max="31" width="10" customWidth="1"/>
    <col min="32" max="32" width="8" customWidth="1"/>
    <col min="33" max="33" width="10" customWidth="1"/>
    <col min="34" max="34" width="8" customWidth="1"/>
    <col min="35" max="35" width="10" customWidth="1"/>
    <col min="36" max="36" width="8" customWidth="1"/>
    <col min="37" max="37" width="10" customWidth="1"/>
    <col min="38" max="38" width="8" customWidth="1"/>
    <col min="39" max="39" width="10" customWidth="1"/>
    <col min="40" max="40" width="8" customWidth="1"/>
    <col min="41" max="41" width="10" customWidth="1"/>
    <col min="42" max="42" width="8" customWidth="1"/>
    <col min="43" max="43" width="10" customWidth="1"/>
    <col min="44" max="44" width="8" customWidth="1"/>
    <col min="45" max="45" width="10" customWidth="1"/>
    <col min="46" max="46" width="8" customWidth="1"/>
    <col min="47" max="47" width="10" customWidth="1"/>
    <col min="48" max="48" width="8" customWidth="1"/>
    <col min="49" max="49" width="10" customWidth="1"/>
    <col min="50" max="50" width="8" customWidth="1"/>
    <col min="51" max="51" width="10" customWidth="1"/>
    <col min="52" max="52" width="8" customWidth="1"/>
    <col min="53" max="53" width="10" customWidth="1"/>
    <col min="54" max="54" width="8" customWidth="1"/>
    <col min="55" max="55" width="10" customWidth="1"/>
    <col min="56" max="56" width="8" customWidth="1"/>
    <col min="57" max="57" width="10" customWidth="1"/>
    <col min="58" max="58" width="8" customWidth="1"/>
    <col min="59" max="59" width="10" customWidth="1"/>
    <col min="60" max="60" width="8" customWidth="1"/>
    <col min="61" max="61" width="10" customWidth="1"/>
    <col min="62" max="62" width="8" customWidth="1"/>
    <col min="63" max="63" width="10" customWidth="1"/>
    <col min="64" max="64" width="8" customWidth="1"/>
    <col min="65" max="65" width="10" customWidth="1"/>
    <col min="66" max="66" width="8" customWidth="1"/>
    <col min="67" max="67" width="10" customWidth="1"/>
    <col min="68" max="68" width="8" customWidth="1"/>
    <col min="69" max="69" width="10" customWidth="1"/>
    <col min="70" max="70" width="8" customWidth="1"/>
    <col min="71" max="71" width="10" customWidth="1"/>
    <col min="72" max="72" width="8" customWidth="1"/>
    <col min="73" max="73" width="10" customWidth="1"/>
    <col min="74" max="74" width="8" customWidth="1"/>
    <col min="75" max="75" width="10" customWidth="1"/>
    <col min="76" max="76" width="8" customWidth="1"/>
    <col min="77" max="77" width="10" customWidth="1"/>
    <col min="78" max="78" width="8" customWidth="1"/>
    <col min="79" max="79" width="10" customWidth="1"/>
    <col min="80" max="80" width="8" customWidth="1"/>
    <col min="81" max="81" width="10" customWidth="1"/>
    <col min="82" max="82" width="8" customWidth="1"/>
    <col min="83" max="83" width="10" customWidth="1"/>
    <col min="84" max="84" width="8" customWidth="1"/>
    <col min="85" max="85" width="10" customWidth="1"/>
    <col min="86" max="86" width="8" customWidth="1"/>
    <col min="87" max="87" width="10" customWidth="1"/>
    <col min="88" max="88" width="8" customWidth="1"/>
    <col min="89" max="89" width="10" customWidth="1"/>
    <col min="90" max="90" width="8" customWidth="1"/>
    <col min="91" max="91" width="10" customWidth="1"/>
    <col min="92" max="92" width="8" customWidth="1"/>
    <col min="93" max="93" width="10" customWidth="1"/>
    <col min="94" max="94" width="8" customWidth="1"/>
    <col min="95" max="95" width="10" customWidth="1"/>
    <col min="96" max="96" width="8" customWidth="1"/>
    <col min="97" max="97" width="10" customWidth="1"/>
    <col min="98" max="98" width="8" customWidth="1"/>
    <col min="99" max="99" width="10" customWidth="1"/>
    <col min="100" max="100" width="8" customWidth="1"/>
    <col min="101" max="101" width="10" customWidth="1"/>
    <col min="102" max="102" width="8" customWidth="1"/>
    <col min="103" max="103" width="10" customWidth="1"/>
    <col min="104" max="104" width="8" customWidth="1"/>
    <col min="105" max="105" width="10" customWidth="1"/>
    <col min="106" max="106" width="8" customWidth="1"/>
    <col min="107" max="107" width="10" customWidth="1"/>
    <col min="108" max="108" width="8" customWidth="1"/>
    <col min="109" max="109" width="10" customWidth="1"/>
    <col min="110" max="110" width="8" customWidth="1"/>
    <col min="111" max="111" width="10" customWidth="1"/>
    <col min="112" max="112" width="8" customWidth="1"/>
    <col min="113" max="113" width="10" customWidth="1"/>
    <col min="114" max="114" width="8" customWidth="1"/>
    <col min="115" max="115" width="10" customWidth="1"/>
    <col min="116" max="116" width="8" customWidth="1"/>
    <col min="117" max="117" width="10" customWidth="1"/>
    <col min="118" max="118" width="8" customWidth="1"/>
    <col min="119" max="119" width="10" customWidth="1"/>
    <col min="120" max="120" width="8" customWidth="1"/>
    <col min="121" max="121" width="10" customWidth="1"/>
    <col min="122" max="122" width="8" customWidth="1"/>
    <col min="123" max="123" width="10" customWidth="1"/>
    <col min="124" max="124" width="8" customWidth="1"/>
    <col min="125" max="125" width="10" customWidth="1"/>
    <col min="126" max="126" width="8" customWidth="1"/>
    <col min="127" max="127" width="10" customWidth="1"/>
    <col min="128" max="128" width="8" customWidth="1"/>
    <col min="129" max="129" width="10" customWidth="1"/>
    <col min="130" max="130" width="8" customWidth="1"/>
    <col min="131" max="131" width="10" customWidth="1"/>
    <col min="132" max="132" width="8" customWidth="1"/>
    <col min="133" max="133" width="10" customWidth="1"/>
    <col min="134" max="134" width="8" customWidth="1"/>
    <col min="135" max="135" width="13" customWidth="1"/>
  </cols>
  <sheetData>
    <row r="1" spans="1:135" ht="27.75" customHeight="1" x14ac:dyDescent="0.3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</row>
    <row r="2" spans="1:135" ht="30" customHeight="1" x14ac:dyDescent="0.35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</row>
    <row r="3" spans="1:135" ht="21.75" customHeight="1" x14ac:dyDescent="0.35">
      <c r="A3" s="76" t="s">
        <v>2</v>
      </c>
      <c r="B3" s="76" t="s">
        <v>3</v>
      </c>
      <c r="C3" s="76" t="s">
        <v>4</v>
      </c>
      <c r="D3" s="76" t="s">
        <v>5</v>
      </c>
      <c r="E3" s="77" t="s">
        <v>6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 t="s">
        <v>7</v>
      </c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 t="s">
        <v>8</v>
      </c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 t="s">
        <v>9</v>
      </c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 t="s">
        <v>10</v>
      </c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8" t="s">
        <v>11</v>
      </c>
    </row>
    <row r="4" spans="1:135" ht="36" customHeight="1" x14ac:dyDescent="0.35">
      <c r="A4" s="76"/>
      <c r="B4" s="76"/>
      <c r="C4" s="76"/>
      <c r="D4" s="76"/>
      <c r="E4" s="80" t="s">
        <v>12</v>
      </c>
      <c r="F4" s="80"/>
      <c r="G4" s="80" t="s">
        <v>13</v>
      </c>
      <c r="H4" s="80"/>
      <c r="I4" s="80" t="s">
        <v>14</v>
      </c>
      <c r="J4" s="80"/>
      <c r="K4" s="80" t="s">
        <v>15</v>
      </c>
      <c r="L4" s="80"/>
      <c r="M4" s="80" t="s">
        <v>16</v>
      </c>
      <c r="N4" s="80"/>
      <c r="O4" s="80" t="s">
        <v>17</v>
      </c>
      <c r="P4" s="80"/>
      <c r="Q4" s="80" t="s">
        <v>18</v>
      </c>
      <c r="R4" s="80"/>
      <c r="S4" s="80" t="s">
        <v>19</v>
      </c>
      <c r="T4" s="80"/>
      <c r="U4" s="80" t="s">
        <v>20</v>
      </c>
      <c r="V4" s="80"/>
      <c r="W4" s="80" t="s">
        <v>21</v>
      </c>
      <c r="X4" s="80"/>
      <c r="Y4" s="80" t="s">
        <v>22</v>
      </c>
      <c r="Z4" s="80"/>
      <c r="AA4" s="80" t="s">
        <v>23</v>
      </c>
      <c r="AB4" s="80"/>
      <c r="AC4" s="79" t="s">
        <v>24</v>
      </c>
      <c r="AD4" s="78" t="s">
        <v>25</v>
      </c>
      <c r="AE4" s="80" t="s">
        <v>12</v>
      </c>
      <c r="AF4" s="80"/>
      <c r="AG4" s="80" t="s">
        <v>13</v>
      </c>
      <c r="AH4" s="80"/>
      <c r="AI4" s="80" t="s">
        <v>14</v>
      </c>
      <c r="AJ4" s="80"/>
      <c r="AK4" s="80" t="s">
        <v>15</v>
      </c>
      <c r="AL4" s="80"/>
      <c r="AM4" s="80" t="s">
        <v>16</v>
      </c>
      <c r="AN4" s="80"/>
      <c r="AO4" s="80" t="s">
        <v>17</v>
      </c>
      <c r="AP4" s="80"/>
      <c r="AQ4" s="80" t="s">
        <v>18</v>
      </c>
      <c r="AR4" s="80"/>
      <c r="AS4" s="80" t="s">
        <v>19</v>
      </c>
      <c r="AT4" s="80"/>
      <c r="AU4" s="80" t="s">
        <v>20</v>
      </c>
      <c r="AV4" s="80"/>
      <c r="AW4" s="80" t="s">
        <v>21</v>
      </c>
      <c r="AX4" s="80"/>
      <c r="AY4" s="80" t="s">
        <v>22</v>
      </c>
      <c r="AZ4" s="80"/>
      <c r="BA4" s="80" t="s">
        <v>23</v>
      </c>
      <c r="BB4" s="80"/>
      <c r="BC4" s="79" t="s">
        <v>24</v>
      </c>
      <c r="BD4" s="78" t="s">
        <v>26</v>
      </c>
      <c r="BE4" s="80" t="s">
        <v>12</v>
      </c>
      <c r="BF4" s="80"/>
      <c r="BG4" s="80" t="s">
        <v>13</v>
      </c>
      <c r="BH4" s="80"/>
      <c r="BI4" s="80" t="s">
        <v>14</v>
      </c>
      <c r="BJ4" s="80"/>
      <c r="BK4" s="80" t="s">
        <v>15</v>
      </c>
      <c r="BL4" s="80"/>
      <c r="BM4" s="80" t="s">
        <v>16</v>
      </c>
      <c r="BN4" s="80"/>
      <c r="BO4" s="80" t="s">
        <v>17</v>
      </c>
      <c r="BP4" s="80"/>
      <c r="BQ4" s="80" t="s">
        <v>18</v>
      </c>
      <c r="BR4" s="80"/>
      <c r="BS4" s="80" t="s">
        <v>19</v>
      </c>
      <c r="BT4" s="80"/>
      <c r="BU4" s="80" t="s">
        <v>20</v>
      </c>
      <c r="BV4" s="80"/>
      <c r="BW4" s="80" t="s">
        <v>21</v>
      </c>
      <c r="BX4" s="80"/>
      <c r="BY4" s="80" t="s">
        <v>22</v>
      </c>
      <c r="BZ4" s="80"/>
      <c r="CA4" s="80" t="s">
        <v>23</v>
      </c>
      <c r="CB4" s="80"/>
      <c r="CC4" s="79" t="s">
        <v>24</v>
      </c>
      <c r="CD4" s="78" t="s">
        <v>27</v>
      </c>
      <c r="CE4" s="80" t="s">
        <v>12</v>
      </c>
      <c r="CF4" s="80"/>
      <c r="CG4" s="80" t="s">
        <v>13</v>
      </c>
      <c r="CH4" s="80"/>
      <c r="CI4" s="80" t="s">
        <v>14</v>
      </c>
      <c r="CJ4" s="80"/>
      <c r="CK4" s="80" t="s">
        <v>15</v>
      </c>
      <c r="CL4" s="80"/>
      <c r="CM4" s="80" t="s">
        <v>16</v>
      </c>
      <c r="CN4" s="80"/>
      <c r="CO4" s="80" t="s">
        <v>17</v>
      </c>
      <c r="CP4" s="80"/>
      <c r="CQ4" s="80" t="s">
        <v>18</v>
      </c>
      <c r="CR4" s="80"/>
      <c r="CS4" s="80" t="s">
        <v>19</v>
      </c>
      <c r="CT4" s="80"/>
      <c r="CU4" s="80" t="s">
        <v>20</v>
      </c>
      <c r="CV4" s="80"/>
      <c r="CW4" s="80" t="s">
        <v>21</v>
      </c>
      <c r="CX4" s="80"/>
      <c r="CY4" s="80" t="s">
        <v>22</v>
      </c>
      <c r="CZ4" s="80"/>
      <c r="DA4" s="80" t="s">
        <v>23</v>
      </c>
      <c r="DB4" s="80"/>
      <c r="DC4" s="79" t="s">
        <v>24</v>
      </c>
      <c r="DD4" s="78" t="s">
        <v>28</v>
      </c>
      <c r="DE4" s="80" t="s">
        <v>12</v>
      </c>
      <c r="DF4" s="80"/>
      <c r="DG4" s="80" t="s">
        <v>13</v>
      </c>
      <c r="DH4" s="80"/>
      <c r="DI4" s="80" t="s">
        <v>14</v>
      </c>
      <c r="DJ4" s="80"/>
      <c r="DK4" s="80" t="s">
        <v>15</v>
      </c>
      <c r="DL4" s="80"/>
      <c r="DM4" s="80" t="s">
        <v>16</v>
      </c>
      <c r="DN4" s="80"/>
      <c r="DO4" s="80" t="s">
        <v>17</v>
      </c>
      <c r="DP4" s="80"/>
      <c r="DQ4" s="80" t="s">
        <v>18</v>
      </c>
      <c r="DR4" s="80"/>
      <c r="DS4" s="80" t="s">
        <v>19</v>
      </c>
      <c r="DT4" s="80"/>
      <c r="DU4" s="80" t="s">
        <v>20</v>
      </c>
      <c r="DV4" s="80"/>
      <c r="DW4" s="80" t="s">
        <v>21</v>
      </c>
      <c r="DX4" s="80"/>
      <c r="DY4" s="80" t="s">
        <v>22</v>
      </c>
      <c r="DZ4" s="80"/>
      <c r="EA4" s="80" t="s">
        <v>23</v>
      </c>
      <c r="EB4" s="80"/>
      <c r="EC4" s="79" t="s">
        <v>24</v>
      </c>
      <c r="ED4" s="78" t="s">
        <v>29</v>
      </c>
      <c r="EE4" s="78"/>
    </row>
    <row r="5" spans="1:135" ht="36" customHeight="1" x14ac:dyDescent="0.35">
      <c r="A5" s="76"/>
      <c r="B5" s="76"/>
      <c r="C5" s="76"/>
      <c r="D5" s="76"/>
      <c r="E5" s="15" t="s">
        <v>30</v>
      </c>
      <c r="F5" s="16" t="s">
        <v>31</v>
      </c>
      <c r="G5" s="15" t="s">
        <v>32</v>
      </c>
      <c r="H5" s="16" t="s">
        <v>31</v>
      </c>
      <c r="I5" s="15" t="s">
        <v>30</v>
      </c>
      <c r="J5" s="16" t="s">
        <v>31</v>
      </c>
      <c r="K5" s="15" t="s">
        <v>33</v>
      </c>
      <c r="L5" s="16" t="s">
        <v>31</v>
      </c>
      <c r="M5" s="15" t="s">
        <v>30</v>
      </c>
      <c r="N5" s="16" t="s">
        <v>31</v>
      </c>
      <c r="O5" s="15" t="s">
        <v>33</v>
      </c>
      <c r="P5" s="16" t="s">
        <v>31</v>
      </c>
      <c r="Q5" s="15" t="s">
        <v>30</v>
      </c>
      <c r="R5" s="16" t="s">
        <v>31</v>
      </c>
      <c r="S5" s="15" t="s">
        <v>30</v>
      </c>
      <c r="T5" s="16" t="s">
        <v>31</v>
      </c>
      <c r="U5" s="15" t="s">
        <v>33</v>
      </c>
      <c r="V5" s="16" t="s">
        <v>31</v>
      </c>
      <c r="W5" s="15" t="s">
        <v>30</v>
      </c>
      <c r="X5" s="16" t="s">
        <v>31</v>
      </c>
      <c r="Y5" s="15" t="s">
        <v>33</v>
      </c>
      <c r="Z5" s="16" t="s">
        <v>31</v>
      </c>
      <c r="AA5" s="15" t="s">
        <v>30</v>
      </c>
      <c r="AB5" s="16" t="s">
        <v>31</v>
      </c>
      <c r="AC5" s="79"/>
      <c r="AD5" s="79"/>
      <c r="AE5" s="15" t="s">
        <v>30</v>
      </c>
      <c r="AF5" s="16" t="s">
        <v>31</v>
      </c>
      <c r="AG5" s="15" t="s">
        <v>32</v>
      </c>
      <c r="AH5" s="16" t="s">
        <v>31</v>
      </c>
      <c r="AI5" s="15" t="s">
        <v>30</v>
      </c>
      <c r="AJ5" s="16" t="s">
        <v>31</v>
      </c>
      <c r="AK5" s="15" t="s">
        <v>33</v>
      </c>
      <c r="AL5" s="16" t="s">
        <v>31</v>
      </c>
      <c r="AM5" s="15" t="s">
        <v>30</v>
      </c>
      <c r="AN5" s="16" t="s">
        <v>31</v>
      </c>
      <c r="AO5" s="15" t="s">
        <v>33</v>
      </c>
      <c r="AP5" s="16" t="s">
        <v>31</v>
      </c>
      <c r="AQ5" s="15" t="s">
        <v>30</v>
      </c>
      <c r="AR5" s="16" t="s">
        <v>31</v>
      </c>
      <c r="AS5" s="15" t="s">
        <v>30</v>
      </c>
      <c r="AT5" s="16" t="s">
        <v>31</v>
      </c>
      <c r="AU5" s="15" t="s">
        <v>33</v>
      </c>
      <c r="AV5" s="16" t="s">
        <v>31</v>
      </c>
      <c r="AW5" s="15" t="s">
        <v>30</v>
      </c>
      <c r="AX5" s="16" t="s">
        <v>31</v>
      </c>
      <c r="AY5" s="15" t="s">
        <v>33</v>
      </c>
      <c r="AZ5" s="16" t="s">
        <v>31</v>
      </c>
      <c r="BA5" s="15" t="s">
        <v>30</v>
      </c>
      <c r="BB5" s="16" t="s">
        <v>31</v>
      </c>
      <c r="BC5" s="79"/>
      <c r="BD5" s="79"/>
      <c r="BE5" s="15" t="s">
        <v>30</v>
      </c>
      <c r="BF5" s="16" t="s">
        <v>31</v>
      </c>
      <c r="BG5" s="15" t="s">
        <v>32</v>
      </c>
      <c r="BH5" s="16" t="s">
        <v>31</v>
      </c>
      <c r="BI5" s="15" t="s">
        <v>30</v>
      </c>
      <c r="BJ5" s="16" t="s">
        <v>31</v>
      </c>
      <c r="BK5" s="15" t="s">
        <v>33</v>
      </c>
      <c r="BL5" s="16" t="s">
        <v>31</v>
      </c>
      <c r="BM5" s="15" t="s">
        <v>30</v>
      </c>
      <c r="BN5" s="16" t="s">
        <v>31</v>
      </c>
      <c r="BO5" s="15" t="s">
        <v>33</v>
      </c>
      <c r="BP5" s="16" t="s">
        <v>31</v>
      </c>
      <c r="BQ5" s="15" t="s">
        <v>30</v>
      </c>
      <c r="BR5" s="16" t="s">
        <v>31</v>
      </c>
      <c r="BS5" s="15" t="s">
        <v>30</v>
      </c>
      <c r="BT5" s="16" t="s">
        <v>31</v>
      </c>
      <c r="BU5" s="15" t="s">
        <v>33</v>
      </c>
      <c r="BV5" s="16" t="s">
        <v>31</v>
      </c>
      <c r="BW5" s="15" t="s">
        <v>30</v>
      </c>
      <c r="BX5" s="16" t="s">
        <v>31</v>
      </c>
      <c r="BY5" s="15" t="s">
        <v>33</v>
      </c>
      <c r="BZ5" s="16" t="s">
        <v>31</v>
      </c>
      <c r="CA5" s="15" t="s">
        <v>30</v>
      </c>
      <c r="CB5" s="16" t="s">
        <v>31</v>
      </c>
      <c r="CC5" s="79"/>
      <c r="CD5" s="79"/>
      <c r="CE5" s="15" t="s">
        <v>30</v>
      </c>
      <c r="CF5" s="16" t="s">
        <v>31</v>
      </c>
      <c r="CG5" s="15" t="s">
        <v>32</v>
      </c>
      <c r="CH5" s="16" t="s">
        <v>31</v>
      </c>
      <c r="CI5" s="15" t="s">
        <v>30</v>
      </c>
      <c r="CJ5" s="16" t="s">
        <v>31</v>
      </c>
      <c r="CK5" s="15" t="s">
        <v>33</v>
      </c>
      <c r="CL5" s="16" t="s">
        <v>31</v>
      </c>
      <c r="CM5" s="15" t="s">
        <v>30</v>
      </c>
      <c r="CN5" s="16" t="s">
        <v>31</v>
      </c>
      <c r="CO5" s="15" t="s">
        <v>33</v>
      </c>
      <c r="CP5" s="16" t="s">
        <v>31</v>
      </c>
      <c r="CQ5" s="15" t="s">
        <v>30</v>
      </c>
      <c r="CR5" s="16" t="s">
        <v>31</v>
      </c>
      <c r="CS5" s="15" t="s">
        <v>30</v>
      </c>
      <c r="CT5" s="16" t="s">
        <v>31</v>
      </c>
      <c r="CU5" s="15" t="s">
        <v>33</v>
      </c>
      <c r="CV5" s="16" t="s">
        <v>31</v>
      </c>
      <c r="CW5" s="15" t="s">
        <v>30</v>
      </c>
      <c r="CX5" s="16" t="s">
        <v>31</v>
      </c>
      <c r="CY5" s="15" t="s">
        <v>33</v>
      </c>
      <c r="CZ5" s="16" t="s">
        <v>31</v>
      </c>
      <c r="DA5" s="15" t="s">
        <v>30</v>
      </c>
      <c r="DB5" s="16" t="s">
        <v>31</v>
      </c>
      <c r="DC5" s="79"/>
      <c r="DD5" s="79"/>
      <c r="DE5" s="15" t="s">
        <v>30</v>
      </c>
      <c r="DF5" s="16" t="s">
        <v>31</v>
      </c>
      <c r="DG5" s="15" t="s">
        <v>32</v>
      </c>
      <c r="DH5" s="16" t="s">
        <v>31</v>
      </c>
      <c r="DI5" s="15" t="s">
        <v>30</v>
      </c>
      <c r="DJ5" s="16" t="s">
        <v>31</v>
      </c>
      <c r="DK5" s="15" t="s">
        <v>33</v>
      </c>
      <c r="DL5" s="16" t="s">
        <v>31</v>
      </c>
      <c r="DM5" s="15" t="s">
        <v>30</v>
      </c>
      <c r="DN5" s="16" t="s">
        <v>31</v>
      </c>
      <c r="DO5" s="15" t="s">
        <v>33</v>
      </c>
      <c r="DP5" s="16" t="s">
        <v>31</v>
      </c>
      <c r="DQ5" s="15" t="s">
        <v>30</v>
      </c>
      <c r="DR5" s="16" t="s">
        <v>31</v>
      </c>
      <c r="DS5" s="15" t="s">
        <v>30</v>
      </c>
      <c r="DT5" s="16" t="s">
        <v>31</v>
      </c>
      <c r="DU5" s="15" t="s">
        <v>33</v>
      </c>
      <c r="DV5" s="16" t="s">
        <v>31</v>
      </c>
      <c r="DW5" s="15" t="s">
        <v>30</v>
      </c>
      <c r="DX5" s="16" t="s">
        <v>31</v>
      </c>
      <c r="DY5" s="15" t="s">
        <v>33</v>
      </c>
      <c r="DZ5" s="16" t="s">
        <v>31</v>
      </c>
      <c r="EA5" s="15" t="s">
        <v>30</v>
      </c>
      <c r="EB5" s="16" t="s">
        <v>31</v>
      </c>
      <c r="EC5" s="79"/>
      <c r="ED5" s="79"/>
      <c r="EE5" s="79"/>
    </row>
    <row r="6" spans="1:135" ht="15" customHeight="1" x14ac:dyDescent="0.35">
      <c r="A6" s="17">
        <v>1</v>
      </c>
      <c r="B6" s="18" t="s">
        <v>34</v>
      </c>
      <c r="C6" s="19" t="s">
        <v>35</v>
      </c>
      <c r="D6" s="20" t="s">
        <v>36</v>
      </c>
      <c r="E6" s="21">
        <v>3725</v>
      </c>
      <c r="F6" s="22">
        <f t="shared" ref="F6:F37" si="0">E6/31</f>
        <v>120.16129032258064</v>
      </c>
      <c r="G6" s="21">
        <v>2078</v>
      </c>
      <c r="H6" s="22">
        <f t="shared" ref="H6:H37" si="1">G6/28</f>
        <v>74.214285714285708</v>
      </c>
      <c r="I6" s="21">
        <v>2748</v>
      </c>
      <c r="J6" s="22">
        <f t="shared" ref="J6:J37" si="2">I6/31</f>
        <v>88.645161290322577</v>
      </c>
      <c r="K6" s="21">
        <v>2609</v>
      </c>
      <c r="L6" s="22">
        <f t="shared" ref="L6:L37" si="3">K6/30</f>
        <v>86.966666666666669</v>
      </c>
      <c r="M6" s="21">
        <v>3985</v>
      </c>
      <c r="N6" s="22">
        <f t="shared" ref="N6:N37" si="4">M6/31</f>
        <v>128.54838709677421</v>
      </c>
      <c r="O6" s="21">
        <v>3825</v>
      </c>
      <c r="P6" s="22">
        <f t="shared" ref="P6:P37" si="5">O6/30</f>
        <v>127.5</v>
      </c>
      <c r="Q6" s="21">
        <v>4403</v>
      </c>
      <c r="R6" s="22">
        <f t="shared" ref="R6:R37" si="6">Q6/31</f>
        <v>142.03225806451613</v>
      </c>
      <c r="S6" s="21">
        <v>2244</v>
      </c>
      <c r="T6" s="22">
        <f t="shared" ref="T6:T37" si="7">S6/31</f>
        <v>72.387096774193552</v>
      </c>
      <c r="U6" s="21">
        <v>3142</v>
      </c>
      <c r="V6" s="22">
        <f t="shared" ref="V6:V37" si="8">U6/30</f>
        <v>104.73333333333333</v>
      </c>
      <c r="W6" s="21">
        <v>2091</v>
      </c>
      <c r="X6" s="22">
        <f t="shared" ref="X6:X37" si="9">W6/31</f>
        <v>67.451612903225808</v>
      </c>
      <c r="Y6" s="21">
        <v>2597</v>
      </c>
      <c r="Z6" s="22">
        <f t="shared" ref="Z6:Z37" si="10">Y6/30</f>
        <v>86.566666666666663</v>
      </c>
      <c r="AA6" s="21">
        <v>3366</v>
      </c>
      <c r="AB6" s="22">
        <f t="shared" ref="AB6:AB37" si="11">AA6/31</f>
        <v>108.58064516129032</v>
      </c>
      <c r="AC6" s="23">
        <f t="shared" ref="AC6:AC37" si="12">SUM(E6:AA6)</f>
        <v>37912.206758832566</v>
      </c>
      <c r="AD6" s="24">
        <f t="shared" ref="AD6:AD37" si="13">IFERROR(STDEV(F6,H6,J6,L6,N6,P6,R6,T6,V6,X6,Z6,AB6),0)</f>
        <v>24.865921552935649</v>
      </c>
      <c r="AE6" s="21">
        <v>1966</v>
      </c>
      <c r="AF6" s="22">
        <f t="shared" ref="AF6:AF37" si="14">AE6/31</f>
        <v>63.41935483870968</v>
      </c>
      <c r="AG6" s="21">
        <v>2402</v>
      </c>
      <c r="AH6" s="22">
        <f t="shared" ref="AH6:AH37" si="15">AG6/28</f>
        <v>85.785714285714292</v>
      </c>
      <c r="AI6" s="21">
        <v>3544</v>
      </c>
      <c r="AJ6" s="22">
        <f t="shared" ref="AJ6:AJ37" si="16">AI6/31</f>
        <v>114.3225806451613</v>
      </c>
      <c r="AK6" s="21">
        <v>3278</v>
      </c>
      <c r="AL6" s="22">
        <f t="shared" ref="AL6:AL37" si="17">AK6/30</f>
        <v>109.26666666666667</v>
      </c>
      <c r="AM6" s="21">
        <v>2457</v>
      </c>
      <c r="AN6" s="22">
        <f t="shared" ref="AN6:AN37" si="18">AM6/31</f>
        <v>79.258064516129039</v>
      </c>
      <c r="AO6" s="21">
        <v>3391</v>
      </c>
      <c r="AP6" s="22">
        <f t="shared" ref="AP6:AP37" si="19">AO6/30</f>
        <v>113.03333333333333</v>
      </c>
      <c r="AQ6" s="21">
        <v>3948</v>
      </c>
      <c r="AR6" s="22">
        <f t="shared" ref="AR6:AR37" si="20">AQ6/31</f>
        <v>127.35483870967742</v>
      </c>
      <c r="AS6" s="21">
        <v>1915</v>
      </c>
      <c r="AT6" s="22">
        <f t="shared" ref="AT6:AT37" si="21">AS6/31</f>
        <v>61.774193548387096</v>
      </c>
      <c r="AU6" s="21">
        <v>3939</v>
      </c>
      <c r="AV6" s="22">
        <f t="shared" ref="AV6:AV37" si="22">AU6/30</f>
        <v>131.30000000000001</v>
      </c>
      <c r="AW6" s="21">
        <v>3666</v>
      </c>
      <c r="AX6" s="22">
        <f t="shared" ref="AX6:AX37" si="23">AW6/31</f>
        <v>118.25806451612904</v>
      </c>
      <c r="AY6" s="21">
        <v>2760</v>
      </c>
      <c r="AZ6" s="22">
        <f t="shared" ref="AZ6:AZ37" si="24">AY6/30</f>
        <v>92</v>
      </c>
      <c r="BA6" s="21">
        <v>2292</v>
      </c>
      <c r="BB6" s="22">
        <f t="shared" ref="BB6:BB37" si="25">BA6/31</f>
        <v>73.935483870967744</v>
      </c>
      <c r="BC6" s="23">
        <f t="shared" ref="BC6:BC37" si="26">SUM(AE6:BA6)</f>
        <v>36653.772811059906</v>
      </c>
      <c r="BD6" s="24">
        <f t="shared" ref="BD6:BD37" si="27">IFERROR(STDEV(AF6,AH6,AJ6,AL6,AN6,AP6,AR6,AT6,AV6,AX6,AZ6,BB6),0)</f>
        <v>24.533339831039825</v>
      </c>
      <c r="BE6" s="21">
        <v>4043</v>
      </c>
      <c r="BF6" s="22">
        <f t="shared" ref="BF6:BF37" si="28">BE6/31</f>
        <v>130.41935483870967</v>
      </c>
      <c r="BG6" s="21">
        <v>2574</v>
      </c>
      <c r="BH6" s="22">
        <f t="shared" ref="BH6:BH37" si="29">BG6/28</f>
        <v>91.928571428571431</v>
      </c>
      <c r="BI6" s="21">
        <v>1996</v>
      </c>
      <c r="BJ6" s="22">
        <f t="shared" ref="BJ6:BJ37" si="30">BI6/31</f>
        <v>64.387096774193552</v>
      </c>
      <c r="BK6" s="21">
        <v>2005</v>
      </c>
      <c r="BL6" s="22">
        <f t="shared" ref="BL6:BL37" si="31">BK6/30</f>
        <v>66.833333333333329</v>
      </c>
      <c r="BM6" s="21">
        <v>3784</v>
      </c>
      <c r="BN6" s="22">
        <f t="shared" ref="BN6:BN37" si="32">BM6/31</f>
        <v>122.06451612903226</v>
      </c>
      <c r="BO6" s="21">
        <v>3206</v>
      </c>
      <c r="BP6" s="22">
        <f t="shared" ref="BP6:BP37" si="33">BO6/30</f>
        <v>106.86666666666666</v>
      </c>
      <c r="BQ6" s="21">
        <v>3688</v>
      </c>
      <c r="BR6" s="22">
        <f t="shared" ref="BR6:BR37" si="34">BQ6/31</f>
        <v>118.96774193548387</v>
      </c>
      <c r="BS6" s="21">
        <v>3505</v>
      </c>
      <c r="BT6" s="22">
        <f t="shared" ref="BT6:BT37" si="35">BS6/31</f>
        <v>113.06451612903226</v>
      </c>
      <c r="BU6" s="21">
        <v>3046</v>
      </c>
      <c r="BV6" s="22">
        <f t="shared" ref="BV6:BV37" si="36">BU6/30</f>
        <v>101.53333333333333</v>
      </c>
      <c r="BW6" s="21">
        <v>4081</v>
      </c>
      <c r="BX6" s="22">
        <f t="shared" ref="BX6:BX37" si="37">BW6/31</f>
        <v>131.64516129032259</v>
      </c>
      <c r="BY6" s="21">
        <v>2673</v>
      </c>
      <c r="BZ6" s="22">
        <f t="shared" ref="BZ6:BZ37" si="38">BY6/30</f>
        <v>89.1</v>
      </c>
      <c r="CA6" s="21">
        <v>3084</v>
      </c>
      <c r="CB6" s="22">
        <f t="shared" ref="CB6:CB37" si="39">CA6/31</f>
        <v>99.483870967741936</v>
      </c>
      <c r="CC6" s="23">
        <f t="shared" ref="CC6:CC37" si="40">SUM(BE6:CA6)</f>
        <v>38821.810291858681</v>
      </c>
      <c r="CD6" s="24">
        <f t="shared" ref="CD6:CD37" si="41">IFERROR(STDEV(BF6,BH6,BJ6,BL6,BN6,BP6,BR6,BT6,BV6,BX6,BZ6,CB6),0)</f>
        <v>22.230842838297818</v>
      </c>
      <c r="CE6" s="21">
        <v>4507</v>
      </c>
      <c r="CF6" s="22">
        <f t="shared" ref="CF6:CF37" si="42">CE6/31</f>
        <v>145.38709677419354</v>
      </c>
      <c r="CG6" s="21">
        <v>3906</v>
      </c>
      <c r="CH6" s="22">
        <f t="shared" ref="CH6:CH37" si="43">CG6/28</f>
        <v>139.5</v>
      </c>
      <c r="CI6" s="21">
        <v>4600</v>
      </c>
      <c r="CJ6" s="22">
        <f t="shared" ref="CJ6:CJ37" si="44">CI6/31</f>
        <v>148.38709677419354</v>
      </c>
      <c r="CK6" s="21">
        <v>3788</v>
      </c>
      <c r="CL6" s="22">
        <f t="shared" ref="CL6:CL37" si="45">CK6/30</f>
        <v>126.26666666666667</v>
      </c>
      <c r="CM6" s="21">
        <v>4151</v>
      </c>
      <c r="CN6" s="22">
        <f t="shared" ref="CN6:CN37" si="46">CM6/31</f>
        <v>133.90322580645162</v>
      </c>
      <c r="CO6" s="21">
        <v>2271</v>
      </c>
      <c r="CP6" s="22">
        <f t="shared" ref="CP6:CP37" si="47">CO6/30</f>
        <v>75.7</v>
      </c>
      <c r="CQ6" s="21">
        <v>2791</v>
      </c>
      <c r="CR6" s="22">
        <f t="shared" ref="CR6:CR37" si="48">CQ6/31</f>
        <v>90.032258064516128</v>
      </c>
      <c r="CS6" s="21">
        <v>2966</v>
      </c>
      <c r="CT6" s="22">
        <f t="shared" ref="CT6:CT37" si="49">CS6/31</f>
        <v>95.677419354838705</v>
      </c>
      <c r="CU6" s="21">
        <v>2368</v>
      </c>
      <c r="CV6" s="22">
        <f t="shared" ref="CV6:CV37" si="50">CU6/30</f>
        <v>78.933333333333337</v>
      </c>
      <c r="CW6" s="21">
        <v>2805</v>
      </c>
      <c r="CX6" s="22">
        <f t="shared" ref="CX6:CX37" si="51">CW6/31</f>
        <v>90.483870967741936</v>
      </c>
      <c r="CY6" s="21">
        <v>2429</v>
      </c>
      <c r="CZ6" s="22">
        <f t="shared" ref="CZ6:CZ37" si="52">CY6/30</f>
        <v>80.966666666666669</v>
      </c>
      <c r="DA6" s="21">
        <v>2934</v>
      </c>
      <c r="DB6" s="22">
        <f t="shared" ref="DB6:DB37" si="53">DA6/31</f>
        <v>94.645161290322577</v>
      </c>
      <c r="DC6" s="23">
        <f t="shared" ref="DC6:DC37" si="54">SUM(CE6:DA6)</f>
        <v>40721.237634408601</v>
      </c>
      <c r="DD6" s="24">
        <f t="shared" ref="DD6:DD37" si="55">IFERROR(STDEV(CF6,CH6,CJ6,CL6,CN6,CP6,CR6,CT6,CV6,CX6,CZ6,DB6),0)</f>
        <v>27.966487943685237</v>
      </c>
      <c r="DE6" s="21">
        <v>2948</v>
      </c>
      <c r="DF6" s="22">
        <f t="shared" ref="DF6:DF37" si="56">DE6/31</f>
        <v>95.096774193548384</v>
      </c>
      <c r="DG6" s="21">
        <v>2372</v>
      </c>
      <c r="DH6" s="22">
        <f t="shared" ref="DH6:DH37" si="57">DG6/28</f>
        <v>84.714285714285708</v>
      </c>
      <c r="DI6" s="21">
        <v>2383</v>
      </c>
      <c r="DJ6" s="22">
        <f t="shared" ref="DJ6:DJ37" si="58">DI6/31</f>
        <v>76.870967741935488</v>
      </c>
      <c r="DK6" s="21">
        <v>2041</v>
      </c>
      <c r="DL6" s="22">
        <f t="shared" ref="DL6:DL37" si="59">DK6/30</f>
        <v>68.033333333333331</v>
      </c>
      <c r="DM6" s="21">
        <v>2163</v>
      </c>
      <c r="DN6" s="22">
        <f t="shared" ref="DN6:DN37" si="60">DM6/31</f>
        <v>69.774193548387103</v>
      </c>
      <c r="DO6" s="21">
        <v>3588</v>
      </c>
      <c r="DP6" s="22">
        <f t="shared" ref="DP6:DP37" si="61">DO6/30</f>
        <v>119.6</v>
      </c>
      <c r="DQ6" s="21">
        <v>2974</v>
      </c>
      <c r="DR6" s="22">
        <f t="shared" ref="DR6:DR37" si="62">DQ6/31</f>
        <v>95.935483870967744</v>
      </c>
      <c r="DS6" s="21">
        <v>2891</v>
      </c>
      <c r="DT6" s="22">
        <f t="shared" ref="DT6:DT37" si="63">DS6/31</f>
        <v>93.258064516129039</v>
      </c>
      <c r="DU6" s="21">
        <v>1960</v>
      </c>
      <c r="DV6" s="22">
        <f t="shared" ref="DV6:DV37" si="64">DU6/30</f>
        <v>65.333333333333329</v>
      </c>
      <c r="DW6" s="21">
        <v>3147</v>
      </c>
      <c r="DX6" s="22">
        <f t="shared" ref="DX6:DX37" si="65">DW6/31</f>
        <v>101.51612903225806</v>
      </c>
      <c r="DY6" s="21">
        <v>1943</v>
      </c>
      <c r="DZ6" s="22">
        <f t="shared" ref="DZ6:DZ37" si="66">DY6/30</f>
        <v>64.766666666666666</v>
      </c>
      <c r="EA6" s="21">
        <v>2403</v>
      </c>
      <c r="EB6" s="22">
        <f t="shared" ref="EB6:EB37" si="67">EA6/31</f>
        <v>77.516129032258064</v>
      </c>
      <c r="EC6" s="23">
        <f t="shared" ref="EC6:EC37" si="68">SUM(DE6:EA6)</f>
        <v>31747.89923195084</v>
      </c>
      <c r="ED6" s="24">
        <f t="shared" ref="ED6:ED37" si="69">IFERROR(STDEV(DF6,DH6,DJ6,DL6,DN6,DP6,DR6,DT6,DV6,DX6,DZ6,EB6),0)</f>
        <v>17.037134700470919</v>
      </c>
      <c r="EE6" s="25">
        <f t="shared" ref="EE6:EE37" si="70">STDEV(F6:AB6,AF6:BB6,BF6:CB6,CF6:DB6,DF6:EB6)</f>
        <v>1523.1254726514035</v>
      </c>
    </row>
    <row r="7" spans="1:135" ht="15" customHeight="1" x14ac:dyDescent="0.35">
      <c r="A7" s="17">
        <v>2</v>
      </c>
      <c r="B7" s="18" t="s">
        <v>37</v>
      </c>
      <c r="C7" s="19" t="s">
        <v>38</v>
      </c>
      <c r="D7" s="20" t="s">
        <v>36</v>
      </c>
      <c r="E7" s="21">
        <v>4411</v>
      </c>
      <c r="F7" s="22">
        <f t="shared" si="0"/>
        <v>142.29032258064515</v>
      </c>
      <c r="G7" s="21">
        <v>3524</v>
      </c>
      <c r="H7" s="22">
        <f t="shared" si="1"/>
        <v>125.85714285714286</v>
      </c>
      <c r="I7" s="21">
        <v>3314</v>
      </c>
      <c r="J7" s="22">
        <f t="shared" si="2"/>
        <v>106.90322580645162</v>
      </c>
      <c r="K7" s="21">
        <v>3637</v>
      </c>
      <c r="L7" s="22">
        <f t="shared" si="3"/>
        <v>121.23333333333333</v>
      </c>
      <c r="M7" s="21">
        <v>4039</v>
      </c>
      <c r="N7" s="22">
        <f t="shared" si="4"/>
        <v>130.29032258064515</v>
      </c>
      <c r="O7" s="21">
        <v>3869</v>
      </c>
      <c r="P7" s="22">
        <f t="shared" si="5"/>
        <v>128.96666666666667</v>
      </c>
      <c r="Q7" s="21">
        <v>2482</v>
      </c>
      <c r="R7" s="22">
        <f t="shared" si="6"/>
        <v>80.064516129032256</v>
      </c>
      <c r="S7" s="21">
        <v>1983</v>
      </c>
      <c r="T7" s="22">
        <f t="shared" si="7"/>
        <v>63.967741935483872</v>
      </c>
      <c r="U7" s="21">
        <v>2701</v>
      </c>
      <c r="V7" s="22">
        <f t="shared" si="8"/>
        <v>90.033333333333331</v>
      </c>
      <c r="W7" s="21">
        <v>2580</v>
      </c>
      <c r="X7" s="22">
        <f t="shared" si="9"/>
        <v>83.225806451612897</v>
      </c>
      <c r="Y7" s="21">
        <v>2437</v>
      </c>
      <c r="Z7" s="22">
        <f t="shared" si="10"/>
        <v>81.233333333333334</v>
      </c>
      <c r="AA7" s="21">
        <v>4292</v>
      </c>
      <c r="AB7" s="22">
        <f t="shared" si="11"/>
        <v>138.45161290322579</v>
      </c>
      <c r="AC7" s="23">
        <f t="shared" si="12"/>
        <v>40423.065745007683</v>
      </c>
      <c r="AD7" s="24">
        <f t="shared" si="13"/>
        <v>26.80913110493309</v>
      </c>
      <c r="AE7" s="21">
        <v>4644</v>
      </c>
      <c r="AF7" s="22">
        <f t="shared" si="14"/>
        <v>149.80645161290323</v>
      </c>
      <c r="AG7" s="21">
        <v>3040</v>
      </c>
      <c r="AH7" s="22">
        <f t="shared" si="15"/>
        <v>108.57142857142857</v>
      </c>
      <c r="AI7" s="21">
        <v>4013</v>
      </c>
      <c r="AJ7" s="22">
        <f t="shared" si="16"/>
        <v>129.45161290322579</v>
      </c>
      <c r="AK7" s="21">
        <v>3271</v>
      </c>
      <c r="AL7" s="22">
        <f t="shared" si="17"/>
        <v>109.03333333333333</v>
      </c>
      <c r="AM7" s="21">
        <v>4753</v>
      </c>
      <c r="AN7" s="22">
        <f t="shared" si="18"/>
        <v>153.32258064516128</v>
      </c>
      <c r="AO7" s="21">
        <v>3452</v>
      </c>
      <c r="AP7" s="22">
        <f t="shared" si="19"/>
        <v>115.06666666666666</v>
      </c>
      <c r="AQ7" s="21">
        <v>2898</v>
      </c>
      <c r="AR7" s="22">
        <f t="shared" si="20"/>
        <v>93.483870967741936</v>
      </c>
      <c r="AS7" s="21">
        <v>2846</v>
      </c>
      <c r="AT7" s="22">
        <f t="shared" si="21"/>
        <v>91.806451612903231</v>
      </c>
      <c r="AU7" s="21">
        <v>3744</v>
      </c>
      <c r="AV7" s="22">
        <f t="shared" si="22"/>
        <v>124.8</v>
      </c>
      <c r="AW7" s="21">
        <v>2892</v>
      </c>
      <c r="AX7" s="22">
        <f t="shared" si="23"/>
        <v>93.290322580645167</v>
      </c>
      <c r="AY7" s="21">
        <v>3811</v>
      </c>
      <c r="AZ7" s="22">
        <f t="shared" si="24"/>
        <v>127.03333333333333</v>
      </c>
      <c r="BA7" s="21">
        <v>4705</v>
      </c>
      <c r="BB7" s="22">
        <f t="shared" si="25"/>
        <v>151.7741935483871</v>
      </c>
      <c r="BC7" s="23">
        <f t="shared" si="26"/>
        <v>45364.666052227345</v>
      </c>
      <c r="BD7" s="24">
        <f t="shared" si="27"/>
        <v>22.668063059471102</v>
      </c>
      <c r="BE7" s="21">
        <v>3677</v>
      </c>
      <c r="BF7" s="22">
        <f t="shared" si="28"/>
        <v>118.61290322580645</v>
      </c>
      <c r="BG7" s="21">
        <v>3101</v>
      </c>
      <c r="BH7" s="22">
        <f t="shared" si="29"/>
        <v>110.75</v>
      </c>
      <c r="BI7" s="21">
        <v>5590</v>
      </c>
      <c r="BJ7" s="22">
        <f t="shared" si="30"/>
        <v>180.32258064516128</v>
      </c>
      <c r="BK7" s="21">
        <v>4029</v>
      </c>
      <c r="BL7" s="22">
        <f t="shared" si="31"/>
        <v>134.30000000000001</v>
      </c>
      <c r="BM7" s="21">
        <v>2690</v>
      </c>
      <c r="BN7" s="22">
        <f t="shared" si="32"/>
        <v>86.774193548387103</v>
      </c>
      <c r="BO7" s="21">
        <v>2550</v>
      </c>
      <c r="BP7" s="22">
        <f t="shared" si="33"/>
        <v>85</v>
      </c>
      <c r="BQ7" s="21">
        <v>2750</v>
      </c>
      <c r="BR7" s="22">
        <f t="shared" si="34"/>
        <v>88.709677419354833</v>
      </c>
      <c r="BS7" s="21">
        <v>4406</v>
      </c>
      <c r="BT7" s="22">
        <f t="shared" si="35"/>
        <v>142.12903225806451</v>
      </c>
      <c r="BU7" s="21">
        <v>4933</v>
      </c>
      <c r="BV7" s="22">
        <f t="shared" si="36"/>
        <v>164.43333333333334</v>
      </c>
      <c r="BW7" s="21">
        <v>3750</v>
      </c>
      <c r="BX7" s="22">
        <f t="shared" si="37"/>
        <v>120.96774193548387</v>
      </c>
      <c r="BY7" s="21">
        <v>2602</v>
      </c>
      <c r="BZ7" s="22">
        <f t="shared" si="38"/>
        <v>86.733333333333334</v>
      </c>
      <c r="CA7" s="21">
        <v>3620</v>
      </c>
      <c r="CB7" s="22">
        <f t="shared" si="39"/>
        <v>116.7741935483871</v>
      </c>
      <c r="CC7" s="23">
        <f t="shared" si="40"/>
        <v>45016.732795698925</v>
      </c>
      <c r="CD7" s="24">
        <f t="shared" si="41"/>
        <v>31.361782120043909</v>
      </c>
      <c r="CE7" s="21">
        <v>3854</v>
      </c>
      <c r="CF7" s="22">
        <f t="shared" si="42"/>
        <v>124.3225806451613</v>
      </c>
      <c r="CG7" s="21">
        <v>2823</v>
      </c>
      <c r="CH7" s="22">
        <f t="shared" si="43"/>
        <v>100.82142857142857</v>
      </c>
      <c r="CI7" s="21">
        <v>3799</v>
      </c>
      <c r="CJ7" s="22">
        <f t="shared" si="44"/>
        <v>122.54838709677419</v>
      </c>
      <c r="CK7" s="21">
        <v>3556</v>
      </c>
      <c r="CL7" s="22">
        <f t="shared" si="45"/>
        <v>118.53333333333333</v>
      </c>
      <c r="CM7" s="21">
        <v>1681</v>
      </c>
      <c r="CN7" s="22">
        <f t="shared" si="46"/>
        <v>54.225806451612904</v>
      </c>
      <c r="CO7" s="21">
        <v>3246</v>
      </c>
      <c r="CP7" s="22">
        <f t="shared" si="47"/>
        <v>108.2</v>
      </c>
      <c r="CQ7" s="21">
        <v>3160</v>
      </c>
      <c r="CR7" s="22">
        <f t="shared" si="48"/>
        <v>101.93548387096774</v>
      </c>
      <c r="CS7" s="21">
        <v>2841</v>
      </c>
      <c r="CT7" s="22">
        <f t="shared" si="49"/>
        <v>91.645161290322577</v>
      </c>
      <c r="CU7" s="21">
        <v>2245</v>
      </c>
      <c r="CV7" s="22">
        <f t="shared" si="50"/>
        <v>74.833333333333329</v>
      </c>
      <c r="CW7" s="21">
        <v>3070</v>
      </c>
      <c r="CX7" s="22">
        <f t="shared" si="51"/>
        <v>99.032258064516128</v>
      </c>
      <c r="CY7" s="21">
        <v>1902</v>
      </c>
      <c r="CZ7" s="22">
        <f t="shared" si="52"/>
        <v>63.4</v>
      </c>
      <c r="DA7" s="21">
        <v>2615</v>
      </c>
      <c r="DB7" s="22">
        <f t="shared" si="53"/>
        <v>84.354838709677423</v>
      </c>
      <c r="DC7" s="23">
        <f t="shared" si="54"/>
        <v>35851.497772657451</v>
      </c>
      <c r="DD7" s="24">
        <f t="shared" si="55"/>
        <v>22.635774257177481</v>
      </c>
      <c r="DE7" s="21">
        <v>2611</v>
      </c>
      <c r="DF7" s="22">
        <f t="shared" si="56"/>
        <v>84.225806451612897</v>
      </c>
      <c r="DG7" s="21">
        <v>3695</v>
      </c>
      <c r="DH7" s="22">
        <f t="shared" si="57"/>
        <v>131.96428571428572</v>
      </c>
      <c r="DI7" s="21">
        <v>3526</v>
      </c>
      <c r="DJ7" s="22">
        <f t="shared" si="58"/>
        <v>113.74193548387096</v>
      </c>
      <c r="DK7" s="21">
        <v>2198</v>
      </c>
      <c r="DL7" s="22">
        <f t="shared" si="59"/>
        <v>73.266666666666666</v>
      </c>
      <c r="DM7" s="21">
        <v>2712</v>
      </c>
      <c r="DN7" s="22">
        <f t="shared" si="60"/>
        <v>87.483870967741936</v>
      </c>
      <c r="DO7" s="21">
        <v>2014</v>
      </c>
      <c r="DP7" s="22">
        <f t="shared" si="61"/>
        <v>67.13333333333334</v>
      </c>
      <c r="DQ7" s="21">
        <v>3606</v>
      </c>
      <c r="DR7" s="22">
        <f t="shared" si="62"/>
        <v>116.3225806451613</v>
      </c>
      <c r="DS7" s="21">
        <v>3515</v>
      </c>
      <c r="DT7" s="22">
        <f t="shared" si="63"/>
        <v>113.38709677419355</v>
      </c>
      <c r="DU7" s="21">
        <v>2274</v>
      </c>
      <c r="DV7" s="22">
        <f t="shared" si="64"/>
        <v>75.8</v>
      </c>
      <c r="DW7" s="21">
        <v>3012</v>
      </c>
      <c r="DX7" s="22">
        <f t="shared" si="65"/>
        <v>97.161290322580641</v>
      </c>
      <c r="DY7" s="21">
        <v>2947</v>
      </c>
      <c r="DZ7" s="22">
        <f t="shared" si="66"/>
        <v>98.233333333333334</v>
      </c>
      <c r="EA7" s="21">
        <v>1958</v>
      </c>
      <c r="EB7" s="22">
        <f t="shared" si="67"/>
        <v>63.161290322580648</v>
      </c>
      <c r="EC7" s="23">
        <f t="shared" si="68"/>
        <v>35126.720199692783</v>
      </c>
      <c r="ED7" s="24">
        <f t="shared" si="69"/>
        <v>21.954359729024947</v>
      </c>
      <c r="EE7" s="25">
        <f t="shared" si="70"/>
        <v>1658.0651026720659</v>
      </c>
    </row>
    <row r="8" spans="1:135" ht="15" customHeight="1" x14ac:dyDescent="0.35">
      <c r="A8" s="17">
        <v>3</v>
      </c>
      <c r="B8" s="18" t="s">
        <v>39</v>
      </c>
      <c r="C8" s="19" t="s">
        <v>40</v>
      </c>
      <c r="D8" s="20" t="s">
        <v>36</v>
      </c>
      <c r="E8" s="21">
        <v>3492</v>
      </c>
      <c r="F8" s="22">
        <f t="shared" si="0"/>
        <v>112.64516129032258</v>
      </c>
      <c r="G8" s="21">
        <v>2977</v>
      </c>
      <c r="H8" s="22">
        <f t="shared" si="1"/>
        <v>106.32142857142857</v>
      </c>
      <c r="I8" s="21">
        <v>3529</v>
      </c>
      <c r="J8" s="22">
        <f t="shared" si="2"/>
        <v>113.83870967741936</v>
      </c>
      <c r="K8" s="21">
        <v>2956</v>
      </c>
      <c r="L8" s="22">
        <f t="shared" si="3"/>
        <v>98.533333333333331</v>
      </c>
      <c r="M8" s="21">
        <v>1733</v>
      </c>
      <c r="N8" s="22">
        <f t="shared" si="4"/>
        <v>55.903225806451616</v>
      </c>
      <c r="O8" s="21">
        <v>2480</v>
      </c>
      <c r="P8" s="22">
        <f t="shared" si="5"/>
        <v>82.666666666666671</v>
      </c>
      <c r="Q8" s="21">
        <v>1776</v>
      </c>
      <c r="R8" s="22">
        <f t="shared" si="6"/>
        <v>57.29032258064516</v>
      </c>
      <c r="S8" s="21">
        <v>3877</v>
      </c>
      <c r="T8" s="22">
        <f t="shared" si="7"/>
        <v>125.06451612903226</v>
      </c>
      <c r="U8" s="21">
        <v>3760</v>
      </c>
      <c r="V8" s="22">
        <f t="shared" si="8"/>
        <v>125.33333333333333</v>
      </c>
      <c r="W8" s="21">
        <v>3652</v>
      </c>
      <c r="X8" s="22">
        <f t="shared" si="9"/>
        <v>117.80645161290323</v>
      </c>
      <c r="Y8" s="21">
        <v>2441</v>
      </c>
      <c r="Z8" s="22">
        <f t="shared" si="10"/>
        <v>81.36666666666666</v>
      </c>
      <c r="AA8" s="21">
        <v>1865</v>
      </c>
      <c r="AB8" s="22">
        <f t="shared" si="11"/>
        <v>60.161290322580648</v>
      </c>
      <c r="AC8" s="23">
        <f t="shared" si="12"/>
        <v>35614.769815668202</v>
      </c>
      <c r="AD8" s="24">
        <f t="shared" si="13"/>
        <v>26.375842298868374</v>
      </c>
      <c r="AE8" s="21">
        <v>2938</v>
      </c>
      <c r="AF8" s="22">
        <f t="shared" si="14"/>
        <v>94.774193548387103</v>
      </c>
      <c r="AG8" s="21">
        <v>3062</v>
      </c>
      <c r="AH8" s="22">
        <f t="shared" si="15"/>
        <v>109.35714285714286</v>
      </c>
      <c r="AI8" s="21">
        <v>1508</v>
      </c>
      <c r="AJ8" s="22">
        <f t="shared" si="16"/>
        <v>48.645161290322584</v>
      </c>
      <c r="AK8" s="21">
        <v>2230</v>
      </c>
      <c r="AL8" s="22">
        <f t="shared" si="17"/>
        <v>74.333333333333329</v>
      </c>
      <c r="AM8" s="21">
        <v>1478</v>
      </c>
      <c r="AN8" s="22">
        <f t="shared" si="18"/>
        <v>47.677419354838712</v>
      </c>
      <c r="AO8" s="21">
        <v>2726</v>
      </c>
      <c r="AP8" s="22">
        <f t="shared" si="19"/>
        <v>90.86666666666666</v>
      </c>
      <c r="AQ8" s="21">
        <v>2735</v>
      </c>
      <c r="AR8" s="22">
        <f t="shared" si="20"/>
        <v>88.225806451612897</v>
      </c>
      <c r="AS8" s="21">
        <v>1585</v>
      </c>
      <c r="AT8" s="22">
        <f t="shared" si="21"/>
        <v>51.12903225806452</v>
      </c>
      <c r="AU8" s="21">
        <v>2211</v>
      </c>
      <c r="AV8" s="22">
        <f t="shared" si="22"/>
        <v>73.7</v>
      </c>
      <c r="AW8" s="21">
        <v>2346</v>
      </c>
      <c r="AX8" s="22">
        <f t="shared" si="23"/>
        <v>75.677419354838705</v>
      </c>
      <c r="AY8" s="21">
        <v>1832</v>
      </c>
      <c r="AZ8" s="22">
        <f t="shared" si="24"/>
        <v>61.06666666666667</v>
      </c>
      <c r="BA8" s="21">
        <v>2928</v>
      </c>
      <c r="BB8" s="22">
        <f t="shared" si="25"/>
        <v>94.451612903225808</v>
      </c>
      <c r="BC8" s="23">
        <f t="shared" si="26"/>
        <v>28394.452841781876</v>
      </c>
      <c r="BD8" s="24">
        <f t="shared" si="27"/>
        <v>20.395967989509789</v>
      </c>
      <c r="BE8" s="21">
        <v>2325</v>
      </c>
      <c r="BF8" s="22">
        <f t="shared" si="28"/>
        <v>75</v>
      </c>
      <c r="BG8" s="21">
        <v>1906</v>
      </c>
      <c r="BH8" s="22">
        <f t="shared" si="29"/>
        <v>68.071428571428569</v>
      </c>
      <c r="BI8" s="21">
        <v>2555</v>
      </c>
      <c r="BJ8" s="22">
        <f t="shared" si="30"/>
        <v>82.41935483870968</v>
      </c>
      <c r="BK8" s="21">
        <v>2933</v>
      </c>
      <c r="BL8" s="22">
        <f t="shared" si="31"/>
        <v>97.766666666666666</v>
      </c>
      <c r="BM8" s="21">
        <v>1885</v>
      </c>
      <c r="BN8" s="22">
        <f t="shared" si="32"/>
        <v>60.806451612903224</v>
      </c>
      <c r="BO8" s="21">
        <v>2104</v>
      </c>
      <c r="BP8" s="22">
        <f t="shared" si="33"/>
        <v>70.13333333333334</v>
      </c>
      <c r="BQ8" s="21">
        <v>3459</v>
      </c>
      <c r="BR8" s="22">
        <f t="shared" si="34"/>
        <v>111.58064516129032</v>
      </c>
      <c r="BS8" s="21">
        <v>2775</v>
      </c>
      <c r="BT8" s="22">
        <f t="shared" si="35"/>
        <v>89.516129032258064</v>
      </c>
      <c r="BU8" s="21">
        <v>2355</v>
      </c>
      <c r="BV8" s="22">
        <f t="shared" si="36"/>
        <v>78.5</v>
      </c>
      <c r="BW8" s="21">
        <v>2512</v>
      </c>
      <c r="BX8" s="22">
        <f t="shared" si="37"/>
        <v>81.032258064516128</v>
      </c>
      <c r="BY8" s="21">
        <v>1726</v>
      </c>
      <c r="BZ8" s="22">
        <f t="shared" si="38"/>
        <v>57.533333333333331</v>
      </c>
      <c r="CA8" s="21">
        <v>1932</v>
      </c>
      <c r="CB8" s="22">
        <f t="shared" si="39"/>
        <v>62.322580645161288</v>
      </c>
      <c r="CC8" s="23">
        <f t="shared" si="40"/>
        <v>29339.35960061444</v>
      </c>
      <c r="CD8" s="24">
        <f t="shared" si="41"/>
        <v>15.981744236802045</v>
      </c>
      <c r="CE8" s="21">
        <v>2042</v>
      </c>
      <c r="CF8" s="22">
        <f t="shared" si="42"/>
        <v>65.870967741935488</v>
      </c>
      <c r="CG8" s="21">
        <v>2511</v>
      </c>
      <c r="CH8" s="22">
        <f t="shared" si="43"/>
        <v>89.678571428571431</v>
      </c>
      <c r="CI8" s="21">
        <v>1839</v>
      </c>
      <c r="CJ8" s="22">
        <f t="shared" si="44"/>
        <v>59.322580645161288</v>
      </c>
      <c r="CK8" s="21">
        <v>1821</v>
      </c>
      <c r="CL8" s="22">
        <f t="shared" si="45"/>
        <v>60.7</v>
      </c>
      <c r="CM8" s="21">
        <v>1541</v>
      </c>
      <c r="CN8" s="22">
        <f t="shared" si="46"/>
        <v>49.70967741935484</v>
      </c>
      <c r="CO8" s="21">
        <v>2592</v>
      </c>
      <c r="CP8" s="22">
        <f t="shared" si="47"/>
        <v>86.4</v>
      </c>
      <c r="CQ8" s="21">
        <v>1837</v>
      </c>
      <c r="CR8" s="22">
        <f t="shared" si="48"/>
        <v>59.258064516129032</v>
      </c>
      <c r="CS8" s="21">
        <v>3107</v>
      </c>
      <c r="CT8" s="22">
        <f t="shared" si="49"/>
        <v>100.2258064516129</v>
      </c>
      <c r="CU8" s="21">
        <v>3021</v>
      </c>
      <c r="CV8" s="22">
        <f t="shared" si="50"/>
        <v>100.7</v>
      </c>
      <c r="CW8" s="21">
        <v>1540</v>
      </c>
      <c r="CX8" s="22">
        <f t="shared" si="51"/>
        <v>49.677419354838712</v>
      </c>
      <c r="CY8" s="21">
        <v>1854</v>
      </c>
      <c r="CZ8" s="22">
        <f t="shared" si="52"/>
        <v>61.8</v>
      </c>
      <c r="DA8" s="21">
        <v>2663</v>
      </c>
      <c r="DB8" s="22">
        <f t="shared" si="53"/>
        <v>85.903225806451616</v>
      </c>
      <c r="DC8" s="23">
        <f t="shared" si="54"/>
        <v>27151.343087557601</v>
      </c>
      <c r="DD8" s="24">
        <f t="shared" si="55"/>
        <v>18.874728367222961</v>
      </c>
      <c r="DE8" s="21">
        <v>2107</v>
      </c>
      <c r="DF8" s="22">
        <f t="shared" si="56"/>
        <v>67.967741935483872</v>
      </c>
      <c r="DG8" s="21">
        <v>1928</v>
      </c>
      <c r="DH8" s="22">
        <f t="shared" si="57"/>
        <v>68.857142857142861</v>
      </c>
      <c r="DI8" s="21">
        <v>3683</v>
      </c>
      <c r="DJ8" s="22">
        <f t="shared" si="58"/>
        <v>118.80645161290323</v>
      </c>
      <c r="DK8" s="21">
        <v>2887</v>
      </c>
      <c r="DL8" s="22">
        <f t="shared" si="59"/>
        <v>96.233333333333334</v>
      </c>
      <c r="DM8" s="21">
        <v>2672</v>
      </c>
      <c r="DN8" s="22">
        <f t="shared" si="60"/>
        <v>86.193548387096769</v>
      </c>
      <c r="DO8" s="21">
        <v>3354</v>
      </c>
      <c r="DP8" s="22">
        <f t="shared" si="61"/>
        <v>111.8</v>
      </c>
      <c r="DQ8" s="21">
        <v>3404</v>
      </c>
      <c r="DR8" s="22">
        <f t="shared" si="62"/>
        <v>109.80645161290323</v>
      </c>
      <c r="DS8" s="21">
        <v>2055</v>
      </c>
      <c r="DT8" s="22">
        <f t="shared" si="63"/>
        <v>66.290322580645167</v>
      </c>
      <c r="DU8" s="21">
        <v>1851</v>
      </c>
      <c r="DV8" s="22">
        <f t="shared" si="64"/>
        <v>61.7</v>
      </c>
      <c r="DW8" s="21">
        <v>2581</v>
      </c>
      <c r="DX8" s="22">
        <f t="shared" si="65"/>
        <v>83.258064516129039</v>
      </c>
      <c r="DY8" s="21">
        <v>2565</v>
      </c>
      <c r="DZ8" s="22">
        <f t="shared" si="66"/>
        <v>85.5</v>
      </c>
      <c r="EA8" s="21">
        <v>2660</v>
      </c>
      <c r="EB8" s="22">
        <f t="shared" si="67"/>
        <v>85.806451612903231</v>
      </c>
      <c r="EC8" s="23">
        <f t="shared" si="68"/>
        <v>32703.413056835634</v>
      </c>
      <c r="ED8" s="24">
        <f t="shared" si="69"/>
        <v>19.094294052307074</v>
      </c>
      <c r="EE8" s="25">
        <f t="shared" si="70"/>
        <v>1280.2653845200555</v>
      </c>
    </row>
    <row r="9" spans="1:135" ht="15" customHeight="1" x14ac:dyDescent="0.35">
      <c r="A9" s="17">
        <v>4</v>
      </c>
      <c r="B9" s="18" t="s">
        <v>41</v>
      </c>
      <c r="C9" s="19" t="s">
        <v>42</v>
      </c>
      <c r="D9" s="20" t="s">
        <v>36</v>
      </c>
      <c r="E9" s="21">
        <v>3617</v>
      </c>
      <c r="F9" s="22">
        <f t="shared" si="0"/>
        <v>116.6774193548387</v>
      </c>
      <c r="G9" s="21">
        <v>3481</v>
      </c>
      <c r="H9" s="22">
        <f t="shared" si="1"/>
        <v>124.32142857142857</v>
      </c>
      <c r="I9" s="21">
        <v>4241</v>
      </c>
      <c r="J9" s="22">
        <f t="shared" si="2"/>
        <v>136.80645161290323</v>
      </c>
      <c r="K9" s="21">
        <v>2075</v>
      </c>
      <c r="L9" s="22">
        <f t="shared" si="3"/>
        <v>69.166666666666671</v>
      </c>
      <c r="M9" s="21">
        <v>2819</v>
      </c>
      <c r="N9" s="22">
        <f t="shared" si="4"/>
        <v>90.935483870967744</v>
      </c>
      <c r="O9" s="21">
        <v>2664</v>
      </c>
      <c r="P9" s="22">
        <f t="shared" si="5"/>
        <v>88.8</v>
      </c>
      <c r="Q9" s="21">
        <v>3941</v>
      </c>
      <c r="R9" s="22">
        <f t="shared" si="6"/>
        <v>127.12903225806451</v>
      </c>
      <c r="S9" s="21">
        <v>2442</v>
      </c>
      <c r="T9" s="22">
        <f t="shared" si="7"/>
        <v>78.774193548387103</v>
      </c>
      <c r="U9" s="21">
        <v>2299</v>
      </c>
      <c r="V9" s="22">
        <f t="shared" si="8"/>
        <v>76.63333333333334</v>
      </c>
      <c r="W9" s="21">
        <v>2931</v>
      </c>
      <c r="X9" s="22">
        <f t="shared" si="9"/>
        <v>94.548387096774192</v>
      </c>
      <c r="Y9" s="21">
        <v>2866</v>
      </c>
      <c r="Z9" s="22">
        <f t="shared" si="10"/>
        <v>95.533333333333331</v>
      </c>
      <c r="AA9" s="21">
        <v>2515</v>
      </c>
      <c r="AB9" s="22">
        <f t="shared" si="11"/>
        <v>81.129032258064512</v>
      </c>
      <c r="AC9" s="23">
        <f t="shared" si="12"/>
        <v>36990.325729646698</v>
      </c>
      <c r="AD9" s="24">
        <f t="shared" si="13"/>
        <v>22.338619772899033</v>
      </c>
      <c r="AE9" s="21">
        <v>2341</v>
      </c>
      <c r="AF9" s="22">
        <f t="shared" si="14"/>
        <v>75.516129032258064</v>
      </c>
      <c r="AG9" s="21">
        <v>3919</v>
      </c>
      <c r="AH9" s="22">
        <f t="shared" si="15"/>
        <v>139.96428571428572</v>
      </c>
      <c r="AI9" s="21">
        <v>2794</v>
      </c>
      <c r="AJ9" s="22">
        <f t="shared" si="16"/>
        <v>90.129032258064512</v>
      </c>
      <c r="AK9" s="21">
        <v>3774</v>
      </c>
      <c r="AL9" s="22">
        <f t="shared" si="17"/>
        <v>125.8</v>
      </c>
      <c r="AM9" s="21">
        <v>3045</v>
      </c>
      <c r="AN9" s="22">
        <f t="shared" si="18"/>
        <v>98.225806451612897</v>
      </c>
      <c r="AO9" s="21">
        <v>1875</v>
      </c>
      <c r="AP9" s="22">
        <f t="shared" si="19"/>
        <v>62.5</v>
      </c>
      <c r="AQ9" s="21">
        <v>4097</v>
      </c>
      <c r="AR9" s="22">
        <f t="shared" si="20"/>
        <v>132.16129032258064</v>
      </c>
      <c r="AS9" s="21">
        <v>3714</v>
      </c>
      <c r="AT9" s="22">
        <f t="shared" si="21"/>
        <v>119.80645161290323</v>
      </c>
      <c r="AU9" s="21">
        <v>4026</v>
      </c>
      <c r="AV9" s="22">
        <f t="shared" si="22"/>
        <v>134.19999999999999</v>
      </c>
      <c r="AW9" s="21">
        <v>3926</v>
      </c>
      <c r="AX9" s="22">
        <f t="shared" si="23"/>
        <v>126.64516129032258</v>
      </c>
      <c r="AY9" s="21">
        <v>3744</v>
      </c>
      <c r="AZ9" s="22">
        <f t="shared" si="24"/>
        <v>124.8</v>
      </c>
      <c r="BA9" s="21">
        <v>2146</v>
      </c>
      <c r="BB9" s="22">
        <f t="shared" si="25"/>
        <v>69.225806451612897</v>
      </c>
      <c r="BC9" s="23">
        <f t="shared" si="26"/>
        <v>40630.748156682028</v>
      </c>
      <c r="BD9" s="24">
        <f t="shared" si="27"/>
        <v>27.668651638431687</v>
      </c>
      <c r="BE9" s="21">
        <v>3060</v>
      </c>
      <c r="BF9" s="22">
        <f t="shared" si="28"/>
        <v>98.709677419354833</v>
      </c>
      <c r="BG9" s="21">
        <v>2387</v>
      </c>
      <c r="BH9" s="22">
        <f t="shared" si="29"/>
        <v>85.25</v>
      </c>
      <c r="BI9" s="21">
        <v>2851</v>
      </c>
      <c r="BJ9" s="22">
        <f t="shared" si="30"/>
        <v>91.967741935483872</v>
      </c>
      <c r="BK9" s="21">
        <v>2003</v>
      </c>
      <c r="BL9" s="22">
        <f t="shared" si="31"/>
        <v>66.766666666666666</v>
      </c>
      <c r="BM9" s="21">
        <v>2796</v>
      </c>
      <c r="BN9" s="22">
        <f t="shared" si="32"/>
        <v>90.193548387096769</v>
      </c>
      <c r="BO9" s="21">
        <v>4298</v>
      </c>
      <c r="BP9" s="22">
        <f t="shared" si="33"/>
        <v>143.26666666666668</v>
      </c>
      <c r="BQ9" s="21">
        <v>2514</v>
      </c>
      <c r="BR9" s="22">
        <f t="shared" si="34"/>
        <v>81.096774193548384</v>
      </c>
      <c r="BS9" s="21">
        <v>3799</v>
      </c>
      <c r="BT9" s="22">
        <f t="shared" si="35"/>
        <v>122.54838709677419</v>
      </c>
      <c r="BU9" s="21">
        <v>2984</v>
      </c>
      <c r="BV9" s="22">
        <f t="shared" si="36"/>
        <v>99.466666666666669</v>
      </c>
      <c r="BW9" s="21">
        <v>2905</v>
      </c>
      <c r="BX9" s="22">
        <f t="shared" si="37"/>
        <v>93.709677419354833</v>
      </c>
      <c r="BY9" s="21">
        <v>4228</v>
      </c>
      <c r="BZ9" s="22">
        <f t="shared" si="38"/>
        <v>140.93333333333334</v>
      </c>
      <c r="CA9" s="21">
        <v>4323</v>
      </c>
      <c r="CB9" s="22">
        <f t="shared" si="39"/>
        <v>139.45161290322579</v>
      </c>
      <c r="CC9" s="23">
        <f t="shared" si="40"/>
        <v>39261.909139784948</v>
      </c>
      <c r="CD9" s="24">
        <f t="shared" si="41"/>
        <v>25.684574437565505</v>
      </c>
      <c r="CE9" s="21">
        <v>2782</v>
      </c>
      <c r="CF9" s="22">
        <f t="shared" si="42"/>
        <v>89.741935483870961</v>
      </c>
      <c r="CG9" s="21">
        <v>3128</v>
      </c>
      <c r="CH9" s="22">
        <f t="shared" si="43"/>
        <v>111.71428571428571</v>
      </c>
      <c r="CI9" s="21">
        <v>1927</v>
      </c>
      <c r="CJ9" s="22">
        <f t="shared" si="44"/>
        <v>62.161290322580648</v>
      </c>
      <c r="CK9" s="21">
        <v>2230</v>
      </c>
      <c r="CL9" s="22">
        <f t="shared" si="45"/>
        <v>74.333333333333329</v>
      </c>
      <c r="CM9" s="21">
        <v>3661</v>
      </c>
      <c r="CN9" s="22">
        <f t="shared" si="46"/>
        <v>118.09677419354838</v>
      </c>
      <c r="CO9" s="21">
        <v>2832</v>
      </c>
      <c r="CP9" s="22">
        <f t="shared" si="47"/>
        <v>94.4</v>
      </c>
      <c r="CQ9" s="21">
        <v>2753</v>
      </c>
      <c r="CR9" s="22">
        <f t="shared" si="48"/>
        <v>88.806451612903231</v>
      </c>
      <c r="CS9" s="21">
        <v>3191</v>
      </c>
      <c r="CT9" s="22">
        <f t="shared" si="49"/>
        <v>102.93548387096774</v>
      </c>
      <c r="CU9" s="21">
        <v>1720</v>
      </c>
      <c r="CV9" s="22">
        <f t="shared" si="50"/>
        <v>57.333333333333336</v>
      </c>
      <c r="CW9" s="21">
        <v>2842</v>
      </c>
      <c r="CX9" s="22">
        <f t="shared" si="51"/>
        <v>91.677419354838705</v>
      </c>
      <c r="CY9" s="21">
        <v>2669</v>
      </c>
      <c r="CZ9" s="22">
        <f t="shared" si="52"/>
        <v>88.966666666666669</v>
      </c>
      <c r="DA9" s="21">
        <v>3414</v>
      </c>
      <c r="DB9" s="22">
        <f t="shared" si="53"/>
        <v>110.12903225806451</v>
      </c>
      <c r="DC9" s="23">
        <f t="shared" si="54"/>
        <v>34129.166973886327</v>
      </c>
      <c r="DD9" s="24">
        <f t="shared" si="55"/>
        <v>18.918225000389924</v>
      </c>
      <c r="DE9" s="21">
        <v>2126</v>
      </c>
      <c r="DF9" s="22">
        <f t="shared" si="56"/>
        <v>68.58064516129032</v>
      </c>
      <c r="DG9" s="21">
        <v>4007</v>
      </c>
      <c r="DH9" s="22">
        <f t="shared" si="57"/>
        <v>143.10714285714286</v>
      </c>
      <c r="DI9" s="21">
        <v>1945</v>
      </c>
      <c r="DJ9" s="22">
        <f t="shared" si="58"/>
        <v>62.741935483870968</v>
      </c>
      <c r="DK9" s="21">
        <v>2192</v>
      </c>
      <c r="DL9" s="22">
        <f t="shared" si="59"/>
        <v>73.066666666666663</v>
      </c>
      <c r="DM9" s="21">
        <v>3151</v>
      </c>
      <c r="DN9" s="22">
        <f t="shared" si="60"/>
        <v>101.64516129032258</v>
      </c>
      <c r="DO9" s="21">
        <v>3339</v>
      </c>
      <c r="DP9" s="22">
        <f t="shared" si="61"/>
        <v>111.3</v>
      </c>
      <c r="DQ9" s="21">
        <v>2308</v>
      </c>
      <c r="DR9" s="22">
        <f t="shared" si="62"/>
        <v>74.451612903225808</v>
      </c>
      <c r="DS9" s="21">
        <v>2038</v>
      </c>
      <c r="DT9" s="22">
        <f t="shared" si="63"/>
        <v>65.741935483870961</v>
      </c>
      <c r="DU9" s="21">
        <v>3842</v>
      </c>
      <c r="DV9" s="22">
        <f t="shared" si="64"/>
        <v>128.06666666666666</v>
      </c>
      <c r="DW9" s="21">
        <v>2334</v>
      </c>
      <c r="DX9" s="22">
        <f t="shared" si="65"/>
        <v>75.290322580645167</v>
      </c>
      <c r="DY9" s="21">
        <v>3150</v>
      </c>
      <c r="DZ9" s="22">
        <f t="shared" si="66"/>
        <v>105</v>
      </c>
      <c r="EA9" s="21">
        <v>3208</v>
      </c>
      <c r="EB9" s="22">
        <f t="shared" si="67"/>
        <v>103.48387096774194</v>
      </c>
      <c r="EC9" s="23">
        <f t="shared" si="68"/>
        <v>34648.992089093706</v>
      </c>
      <c r="ED9" s="24">
        <f t="shared" si="69"/>
        <v>26.479448105969702</v>
      </c>
      <c r="EE9" s="25">
        <f t="shared" si="70"/>
        <v>1552.9305401127947</v>
      </c>
    </row>
    <row r="10" spans="1:135" ht="15" customHeight="1" x14ac:dyDescent="0.35">
      <c r="A10" s="17">
        <v>5</v>
      </c>
      <c r="B10" s="18" t="s">
        <v>43</v>
      </c>
      <c r="C10" s="19" t="s">
        <v>44</v>
      </c>
      <c r="D10" s="20" t="s">
        <v>36</v>
      </c>
      <c r="E10" s="21">
        <v>972</v>
      </c>
      <c r="F10" s="22">
        <f t="shared" si="0"/>
        <v>31.35483870967742</v>
      </c>
      <c r="G10" s="21">
        <v>1108</v>
      </c>
      <c r="H10" s="22">
        <f t="shared" si="1"/>
        <v>39.571428571428569</v>
      </c>
      <c r="I10" s="21">
        <v>1058</v>
      </c>
      <c r="J10" s="22">
        <f t="shared" si="2"/>
        <v>34.12903225806452</v>
      </c>
      <c r="K10" s="21">
        <v>1400</v>
      </c>
      <c r="L10" s="22">
        <f t="shared" si="3"/>
        <v>46.666666666666664</v>
      </c>
      <c r="M10" s="21">
        <v>793</v>
      </c>
      <c r="N10" s="22">
        <f t="shared" si="4"/>
        <v>25.580645161290324</v>
      </c>
      <c r="O10" s="21">
        <v>1219</v>
      </c>
      <c r="P10" s="22">
        <f t="shared" si="5"/>
        <v>40.633333333333333</v>
      </c>
      <c r="Q10" s="21">
        <v>822</v>
      </c>
      <c r="R10" s="22">
        <f t="shared" si="6"/>
        <v>26.516129032258064</v>
      </c>
      <c r="S10" s="21">
        <v>952</v>
      </c>
      <c r="T10" s="22">
        <f t="shared" si="7"/>
        <v>30.70967741935484</v>
      </c>
      <c r="U10" s="21">
        <v>1182</v>
      </c>
      <c r="V10" s="22">
        <f t="shared" si="8"/>
        <v>39.4</v>
      </c>
      <c r="W10" s="21">
        <v>873</v>
      </c>
      <c r="X10" s="22">
        <f t="shared" si="9"/>
        <v>28.161290322580644</v>
      </c>
      <c r="Y10" s="21">
        <v>886</v>
      </c>
      <c r="Z10" s="22">
        <f t="shared" si="10"/>
        <v>29.533333333333335</v>
      </c>
      <c r="AA10" s="21">
        <v>1248</v>
      </c>
      <c r="AB10" s="22">
        <f t="shared" si="11"/>
        <v>40.258064516129032</v>
      </c>
      <c r="AC10" s="23">
        <f t="shared" si="12"/>
        <v>12885.256374807987</v>
      </c>
      <c r="AD10" s="24">
        <f t="shared" si="13"/>
        <v>6.7479737641140707</v>
      </c>
      <c r="AE10" s="21">
        <v>803</v>
      </c>
      <c r="AF10" s="22">
        <f t="shared" si="14"/>
        <v>25.903225806451612</v>
      </c>
      <c r="AG10" s="21">
        <v>1180</v>
      </c>
      <c r="AH10" s="22">
        <f t="shared" si="15"/>
        <v>42.142857142857146</v>
      </c>
      <c r="AI10" s="21">
        <v>1707</v>
      </c>
      <c r="AJ10" s="22">
        <f t="shared" si="16"/>
        <v>55.064516129032256</v>
      </c>
      <c r="AK10" s="21">
        <v>1705</v>
      </c>
      <c r="AL10" s="22">
        <f t="shared" si="17"/>
        <v>56.833333333333336</v>
      </c>
      <c r="AM10" s="21">
        <v>804</v>
      </c>
      <c r="AN10" s="22">
        <f t="shared" si="18"/>
        <v>25.93548387096774</v>
      </c>
      <c r="AO10" s="21">
        <v>940</v>
      </c>
      <c r="AP10" s="22">
        <f t="shared" si="19"/>
        <v>31.333333333333332</v>
      </c>
      <c r="AQ10" s="21">
        <v>991</v>
      </c>
      <c r="AR10" s="22">
        <f t="shared" si="20"/>
        <v>31.967741935483872</v>
      </c>
      <c r="AS10" s="21">
        <v>1643</v>
      </c>
      <c r="AT10" s="22">
        <f t="shared" si="21"/>
        <v>53</v>
      </c>
      <c r="AU10" s="21">
        <v>1592</v>
      </c>
      <c r="AV10" s="22">
        <f t="shared" si="22"/>
        <v>53.06666666666667</v>
      </c>
      <c r="AW10" s="21">
        <v>1591</v>
      </c>
      <c r="AX10" s="22">
        <f t="shared" si="23"/>
        <v>51.322580645161288</v>
      </c>
      <c r="AY10" s="21">
        <v>1093</v>
      </c>
      <c r="AZ10" s="22">
        <f t="shared" si="24"/>
        <v>36.43333333333333</v>
      </c>
      <c r="BA10" s="21">
        <v>886</v>
      </c>
      <c r="BB10" s="22">
        <f t="shared" si="25"/>
        <v>28.580645161290324</v>
      </c>
      <c r="BC10" s="23">
        <f t="shared" si="26"/>
        <v>15398.00307219662</v>
      </c>
      <c r="BD10" s="24">
        <f t="shared" si="27"/>
        <v>12.25089993732028</v>
      </c>
      <c r="BE10" s="21">
        <v>1400</v>
      </c>
      <c r="BF10" s="22">
        <f t="shared" si="28"/>
        <v>45.161290322580648</v>
      </c>
      <c r="BG10" s="21">
        <v>1285</v>
      </c>
      <c r="BH10" s="22">
        <f t="shared" si="29"/>
        <v>45.892857142857146</v>
      </c>
      <c r="BI10" s="21">
        <v>1204</v>
      </c>
      <c r="BJ10" s="22">
        <f t="shared" si="30"/>
        <v>38.838709677419352</v>
      </c>
      <c r="BK10" s="21">
        <v>1536</v>
      </c>
      <c r="BL10" s="22">
        <f t="shared" si="31"/>
        <v>51.2</v>
      </c>
      <c r="BM10" s="21">
        <v>1242</v>
      </c>
      <c r="BN10" s="22">
        <f t="shared" si="32"/>
        <v>40.064516129032256</v>
      </c>
      <c r="BO10" s="21">
        <v>670</v>
      </c>
      <c r="BP10" s="22">
        <f t="shared" si="33"/>
        <v>22.333333333333332</v>
      </c>
      <c r="BQ10" s="21">
        <v>1386</v>
      </c>
      <c r="BR10" s="22">
        <f t="shared" si="34"/>
        <v>44.70967741935484</v>
      </c>
      <c r="BS10" s="21">
        <v>928</v>
      </c>
      <c r="BT10" s="22">
        <f t="shared" si="35"/>
        <v>29.93548387096774</v>
      </c>
      <c r="BU10" s="21">
        <v>1250</v>
      </c>
      <c r="BV10" s="22">
        <f t="shared" si="36"/>
        <v>41.666666666666664</v>
      </c>
      <c r="BW10" s="21">
        <v>1493</v>
      </c>
      <c r="BX10" s="22">
        <f t="shared" si="37"/>
        <v>48.161290322580648</v>
      </c>
      <c r="BY10" s="21">
        <v>782</v>
      </c>
      <c r="BZ10" s="22">
        <f t="shared" si="38"/>
        <v>26.066666666666666</v>
      </c>
      <c r="CA10" s="21">
        <v>765</v>
      </c>
      <c r="CB10" s="22">
        <f t="shared" si="39"/>
        <v>24.677419354838708</v>
      </c>
      <c r="CC10" s="23">
        <f t="shared" si="40"/>
        <v>14375.030491551459</v>
      </c>
      <c r="CD10" s="24">
        <f t="shared" si="41"/>
        <v>9.9282350783280364</v>
      </c>
      <c r="CE10" s="21">
        <v>811</v>
      </c>
      <c r="CF10" s="22">
        <f t="shared" si="42"/>
        <v>26.161290322580644</v>
      </c>
      <c r="CG10" s="21">
        <v>1233</v>
      </c>
      <c r="CH10" s="22">
        <f t="shared" si="43"/>
        <v>44.035714285714285</v>
      </c>
      <c r="CI10" s="21">
        <v>967</v>
      </c>
      <c r="CJ10" s="22">
        <f t="shared" si="44"/>
        <v>31.193548387096776</v>
      </c>
      <c r="CK10" s="21">
        <v>1282</v>
      </c>
      <c r="CL10" s="22">
        <f t="shared" si="45"/>
        <v>42.733333333333334</v>
      </c>
      <c r="CM10" s="21">
        <v>1389</v>
      </c>
      <c r="CN10" s="22">
        <f t="shared" si="46"/>
        <v>44.806451612903224</v>
      </c>
      <c r="CO10" s="21">
        <v>902</v>
      </c>
      <c r="CP10" s="22">
        <f t="shared" si="47"/>
        <v>30.066666666666666</v>
      </c>
      <c r="CQ10" s="21">
        <v>1310</v>
      </c>
      <c r="CR10" s="22">
        <f t="shared" si="48"/>
        <v>42.258064516129032</v>
      </c>
      <c r="CS10" s="21">
        <v>960</v>
      </c>
      <c r="CT10" s="22">
        <f t="shared" si="49"/>
        <v>30.967741935483872</v>
      </c>
      <c r="CU10" s="21">
        <v>1172</v>
      </c>
      <c r="CV10" s="22">
        <f t="shared" si="50"/>
        <v>39.06666666666667</v>
      </c>
      <c r="CW10" s="21">
        <v>1566</v>
      </c>
      <c r="CX10" s="22">
        <f t="shared" si="51"/>
        <v>50.516129032258064</v>
      </c>
      <c r="CY10" s="21">
        <v>1510</v>
      </c>
      <c r="CZ10" s="22">
        <f t="shared" si="52"/>
        <v>50.333333333333336</v>
      </c>
      <c r="DA10" s="21">
        <v>797</v>
      </c>
      <c r="DB10" s="22">
        <f t="shared" si="53"/>
        <v>25.70967741935484</v>
      </c>
      <c r="DC10" s="23">
        <f t="shared" si="54"/>
        <v>14331.138940092167</v>
      </c>
      <c r="DD10" s="24">
        <f t="shared" si="55"/>
        <v>8.9586731554414225</v>
      </c>
      <c r="DE10" s="21">
        <v>1204</v>
      </c>
      <c r="DF10" s="22">
        <f t="shared" si="56"/>
        <v>38.838709677419352</v>
      </c>
      <c r="DG10" s="21">
        <v>1053</v>
      </c>
      <c r="DH10" s="22">
        <f t="shared" si="57"/>
        <v>37.607142857142854</v>
      </c>
      <c r="DI10" s="21">
        <v>773</v>
      </c>
      <c r="DJ10" s="22">
        <f t="shared" si="58"/>
        <v>24.93548387096774</v>
      </c>
      <c r="DK10" s="21">
        <v>1560</v>
      </c>
      <c r="DL10" s="22">
        <f t="shared" si="59"/>
        <v>52</v>
      </c>
      <c r="DM10" s="21">
        <v>1423</v>
      </c>
      <c r="DN10" s="22">
        <f t="shared" si="60"/>
        <v>45.903225806451616</v>
      </c>
      <c r="DO10" s="21">
        <v>1038</v>
      </c>
      <c r="DP10" s="22">
        <f t="shared" si="61"/>
        <v>34.6</v>
      </c>
      <c r="DQ10" s="21">
        <v>1530</v>
      </c>
      <c r="DR10" s="22">
        <f t="shared" si="62"/>
        <v>49.354838709677416</v>
      </c>
      <c r="DS10" s="21">
        <v>1335</v>
      </c>
      <c r="DT10" s="22">
        <f t="shared" si="63"/>
        <v>43.064516129032256</v>
      </c>
      <c r="DU10" s="21">
        <v>1208</v>
      </c>
      <c r="DV10" s="22">
        <f t="shared" si="64"/>
        <v>40.266666666666666</v>
      </c>
      <c r="DW10" s="21">
        <v>779</v>
      </c>
      <c r="DX10" s="22">
        <f t="shared" si="65"/>
        <v>25.129032258064516</v>
      </c>
      <c r="DY10" s="21">
        <v>847</v>
      </c>
      <c r="DZ10" s="22">
        <f t="shared" si="66"/>
        <v>28.233333333333334</v>
      </c>
      <c r="EA10" s="21">
        <v>1675</v>
      </c>
      <c r="EB10" s="22">
        <f t="shared" si="67"/>
        <v>54.032258064516128</v>
      </c>
      <c r="EC10" s="23">
        <f t="shared" si="68"/>
        <v>14844.932949308755</v>
      </c>
      <c r="ED10" s="24">
        <f t="shared" si="69"/>
        <v>9.9657000760102505</v>
      </c>
      <c r="EE10" s="25">
        <f t="shared" si="70"/>
        <v>604.3984468869503</v>
      </c>
    </row>
    <row r="11" spans="1:135" ht="15" customHeight="1" x14ac:dyDescent="0.35">
      <c r="A11" s="17">
        <v>6</v>
      </c>
      <c r="B11" s="18" t="s">
        <v>45</v>
      </c>
      <c r="C11" s="19" t="s">
        <v>46</v>
      </c>
      <c r="D11" s="20" t="s">
        <v>36</v>
      </c>
      <c r="E11" s="21">
        <v>537</v>
      </c>
      <c r="F11" s="22">
        <f t="shared" si="0"/>
        <v>17.322580645161292</v>
      </c>
      <c r="G11" s="21">
        <v>421</v>
      </c>
      <c r="H11" s="22">
        <f t="shared" si="1"/>
        <v>15.035714285714286</v>
      </c>
      <c r="I11" s="21">
        <v>515</v>
      </c>
      <c r="J11" s="22">
        <f t="shared" si="2"/>
        <v>16.612903225806452</v>
      </c>
      <c r="K11" s="21">
        <v>433</v>
      </c>
      <c r="L11" s="22">
        <f t="shared" si="3"/>
        <v>14.433333333333334</v>
      </c>
      <c r="M11" s="21">
        <v>292</v>
      </c>
      <c r="N11" s="22">
        <f t="shared" si="4"/>
        <v>9.4193548387096779</v>
      </c>
      <c r="O11" s="21">
        <v>285</v>
      </c>
      <c r="P11" s="22">
        <f t="shared" si="5"/>
        <v>9.5</v>
      </c>
      <c r="Q11" s="21">
        <v>344</v>
      </c>
      <c r="R11" s="22">
        <f t="shared" si="6"/>
        <v>11.096774193548388</v>
      </c>
      <c r="S11" s="21">
        <v>536</v>
      </c>
      <c r="T11" s="22">
        <f t="shared" si="7"/>
        <v>17.29032258064516</v>
      </c>
      <c r="U11" s="21">
        <v>502</v>
      </c>
      <c r="V11" s="22">
        <f t="shared" si="8"/>
        <v>16.733333333333334</v>
      </c>
      <c r="W11" s="21">
        <v>523</v>
      </c>
      <c r="X11" s="22">
        <f t="shared" si="9"/>
        <v>16.870967741935484</v>
      </c>
      <c r="Y11" s="21">
        <v>536</v>
      </c>
      <c r="Z11" s="22">
        <f t="shared" si="10"/>
        <v>17.866666666666667</v>
      </c>
      <c r="AA11" s="21">
        <v>312</v>
      </c>
      <c r="AB11" s="22">
        <f t="shared" si="11"/>
        <v>10.064516129032258</v>
      </c>
      <c r="AC11" s="23">
        <f t="shared" si="12"/>
        <v>5398.1819508448543</v>
      </c>
      <c r="AD11" s="24">
        <f t="shared" si="13"/>
        <v>3.3610678040114799</v>
      </c>
      <c r="AE11" s="21">
        <v>380</v>
      </c>
      <c r="AF11" s="22">
        <f t="shared" si="14"/>
        <v>12.258064516129032</v>
      </c>
      <c r="AG11" s="21">
        <v>324</v>
      </c>
      <c r="AH11" s="22">
        <f t="shared" si="15"/>
        <v>11.571428571428571</v>
      </c>
      <c r="AI11" s="21">
        <v>582</v>
      </c>
      <c r="AJ11" s="22">
        <f t="shared" si="16"/>
        <v>18.774193548387096</v>
      </c>
      <c r="AK11" s="21">
        <v>621</v>
      </c>
      <c r="AL11" s="22">
        <f t="shared" si="17"/>
        <v>20.7</v>
      </c>
      <c r="AM11" s="21">
        <v>440</v>
      </c>
      <c r="AN11" s="22">
        <f t="shared" si="18"/>
        <v>14.193548387096774</v>
      </c>
      <c r="AO11" s="21">
        <v>521</v>
      </c>
      <c r="AP11" s="22">
        <f t="shared" si="19"/>
        <v>17.366666666666667</v>
      </c>
      <c r="AQ11" s="21">
        <v>344</v>
      </c>
      <c r="AR11" s="22">
        <f t="shared" si="20"/>
        <v>11.096774193548388</v>
      </c>
      <c r="AS11" s="21">
        <v>639</v>
      </c>
      <c r="AT11" s="22">
        <f t="shared" si="21"/>
        <v>20.612903225806452</v>
      </c>
      <c r="AU11" s="21">
        <v>614</v>
      </c>
      <c r="AV11" s="22">
        <f t="shared" si="22"/>
        <v>20.466666666666665</v>
      </c>
      <c r="AW11" s="21">
        <v>656</v>
      </c>
      <c r="AX11" s="22">
        <f t="shared" si="23"/>
        <v>21.161290322580644</v>
      </c>
      <c r="AY11" s="21">
        <v>593</v>
      </c>
      <c r="AZ11" s="22">
        <f t="shared" si="24"/>
        <v>19.766666666666666</v>
      </c>
      <c r="BA11" s="21">
        <v>620</v>
      </c>
      <c r="BB11" s="22">
        <f t="shared" si="25"/>
        <v>20</v>
      </c>
      <c r="BC11" s="23">
        <f t="shared" si="26"/>
        <v>6521.968202764976</v>
      </c>
      <c r="BD11" s="24">
        <f t="shared" si="27"/>
        <v>3.9240656365036255</v>
      </c>
      <c r="BE11" s="21">
        <v>239</v>
      </c>
      <c r="BF11" s="22">
        <f t="shared" si="28"/>
        <v>7.709677419354839</v>
      </c>
      <c r="BG11" s="21">
        <v>459</v>
      </c>
      <c r="BH11" s="22">
        <f t="shared" si="29"/>
        <v>16.392857142857142</v>
      </c>
      <c r="BI11" s="21">
        <v>334</v>
      </c>
      <c r="BJ11" s="22">
        <f t="shared" si="30"/>
        <v>10.774193548387096</v>
      </c>
      <c r="BK11" s="21">
        <v>519</v>
      </c>
      <c r="BL11" s="22">
        <f t="shared" si="31"/>
        <v>17.3</v>
      </c>
      <c r="BM11" s="21">
        <v>479</v>
      </c>
      <c r="BN11" s="22">
        <f t="shared" si="32"/>
        <v>15.451612903225806</v>
      </c>
      <c r="BO11" s="21">
        <v>498</v>
      </c>
      <c r="BP11" s="22">
        <f t="shared" si="33"/>
        <v>16.600000000000001</v>
      </c>
      <c r="BQ11" s="21">
        <v>482</v>
      </c>
      <c r="BR11" s="22">
        <f t="shared" si="34"/>
        <v>15.548387096774194</v>
      </c>
      <c r="BS11" s="21">
        <v>314</v>
      </c>
      <c r="BT11" s="22">
        <f t="shared" si="35"/>
        <v>10.129032258064516</v>
      </c>
      <c r="BU11" s="21">
        <v>475</v>
      </c>
      <c r="BV11" s="22">
        <f t="shared" si="36"/>
        <v>15.833333333333334</v>
      </c>
      <c r="BW11" s="21">
        <v>265</v>
      </c>
      <c r="BX11" s="22">
        <f t="shared" si="37"/>
        <v>8.5483870967741939</v>
      </c>
      <c r="BY11" s="21">
        <v>501</v>
      </c>
      <c r="BZ11" s="22">
        <f t="shared" si="38"/>
        <v>16.7</v>
      </c>
      <c r="CA11" s="21">
        <v>497</v>
      </c>
      <c r="CB11" s="22">
        <f t="shared" si="39"/>
        <v>16.032258064516128</v>
      </c>
      <c r="CC11" s="23">
        <f t="shared" si="40"/>
        <v>5212.9874807987717</v>
      </c>
      <c r="CD11" s="24">
        <f t="shared" si="41"/>
        <v>3.5324472051193774</v>
      </c>
      <c r="CE11" s="21">
        <v>438</v>
      </c>
      <c r="CF11" s="22">
        <f t="shared" si="42"/>
        <v>14.129032258064516</v>
      </c>
      <c r="CG11" s="21">
        <v>705</v>
      </c>
      <c r="CH11" s="22">
        <f t="shared" si="43"/>
        <v>25.178571428571427</v>
      </c>
      <c r="CI11" s="21">
        <v>545</v>
      </c>
      <c r="CJ11" s="22">
        <f t="shared" si="44"/>
        <v>17.580645161290324</v>
      </c>
      <c r="CK11" s="21">
        <v>475</v>
      </c>
      <c r="CL11" s="22">
        <f t="shared" si="45"/>
        <v>15.833333333333334</v>
      </c>
      <c r="CM11" s="21">
        <v>695</v>
      </c>
      <c r="CN11" s="22">
        <f t="shared" si="46"/>
        <v>22.419354838709676</v>
      </c>
      <c r="CO11" s="21">
        <v>440</v>
      </c>
      <c r="CP11" s="22">
        <f t="shared" si="47"/>
        <v>14.666666666666666</v>
      </c>
      <c r="CQ11" s="21">
        <v>348</v>
      </c>
      <c r="CR11" s="22">
        <f t="shared" si="48"/>
        <v>11.225806451612904</v>
      </c>
      <c r="CS11" s="21">
        <v>424</v>
      </c>
      <c r="CT11" s="22">
        <f t="shared" si="49"/>
        <v>13.67741935483871</v>
      </c>
      <c r="CU11" s="21">
        <v>485</v>
      </c>
      <c r="CV11" s="22">
        <f t="shared" si="50"/>
        <v>16.166666666666668</v>
      </c>
      <c r="CW11" s="21">
        <v>727</v>
      </c>
      <c r="CX11" s="22">
        <f t="shared" si="51"/>
        <v>23.451612903225808</v>
      </c>
      <c r="CY11" s="21">
        <v>773</v>
      </c>
      <c r="CZ11" s="22">
        <f t="shared" si="52"/>
        <v>25.766666666666666</v>
      </c>
      <c r="DA11" s="21">
        <v>463</v>
      </c>
      <c r="DB11" s="22">
        <f t="shared" si="53"/>
        <v>14.935483870967742</v>
      </c>
      <c r="DC11" s="23">
        <f t="shared" si="54"/>
        <v>6718.0957757296464</v>
      </c>
      <c r="DD11" s="24">
        <f t="shared" si="55"/>
        <v>4.948077235835183</v>
      </c>
      <c r="DE11" s="21">
        <v>575</v>
      </c>
      <c r="DF11" s="22">
        <f t="shared" si="56"/>
        <v>18.548387096774192</v>
      </c>
      <c r="DG11" s="21">
        <v>475</v>
      </c>
      <c r="DH11" s="22">
        <f t="shared" si="57"/>
        <v>16.964285714285715</v>
      </c>
      <c r="DI11" s="21">
        <v>716</v>
      </c>
      <c r="DJ11" s="22">
        <f t="shared" si="58"/>
        <v>23.096774193548388</v>
      </c>
      <c r="DK11" s="21">
        <v>532</v>
      </c>
      <c r="DL11" s="22">
        <f t="shared" si="59"/>
        <v>17.733333333333334</v>
      </c>
      <c r="DM11" s="21">
        <v>699</v>
      </c>
      <c r="DN11" s="22">
        <f t="shared" si="60"/>
        <v>22.548387096774192</v>
      </c>
      <c r="DO11" s="21">
        <v>358</v>
      </c>
      <c r="DP11" s="22">
        <f t="shared" si="61"/>
        <v>11.933333333333334</v>
      </c>
      <c r="DQ11" s="21">
        <v>711</v>
      </c>
      <c r="DR11" s="22">
        <f t="shared" si="62"/>
        <v>22.93548387096774</v>
      </c>
      <c r="DS11" s="21">
        <v>384</v>
      </c>
      <c r="DT11" s="22">
        <f t="shared" si="63"/>
        <v>12.387096774193548</v>
      </c>
      <c r="DU11" s="21">
        <v>708</v>
      </c>
      <c r="DV11" s="22">
        <f t="shared" si="64"/>
        <v>23.6</v>
      </c>
      <c r="DW11" s="21">
        <v>420</v>
      </c>
      <c r="DX11" s="22">
        <f t="shared" si="65"/>
        <v>13.548387096774194</v>
      </c>
      <c r="DY11" s="21">
        <v>355</v>
      </c>
      <c r="DZ11" s="22">
        <f t="shared" si="66"/>
        <v>11.833333333333334</v>
      </c>
      <c r="EA11" s="21">
        <v>490</v>
      </c>
      <c r="EB11" s="22">
        <f t="shared" si="67"/>
        <v>15.806451612903226</v>
      </c>
      <c r="EC11" s="23">
        <f t="shared" si="68"/>
        <v>6618.1288018433179</v>
      </c>
      <c r="ED11" s="24">
        <f t="shared" si="69"/>
        <v>4.5989747442936206</v>
      </c>
      <c r="EE11" s="25">
        <f t="shared" si="70"/>
        <v>258.07564141635891</v>
      </c>
    </row>
    <row r="12" spans="1:135" ht="15" customHeight="1" x14ac:dyDescent="0.35">
      <c r="A12" s="17">
        <v>7</v>
      </c>
      <c r="B12" s="18" t="s">
        <v>47</v>
      </c>
      <c r="C12" s="19" t="s">
        <v>48</v>
      </c>
      <c r="D12" s="20" t="s">
        <v>36</v>
      </c>
      <c r="E12" s="21">
        <v>1556</v>
      </c>
      <c r="F12" s="22">
        <f t="shared" si="0"/>
        <v>50.193548387096776</v>
      </c>
      <c r="G12" s="21">
        <v>1120</v>
      </c>
      <c r="H12" s="22">
        <f t="shared" si="1"/>
        <v>40</v>
      </c>
      <c r="I12" s="21">
        <v>1428</v>
      </c>
      <c r="J12" s="22">
        <f t="shared" si="2"/>
        <v>46.064516129032256</v>
      </c>
      <c r="K12" s="21">
        <v>1328</v>
      </c>
      <c r="L12" s="22">
        <f t="shared" si="3"/>
        <v>44.266666666666666</v>
      </c>
      <c r="M12" s="21">
        <v>1195</v>
      </c>
      <c r="N12" s="22">
        <f t="shared" si="4"/>
        <v>38.548387096774192</v>
      </c>
      <c r="O12" s="21">
        <v>1396</v>
      </c>
      <c r="P12" s="22">
        <f t="shared" si="5"/>
        <v>46.533333333333331</v>
      </c>
      <c r="Q12" s="21">
        <v>1058</v>
      </c>
      <c r="R12" s="22">
        <f t="shared" si="6"/>
        <v>34.12903225806452</v>
      </c>
      <c r="S12" s="21">
        <v>1536</v>
      </c>
      <c r="T12" s="22">
        <f t="shared" si="7"/>
        <v>49.548387096774192</v>
      </c>
      <c r="U12" s="21">
        <v>791</v>
      </c>
      <c r="V12" s="22">
        <f t="shared" si="8"/>
        <v>26.366666666666667</v>
      </c>
      <c r="W12" s="21">
        <v>1764</v>
      </c>
      <c r="X12" s="22">
        <f t="shared" si="9"/>
        <v>56.903225806451616</v>
      </c>
      <c r="Y12" s="21">
        <v>1356</v>
      </c>
      <c r="Z12" s="22">
        <f t="shared" si="10"/>
        <v>45.2</v>
      </c>
      <c r="AA12" s="21">
        <v>1547</v>
      </c>
      <c r="AB12" s="22">
        <f t="shared" si="11"/>
        <v>49.903225806451616</v>
      </c>
      <c r="AC12" s="23">
        <f t="shared" si="12"/>
        <v>16552.753763440858</v>
      </c>
      <c r="AD12" s="24">
        <f t="shared" si="13"/>
        <v>8.1840076592009989</v>
      </c>
      <c r="AE12" s="21">
        <v>2060</v>
      </c>
      <c r="AF12" s="22">
        <f t="shared" si="14"/>
        <v>66.451612903225808</v>
      </c>
      <c r="AG12" s="21">
        <v>1962</v>
      </c>
      <c r="AH12" s="22">
        <f t="shared" si="15"/>
        <v>70.071428571428569</v>
      </c>
      <c r="AI12" s="21">
        <v>1539</v>
      </c>
      <c r="AJ12" s="22">
        <f t="shared" si="16"/>
        <v>49.645161290322584</v>
      </c>
      <c r="AK12" s="21">
        <v>1132</v>
      </c>
      <c r="AL12" s="22">
        <f t="shared" si="17"/>
        <v>37.733333333333334</v>
      </c>
      <c r="AM12" s="21">
        <v>1953</v>
      </c>
      <c r="AN12" s="22">
        <f t="shared" si="18"/>
        <v>63</v>
      </c>
      <c r="AO12" s="21">
        <v>1492</v>
      </c>
      <c r="AP12" s="22">
        <f t="shared" si="19"/>
        <v>49.733333333333334</v>
      </c>
      <c r="AQ12" s="21">
        <v>1469</v>
      </c>
      <c r="AR12" s="22">
        <f t="shared" si="20"/>
        <v>47.387096774193552</v>
      </c>
      <c r="AS12" s="21">
        <v>2207</v>
      </c>
      <c r="AT12" s="22">
        <f t="shared" si="21"/>
        <v>71.193548387096769</v>
      </c>
      <c r="AU12" s="21">
        <v>2030</v>
      </c>
      <c r="AV12" s="22">
        <f t="shared" si="22"/>
        <v>67.666666666666671</v>
      </c>
      <c r="AW12" s="21">
        <v>1450</v>
      </c>
      <c r="AX12" s="22">
        <f t="shared" si="23"/>
        <v>46.774193548387096</v>
      </c>
      <c r="AY12" s="21">
        <v>1463</v>
      </c>
      <c r="AZ12" s="22">
        <f t="shared" si="24"/>
        <v>48.766666666666666</v>
      </c>
      <c r="BA12" s="21">
        <v>1600</v>
      </c>
      <c r="BB12" s="22">
        <f t="shared" si="25"/>
        <v>51.612903225806448</v>
      </c>
      <c r="BC12" s="23">
        <f t="shared" si="26"/>
        <v>20975.423041474653</v>
      </c>
      <c r="BD12" s="24">
        <f t="shared" si="27"/>
        <v>11.14803860331941</v>
      </c>
      <c r="BE12" s="21">
        <v>1579</v>
      </c>
      <c r="BF12" s="22">
        <f t="shared" si="28"/>
        <v>50.935483870967744</v>
      </c>
      <c r="BG12" s="21">
        <v>1433</v>
      </c>
      <c r="BH12" s="22">
        <f t="shared" si="29"/>
        <v>51.178571428571431</v>
      </c>
      <c r="BI12" s="21">
        <v>1202</v>
      </c>
      <c r="BJ12" s="22">
        <f t="shared" si="30"/>
        <v>38.774193548387096</v>
      </c>
      <c r="BK12" s="21">
        <v>1603</v>
      </c>
      <c r="BL12" s="22">
        <f t="shared" si="31"/>
        <v>53.43333333333333</v>
      </c>
      <c r="BM12" s="21">
        <v>2316</v>
      </c>
      <c r="BN12" s="22">
        <f t="shared" si="32"/>
        <v>74.709677419354833</v>
      </c>
      <c r="BO12" s="21">
        <v>1955</v>
      </c>
      <c r="BP12" s="22">
        <f t="shared" si="33"/>
        <v>65.166666666666671</v>
      </c>
      <c r="BQ12" s="21">
        <v>2264</v>
      </c>
      <c r="BR12" s="22">
        <f t="shared" si="34"/>
        <v>73.032258064516128</v>
      </c>
      <c r="BS12" s="21">
        <v>1871</v>
      </c>
      <c r="BT12" s="22">
        <f t="shared" si="35"/>
        <v>60.354838709677416</v>
      </c>
      <c r="BU12" s="21">
        <v>1440</v>
      </c>
      <c r="BV12" s="22">
        <f t="shared" si="36"/>
        <v>48</v>
      </c>
      <c r="BW12" s="21">
        <v>1778</v>
      </c>
      <c r="BX12" s="22">
        <f t="shared" si="37"/>
        <v>57.354838709677416</v>
      </c>
      <c r="BY12" s="21">
        <v>1028</v>
      </c>
      <c r="BZ12" s="22">
        <f t="shared" si="38"/>
        <v>34.266666666666666</v>
      </c>
      <c r="CA12" s="21">
        <v>1421</v>
      </c>
      <c r="CB12" s="22">
        <f t="shared" si="39"/>
        <v>45.838709677419352</v>
      </c>
      <c r="CC12" s="23">
        <f t="shared" si="40"/>
        <v>20497.206528417817</v>
      </c>
      <c r="CD12" s="24">
        <f t="shared" si="41"/>
        <v>12.456611466408891</v>
      </c>
      <c r="CE12" s="21">
        <v>1637</v>
      </c>
      <c r="CF12" s="22">
        <f t="shared" si="42"/>
        <v>52.806451612903224</v>
      </c>
      <c r="CG12" s="21">
        <v>1845</v>
      </c>
      <c r="CH12" s="22">
        <f t="shared" si="43"/>
        <v>65.892857142857139</v>
      </c>
      <c r="CI12" s="21">
        <v>1949</v>
      </c>
      <c r="CJ12" s="22">
        <f t="shared" si="44"/>
        <v>62.87096774193548</v>
      </c>
      <c r="CK12" s="21">
        <v>1685</v>
      </c>
      <c r="CL12" s="22">
        <f t="shared" si="45"/>
        <v>56.166666666666664</v>
      </c>
      <c r="CM12" s="21">
        <v>1654</v>
      </c>
      <c r="CN12" s="22">
        <f t="shared" si="46"/>
        <v>53.354838709677416</v>
      </c>
      <c r="CO12" s="21">
        <v>1337</v>
      </c>
      <c r="CP12" s="22">
        <f t="shared" si="47"/>
        <v>44.56666666666667</v>
      </c>
      <c r="CQ12" s="21">
        <v>1697</v>
      </c>
      <c r="CR12" s="22">
        <f t="shared" si="48"/>
        <v>54.741935483870968</v>
      </c>
      <c r="CS12" s="21">
        <v>2291</v>
      </c>
      <c r="CT12" s="22">
        <f t="shared" si="49"/>
        <v>73.903225806451616</v>
      </c>
      <c r="CU12" s="21">
        <v>2145</v>
      </c>
      <c r="CV12" s="22">
        <f t="shared" si="50"/>
        <v>71.5</v>
      </c>
      <c r="CW12" s="21">
        <v>1276</v>
      </c>
      <c r="CX12" s="22">
        <f t="shared" si="51"/>
        <v>41.161290322580648</v>
      </c>
      <c r="CY12" s="21">
        <v>1158</v>
      </c>
      <c r="CZ12" s="22">
        <f t="shared" si="52"/>
        <v>38.6</v>
      </c>
      <c r="DA12" s="21">
        <v>1755</v>
      </c>
      <c r="DB12" s="22">
        <f t="shared" si="53"/>
        <v>56.612903225806448</v>
      </c>
      <c r="DC12" s="23">
        <f t="shared" si="54"/>
        <v>21044.564900153611</v>
      </c>
      <c r="DD12" s="24">
        <f t="shared" si="55"/>
        <v>11.195380053462502</v>
      </c>
      <c r="DE12" s="21">
        <v>1586</v>
      </c>
      <c r="DF12" s="22">
        <f t="shared" si="56"/>
        <v>51.161290322580648</v>
      </c>
      <c r="DG12" s="21">
        <v>1244</v>
      </c>
      <c r="DH12" s="22">
        <f t="shared" si="57"/>
        <v>44.428571428571431</v>
      </c>
      <c r="DI12" s="21">
        <v>1799</v>
      </c>
      <c r="DJ12" s="22">
        <f t="shared" si="58"/>
        <v>58.032258064516128</v>
      </c>
      <c r="DK12" s="21">
        <v>1721</v>
      </c>
      <c r="DL12" s="22">
        <f t="shared" si="59"/>
        <v>57.366666666666667</v>
      </c>
      <c r="DM12" s="21">
        <v>1632</v>
      </c>
      <c r="DN12" s="22">
        <f t="shared" si="60"/>
        <v>52.645161290322584</v>
      </c>
      <c r="DO12" s="21">
        <v>1118</v>
      </c>
      <c r="DP12" s="22">
        <f t="shared" si="61"/>
        <v>37.266666666666666</v>
      </c>
      <c r="DQ12" s="21">
        <v>1088</v>
      </c>
      <c r="DR12" s="22">
        <f t="shared" si="62"/>
        <v>35.096774193548384</v>
      </c>
      <c r="DS12" s="21">
        <v>888</v>
      </c>
      <c r="DT12" s="22">
        <f t="shared" si="63"/>
        <v>28.64516129032258</v>
      </c>
      <c r="DU12" s="21">
        <v>1141</v>
      </c>
      <c r="DV12" s="22">
        <f t="shared" si="64"/>
        <v>38.033333333333331</v>
      </c>
      <c r="DW12" s="21">
        <v>1405</v>
      </c>
      <c r="DX12" s="22">
        <f t="shared" si="65"/>
        <v>45.322580645161288</v>
      </c>
      <c r="DY12" s="21">
        <v>1835</v>
      </c>
      <c r="DZ12" s="22">
        <f t="shared" si="66"/>
        <v>61.166666666666664</v>
      </c>
      <c r="EA12" s="21">
        <v>944</v>
      </c>
      <c r="EB12" s="22">
        <f t="shared" si="67"/>
        <v>30.451612903225808</v>
      </c>
      <c r="EC12" s="23">
        <f t="shared" si="68"/>
        <v>16910.165130568355</v>
      </c>
      <c r="ED12" s="24">
        <f t="shared" si="69"/>
        <v>11.145780817831245</v>
      </c>
      <c r="EE12" s="25">
        <f t="shared" si="70"/>
        <v>790.35461434290369</v>
      </c>
    </row>
    <row r="13" spans="1:135" ht="15" customHeight="1" x14ac:dyDescent="0.35">
      <c r="A13" s="17">
        <v>8</v>
      </c>
      <c r="B13" s="18" t="s">
        <v>49</v>
      </c>
      <c r="C13" s="19" t="s">
        <v>50</v>
      </c>
      <c r="D13" s="20" t="s">
        <v>36</v>
      </c>
      <c r="E13" s="21">
        <v>3099</v>
      </c>
      <c r="F13" s="22">
        <f t="shared" si="0"/>
        <v>99.967741935483872</v>
      </c>
      <c r="G13" s="21">
        <v>3672</v>
      </c>
      <c r="H13" s="22">
        <f t="shared" si="1"/>
        <v>131.14285714285714</v>
      </c>
      <c r="I13" s="21">
        <v>2513</v>
      </c>
      <c r="J13" s="22">
        <f t="shared" si="2"/>
        <v>81.064516129032256</v>
      </c>
      <c r="K13" s="21">
        <v>3849</v>
      </c>
      <c r="L13" s="22">
        <f t="shared" si="3"/>
        <v>128.30000000000001</v>
      </c>
      <c r="M13" s="21">
        <v>3311</v>
      </c>
      <c r="N13" s="22">
        <f t="shared" si="4"/>
        <v>106.80645161290323</v>
      </c>
      <c r="O13" s="21">
        <v>2645</v>
      </c>
      <c r="P13" s="22">
        <f t="shared" si="5"/>
        <v>88.166666666666671</v>
      </c>
      <c r="Q13" s="21">
        <v>3742</v>
      </c>
      <c r="R13" s="22">
        <f t="shared" si="6"/>
        <v>120.70967741935483</v>
      </c>
      <c r="S13" s="21">
        <v>2011</v>
      </c>
      <c r="T13" s="22">
        <f t="shared" si="7"/>
        <v>64.870967741935488</v>
      </c>
      <c r="U13" s="21">
        <v>3994</v>
      </c>
      <c r="V13" s="22">
        <f t="shared" si="8"/>
        <v>133.13333333333333</v>
      </c>
      <c r="W13" s="21">
        <v>4045</v>
      </c>
      <c r="X13" s="22">
        <f t="shared" si="9"/>
        <v>130.48387096774192</v>
      </c>
      <c r="Y13" s="21">
        <v>2279</v>
      </c>
      <c r="Z13" s="22">
        <f t="shared" si="10"/>
        <v>75.966666666666669</v>
      </c>
      <c r="AA13" s="21">
        <v>3127</v>
      </c>
      <c r="AB13" s="22">
        <f t="shared" si="11"/>
        <v>100.87096774193549</v>
      </c>
      <c r="AC13" s="23">
        <f t="shared" si="12"/>
        <v>39447.612749615982</v>
      </c>
      <c r="AD13" s="24">
        <f t="shared" si="13"/>
        <v>23.872844189069184</v>
      </c>
      <c r="AE13" s="21">
        <v>2467</v>
      </c>
      <c r="AF13" s="22">
        <f t="shared" si="14"/>
        <v>79.58064516129032</v>
      </c>
      <c r="AG13" s="21">
        <v>4551</v>
      </c>
      <c r="AH13" s="22">
        <f t="shared" si="15"/>
        <v>162.53571428571428</v>
      </c>
      <c r="AI13" s="21">
        <v>3379</v>
      </c>
      <c r="AJ13" s="22">
        <f t="shared" si="16"/>
        <v>109</v>
      </c>
      <c r="AK13" s="21">
        <v>2132</v>
      </c>
      <c r="AL13" s="22">
        <f t="shared" si="17"/>
        <v>71.066666666666663</v>
      </c>
      <c r="AM13" s="21">
        <v>2663</v>
      </c>
      <c r="AN13" s="22">
        <f t="shared" si="18"/>
        <v>85.903225806451616</v>
      </c>
      <c r="AO13" s="21">
        <v>4259</v>
      </c>
      <c r="AP13" s="22">
        <f t="shared" si="19"/>
        <v>141.96666666666667</v>
      </c>
      <c r="AQ13" s="21">
        <v>3215</v>
      </c>
      <c r="AR13" s="22">
        <f t="shared" si="20"/>
        <v>103.70967741935483</v>
      </c>
      <c r="AS13" s="21">
        <v>4134</v>
      </c>
      <c r="AT13" s="22">
        <f t="shared" si="21"/>
        <v>133.35483870967741</v>
      </c>
      <c r="AU13" s="21">
        <v>3777</v>
      </c>
      <c r="AV13" s="22">
        <f t="shared" si="22"/>
        <v>125.9</v>
      </c>
      <c r="AW13" s="21">
        <v>4631</v>
      </c>
      <c r="AX13" s="22">
        <f t="shared" si="23"/>
        <v>149.38709677419354</v>
      </c>
      <c r="AY13" s="21">
        <v>3585</v>
      </c>
      <c r="AZ13" s="22">
        <f t="shared" si="24"/>
        <v>119.5</v>
      </c>
      <c r="BA13" s="21">
        <v>4530</v>
      </c>
      <c r="BB13" s="22">
        <f t="shared" si="25"/>
        <v>146.12903225806451</v>
      </c>
      <c r="BC13" s="23">
        <f t="shared" si="26"/>
        <v>44604.904531490029</v>
      </c>
      <c r="BD13" s="24">
        <f t="shared" si="27"/>
        <v>29.567777217246043</v>
      </c>
      <c r="BE13" s="21">
        <v>4209</v>
      </c>
      <c r="BF13" s="22">
        <f t="shared" si="28"/>
        <v>135.7741935483871</v>
      </c>
      <c r="BG13" s="21">
        <v>3494</v>
      </c>
      <c r="BH13" s="22">
        <f t="shared" si="29"/>
        <v>124.78571428571429</v>
      </c>
      <c r="BI13" s="21">
        <v>3767</v>
      </c>
      <c r="BJ13" s="22">
        <f t="shared" si="30"/>
        <v>121.51612903225806</v>
      </c>
      <c r="BK13" s="21">
        <v>3217</v>
      </c>
      <c r="BL13" s="22">
        <f t="shared" si="31"/>
        <v>107.23333333333333</v>
      </c>
      <c r="BM13" s="21">
        <v>4053</v>
      </c>
      <c r="BN13" s="22">
        <f t="shared" si="32"/>
        <v>130.74193548387098</v>
      </c>
      <c r="BO13" s="21">
        <v>3328</v>
      </c>
      <c r="BP13" s="22">
        <f t="shared" si="33"/>
        <v>110.93333333333334</v>
      </c>
      <c r="BQ13" s="21">
        <v>4224</v>
      </c>
      <c r="BR13" s="22">
        <f t="shared" si="34"/>
        <v>136.25806451612902</v>
      </c>
      <c r="BS13" s="21">
        <v>3830</v>
      </c>
      <c r="BT13" s="22">
        <f t="shared" si="35"/>
        <v>123.54838709677419</v>
      </c>
      <c r="BU13" s="21">
        <v>3140</v>
      </c>
      <c r="BV13" s="22">
        <f t="shared" si="36"/>
        <v>104.66666666666667</v>
      </c>
      <c r="BW13" s="21">
        <v>2588</v>
      </c>
      <c r="BX13" s="22">
        <f t="shared" si="37"/>
        <v>83.483870967741936</v>
      </c>
      <c r="BY13" s="21">
        <v>2557</v>
      </c>
      <c r="BZ13" s="22">
        <f t="shared" si="38"/>
        <v>85.233333333333334</v>
      </c>
      <c r="CA13" s="21">
        <v>3558</v>
      </c>
      <c r="CB13" s="22">
        <f t="shared" si="39"/>
        <v>114.7741935483871</v>
      </c>
      <c r="CC13" s="23">
        <f t="shared" si="40"/>
        <v>43229.174961597535</v>
      </c>
      <c r="CD13" s="24">
        <f t="shared" si="41"/>
        <v>17.595176216206038</v>
      </c>
      <c r="CE13" s="21">
        <v>5751</v>
      </c>
      <c r="CF13" s="22">
        <f t="shared" si="42"/>
        <v>185.51612903225808</v>
      </c>
      <c r="CG13" s="21">
        <v>4823</v>
      </c>
      <c r="CH13" s="22">
        <f t="shared" si="43"/>
        <v>172.25</v>
      </c>
      <c r="CI13" s="21">
        <v>5223</v>
      </c>
      <c r="CJ13" s="22">
        <f t="shared" si="44"/>
        <v>168.48387096774192</v>
      </c>
      <c r="CK13" s="21">
        <v>3887</v>
      </c>
      <c r="CL13" s="22">
        <f t="shared" si="45"/>
        <v>129.56666666666666</v>
      </c>
      <c r="CM13" s="21">
        <v>3139</v>
      </c>
      <c r="CN13" s="22">
        <f t="shared" si="46"/>
        <v>101.25806451612904</v>
      </c>
      <c r="CO13" s="21">
        <v>3929</v>
      </c>
      <c r="CP13" s="22">
        <f t="shared" si="47"/>
        <v>130.96666666666667</v>
      </c>
      <c r="CQ13" s="21">
        <v>3876</v>
      </c>
      <c r="CR13" s="22">
        <f t="shared" si="48"/>
        <v>125.03225806451613</v>
      </c>
      <c r="CS13" s="21">
        <v>4058</v>
      </c>
      <c r="CT13" s="22">
        <f t="shared" si="49"/>
        <v>130.90322580645162</v>
      </c>
      <c r="CU13" s="21">
        <v>4895</v>
      </c>
      <c r="CV13" s="22">
        <f t="shared" si="50"/>
        <v>163.16666666666666</v>
      </c>
      <c r="CW13" s="21">
        <v>3370</v>
      </c>
      <c r="CX13" s="22">
        <f t="shared" si="51"/>
        <v>108.70967741935483</v>
      </c>
      <c r="CY13" s="21">
        <v>3723</v>
      </c>
      <c r="CZ13" s="22">
        <f t="shared" si="52"/>
        <v>124.1</v>
      </c>
      <c r="DA13" s="21">
        <v>5478</v>
      </c>
      <c r="DB13" s="22">
        <f t="shared" si="53"/>
        <v>176.70967741935485</v>
      </c>
      <c r="DC13" s="23">
        <f t="shared" si="54"/>
        <v>53691.95322580645</v>
      </c>
      <c r="DD13" s="24">
        <f t="shared" si="55"/>
        <v>28.485186318860368</v>
      </c>
      <c r="DE13" s="21">
        <v>4861</v>
      </c>
      <c r="DF13" s="22">
        <f t="shared" si="56"/>
        <v>156.80645161290323</v>
      </c>
      <c r="DG13" s="21">
        <v>2718</v>
      </c>
      <c r="DH13" s="22">
        <f t="shared" si="57"/>
        <v>97.071428571428569</v>
      </c>
      <c r="DI13" s="21">
        <v>3864</v>
      </c>
      <c r="DJ13" s="22">
        <f t="shared" si="58"/>
        <v>124.64516129032258</v>
      </c>
      <c r="DK13" s="21">
        <v>4314</v>
      </c>
      <c r="DL13" s="22">
        <f t="shared" si="59"/>
        <v>143.80000000000001</v>
      </c>
      <c r="DM13" s="21">
        <v>3891</v>
      </c>
      <c r="DN13" s="22">
        <f t="shared" si="60"/>
        <v>125.51612903225806</v>
      </c>
      <c r="DO13" s="21">
        <v>3193</v>
      </c>
      <c r="DP13" s="22">
        <f t="shared" si="61"/>
        <v>106.43333333333334</v>
      </c>
      <c r="DQ13" s="21">
        <v>3905</v>
      </c>
      <c r="DR13" s="22">
        <f t="shared" si="62"/>
        <v>125.96774193548387</v>
      </c>
      <c r="DS13" s="21">
        <v>5523</v>
      </c>
      <c r="DT13" s="22">
        <f t="shared" si="63"/>
        <v>178.16129032258064</v>
      </c>
      <c r="DU13" s="21">
        <v>4453</v>
      </c>
      <c r="DV13" s="22">
        <f t="shared" si="64"/>
        <v>148.43333333333334</v>
      </c>
      <c r="DW13" s="21">
        <v>4825</v>
      </c>
      <c r="DX13" s="22">
        <f t="shared" si="65"/>
        <v>155.64516129032259</v>
      </c>
      <c r="DY13" s="21">
        <v>5363</v>
      </c>
      <c r="DZ13" s="22">
        <f t="shared" si="66"/>
        <v>178.76666666666668</v>
      </c>
      <c r="EA13" s="21">
        <v>5058</v>
      </c>
      <c r="EB13" s="22">
        <f t="shared" si="67"/>
        <v>163.16129032258064</v>
      </c>
      <c r="EC13" s="23">
        <f t="shared" si="68"/>
        <v>53509.24669738864</v>
      </c>
      <c r="ED13" s="24">
        <f t="shared" si="69"/>
        <v>26.407244670670362</v>
      </c>
      <c r="EE13" s="25">
        <f t="shared" si="70"/>
        <v>1918.7702050367029</v>
      </c>
    </row>
    <row r="14" spans="1:135" ht="15" customHeight="1" x14ac:dyDescent="0.35">
      <c r="A14" s="17">
        <v>9</v>
      </c>
      <c r="B14" s="18" t="s">
        <v>51</v>
      </c>
      <c r="C14" s="19" t="s">
        <v>52</v>
      </c>
      <c r="D14" s="20" t="s">
        <v>36</v>
      </c>
      <c r="E14" s="21">
        <v>3358</v>
      </c>
      <c r="F14" s="22">
        <f t="shared" si="0"/>
        <v>108.3225806451613</v>
      </c>
      <c r="G14" s="21">
        <v>2246</v>
      </c>
      <c r="H14" s="22">
        <f t="shared" si="1"/>
        <v>80.214285714285708</v>
      </c>
      <c r="I14" s="21">
        <v>3273</v>
      </c>
      <c r="J14" s="22">
        <f t="shared" si="2"/>
        <v>105.58064516129032</v>
      </c>
      <c r="K14" s="21">
        <v>4467</v>
      </c>
      <c r="L14" s="22">
        <f t="shared" si="3"/>
        <v>148.9</v>
      </c>
      <c r="M14" s="21">
        <v>4764</v>
      </c>
      <c r="N14" s="22">
        <f t="shared" si="4"/>
        <v>153.67741935483872</v>
      </c>
      <c r="O14" s="21">
        <v>5061</v>
      </c>
      <c r="P14" s="22">
        <f t="shared" si="5"/>
        <v>168.7</v>
      </c>
      <c r="Q14" s="21">
        <v>3473</v>
      </c>
      <c r="R14" s="22">
        <f t="shared" si="6"/>
        <v>112.03225806451613</v>
      </c>
      <c r="S14" s="21">
        <v>4449</v>
      </c>
      <c r="T14" s="22">
        <f t="shared" si="7"/>
        <v>143.51612903225808</v>
      </c>
      <c r="U14" s="21">
        <v>3851</v>
      </c>
      <c r="V14" s="22">
        <f t="shared" si="8"/>
        <v>128.36666666666667</v>
      </c>
      <c r="W14" s="21">
        <v>4021</v>
      </c>
      <c r="X14" s="22">
        <f t="shared" si="9"/>
        <v>129.70967741935485</v>
      </c>
      <c r="Y14" s="21">
        <v>2884</v>
      </c>
      <c r="Z14" s="22">
        <f t="shared" si="10"/>
        <v>96.13333333333334</v>
      </c>
      <c r="AA14" s="21">
        <v>2880</v>
      </c>
      <c r="AB14" s="22">
        <f t="shared" si="11"/>
        <v>92.903225806451616</v>
      </c>
      <c r="AC14" s="23">
        <f t="shared" si="12"/>
        <v>46102.152995391698</v>
      </c>
      <c r="AD14" s="24">
        <f t="shared" si="13"/>
        <v>27.447935379282697</v>
      </c>
      <c r="AE14" s="21">
        <v>3361</v>
      </c>
      <c r="AF14" s="22">
        <f t="shared" si="14"/>
        <v>108.41935483870968</v>
      </c>
      <c r="AG14" s="21">
        <v>2208</v>
      </c>
      <c r="AH14" s="22">
        <f t="shared" si="15"/>
        <v>78.857142857142861</v>
      </c>
      <c r="AI14" s="21">
        <v>3078</v>
      </c>
      <c r="AJ14" s="22">
        <f t="shared" si="16"/>
        <v>99.290322580645167</v>
      </c>
      <c r="AK14" s="21">
        <v>4051</v>
      </c>
      <c r="AL14" s="22">
        <f t="shared" si="17"/>
        <v>135.03333333333333</v>
      </c>
      <c r="AM14" s="21">
        <v>3272</v>
      </c>
      <c r="AN14" s="22">
        <f t="shared" si="18"/>
        <v>105.54838709677419</v>
      </c>
      <c r="AO14" s="21">
        <v>2593</v>
      </c>
      <c r="AP14" s="22">
        <f t="shared" si="19"/>
        <v>86.433333333333337</v>
      </c>
      <c r="AQ14" s="21">
        <v>3450</v>
      </c>
      <c r="AR14" s="22">
        <f t="shared" si="20"/>
        <v>111.29032258064517</v>
      </c>
      <c r="AS14" s="21">
        <v>2487</v>
      </c>
      <c r="AT14" s="22">
        <f t="shared" si="21"/>
        <v>80.225806451612897</v>
      </c>
      <c r="AU14" s="21">
        <v>3889</v>
      </c>
      <c r="AV14" s="22">
        <f t="shared" si="22"/>
        <v>129.63333333333333</v>
      </c>
      <c r="AW14" s="21">
        <v>2202</v>
      </c>
      <c r="AX14" s="22">
        <f t="shared" si="23"/>
        <v>71.032258064516128</v>
      </c>
      <c r="AY14" s="21">
        <v>3242</v>
      </c>
      <c r="AZ14" s="22">
        <f t="shared" si="24"/>
        <v>108.06666666666666</v>
      </c>
      <c r="BA14" s="21">
        <v>3725</v>
      </c>
      <c r="BB14" s="22">
        <f t="shared" si="25"/>
        <v>120.16129032258064</v>
      </c>
      <c r="BC14" s="23">
        <f t="shared" si="26"/>
        <v>38671.830261136711</v>
      </c>
      <c r="BD14" s="24">
        <f t="shared" si="27"/>
        <v>20.386272075460617</v>
      </c>
      <c r="BE14" s="21">
        <v>2459</v>
      </c>
      <c r="BF14" s="22">
        <f t="shared" si="28"/>
        <v>79.322580645161295</v>
      </c>
      <c r="BG14" s="21">
        <v>4406</v>
      </c>
      <c r="BH14" s="22">
        <f t="shared" si="29"/>
        <v>157.35714285714286</v>
      </c>
      <c r="BI14" s="21">
        <v>2802</v>
      </c>
      <c r="BJ14" s="22">
        <f t="shared" si="30"/>
        <v>90.387096774193552</v>
      </c>
      <c r="BK14" s="21">
        <v>3834</v>
      </c>
      <c r="BL14" s="22">
        <f t="shared" si="31"/>
        <v>127.8</v>
      </c>
      <c r="BM14" s="21">
        <v>2532</v>
      </c>
      <c r="BN14" s="22">
        <f t="shared" si="32"/>
        <v>81.677419354838705</v>
      </c>
      <c r="BO14" s="21">
        <v>3572</v>
      </c>
      <c r="BP14" s="22">
        <f t="shared" si="33"/>
        <v>119.06666666666666</v>
      </c>
      <c r="BQ14" s="21">
        <v>3043</v>
      </c>
      <c r="BR14" s="22">
        <f t="shared" si="34"/>
        <v>98.161290322580641</v>
      </c>
      <c r="BS14" s="21">
        <v>3407</v>
      </c>
      <c r="BT14" s="22">
        <f t="shared" si="35"/>
        <v>109.90322580645162</v>
      </c>
      <c r="BU14" s="21">
        <v>4781</v>
      </c>
      <c r="BV14" s="22">
        <f t="shared" si="36"/>
        <v>159.36666666666667</v>
      </c>
      <c r="BW14" s="21">
        <v>3572</v>
      </c>
      <c r="BX14" s="22">
        <f t="shared" si="37"/>
        <v>115.2258064516129</v>
      </c>
      <c r="BY14" s="21">
        <v>4752</v>
      </c>
      <c r="BZ14" s="22">
        <f t="shared" si="38"/>
        <v>158.4</v>
      </c>
      <c r="CA14" s="21">
        <v>5005</v>
      </c>
      <c r="CB14" s="22">
        <f t="shared" si="39"/>
        <v>161.45161290322579</v>
      </c>
      <c r="CC14" s="23">
        <f t="shared" si="40"/>
        <v>45461.66789554531</v>
      </c>
      <c r="CD14" s="24">
        <f t="shared" si="41"/>
        <v>31.296676934274029</v>
      </c>
      <c r="CE14" s="21">
        <v>3070</v>
      </c>
      <c r="CF14" s="22">
        <f t="shared" si="42"/>
        <v>99.032258064516128</v>
      </c>
      <c r="CG14" s="21">
        <v>2548</v>
      </c>
      <c r="CH14" s="22">
        <f t="shared" si="43"/>
        <v>91</v>
      </c>
      <c r="CI14" s="21">
        <v>2357</v>
      </c>
      <c r="CJ14" s="22">
        <f t="shared" si="44"/>
        <v>76.032258064516128</v>
      </c>
      <c r="CK14" s="21">
        <v>3949</v>
      </c>
      <c r="CL14" s="22">
        <f t="shared" si="45"/>
        <v>131.63333333333333</v>
      </c>
      <c r="CM14" s="21">
        <v>5360</v>
      </c>
      <c r="CN14" s="22">
        <f t="shared" si="46"/>
        <v>172.90322580645162</v>
      </c>
      <c r="CO14" s="21">
        <v>3369</v>
      </c>
      <c r="CP14" s="22">
        <f t="shared" si="47"/>
        <v>112.3</v>
      </c>
      <c r="CQ14" s="21">
        <v>4288</v>
      </c>
      <c r="CR14" s="22">
        <f t="shared" si="48"/>
        <v>138.32258064516128</v>
      </c>
      <c r="CS14" s="21">
        <v>4690</v>
      </c>
      <c r="CT14" s="22">
        <f t="shared" si="49"/>
        <v>151.29032258064515</v>
      </c>
      <c r="CU14" s="21">
        <v>4293</v>
      </c>
      <c r="CV14" s="22">
        <f t="shared" si="50"/>
        <v>143.1</v>
      </c>
      <c r="CW14" s="21">
        <v>4607</v>
      </c>
      <c r="CX14" s="22">
        <f t="shared" si="51"/>
        <v>148.61290322580646</v>
      </c>
      <c r="CY14" s="21">
        <v>5206</v>
      </c>
      <c r="CZ14" s="22">
        <f t="shared" si="52"/>
        <v>173.53333333333333</v>
      </c>
      <c r="DA14" s="21">
        <v>2908</v>
      </c>
      <c r="DB14" s="22">
        <f t="shared" si="53"/>
        <v>93.806451612903231</v>
      </c>
      <c r="DC14" s="23">
        <f t="shared" si="54"/>
        <v>48082.760215053757</v>
      </c>
      <c r="DD14" s="24">
        <f t="shared" si="55"/>
        <v>32.651756148661001</v>
      </c>
      <c r="DE14" s="21">
        <v>2341</v>
      </c>
      <c r="DF14" s="22">
        <f t="shared" si="56"/>
        <v>75.516129032258064</v>
      </c>
      <c r="DG14" s="21">
        <v>2743</v>
      </c>
      <c r="DH14" s="22">
        <f t="shared" si="57"/>
        <v>97.964285714285708</v>
      </c>
      <c r="DI14" s="21">
        <v>2663</v>
      </c>
      <c r="DJ14" s="22">
        <f t="shared" si="58"/>
        <v>85.903225806451616</v>
      </c>
      <c r="DK14" s="21">
        <v>4314</v>
      </c>
      <c r="DL14" s="22">
        <f t="shared" si="59"/>
        <v>143.80000000000001</v>
      </c>
      <c r="DM14" s="21">
        <v>3994</v>
      </c>
      <c r="DN14" s="22">
        <f t="shared" si="60"/>
        <v>128.83870967741936</v>
      </c>
      <c r="DO14" s="21">
        <v>2942</v>
      </c>
      <c r="DP14" s="22">
        <f t="shared" si="61"/>
        <v>98.066666666666663</v>
      </c>
      <c r="DQ14" s="21">
        <v>4405</v>
      </c>
      <c r="DR14" s="22">
        <f t="shared" si="62"/>
        <v>142.09677419354838</v>
      </c>
      <c r="DS14" s="21">
        <v>4610</v>
      </c>
      <c r="DT14" s="22">
        <f t="shared" si="63"/>
        <v>148.70967741935485</v>
      </c>
      <c r="DU14" s="21">
        <v>2789</v>
      </c>
      <c r="DV14" s="22">
        <f t="shared" si="64"/>
        <v>92.966666666666669</v>
      </c>
      <c r="DW14" s="21">
        <v>4125</v>
      </c>
      <c r="DX14" s="22">
        <f t="shared" si="65"/>
        <v>133.06451612903226</v>
      </c>
      <c r="DY14" s="21">
        <v>4553</v>
      </c>
      <c r="DZ14" s="22">
        <f t="shared" si="66"/>
        <v>151.76666666666668</v>
      </c>
      <c r="EA14" s="21">
        <v>2628</v>
      </c>
      <c r="EB14" s="22">
        <f t="shared" si="67"/>
        <v>84.774193548387103</v>
      </c>
      <c r="EC14" s="23">
        <f t="shared" si="68"/>
        <v>43405.693317972349</v>
      </c>
      <c r="ED14" s="24">
        <f t="shared" si="69"/>
        <v>28.524724184025519</v>
      </c>
      <c r="EE14" s="25">
        <f t="shared" si="70"/>
        <v>1871.7958943989845</v>
      </c>
    </row>
    <row r="15" spans="1:135" ht="15" customHeight="1" x14ac:dyDescent="0.35">
      <c r="A15" s="17">
        <v>10</v>
      </c>
      <c r="B15" s="18" t="s">
        <v>53</v>
      </c>
      <c r="C15" s="19" t="s">
        <v>54</v>
      </c>
      <c r="D15" s="20" t="s">
        <v>36</v>
      </c>
      <c r="E15" s="21">
        <v>3941</v>
      </c>
      <c r="F15" s="22">
        <f t="shared" si="0"/>
        <v>127.12903225806451</v>
      </c>
      <c r="G15" s="21">
        <v>4307</v>
      </c>
      <c r="H15" s="22">
        <f t="shared" si="1"/>
        <v>153.82142857142858</v>
      </c>
      <c r="I15" s="21">
        <v>2155</v>
      </c>
      <c r="J15" s="22">
        <f t="shared" si="2"/>
        <v>69.516129032258064</v>
      </c>
      <c r="K15" s="21">
        <v>1948</v>
      </c>
      <c r="L15" s="22">
        <f t="shared" si="3"/>
        <v>64.933333333333337</v>
      </c>
      <c r="M15" s="21">
        <v>2667</v>
      </c>
      <c r="N15" s="22">
        <f t="shared" si="4"/>
        <v>86.032258064516128</v>
      </c>
      <c r="O15" s="21">
        <v>3585</v>
      </c>
      <c r="P15" s="22">
        <f t="shared" si="5"/>
        <v>119.5</v>
      </c>
      <c r="Q15" s="21">
        <v>4290</v>
      </c>
      <c r="R15" s="22">
        <f t="shared" si="6"/>
        <v>138.38709677419354</v>
      </c>
      <c r="S15" s="21">
        <v>2880</v>
      </c>
      <c r="T15" s="22">
        <f t="shared" si="7"/>
        <v>92.903225806451616</v>
      </c>
      <c r="U15" s="21">
        <v>3680</v>
      </c>
      <c r="V15" s="22">
        <f t="shared" si="8"/>
        <v>122.66666666666667</v>
      </c>
      <c r="W15" s="21">
        <v>2075</v>
      </c>
      <c r="X15" s="22">
        <f t="shared" si="9"/>
        <v>66.935483870967744</v>
      </c>
      <c r="Y15" s="21">
        <v>3618</v>
      </c>
      <c r="Z15" s="22">
        <f t="shared" si="10"/>
        <v>120.6</v>
      </c>
      <c r="AA15" s="21">
        <v>3459</v>
      </c>
      <c r="AB15" s="22">
        <f t="shared" si="11"/>
        <v>111.58064516129032</v>
      </c>
      <c r="AC15" s="23">
        <f t="shared" si="12"/>
        <v>39767.424654377879</v>
      </c>
      <c r="AD15" s="24">
        <f t="shared" si="13"/>
        <v>29.542053127424136</v>
      </c>
      <c r="AE15" s="21">
        <v>1946</v>
      </c>
      <c r="AF15" s="22">
        <f t="shared" si="14"/>
        <v>62.774193548387096</v>
      </c>
      <c r="AG15" s="21">
        <v>3478</v>
      </c>
      <c r="AH15" s="22">
        <f t="shared" si="15"/>
        <v>124.21428571428571</v>
      </c>
      <c r="AI15" s="21">
        <v>3656</v>
      </c>
      <c r="AJ15" s="22">
        <f t="shared" si="16"/>
        <v>117.93548387096774</v>
      </c>
      <c r="AK15" s="21">
        <v>3085</v>
      </c>
      <c r="AL15" s="22">
        <f t="shared" si="17"/>
        <v>102.83333333333333</v>
      </c>
      <c r="AM15" s="21">
        <v>1990</v>
      </c>
      <c r="AN15" s="22">
        <f t="shared" si="18"/>
        <v>64.193548387096769</v>
      </c>
      <c r="AO15" s="21">
        <v>3961</v>
      </c>
      <c r="AP15" s="22">
        <f t="shared" si="19"/>
        <v>132.03333333333333</v>
      </c>
      <c r="AQ15" s="21">
        <v>3501</v>
      </c>
      <c r="AR15" s="22">
        <f t="shared" si="20"/>
        <v>112.93548387096774</v>
      </c>
      <c r="AS15" s="21">
        <v>2506</v>
      </c>
      <c r="AT15" s="22">
        <f t="shared" si="21"/>
        <v>80.838709677419359</v>
      </c>
      <c r="AU15" s="21">
        <v>2692</v>
      </c>
      <c r="AV15" s="22">
        <f t="shared" si="22"/>
        <v>89.733333333333334</v>
      </c>
      <c r="AW15" s="21">
        <v>2560</v>
      </c>
      <c r="AX15" s="22">
        <f t="shared" si="23"/>
        <v>82.58064516129032</v>
      </c>
      <c r="AY15" s="21">
        <v>2869</v>
      </c>
      <c r="AZ15" s="22">
        <f t="shared" si="24"/>
        <v>95.63333333333334</v>
      </c>
      <c r="BA15" s="21">
        <v>2493</v>
      </c>
      <c r="BB15" s="22">
        <f t="shared" si="25"/>
        <v>80.41935483870968</v>
      </c>
      <c r="BC15" s="23">
        <f t="shared" si="26"/>
        <v>35802.705683563749</v>
      </c>
      <c r="BD15" s="24">
        <f t="shared" si="27"/>
        <v>22.791449198674766</v>
      </c>
      <c r="BE15" s="21">
        <v>3099</v>
      </c>
      <c r="BF15" s="22">
        <f t="shared" si="28"/>
        <v>99.967741935483872</v>
      </c>
      <c r="BG15" s="21">
        <v>3046</v>
      </c>
      <c r="BH15" s="22">
        <f t="shared" si="29"/>
        <v>108.78571428571429</v>
      </c>
      <c r="BI15" s="21">
        <v>1657</v>
      </c>
      <c r="BJ15" s="22">
        <f t="shared" si="30"/>
        <v>53.451612903225808</v>
      </c>
      <c r="BK15" s="21">
        <v>3314</v>
      </c>
      <c r="BL15" s="22">
        <f t="shared" si="31"/>
        <v>110.46666666666667</v>
      </c>
      <c r="BM15" s="21">
        <v>2684</v>
      </c>
      <c r="BN15" s="22">
        <f t="shared" si="32"/>
        <v>86.58064516129032</v>
      </c>
      <c r="BO15" s="21">
        <v>3058</v>
      </c>
      <c r="BP15" s="22">
        <f t="shared" si="33"/>
        <v>101.93333333333334</v>
      </c>
      <c r="BQ15" s="21">
        <v>2823</v>
      </c>
      <c r="BR15" s="22">
        <f t="shared" si="34"/>
        <v>91.064516129032256</v>
      </c>
      <c r="BS15" s="21">
        <v>2296</v>
      </c>
      <c r="BT15" s="22">
        <f t="shared" si="35"/>
        <v>74.064516129032256</v>
      </c>
      <c r="BU15" s="21">
        <v>2874</v>
      </c>
      <c r="BV15" s="22">
        <f t="shared" si="36"/>
        <v>95.8</v>
      </c>
      <c r="BW15" s="21">
        <v>3323</v>
      </c>
      <c r="BX15" s="22">
        <f t="shared" si="37"/>
        <v>107.19354838709677</v>
      </c>
      <c r="BY15" s="21">
        <v>1976</v>
      </c>
      <c r="BZ15" s="22">
        <f t="shared" si="38"/>
        <v>65.86666666666666</v>
      </c>
      <c r="CA15" s="21">
        <v>3019</v>
      </c>
      <c r="CB15" s="22">
        <f t="shared" si="39"/>
        <v>97.387096774193552</v>
      </c>
      <c r="CC15" s="23">
        <f t="shared" si="40"/>
        <v>34164.174961597542</v>
      </c>
      <c r="CD15" s="24">
        <f t="shared" si="41"/>
        <v>18.013106080168001</v>
      </c>
      <c r="CE15" s="21">
        <v>3313</v>
      </c>
      <c r="CF15" s="22">
        <f t="shared" si="42"/>
        <v>106.87096774193549</v>
      </c>
      <c r="CG15" s="21">
        <v>3173</v>
      </c>
      <c r="CH15" s="22">
        <f t="shared" si="43"/>
        <v>113.32142857142857</v>
      </c>
      <c r="CI15" s="21">
        <v>3049</v>
      </c>
      <c r="CJ15" s="22">
        <f t="shared" si="44"/>
        <v>98.354838709677423</v>
      </c>
      <c r="CK15" s="21">
        <v>3809</v>
      </c>
      <c r="CL15" s="22">
        <f t="shared" si="45"/>
        <v>126.96666666666667</v>
      </c>
      <c r="CM15" s="21">
        <v>2619</v>
      </c>
      <c r="CN15" s="22">
        <f t="shared" si="46"/>
        <v>84.483870967741936</v>
      </c>
      <c r="CO15" s="21">
        <v>4120</v>
      </c>
      <c r="CP15" s="22">
        <f t="shared" si="47"/>
        <v>137.33333333333334</v>
      </c>
      <c r="CQ15" s="21">
        <v>4066</v>
      </c>
      <c r="CR15" s="22">
        <f t="shared" si="48"/>
        <v>131.16129032258064</v>
      </c>
      <c r="CS15" s="21">
        <v>2152</v>
      </c>
      <c r="CT15" s="22">
        <f t="shared" si="49"/>
        <v>69.41935483870968</v>
      </c>
      <c r="CU15" s="21">
        <v>4197</v>
      </c>
      <c r="CV15" s="22">
        <f t="shared" si="50"/>
        <v>139.9</v>
      </c>
      <c r="CW15" s="21">
        <v>2556</v>
      </c>
      <c r="CX15" s="22">
        <f t="shared" si="51"/>
        <v>82.451612903225808</v>
      </c>
      <c r="CY15" s="21">
        <v>3124</v>
      </c>
      <c r="CZ15" s="22">
        <f t="shared" si="52"/>
        <v>104.13333333333334</v>
      </c>
      <c r="DA15" s="21">
        <v>3499</v>
      </c>
      <c r="DB15" s="22">
        <f t="shared" si="53"/>
        <v>112.87096774193549</v>
      </c>
      <c r="DC15" s="23">
        <f t="shared" si="54"/>
        <v>40871.396697388627</v>
      </c>
      <c r="DD15" s="24">
        <f t="shared" si="55"/>
        <v>22.601584244939392</v>
      </c>
      <c r="DE15" s="21">
        <v>2252</v>
      </c>
      <c r="DF15" s="22">
        <f t="shared" si="56"/>
        <v>72.645161290322577</v>
      </c>
      <c r="DG15" s="21">
        <v>1553</v>
      </c>
      <c r="DH15" s="22">
        <f t="shared" si="57"/>
        <v>55.464285714285715</v>
      </c>
      <c r="DI15" s="21">
        <v>3193</v>
      </c>
      <c r="DJ15" s="22">
        <f t="shared" si="58"/>
        <v>103</v>
      </c>
      <c r="DK15" s="21">
        <v>1859</v>
      </c>
      <c r="DL15" s="22">
        <f t="shared" si="59"/>
        <v>61.966666666666669</v>
      </c>
      <c r="DM15" s="21">
        <v>1919</v>
      </c>
      <c r="DN15" s="22">
        <f t="shared" si="60"/>
        <v>61.903225806451616</v>
      </c>
      <c r="DO15" s="21">
        <v>3087</v>
      </c>
      <c r="DP15" s="22">
        <f t="shared" si="61"/>
        <v>102.9</v>
      </c>
      <c r="DQ15" s="21">
        <v>2175</v>
      </c>
      <c r="DR15" s="22">
        <f t="shared" si="62"/>
        <v>70.161290322580641</v>
      </c>
      <c r="DS15" s="21">
        <v>3252</v>
      </c>
      <c r="DT15" s="22">
        <f t="shared" si="63"/>
        <v>104.90322580645162</v>
      </c>
      <c r="DU15" s="21">
        <v>2895</v>
      </c>
      <c r="DV15" s="22">
        <f t="shared" si="64"/>
        <v>96.5</v>
      </c>
      <c r="DW15" s="21">
        <v>2047</v>
      </c>
      <c r="DX15" s="22">
        <f t="shared" si="65"/>
        <v>66.032258064516128</v>
      </c>
      <c r="DY15" s="21">
        <v>1516</v>
      </c>
      <c r="DZ15" s="22">
        <f t="shared" si="66"/>
        <v>50.533333333333331</v>
      </c>
      <c r="EA15" s="21">
        <v>3387</v>
      </c>
      <c r="EB15" s="22">
        <f t="shared" si="67"/>
        <v>109.25806451612904</v>
      </c>
      <c r="EC15" s="23">
        <f t="shared" si="68"/>
        <v>29981.009447004602</v>
      </c>
      <c r="ED15" s="24">
        <f t="shared" si="69"/>
        <v>21.886007083839957</v>
      </c>
      <c r="EE15" s="25">
        <f t="shared" si="70"/>
        <v>1505.6253802166352</v>
      </c>
    </row>
    <row r="16" spans="1:135" ht="15" customHeight="1" x14ac:dyDescent="0.35">
      <c r="A16" s="17">
        <v>11</v>
      </c>
      <c r="B16" s="18" t="s">
        <v>55</v>
      </c>
      <c r="C16" s="19" t="s">
        <v>56</v>
      </c>
      <c r="D16" s="20" t="s">
        <v>57</v>
      </c>
      <c r="E16" s="21">
        <v>488</v>
      </c>
      <c r="F16" s="22">
        <f t="shared" si="0"/>
        <v>15.741935483870968</v>
      </c>
      <c r="G16" s="21">
        <v>859</v>
      </c>
      <c r="H16" s="22">
        <f t="shared" si="1"/>
        <v>30.678571428571427</v>
      </c>
      <c r="I16" s="21">
        <v>724</v>
      </c>
      <c r="J16" s="22">
        <f t="shared" si="2"/>
        <v>23.35483870967742</v>
      </c>
      <c r="K16" s="21">
        <v>881</v>
      </c>
      <c r="L16" s="22">
        <f t="shared" si="3"/>
        <v>29.366666666666667</v>
      </c>
      <c r="M16" s="21">
        <v>842</v>
      </c>
      <c r="N16" s="22">
        <f t="shared" si="4"/>
        <v>27.161290322580644</v>
      </c>
      <c r="O16" s="21">
        <v>816</v>
      </c>
      <c r="P16" s="22">
        <f t="shared" si="5"/>
        <v>27.2</v>
      </c>
      <c r="Q16" s="21">
        <v>725</v>
      </c>
      <c r="R16" s="22">
        <f t="shared" si="6"/>
        <v>23.387096774193548</v>
      </c>
      <c r="S16" s="21">
        <v>902</v>
      </c>
      <c r="T16" s="22">
        <f t="shared" si="7"/>
        <v>29.096774193548388</v>
      </c>
      <c r="U16" s="21">
        <v>493</v>
      </c>
      <c r="V16" s="22">
        <f t="shared" si="8"/>
        <v>16.433333333333334</v>
      </c>
      <c r="W16" s="21">
        <v>568</v>
      </c>
      <c r="X16" s="22">
        <f t="shared" si="9"/>
        <v>18.322580645161292</v>
      </c>
      <c r="Y16" s="21">
        <v>843</v>
      </c>
      <c r="Z16" s="22">
        <f t="shared" si="10"/>
        <v>28.1</v>
      </c>
      <c r="AA16" s="21">
        <v>617</v>
      </c>
      <c r="AB16" s="22">
        <f t="shared" si="11"/>
        <v>19.903225806451612</v>
      </c>
      <c r="AC16" s="23">
        <f t="shared" si="12"/>
        <v>9026.8430875576032</v>
      </c>
      <c r="AD16" s="24">
        <f t="shared" si="13"/>
        <v>5.3226572532689467</v>
      </c>
      <c r="AE16" s="21">
        <v>760</v>
      </c>
      <c r="AF16" s="22">
        <f t="shared" si="14"/>
        <v>24.516129032258064</v>
      </c>
      <c r="AG16" s="21">
        <v>698</v>
      </c>
      <c r="AH16" s="22">
        <f t="shared" si="15"/>
        <v>24.928571428571427</v>
      </c>
      <c r="AI16" s="21">
        <v>731</v>
      </c>
      <c r="AJ16" s="22">
        <f t="shared" si="16"/>
        <v>23.580645161290324</v>
      </c>
      <c r="AK16" s="21">
        <v>671</v>
      </c>
      <c r="AL16" s="22">
        <f t="shared" si="17"/>
        <v>22.366666666666667</v>
      </c>
      <c r="AM16" s="21">
        <v>854</v>
      </c>
      <c r="AN16" s="22">
        <f t="shared" si="18"/>
        <v>27.548387096774192</v>
      </c>
      <c r="AO16" s="21">
        <v>617</v>
      </c>
      <c r="AP16" s="22">
        <f t="shared" si="19"/>
        <v>20.566666666666666</v>
      </c>
      <c r="AQ16" s="21">
        <v>829</v>
      </c>
      <c r="AR16" s="22">
        <f t="shared" si="20"/>
        <v>26.741935483870968</v>
      </c>
      <c r="AS16" s="21">
        <v>583</v>
      </c>
      <c r="AT16" s="22">
        <f t="shared" si="21"/>
        <v>18.806451612903224</v>
      </c>
      <c r="AU16" s="21">
        <v>572</v>
      </c>
      <c r="AV16" s="22">
        <f t="shared" si="22"/>
        <v>19.066666666666666</v>
      </c>
      <c r="AW16" s="21">
        <v>497</v>
      </c>
      <c r="AX16" s="22">
        <f t="shared" si="23"/>
        <v>16.032258064516128</v>
      </c>
      <c r="AY16" s="21">
        <v>538</v>
      </c>
      <c r="AZ16" s="22">
        <f t="shared" si="24"/>
        <v>17.933333333333334</v>
      </c>
      <c r="BA16" s="21">
        <v>496</v>
      </c>
      <c r="BB16" s="22">
        <f t="shared" si="25"/>
        <v>16</v>
      </c>
      <c r="BC16" s="23">
        <f t="shared" si="26"/>
        <v>8088.0877112135177</v>
      </c>
      <c r="BD16" s="24">
        <f t="shared" si="27"/>
        <v>4.0102970064925527</v>
      </c>
      <c r="BE16" s="21">
        <v>852</v>
      </c>
      <c r="BF16" s="22">
        <f t="shared" si="28"/>
        <v>27.483870967741936</v>
      </c>
      <c r="BG16" s="21">
        <v>1002</v>
      </c>
      <c r="BH16" s="22">
        <f t="shared" si="29"/>
        <v>35.785714285714285</v>
      </c>
      <c r="BI16" s="21">
        <v>620</v>
      </c>
      <c r="BJ16" s="22">
        <f t="shared" si="30"/>
        <v>20</v>
      </c>
      <c r="BK16" s="21">
        <v>640</v>
      </c>
      <c r="BL16" s="22">
        <f t="shared" si="31"/>
        <v>21.333333333333332</v>
      </c>
      <c r="BM16" s="21">
        <v>818</v>
      </c>
      <c r="BN16" s="22">
        <f t="shared" si="32"/>
        <v>26.387096774193548</v>
      </c>
      <c r="BO16" s="21">
        <v>977</v>
      </c>
      <c r="BP16" s="22">
        <f t="shared" si="33"/>
        <v>32.56666666666667</v>
      </c>
      <c r="BQ16" s="21">
        <v>1144</v>
      </c>
      <c r="BR16" s="22">
        <f t="shared" si="34"/>
        <v>36.903225806451616</v>
      </c>
      <c r="BS16" s="21">
        <v>845</v>
      </c>
      <c r="BT16" s="22">
        <f t="shared" si="35"/>
        <v>27.258064516129032</v>
      </c>
      <c r="BU16" s="21">
        <v>684</v>
      </c>
      <c r="BV16" s="22">
        <f t="shared" si="36"/>
        <v>22.8</v>
      </c>
      <c r="BW16" s="21">
        <v>564</v>
      </c>
      <c r="BX16" s="22">
        <f t="shared" si="37"/>
        <v>18.193548387096776</v>
      </c>
      <c r="BY16" s="21">
        <v>626</v>
      </c>
      <c r="BZ16" s="22">
        <f t="shared" si="38"/>
        <v>20.866666666666667</v>
      </c>
      <c r="CA16" s="21">
        <v>648</v>
      </c>
      <c r="CB16" s="22">
        <f t="shared" si="39"/>
        <v>20.903225806451612</v>
      </c>
      <c r="CC16" s="23">
        <f t="shared" si="40"/>
        <v>9709.5781874039931</v>
      </c>
      <c r="CD16" s="24">
        <f t="shared" si="41"/>
        <v>6.3445796395929852</v>
      </c>
      <c r="CE16" s="21">
        <v>566</v>
      </c>
      <c r="CF16" s="22">
        <f t="shared" si="42"/>
        <v>18.258064516129032</v>
      </c>
      <c r="CG16" s="21">
        <v>465</v>
      </c>
      <c r="CH16" s="22">
        <f t="shared" si="43"/>
        <v>16.607142857142858</v>
      </c>
      <c r="CI16" s="21">
        <v>782</v>
      </c>
      <c r="CJ16" s="22">
        <f t="shared" si="44"/>
        <v>25.225806451612904</v>
      </c>
      <c r="CK16" s="21">
        <v>624</v>
      </c>
      <c r="CL16" s="22">
        <f t="shared" si="45"/>
        <v>20.8</v>
      </c>
      <c r="CM16" s="21">
        <v>1050</v>
      </c>
      <c r="CN16" s="22">
        <f t="shared" si="46"/>
        <v>33.87096774193548</v>
      </c>
      <c r="CO16" s="21">
        <v>794</v>
      </c>
      <c r="CP16" s="22">
        <f t="shared" si="47"/>
        <v>26.466666666666665</v>
      </c>
      <c r="CQ16" s="21">
        <v>882</v>
      </c>
      <c r="CR16" s="22">
        <f t="shared" si="48"/>
        <v>28.451612903225808</v>
      </c>
      <c r="CS16" s="21">
        <v>534</v>
      </c>
      <c r="CT16" s="22">
        <f t="shared" si="49"/>
        <v>17.225806451612904</v>
      </c>
      <c r="CU16" s="21">
        <v>986</v>
      </c>
      <c r="CV16" s="22">
        <f t="shared" si="50"/>
        <v>32.866666666666667</v>
      </c>
      <c r="CW16" s="21">
        <v>756</v>
      </c>
      <c r="CX16" s="22">
        <f t="shared" si="51"/>
        <v>24.387096774193548</v>
      </c>
      <c r="CY16" s="21">
        <v>988</v>
      </c>
      <c r="CZ16" s="22">
        <f t="shared" si="52"/>
        <v>32.93333333333333</v>
      </c>
      <c r="DA16" s="21">
        <v>806</v>
      </c>
      <c r="DB16" s="22">
        <f t="shared" si="53"/>
        <v>26</v>
      </c>
      <c r="DC16" s="23">
        <f t="shared" si="54"/>
        <v>9510.0931643625172</v>
      </c>
      <c r="DD16" s="24">
        <f t="shared" si="55"/>
        <v>6.1213649510178145</v>
      </c>
      <c r="DE16" s="21">
        <v>846</v>
      </c>
      <c r="DF16" s="22">
        <f t="shared" si="56"/>
        <v>27.29032258064516</v>
      </c>
      <c r="DG16" s="21">
        <v>826</v>
      </c>
      <c r="DH16" s="22">
        <f t="shared" si="57"/>
        <v>29.5</v>
      </c>
      <c r="DI16" s="21">
        <v>648</v>
      </c>
      <c r="DJ16" s="22">
        <f t="shared" si="58"/>
        <v>20.903225806451612</v>
      </c>
      <c r="DK16" s="21">
        <v>556</v>
      </c>
      <c r="DL16" s="22">
        <f t="shared" si="59"/>
        <v>18.533333333333335</v>
      </c>
      <c r="DM16" s="21">
        <v>1173</v>
      </c>
      <c r="DN16" s="22">
        <f t="shared" si="60"/>
        <v>37.838709677419352</v>
      </c>
      <c r="DO16" s="21">
        <v>852</v>
      </c>
      <c r="DP16" s="22">
        <f t="shared" si="61"/>
        <v>28.4</v>
      </c>
      <c r="DQ16" s="21">
        <v>1091</v>
      </c>
      <c r="DR16" s="22">
        <f t="shared" si="62"/>
        <v>35.193548387096776</v>
      </c>
      <c r="DS16" s="21">
        <v>798</v>
      </c>
      <c r="DT16" s="22">
        <f t="shared" si="63"/>
        <v>25.741935483870968</v>
      </c>
      <c r="DU16" s="21">
        <v>572</v>
      </c>
      <c r="DV16" s="22">
        <f t="shared" si="64"/>
        <v>19.066666666666666</v>
      </c>
      <c r="DW16" s="21">
        <v>957</v>
      </c>
      <c r="DX16" s="22">
        <f t="shared" si="65"/>
        <v>30.870967741935484</v>
      </c>
      <c r="DY16" s="21">
        <v>558</v>
      </c>
      <c r="DZ16" s="22">
        <f t="shared" si="66"/>
        <v>18.600000000000001</v>
      </c>
      <c r="EA16" s="21">
        <v>624</v>
      </c>
      <c r="EB16" s="22">
        <f t="shared" si="67"/>
        <v>20.129032258064516</v>
      </c>
      <c r="EC16" s="23">
        <f t="shared" si="68"/>
        <v>9792.938709677419</v>
      </c>
      <c r="ED16" s="24">
        <f t="shared" si="69"/>
        <v>6.654946515642159</v>
      </c>
      <c r="EE16" s="25">
        <f t="shared" si="70"/>
        <v>383.95901897114641</v>
      </c>
    </row>
    <row r="17" spans="1:135" ht="15" customHeight="1" x14ac:dyDescent="0.35">
      <c r="A17" s="17">
        <v>12</v>
      </c>
      <c r="B17" s="18" t="s">
        <v>58</v>
      </c>
      <c r="C17" s="19" t="s">
        <v>59</v>
      </c>
      <c r="D17" s="20" t="s">
        <v>36</v>
      </c>
      <c r="E17" s="21">
        <v>986</v>
      </c>
      <c r="F17" s="22">
        <f t="shared" si="0"/>
        <v>31.806451612903224</v>
      </c>
      <c r="G17" s="21">
        <v>791</v>
      </c>
      <c r="H17" s="22">
        <f t="shared" si="1"/>
        <v>28.25</v>
      </c>
      <c r="I17" s="21">
        <v>1310</v>
      </c>
      <c r="J17" s="22">
        <f t="shared" si="2"/>
        <v>42.258064516129032</v>
      </c>
      <c r="K17" s="21">
        <v>652</v>
      </c>
      <c r="L17" s="22">
        <f t="shared" si="3"/>
        <v>21.733333333333334</v>
      </c>
      <c r="M17" s="21">
        <v>1137</v>
      </c>
      <c r="N17" s="22">
        <f t="shared" si="4"/>
        <v>36.677419354838712</v>
      </c>
      <c r="O17" s="21">
        <v>1018</v>
      </c>
      <c r="P17" s="22">
        <f t="shared" si="5"/>
        <v>33.93333333333333</v>
      </c>
      <c r="Q17" s="21">
        <v>1157</v>
      </c>
      <c r="R17" s="22">
        <f t="shared" si="6"/>
        <v>37.322580645161288</v>
      </c>
      <c r="S17" s="21">
        <v>733</v>
      </c>
      <c r="T17" s="22">
        <f t="shared" si="7"/>
        <v>23.64516129032258</v>
      </c>
      <c r="U17" s="21">
        <v>956</v>
      </c>
      <c r="V17" s="22">
        <f t="shared" si="8"/>
        <v>31.866666666666667</v>
      </c>
      <c r="W17" s="21">
        <v>901</v>
      </c>
      <c r="X17" s="22">
        <f t="shared" si="9"/>
        <v>29.06451612903226</v>
      </c>
      <c r="Y17" s="21">
        <v>896</v>
      </c>
      <c r="Z17" s="22">
        <f t="shared" si="10"/>
        <v>29.866666666666667</v>
      </c>
      <c r="AA17" s="21">
        <v>1209</v>
      </c>
      <c r="AB17" s="22">
        <f t="shared" si="11"/>
        <v>39</v>
      </c>
      <c r="AC17" s="23">
        <f t="shared" si="12"/>
        <v>12092.424193548388</v>
      </c>
      <c r="AD17" s="24">
        <f t="shared" si="13"/>
        <v>6.1088493515635633</v>
      </c>
      <c r="AE17" s="21">
        <v>1339</v>
      </c>
      <c r="AF17" s="22">
        <f t="shared" si="14"/>
        <v>43.193548387096776</v>
      </c>
      <c r="AG17" s="21">
        <v>812</v>
      </c>
      <c r="AH17" s="22">
        <f t="shared" si="15"/>
        <v>29</v>
      </c>
      <c r="AI17" s="21">
        <v>1055</v>
      </c>
      <c r="AJ17" s="22">
        <f t="shared" si="16"/>
        <v>34.032258064516128</v>
      </c>
      <c r="AK17" s="21">
        <v>1047</v>
      </c>
      <c r="AL17" s="22">
        <f t="shared" si="17"/>
        <v>34.9</v>
      </c>
      <c r="AM17" s="21">
        <v>1147</v>
      </c>
      <c r="AN17" s="22">
        <f t="shared" si="18"/>
        <v>37</v>
      </c>
      <c r="AO17" s="21">
        <v>1307</v>
      </c>
      <c r="AP17" s="22">
        <f t="shared" si="19"/>
        <v>43.56666666666667</v>
      </c>
      <c r="AQ17" s="21">
        <v>737</v>
      </c>
      <c r="AR17" s="22">
        <f t="shared" si="20"/>
        <v>23.774193548387096</v>
      </c>
      <c r="AS17" s="21">
        <v>740</v>
      </c>
      <c r="AT17" s="22">
        <f t="shared" si="21"/>
        <v>23.870967741935484</v>
      </c>
      <c r="AU17" s="21">
        <v>1086</v>
      </c>
      <c r="AV17" s="22">
        <f t="shared" si="22"/>
        <v>36.200000000000003</v>
      </c>
      <c r="AW17" s="21">
        <v>698</v>
      </c>
      <c r="AX17" s="22">
        <f t="shared" si="23"/>
        <v>22.516129032258064</v>
      </c>
      <c r="AY17" s="21">
        <v>711</v>
      </c>
      <c r="AZ17" s="22">
        <f t="shared" si="24"/>
        <v>23.7</v>
      </c>
      <c r="BA17" s="21">
        <v>635</v>
      </c>
      <c r="BB17" s="22">
        <f t="shared" si="25"/>
        <v>20.483870967741936</v>
      </c>
      <c r="BC17" s="23">
        <f t="shared" si="26"/>
        <v>11665.753763440862</v>
      </c>
      <c r="BD17" s="24">
        <f t="shared" si="27"/>
        <v>8.1849864371510819</v>
      </c>
      <c r="BE17" s="21">
        <v>480</v>
      </c>
      <c r="BF17" s="22">
        <f t="shared" si="28"/>
        <v>15.483870967741936</v>
      </c>
      <c r="BG17" s="21">
        <v>765</v>
      </c>
      <c r="BH17" s="22">
        <f t="shared" si="29"/>
        <v>27.321428571428573</v>
      </c>
      <c r="BI17" s="21">
        <v>856</v>
      </c>
      <c r="BJ17" s="22">
        <f t="shared" si="30"/>
        <v>27.612903225806452</v>
      </c>
      <c r="BK17" s="21">
        <v>663</v>
      </c>
      <c r="BL17" s="22">
        <f t="shared" si="31"/>
        <v>22.1</v>
      </c>
      <c r="BM17" s="21">
        <v>625</v>
      </c>
      <c r="BN17" s="22">
        <f t="shared" si="32"/>
        <v>20.161290322580644</v>
      </c>
      <c r="BO17" s="21">
        <v>928</v>
      </c>
      <c r="BP17" s="22">
        <f t="shared" si="33"/>
        <v>30.933333333333334</v>
      </c>
      <c r="BQ17" s="21">
        <v>926</v>
      </c>
      <c r="BR17" s="22">
        <f t="shared" si="34"/>
        <v>29.870967741935484</v>
      </c>
      <c r="BS17" s="21">
        <v>767</v>
      </c>
      <c r="BT17" s="22">
        <f t="shared" si="35"/>
        <v>24.741935483870968</v>
      </c>
      <c r="BU17" s="21">
        <v>916</v>
      </c>
      <c r="BV17" s="22">
        <f t="shared" si="36"/>
        <v>30.533333333333335</v>
      </c>
      <c r="BW17" s="21">
        <v>1066</v>
      </c>
      <c r="BX17" s="22">
        <f t="shared" si="37"/>
        <v>34.387096774193552</v>
      </c>
      <c r="BY17" s="21">
        <v>980</v>
      </c>
      <c r="BZ17" s="22">
        <f t="shared" si="38"/>
        <v>32.666666666666664</v>
      </c>
      <c r="CA17" s="21">
        <v>876</v>
      </c>
      <c r="CB17" s="22">
        <f t="shared" si="39"/>
        <v>28.258064516129032</v>
      </c>
      <c r="CC17" s="23">
        <f t="shared" si="40"/>
        <v>10143.812826420892</v>
      </c>
      <c r="CD17" s="24">
        <f t="shared" si="41"/>
        <v>5.5056799490541088</v>
      </c>
      <c r="CE17" s="21">
        <v>949</v>
      </c>
      <c r="CF17" s="22">
        <f t="shared" si="42"/>
        <v>30.612903225806452</v>
      </c>
      <c r="CG17" s="21">
        <v>1132</v>
      </c>
      <c r="CH17" s="22">
        <f t="shared" si="43"/>
        <v>40.428571428571431</v>
      </c>
      <c r="CI17" s="21">
        <v>790</v>
      </c>
      <c r="CJ17" s="22">
        <f t="shared" si="44"/>
        <v>25.483870967741936</v>
      </c>
      <c r="CK17" s="21">
        <v>871</v>
      </c>
      <c r="CL17" s="22">
        <f t="shared" si="45"/>
        <v>29.033333333333335</v>
      </c>
      <c r="CM17" s="21">
        <v>940</v>
      </c>
      <c r="CN17" s="22">
        <f t="shared" si="46"/>
        <v>30.322580645161292</v>
      </c>
      <c r="CO17" s="21">
        <v>1115</v>
      </c>
      <c r="CP17" s="22">
        <f t="shared" si="47"/>
        <v>37.166666666666664</v>
      </c>
      <c r="CQ17" s="21">
        <v>1060</v>
      </c>
      <c r="CR17" s="22">
        <f t="shared" si="48"/>
        <v>34.193548387096776</v>
      </c>
      <c r="CS17" s="21">
        <v>552</v>
      </c>
      <c r="CT17" s="22">
        <f t="shared" si="49"/>
        <v>17.806451612903224</v>
      </c>
      <c r="CU17" s="21">
        <v>616</v>
      </c>
      <c r="CV17" s="22">
        <f t="shared" si="50"/>
        <v>20.533333333333335</v>
      </c>
      <c r="CW17" s="21">
        <v>711</v>
      </c>
      <c r="CX17" s="22">
        <f t="shared" si="51"/>
        <v>22.93548387096774</v>
      </c>
      <c r="CY17" s="21">
        <v>1008</v>
      </c>
      <c r="CZ17" s="22">
        <f t="shared" si="52"/>
        <v>33.6</v>
      </c>
      <c r="DA17" s="21">
        <v>887</v>
      </c>
      <c r="DB17" s="22">
        <f t="shared" si="53"/>
        <v>28.612903225806452</v>
      </c>
      <c r="DC17" s="23">
        <f t="shared" si="54"/>
        <v>10953.116743471583</v>
      </c>
      <c r="DD17" s="24">
        <f t="shared" si="55"/>
        <v>6.7111971600099265</v>
      </c>
      <c r="DE17" s="21">
        <v>832</v>
      </c>
      <c r="DF17" s="22">
        <f t="shared" si="56"/>
        <v>26.838709677419356</v>
      </c>
      <c r="DG17" s="21">
        <v>701</v>
      </c>
      <c r="DH17" s="22">
        <f t="shared" si="57"/>
        <v>25.035714285714285</v>
      </c>
      <c r="DI17" s="21">
        <v>1153</v>
      </c>
      <c r="DJ17" s="22">
        <f t="shared" si="58"/>
        <v>37.193548387096776</v>
      </c>
      <c r="DK17" s="21">
        <v>1161</v>
      </c>
      <c r="DL17" s="22">
        <f t="shared" si="59"/>
        <v>38.700000000000003</v>
      </c>
      <c r="DM17" s="21">
        <v>1356</v>
      </c>
      <c r="DN17" s="22">
        <f t="shared" si="60"/>
        <v>43.741935483870968</v>
      </c>
      <c r="DO17" s="21">
        <v>1002</v>
      </c>
      <c r="DP17" s="22">
        <f t="shared" si="61"/>
        <v>33.4</v>
      </c>
      <c r="DQ17" s="21">
        <v>997</v>
      </c>
      <c r="DR17" s="22">
        <f t="shared" si="62"/>
        <v>32.161290322580648</v>
      </c>
      <c r="DS17" s="21">
        <v>665</v>
      </c>
      <c r="DT17" s="22">
        <f t="shared" si="63"/>
        <v>21.451612903225808</v>
      </c>
      <c r="DU17" s="21">
        <v>633</v>
      </c>
      <c r="DV17" s="22">
        <f t="shared" si="64"/>
        <v>21.1</v>
      </c>
      <c r="DW17" s="21">
        <v>947</v>
      </c>
      <c r="DX17" s="22">
        <f t="shared" si="65"/>
        <v>30.548387096774192</v>
      </c>
      <c r="DY17" s="21">
        <v>859</v>
      </c>
      <c r="DZ17" s="22">
        <f t="shared" si="66"/>
        <v>28.633333333333333</v>
      </c>
      <c r="EA17" s="21">
        <v>801</v>
      </c>
      <c r="EB17" s="22">
        <f t="shared" si="67"/>
        <v>25.838709677419356</v>
      </c>
      <c r="EC17" s="23">
        <f t="shared" si="68"/>
        <v>11445.804531490014</v>
      </c>
      <c r="ED17" s="24">
        <f t="shared" si="69"/>
        <v>6.9877823171769684</v>
      </c>
      <c r="EE17" s="25">
        <f t="shared" si="70"/>
        <v>462.48100812935786</v>
      </c>
    </row>
    <row r="18" spans="1:135" ht="15" customHeight="1" x14ac:dyDescent="0.35">
      <c r="A18" s="17">
        <v>13</v>
      </c>
      <c r="B18" s="18" t="s">
        <v>60</v>
      </c>
      <c r="C18" s="19" t="s">
        <v>61</v>
      </c>
      <c r="D18" s="20" t="s">
        <v>36</v>
      </c>
      <c r="E18" s="21">
        <v>2382</v>
      </c>
      <c r="F18" s="22">
        <f t="shared" si="0"/>
        <v>76.838709677419359</v>
      </c>
      <c r="G18" s="21">
        <v>4846</v>
      </c>
      <c r="H18" s="22">
        <f t="shared" si="1"/>
        <v>173.07142857142858</v>
      </c>
      <c r="I18" s="21">
        <v>4489</v>
      </c>
      <c r="J18" s="22">
        <f t="shared" si="2"/>
        <v>144.80645161290323</v>
      </c>
      <c r="K18" s="21">
        <v>3751</v>
      </c>
      <c r="L18" s="22">
        <f t="shared" si="3"/>
        <v>125.03333333333333</v>
      </c>
      <c r="M18" s="21">
        <v>4814</v>
      </c>
      <c r="N18" s="22">
        <f t="shared" si="4"/>
        <v>155.29032258064515</v>
      </c>
      <c r="O18" s="21">
        <v>4953</v>
      </c>
      <c r="P18" s="22">
        <f t="shared" si="5"/>
        <v>165.1</v>
      </c>
      <c r="Q18" s="21">
        <v>4026</v>
      </c>
      <c r="R18" s="22">
        <f t="shared" si="6"/>
        <v>129.87096774193549</v>
      </c>
      <c r="S18" s="21">
        <v>2886</v>
      </c>
      <c r="T18" s="22">
        <f t="shared" si="7"/>
        <v>93.096774193548384</v>
      </c>
      <c r="U18" s="21">
        <v>2237</v>
      </c>
      <c r="V18" s="22">
        <f t="shared" si="8"/>
        <v>74.566666666666663</v>
      </c>
      <c r="W18" s="21">
        <v>4264</v>
      </c>
      <c r="X18" s="22">
        <f t="shared" si="9"/>
        <v>137.54838709677421</v>
      </c>
      <c r="Y18" s="21">
        <v>3455</v>
      </c>
      <c r="Z18" s="22">
        <f t="shared" si="10"/>
        <v>115.16666666666667</v>
      </c>
      <c r="AA18" s="21">
        <v>3967</v>
      </c>
      <c r="AB18" s="22">
        <f t="shared" si="11"/>
        <v>127.96774193548387</v>
      </c>
      <c r="AC18" s="23">
        <f t="shared" si="12"/>
        <v>47460.389708141309</v>
      </c>
      <c r="AD18" s="24">
        <f t="shared" si="13"/>
        <v>32.147566882883289</v>
      </c>
      <c r="AE18" s="21">
        <v>4736</v>
      </c>
      <c r="AF18" s="22">
        <f t="shared" si="14"/>
        <v>152.7741935483871</v>
      </c>
      <c r="AG18" s="21">
        <v>2648</v>
      </c>
      <c r="AH18" s="22">
        <f t="shared" si="15"/>
        <v>94.571428571428569</v>
      </c>
      <c r="AI18" s="21">
        <v>3796</v>
      </c>
      <c r="AJ18" s="22">
        <f t="shared" si="16"/>
        <v>122.45161290322581</v>
      </c>
      <c r="AK18" s="21">
        <v>3937</v>
      </c>
      <c r="AL18" s="22">
        <f t="shared" si="17"/>
        <v>131.23333333333332</v>
      </c>
      <c r="AM18" s="21">
        <v>3530</v>
      </c>
      <c r="AN18" s="22">
        <f t="shared" si="18"/>
        <v>113.87096774193549</v>
      </c>
      <c r="AO18" s="21">
        <v>2391</v>
      </c>
      <c r="AP18" s="22">
        <f t="shared" si="19"/>
        <v>79.7</v>
      </c>
      <c r="AQ18" s="21">
        <v>3121</v>
      </c>
      <c r="AR18" s="22">
        <f t="shared" si="20"/>
        <v>100.6774193548387</v>
      </c>
      <c r="AS18" s="21">
        <v>3080</v>
      </c>
      <c r="AT18" s="22">
        <f t="shared" si="21"/>
        <v>99.354838709677423</v>
      </c>
      <c r="AU18" s="21">
        <v>4037</v>
      </c>
      <c r="AV18" s="22">
        <f t="shared" si="22"/>
        <v>134.56666666666666</v>
      </c>
      <c r="AW18" s="21">
        <v>4570</v>
      </c>
      <c r="AX18" s="22">
        <f t="shared" si="23"/>
        <v>147.41935483870967</v>
      </c>
      <c r="AY18" s="21">
        <v>3070</v>
      </c>
      <c r="AZ18" s="22">
        <f t="shared" si="24"/>
        <v>102.33333333333333</v>
      </c>
      <c r="BA18" s="21">
        <v>4104</v>
      </c>
      <c r="BB18" s="22">
        <f t="shared" si="25"/>
        <v>132.38709677419354</v>
      </c>
      <c r="BC18" s="23">
        <f t="shared" si="26"/>
        <v>44298.953149001543</v>
      </c>
      <c r="BD18" s="24">
        <f t="shared" si="27"/>
        <v>22.714251935666628</v>
      </c>
      <c r="BE18" s="21">
        <v>2739</v>
      </c>
      <c r="BF18" s="22">
        <f t="shared" si="28"/>
        <v>88.354838709677423</v>
      </c>
      <c r="BG18" s="21">
        <v>4472</v>
      </c>
      <c r="BH18" s="22">
        <f t="shared" si="29"/>
        <v>159.71428571428572</v>
      </c>
      <c r="BI18" s="21">
        <v>4125</v>
      </c>
      <c r="BJ18" s="22">
        <f t="shared" si="30"/>
        <v>133.06451612903226</v>
      </c>
      <c r="BK18" s="21">
        <v>3430</v>
      </c>
      <c r="BL18" s="22">
        <f t="shared" si="31"/>
        <v>114.33333333333333</v>
      </c>
      <c r="BM18" s="21">
        <v>3179</v>
      </c>
      <c r="BN18" s="22">
        <f t="shared" si="32"/>
        <v>102.54838709677419</v>
      </c>
      <c r="BO18" s="21">
        <v>2808</v>
      </c>
      <c r="BP18" s="22">
        <f t="shared" si="33"/>
        <v>93.6</v>
      </c>
      <c r="BQ18" s="21">
        <v>2832</v>
      </c>
      <c r="BR18" s="22">
        <f t="shared" si="34"/>
        <v>91.354838709677423</v>
      </c>
      <c r="BS18" s="21">
        <v>4538</v>
      </c>
      <c r="BT18" s="22">
        <f t="shared" si="35"/>
        <v>146.38709677419354</v>
      </c>
      <c r="BU18" s="21">
        <v>3045</v>
      </c>
      <c r="BV18" s="22">
        <f t="shared" si="36"/>
        <v>101.5</v>
      </c>
      <c r="BW18" s="21">
        <v>3336</v>
      </c>
      <c r="BX18" s="22">
        <f t="shared" si="37"/>
        <v>107.61290322580645</v>
      </c>
      <c r="BY18" s="21">
        <v>4586</v>
      </c>
      <c r="BZ18" s="22">
        <f t="shared" si="38"/>
        <v>152.86666666666667</v>
      </c>
      <c r="CA18" s="21">
        <v>3714</v>
      </c>
      <c r="CB18" s="22">
        <f t="shared" si="39"/>
        <v>119.80645161290323</v>
      </c>
      <c r="CC18" s="23">
        <f t="shared" si="40"/>
        <v>44095.336866359445</v>
      </c>
      <c r="CD18" s="24">
        <f t="shared" si="41"/>
        <v>24.874831043565742</v>
      </c>
      <c r="CE18" s="21">
        <v>3342</v>
      </c>
      <c r="CF18" s="22">
        <f t="shared" si="42"/>
        <v>107.80645161290323</v>
      </c>
      <c r="CG18" s="21">
        <v>3008</v>
      </c>
      <c r="CH18" s="22">
        <f t="shared" si="43"/>
        <v>107.42857142857143</v>
      </c>
      <c r="CI18" s="21">
        <v>2424</v>
      </c>
      <c r="CJ18" s="22">
        <f t="shared" si="44"/>
        <v>78.193548387096769</v>
      </c>
      <c r="CK18" s="21">
        <v>2875</v>
      </c>
      <c r="CL18" s="22">
        <f t="shared" si="45"/>
        <v>95.833333333333329</v>
      </c>
      <c r="CM18" s="21">
        <v>3895</v>
      </c>
      <c r="CN18" s="22">
        <f t="shared" si="46"/>
        <v>125.64516129032258</v>
      </c>
      <c r="CO18" s="21">
        <v>3556</v>
      </c>
      <c r="CP18" s="22">
        <f t="shared" si="47"/>
        <v>118.53333333333333</v>
      </c>
      <c r="CQ18" s="21">
        <v>3904</v>
      </c>
      <c r="CR18" s="22">
        <f t="shared" si="48"/>
        <v>125.93548387096774</v>
      </c>
      <c r="CS18" s="21">
        <v>2465</v>
      </c>
      <c r="CT18" s="22">
        <f t="shared" si="49"/>
        <v>79.516129032258064</v>
      </c>
      <c r="CU18" s="21">
        <v>3359</v>
      </c>
      <c r="CV18" s="22">
        <f t="shared" si="50"/>
        <v>111.96666666666667</v>
      </c>
      <c r="CW18" s="21">
        <v>4338</v>
      </c>
      <c r="CX18" s="22">
        <f t="shared" si="51"/>
        <v>139.93548387096774</v>
      </c>
      <c r="CY18" s="21">
        <v>3072</v>
      </c>
      <c r="CZ18" s="22">
        <f t="shared" si="52"/>
        <v>102.4</v>
      </c>
      <c r="DA18" s="21">
        <v>3745</v>
      </c>
      <c r="DB18" s="22">
        <f t="shared" si="53"/>
        <v>120.80645161290323</v>
      </c>
      <c r="DC18" s="23">
        <f t="shared" si="54"/>
        <v>41176.194162826425</v>
      </c>
      <c r="DD18" s="24">
        <f t="shared" si="55"/>
        <v>18.576878532850994</v>
      </c>
      <c r="DE18" s="21">
        <v>3214</v>
      </c>
      <c r="DF18" s="22">
        <f t="shared" si="56"/>
        <v>103.6774193548387</v>
      </c>
      <c r="DG18" s="21">
        <v>6355</v>
      </c>
      <c r="DH18" s="22">
        <f t="shared" si="57"/>
        <v>226.96428571428572</v>
      </c>
      <c r="DI18" s="21">
        <v>5012</v>
      </c>
      <c r="DJ18" s="22">
        <f t="shared" si="58"/>
        <v>161.67741935483872</v>
      </c>
      <c r="DK18" s="21">
        <v>3649</v>
      </c>
      <c r="DL18" s="22">
        <f t="shared" si="59"/>
        <v>121.63333333333334</v>
      </c>
      <c r="DM18" s="21">
        <v>3350</v>
      </c>
      <c r="DN18" s="22">
        <f t="shared" si="60"/>
        <v>108.06451612903226</v>
      </c>
      <c r="DO18" s="21">
        <v>4798</v>
      </c>
      <c r="DP18" s="22">
        <f t="shared" si="61"/>
        <v>159.93333333333334</v>
      </c>
      <c r="DQ18" s="21">
        <v>4803</v>
      </c>
      <c r="DR18" s="22">
        <f t="shared" si="62"/>
        <v>154.93548387096774</v>
      </c>
      <c r="DS18" s="21">
        <v>3110</v>
      </c>
      <c r="DT18" s="22">
        <f t="shared" si="63"/>
        <v>100.3225806451613</v>
      </c>
      <c r="DU18" s="21">
        <v>6426</v>
      </c>
      <c r="DV18" s="22">
        <f t="shared" si="64"/>
        <v>214.2</v>
      </c>
      <c r="DW18" s="21">
        <v>6133</v>
      </c>
      <c r="DX18" s="22">
        <f t="shared" si="65"/>
        <v>197.83870967741936</v>
      </c>
      <c r="DY18" s="21">
        <v>4468</v>
      </c>
      <c r="DZ18" s="22">
        <f t="shared" si="66"/>
        <v>148.93333333333334</v>
      </c>
      <c r="EA18" s="21">
        <v>3199</v>
      </c>
      <c r="EB18" s="22">
        <f t="shared" si="67"/>
        <v>103.19354838709677</v>
      </c>
      <c r="EC18" s="23">
        <f t="shared" si="68"/>
        <v>56215.180414746545</v>
      </c>
      <c r="ED18" s="24">
        <f t="shared" si="69"/>
        <v>44.682496152414714</v>
      </c>
      <c r="EE18" s="25">
        <f t="shared" si="70"/>
        <v>1964.2820937433903</v>
      </c>
    </row>
    <row r="19" spans="1:135" ht="15" customHeight="1" x14ac:dyDescent="0.35">
      <c r="A19" s="17">
        <v>14</v>
      </c>
      <c r="B19" s="18" t="s">
        <v>62</v>
      </c>
      <c r="C19" s="19" t="s">
        <v>63</v>
      </c>
      <c r="D19" s="20" t="s">
        <v>36</v>
      </c>
      <c r="E19" s="21">
        <v>3111</v>
      </c>
      <c r="F19" s="22">
        <f t="shared" si="0"/>
        <v>100.35483870967742</v>
      </c>
      <c r="G19" s="21">
        <v>2455</v>
      </c>
      <c r="H19" s="22">
        <f t="shared" si="1"/>
        <v>87.678571428571431</v>
      </c>
      <c r="I19" s="21">
        <v>2884</v>
      </c>
      <c r="J19" s="22">
        <f t="shared" si="2"/>
        <v>93.032258064516128</v>
      </c>
      <c r="K19" s="21">
        <v>2475</v>
      </c>
      <c r="L19" s="22">
        <f t="shared" si="3"/>
        <v>82.5</v>
      </c>
      <c r="M19" s="21">
        <v>2012</v>
      </c>
      <c r="N19" s="22">
        <f t="shared" si="4"/>
        <v>64.903225806451616</v>
      </c>
      <c r="O19" s="21">
        <v>3116</v>
      </c>
      <c r="P19" s="22">
        <f t="shared" si="5"/>
        <v>103.86666666666666</v>
      </c>
      <c r="Q19" s="21">
        <v>3402</v>
      </c>
      <c r="R19" s="22">
        <f t="shared" si="6"/>
        <v>109.74193548387096</v>
      </c>
      <c r="S19" s="21">
        <v>1954</v>
      </c>
      <c r="T19" s="22">
        <f t="shared" si="7"/>
        <v>63.032258064516128</v>
      </c>
      <c r="U19" s="21">
        <v>2559</v>
      </c>
      <c r="V19" s="22">
        <f t="shared" si="8"/>
        <v>85.3</v>
      </c>
      <c r="W19" s="21">
        <v>2229</v>
      </c>
      <c r="X19" s="22">
        <f t="shared" si="9"/>
        <v>71.903225806451616</v>
      </c>
      <c r="Y19" s="21">
        <v>3288</v>
      </c>
      <c r="Z19" s="22">
        <f t="shared" si="10"/>
        <v>109.6</v>
      </c>
      <c r="AA19" s="21">
        <v>2474</v>
      </c>
      <c r="AB19" s="22">
        <f t="shared" si="11"/>
        <v>79.806451612903231</v>
      </c>
      <c r="AC19" s="23">
        <f t="shared" si="12"/>
        <v>32930.912980030713</v>
      </c>
      <c r="AD19" s="24">
        <f t="shared" si="13"/>
        <v>16.203799773563659</v>
      </c>
      <c r="AE19" s="21">
        <v>3082</v>
      </c>
      <c r="AF19" s="22">
        <f t="shared" si="14"/>
        <v>99.41935483870968</v>
      </c>
      <c r="AG19" s="21">
        <v>3053</v>
      </c>
      <c r="AH19" s="22">
        <f t="shared" si="15"/>
        <v>109.03571428571429</v>
      </c>
      <c r="AI19" s="21">
        <v>1941</v>
      </c>
      <c r="AJ19" s="22">
        <f t="shared" si="16"/>
        <v>62.612903225806448</v>
      </c>
      <c r="AK19" s="21">
        <v>2913</v>
      </c>
      <c r="AL19" s="22">
        <f t="shared" si="17"/>
        <v>97.1</v>
      </c>
      <c r="AM19" s="21">
        <v>2204</v>
      </c>
      <c r="AN19" s="22">
        <f t="shared" si="18"/>
        <v>71.096774193548384</v>
      </c>
      <c r="AO19" s="21">
        <v>3186</v>
      </c>
      <c r="AP19" s="22">
        <f t="shared" si="19"/>
        <v>106.2</v>
      </c>
      <c r="AQ19" s="21">
        <v>2379</v>
      </c>
      <c r="AR19" s="22">
        <f t="shared" si="20"/>
        <v>76.741935483870961</v>
      </c>
      <c r="AS19" s="21">
        <v>2971</v>
      </c>
      <c r="AT19" s="22">
        <f t="shared" si="21"/>
        <v>95.838709677419359</v>
      </c>
      <c r="AU19" s="21">
        <v>1954</v>
      </c>
      <c r="AV19" s="22">
        <f t="shared" si="22"/>
        <v>65.13333333333334</v>
      </c>
      <c r="AW19" s="21">
        <v>1984</v>
      </c>
      <c r="AX19" s="22">
        <f t="shared" si="23"/>
        <v>64</v>
      </c>
      <c r="AY19" s="21">
        <v>2529</v>
      </c>
      <c r="AZ19" s="22">
        <f t="shared" si="24"/>
        <v>84.3</v>
      </c>
      <c r="BA19" s="21">
        <v>3309</v>
      </c>
      <c r="BB19" s="22">
        <f t="shared" si="25"/>
        <v>106.74193548387096</v>
      </c>
      <c r="BC19" s="23">
        <f t="shared" si="26"/>
        <v>32436.478725038411</v>
      </c>
      <c r="BD19" s="24">
        <f t="shared" si="27"/>
        <v>17.946533131623148</v>
      </c>
      <c r="BE19" s="21">
        <v>2671</v>
      </c>
      <c r="BF19" s="22">
        <f t="shared" si="28"/>
        <v>86.161290322580641</v>
      </c>
      <c r="BG19" s="21">
        <v>1936</v>
      </c>
      <c r="BH19" s="22">
        <f t="shared" si="29"/>
        <v>69.142857142857139</v>
      </c>
      <c r="BI19" s="21">
        <v>2776</v>
      </c>
      <c r="BJ19" s="22">
        <f t="shared" si="30"/>
        <v>89.548387096774192</v>
      </c>
      <c r="BK19" s="21">
        <v>2360</v>
      </c>
      <c r="BL19" s="22">
        <f t="shared" si="31"/>
        <v>78.666666666666671</v>
      </c>
      <c r="BM19" s="21">
        <v>2805</v>
      </c>
      <c r="BN19" s="22">
        <f t="shared" si="32"/>
        <v>90.483870967741936</v>
      </c>
      <c r="BO19" s="21">
        <v>2787</v>
      </c>
      <c r="BP19" s="22">
        <f t="shared" si="33"/>
        <v>92.9</v>
      </c>
      <c r="BQ19" s="21">
        <v>2597</v>
      </c>
      <c r="BR19" s="22">
        <f t="shared" si="34"/>
        <v>83.774193548387103</v>
      </c>
      <c r="BS19" s="21">
        <v>2309</v>
      </c>
      <c r="BT19" s="22">
        <f t="shared" si="35"/>
        <v>74.483870967741936</v>
      </c>
      <c r="BU19" s="21">
        <v>2022</v>
      </c>
      <c r="BV19" s="22">
        <f t="shared" si="36"/>
        <v>67.400000000000006</v>
      </c>
      <c r="BW19" s="21">
        <v>3119</v>
      </c>
      <c r="BX19" s="22">
        <f t="shared" si="37"/>
        <v>100.61290322580645</v>
      </c>
      <c r="BY19" s="21">
        <v>2848</v>
      </c>
      <c r="BZ19" s="22">
        <f t="shared" si="38"/>
        <v>94.933333333333337</v>
      </c>
      <c r="CA19" s="21">
        <v>2119</v>
      </c>
      <c r="CB19" s="22">
        <f t="shared" si="39"/>
        <v>68.354838709677423</v>
      </c>
      <c r="CC19" s="23">
        <f t="shared" si="40"/>
        <v>31277.107373271891</v>
      </c>
      <c r="CD19" s="24">
        <f t="shared" si="41"/>
        <v>11.286585844989217</v>
      </c>
      <c r="CE19" s="21">
        <v>3886</v>
      </c>
      <c r="CF19" s="22">
        <f t="shared" si="42"/>
        <v>125.35483870967742</v>
      </c>
      <c r="CG19" s="21">
        <v>2022</v>
      </c>
      <c r="CH19" s="22">
        <f t="shared" si="43"/>
        <v>72.214285714285708</v>
      </c>
      <c r="CI19" s="21">
        <v>3807</v>
      </c>
      <c r="CJ19" s="22">
        <f t="shared" si="44"/>
        <v>122.80645161290323</v>
      </c>
      <c r="CK19" s="21">
        <v>3707</v>
      </c>
      <c r="CL19" s="22">
        <f t="shared" si="45"/>
        <v>123.56666666666666</v>
      </c>
      <c r="CM19" s="21">
        <v>3977</v>
      </c>
      <c r="CN19" s="22">
        <f t="shared" si="46"/>
        <v>128.29032258064515</v>
      </c>
      <c r="CO19" s="21">
        <v>2894</v>
      </c>
      <c r="CP19" s="22">
        <f t="shared" si="47"/>
        <v>96.466666666666669</v>
      </c>
      <c r="CQ19" s="21">
        <v>3601</v>
      </c>
      <c r="CR19" s="22">
        <f t="shared" si="48"/>
        <v>116.16129032258064</v>
      </c>
      <c r="CS19" s="21">
        <v>4001</v>
      </c>
      <c r="CT19" s="22">
        <f t="shared" si="49"/>
        <v>129.06451612903226</v>
      </c>
      <c r="CU19" s="21">
        <v>4409</v>
      </c>
      <c r="CV19" s="22">
        <f t="shared" si="50"/>
        <v>146.96666666666667</v>
      </c>
      <c r="CW19" s="21">
        <v>3172</v>
      </c>
      <c r="CX19" s="22">
        <f t="shared" si="51"/>
        <v>102.3225806451613</v>
      </c>
      <c r="CY19" s="21">
        <v>2005</v>
      </c>
      <c r="CZ19" s="22">
        <f t="shared" si="52"/>
        <v>66.833333333333329</v>
      </c>
      <c r="DA19" s="21">
        <v>3190</v>
      </c>
      <c r="DB19" s="22">
        <f t="shared" si="53"/>
        <v>102.90322580645162</v>
      </c>
      <c r="DC19" s="23">
        <f t="shared" si="54"/>
        <v>41901.047619047626</v>
      </c>
      <c r="DD19" s="24">
        <f t="shared" si="55"/>
        <v>23.847852397530826</v>
      </c>
      <c r="DE19" s="21">
        <v>3055</v>
      </c>
      <c r="DF19" s="22">
        <f t="shared" si="56"/>
        <v>98.548387096774192</v>
      </c>
      <c r="DG19" s="21">
        <v>3692</v>
      </c>
      <c r="DH19" s="22">
        <f t="shared" si="57"/>
        <v>131.85714285714286</v>
      </c>
      <c r="DI19" s="21">
        <v>3702</v>
      </c>
      <c r="DJ19" s="22">
        <f t="shared" si="58"/>
        <v>119.41935483870968</v>
      </c>
      <c r="DK19" s="21">
        <v>2713</v>
      </c>
      <c r="DL19" s="22">
        <f t="shared" si="59"/>
        <v>90.433333333333337</v>
      </c>
      <c r="DM19" s="21">
        <v>2909</v>
      </c>
      <c r="DN19" s="22">
        <f t="shared" si="60"/>
        <v>93.838709677419359</v>
      </c>
      <c r="DO19" s="21">
        <v>2751</v>
      </c>
      <c r="DP19" s="22">
        <f t="shared" si="61"/>
        <v>91.7</v>
      </c>
      <c r="DQ19" s="21">
        <v>3356</v>
      </c>
      <c r="DR19" s="22">
        <f t="shared" si="62"/>
        <v>108.25806451612904</v>
      </c>
      <c r="DS19" s="21">
        <v>2644</v>
      </c>
      <c r="DT19" s="22">
        <f t="shared" si="63"/>
        <v>85.290322580645167</v>
      </c>
      <c r="DU19" s="21">
        <v>3202</v>
      </c>
      <c r="DV19" s="22">
        <f t="shared" si="64"/>
        <v>106.73333333333333</v>
      </c>
      <c r="DW19" s="21">
        <v>2062</v>
      </c>
      <c r="DX19" s="22">
        <f t="shared" si="65"/>
        <v>66.516129032258064</v>
      </c>
      <c r="DY19" s="21">
        <v>2780</v>
      </c>
      <c r="DZ19" s="22">
        <f t="shared" si="66"/>
        <v>92.666666666666671</v>
      </c>
      <c r="EA19" s="21">
        <v>3919</v>
      </c>
      <c r="EB19" s="22">
        <f t="shared" si="67"/>
        <v>126.41935483870968</v>
      </c>
      <c r="EC19" s="23">
        <f t="shared" si="68"/>
        <v>37870.26144393241</v>
      </c>
      <c r="ED19" s="24">
        <f t="shared" si="69"/>
        <v>18.547080913627646</v>
      </c>
      <c r="EE19" s="25">
        <f t="shared" si="70"/>
        <v>1438.917341974701</v>
      </c>
    </row>
    <row r="20" spans="1:135" ht="15" customHeight="1" x14ac:dyDescent="0.35">
      <c r="A20" s="17">
        <v>15</v>
      </c>
      <c r="B20" s="18" t="s">
        <v>64</v>
      </c>
      <c r="C20" s="19" t="s">
        <v>65</v>
      </c>
      <c r="D20" s="20" t="s">
        <v>36</v>
      </c>
      <c r="E20" s="21">
        <v>2730</v>
      </c>
      <c r="F20" s="22">
        <f t="shared" si="0"/>
        <v>88.064516129032256</v>
      </c>
      <c r="G20" s="21">
        <v>3618</v>
      </c>
      <c r="H20" s="22">
        <f t="shared" si="1"/>
        <v>129.21428571428572</v>
      </c>
      <c r="I20" s="21">
        <v>3510</v>
      </c>
      <c r="J20" s="22">
        <f t="shared" si="2"/>
        <v>113.2258064516129</v>
      </c>
      <c r="K20" s="21">
        <v>4016</v>
      </c>
      <c r="L20" s="22">
        <f t="shared" si="3"/>
        <v>133.86666666666667</v>
      </c>
      <c r="M20" s="21">
        <v>4018</v>
      </c>
      <c r="N20" s="22">
        <f t="shared" si="4"/>
        <v>129.61290322580646</v>
      </c>
      <c r="O20" s="21">
        <v>4035</v>
      </c>
      <c r="P20" s="22">
        <f t="shared" si="5"/>
        <v>134.5</v>
      </c>
      <c r="Q20" s="21">
        <v>2834</v>
      </c>
      <c r="R20" s="22">
        <f t="shared" si="6"/>
        <v>91.41935483870968</v>
      </c>
      <c r="S20" s="21">
        <v>2675</v>
      </c>
      <c r="T20" s="22">
        <f t="shared" si="7"/>
        <v>86.290322580645167</v>
      </c>
      <c r="U20" s="21">
        <v>3683</v>
      </c>
      <c r="V20" s="22">
        <f t="shared" si="8"/>
        <v>122.76666666666667</v>
      </c>
      <c r="W20" s="21">
        <v>3785</v>
      </c>
      <c r="X20" s="22">
        <f t="shared" si="9"/>
        <v>122.09677419354838</v>
      </c>
      <c r="Y20" s="21">
        <v>4068</v>
      </c>
      <c r="Z20" s="22">
        <f t="shared" si="10"/>
        <v>135.6</v>
      </c>
      <c r="AA20" s="21">
        <v>1971</v>
      </c>
      <c r="AB20" s="22">
        <f t="shared" si="11"/>
        <v>63.58064516129032</v>
      </c>
      <c r="AC20" s="23">
        <f t="shared" si="12"/>
        <v>42229.657296466969</v>
      </c>
      <c r="AD20" s="24">
        <f t="shared" si="13"/>
        <v>24.056608967636151</v>
      </c>
      <c r="AE20" s="21">
        <v>1633</v>
      </c>
      <c r="AF20" s="22">
        <f t="shared" si="14"/>
        <v>52.677419354838712</v>
      </c>
      <c r="AG20" s="21">
        <v>2756</v>
      </c>
      <c r="AH20" s="22">
        <f t="shared" si="15"/>
        <v>98.428571428571431</v>
      </c>
      <c r="AI20" s="21">
        <v>3334</v>
      </c>
      <c r="AJ20" s="22">
        <f t="shared" si="16"/>
        <v>107.54838709677419</v>
      </c>
      <c r="AK20" s="21">
        <v>3487</v>
      </c>
      <c r="AL20" s="22">
        <f t="shared" si="17"/>
        <v>116.23333333333333</v>
      </c>
      <c r="AM20" s="21">
        <v>2987</v>
      </c>
      <c r="AN20" s="22">
        <f t="shared" si="18"/>
        <v>96.354838709677423</v>
      </c>
      <c r="AO20" s="21">
        <v>2362</v>
      </c>
      <c r="AP20" s="22">
        <f t="shared" si="19"/>
        <v>78.733333333333334</v>
      </c>
      <c r="AQ20" s="21">
        <v>1693</v>
      </c>
      <c r="AR20" s="22">
        <f t="shared" si="20"/>
        <v>54.612903225806448</v>
      </c>
      <c r="AS20" s="21">
        <v>2761</v>
      </c>
      <c r="AT20" s="22">
        <f t="shared" si="21"/>
        <v>89.064516129032256</v>
      </c>
      <c r="AU20" s="21">
        <v>3238</v>
      </c>
      <c r="AV20" s="22">
        <f t="shared" si="22"/>
        <v>107.93333333333334</v>
      </c>
      <c r="AW20" s="21">
        <v>2382</v>
      </c>
      <c r="AX20" s="22">
        <f t="shared" si="23"/>
        <v>76.838709677419359</v>
      </c>
      <c r="AY20" s="21">
        <v>2881</v>
      </c>
      <c r="AZ20" s="22">
        <f t="shared" si="24"/>
        <v>96.033333333333331</v>
      </c>
      <c r="BA20" s="21">
        <v>3299</v>
      </c>
      <c r="BB20" s="22">
        <f t="shared" si="25"/>
        <v>106.41935483870968</v>
      </c>
      <c r="BC20" s="23">
        <f t="shared" si="26"/>
        <v>33787.45867895546</v>
      </c>
      <c r="BD20" s="24">
        <f t="shared" si="27"/>
        <v>20.629522308292021</v>
      </c>
      <c r="BE20" s="21">
        <v>2244</v>
      </c>
      <c r="BF20" s="22">
        <f t="shared" si="28"/>
        <v>72.387096774193552</v>
      </c>
      <c r="BG20" s="21">
        <v>4359</v>
      </c>
      <c r="BH20" s="22">
        <f t="shared" si="29"/>
        <v>155.67857142857142</v>
      </c>
      <c r="BI20" s="21">
        <v>2942</v>
      </c>
      <c r="BJ20" s="22">
        <f t="shared" si="30"/>
        <v>94.903225806451616</v>
      </c>
      <c r="BK20" s="21">
        <v>3171</v>
      </c>
      <c r="BL20" s="22">
        <f t="shared" si="31"/>
        <v>105.7</v>
      </c>
      <c r="BM20" s="21">
        <v>2525</v>
      </c>
      <c r="BN20" s="22">
        <f t="shared" si="32"/>
        <v>81.451612903225808</v>
      </c>
      <c r="BO20" s="21">
        <v>3612</v>
      </c>
      <c r="BP20" s="22">
        <f t="shared" si="33"/>
        <v>120.4</v>
      </c>
      <c r="BQ20" s="21">
        <v>3710</v>
      </c>
      <c r="BR20" s="22">
        <f t="shared" si="34"/>
        <v>119.6774193548387</v>
      </c>
      <c r="BS20" s="21">
        <v>4349</v>
      </c>
      <c r="BT20" s="22">
        <f t="shared" si="35"/>
        <v>140.29032258064515</v>
      </c>
      <c r="BU20" s="21">
        <v>2594</v>
      </c>
      <c r="BV20" s="22">
        <f t="shared" si="36"/>
        <v>86.466666666666669</v>
      </c>
      <c r="BW20" s="21">
        <v>2337</v>
      </c>
      <c r="BX20" s="22">
        <f t="shared" si="37"/>
        <v>75.387096774193552</v>
      </c>
      <c r="BY20" s="21">
        <v>4570</v>
      </c>
      <c r="BZ20" s="22">
        <f t="shared" si="38"/>
        <v>152.33333333333334</v>
      </c>
      <c r="CA20" s="21">
        <v>3862</v>
      </c>
      <c r="CB20" s="22">
        <f t="shared" si="39"/>
        <v>124.58064516129032</v>
      </c>
      <c r="CC20" s="23">
        <f t="shared" si="40"/>
        <v>41479.675345622127</v>
      </c>
      <c r="CD20" s="24">
        <f t="shared" si="41"/>
        <v>29.281438715784024</v>
      </c>
      <c r="CE20" s="21">
        <v>2285</v>
      </c>
      <c r="CF20" s="22">
        <f t="shared" si="42"/>
        <v>73.709677419354833</v>
      </c>
      <c r="CG20" s="21">
        <v>3835</v>
      </c>
      <c r="CH20" s="22">
        <f t="shared" si="43"/>
        <v>136.96428571428572</v>
      </c>
      <c r="CI20" s="21">
        <v>2060</v>
      </c>
      <c r="CJ20" s="22">
        <f t="shared" si="44"/>
        <v>66.451612903225808</v>
      </c>
      <c r="CK20" s="21">
        <v>2793</v>
      </c>
      <c r="CL20" s="22">
        <f t="shared" si="45"/>
        <v>93.1</v>
      </c>
      <c r="CM20" s="21">
        <v>2316</v>
      </c>
      <c r="CN20" s="22">
        <f t="shared" si="46"/>
        <v>74.709677419354833</v>
      </c>
      <c r="CO20" s="21">
        <v>2319</v>
      </c>
      <c r="CP20" s="22">
        <f t="shared" si="47"/>
        <v>77.3</v>
      </c>
      <c r="CQ20" s="21">
        <v>1751</v>
      </c>
      <c r="CR20" s="22">
        <f t="shared" si="48"/>
        <v>56.483870967741936</v>
      </c>
      <c r="CS20" s="21">
        <v>3586</v>
      </c>
      <c r="CT20" s="22">
        <f t="shared" si="49"/>
        <v>115.6774193548387</v>
      </c>
      <c r="CU20" s="21">
        <v>3808</v>
      </c>
      <c r="CV20" s="22">
        <f t="shared" si="50"/>
        <v>126.93333333333334</v>
      </c>
      <c r="CW20" s="21">
        <v>3293</v>
      </c>
      <c r="CX20" s="22">
        <f t="shared" si="51"/>
        <v>106.2258064516129</v>
      </c>
      <c r="CY20" s="21">
        <v>2094</v>
      </c>
      <c r="CZ20" s="22">
        <f t="shared" si="52"/>
        <v>69.8</v>
      </c>
      <c r="DA20" s="21">
        <v>2749</v>
      </c>
      <c r="DB20" s="22">
        <f t="shared" si="53"/>
        <v>88.677419354838705</v>
      </c>
      <c r="DC20" s="23">
        <f t="shared" si="54"/>
        <v>33886.355683563743</v>
      </c>
      <c r="DD20" s="24">
        <f t="shared" si="55"/>
        <v>25.667460729649708</v>
      </c>
      <c r="DE20" s="21">
        <v>2946</v>
      </c>
      <c r="DF20" s="22">
        <f t="shared" si="56"/>
        <v>95.032258064516128</v>
      </c>
      <c r="DG20" s="21">
        <v>3597</v>
      </c>
      <c r="DH20" s="22">
        <f t="shared" si="57"/>
        <v>128.46428571428572</v>
      </c>
      <c r="DI20" s="21">
        <v>3735</v>
      </c>
      <c r="DJ20" s="22">
        <f t="shared" si="58"/>
        <v>120.48387096774194</v>
      </c>
      <c r="DK20" s="21">
        <v>3158</v>
      </c>
      <c r="DL20" s="22">
        <f t="shared" si="59"/>
        <v>105.26666666666667</v>
      </c>
      <c r="DM20" s="21">
        <v>2689</v>
      </c>
      <c r="DN20" s="22">
        <f t="shared" si="60"/>
        <v>86.741935483870961</v>
      </c>
      <c r="DO20" s="21">
        <v>4290</v>
      </c>
      <c r="DP20" s="22">
        <f t="shared" si="61"/>
        <v>143</v>
      </c>
      <c r="DQ20" s="21">
        <v>2553</v>
      </c>
      <c r="DR20" s="22">
        <f t="shared" si="62"/>
        <v>82.354838709677423</v>
      </c>
      <c r="DS20" s="21">
        <v>3051</v>
      </c>
      <c r="DT20" s="22">
        <f t="shared" si="63"/>
        <v>98.41935483870968</v>
      </c>
      <c r="DU20" s="21">
        <v>3316</v>
      </c>
      <c r="DV20" s="22">
        <f t="shared" si="64"/>
        <v>110.53333333333333</v>
      </c>
      <c r="DW20" s="21">
        <v>2655</v>
      </c>
      <c r="DX20" s="22">
        <f t="shared" si="65"/>
        <v>85.645161290322577</v>
      </c>
      <c r="DY20" s="21">
        <v>3555</v>
      </c>
      <c r="DZ20" s="22">
        <f t="shared" si="66"/>
        <v>118.5</v>
      </c>
      <c r="EA20" s="21">
        <v>3563</v>
      </c>
      <c r="EB20" s="22">
        <f t="shared" si="67"/>
        <v>114.93548387096774</v>
      </c>
      <c r="EC20" s="23">
        <f t="shared" si="68"/>
        <v>40282.441705069126</v>
      </c>
      <c r="ED20" s="24">
        <f t="shared" si="69"/>
        <v>18.677862990830736</v>
      </c>
      <c r="EE20" s="25">
        <f t="shared" si="70"/>
        <v>1613.514851247061</v>
      </c>
    </row>
    <row r="21" spans="1:135" ht="15" customHeight="1" x14ac:dyDescent="0.35">
      <c r="A21" s="17">
        <v>16</v>
      </c>
      <c r="B21" s="18" t="s">
        <v>66</v>
      </c>
      <c r="C21" s="19" t="s">
        <v>67</v>
      </c>
      <c r="D21" s="20" t="s">
        <v>36</v>
      </c>
      <c r="E21" s="21">
        <v>2349</v>
      </c>
      <c r="F21" s="22">
        <f t="shared" si="0"/>
        <v>75.774193548387103</v>
      </c>
      <c r="G21" s="21">
        <v>1409</v>
      </c>
      <c r="H21" s="22">
        <f t="shared" si="1"/>
        <v>50.321428571428569</v>
      </c>
      <c r="I21" s="21">
        <v>2330</v>
      </c>
      <c r="J21" s="22">
        <f t="shared" si="2"/>
        <v>75.161290322580641</v>
      </c>
      <c r="K21" s="21">
        <v>1898</v>
      </c>
      <c r="L21" s="22">
        <f t="shared" si="3"/>
        <v>63.266666666666666</v>
      </c>
      <c r="M21" s="21">
        <v>1381</v>
      </c>
      <c r="N21" s="22">
        <f t="shared" si="4"/>
        <v>44.548387096774192</v>
      </c>
      <c r="O21" s="21">
        <v>1774</v>
      </c>
      <c r="P21" s="22">
        <f t="shared" si="5"/>
        <v>59.133333333333333</v>
      </c>
      <c r="Q21" s="21">
        <v>1936</v>
      </c>
      <c r="R21" s="22">
        <f t="shared" si="6"/>
        <v>62.451612903225808</v>
      </c>
      <c r="S21" s="21">
        <v>2015</v>
      </c>
      <c r="T21" s="22">
        <f t="shared" si="7"/>
        <v>65</v>
      </c>
      <c r="U21" s="21">
        <v>1077</v>
      </c>
      <c r="V21" s="22">
        <f t="shared" si="8"/>
        <v>35.9</v>
      </c>
      <c r="W21" s="21">
        <v>1829</v>
      </c>
      <c r="X21" s="22">
        <f t="shared" si="9"/>
        <v>59</v>
      </c>
      <c r="Y21" s="21">
        <v>1681</v>
      </c>
      <c r="Z21" s="22">
        <f t="shared" si="10"/>
        <v>56.033333333333331</v>
      </c>
      <c r="AA21" s="21">
        <v>2230</v>
      </c>
      <c r="AB21" s="22">
        <f t="shared" si="11"/>
        <v>71.935483870967744</v>
      </c>
      <c r="AC21" s="23">
        <f t="shared" si="12"/>
        <v>22555.590245775733</v>
      </c>
      <c r="AD21" s="24">
        <f t="shared" si="13"/>
        <v>12.035435247364376</v>
      </c>
      <c r="AE21" s="21">
        <v>1365</v>
      </c>
      <c r="AF21" s="22">
        <f t="shared" si="14"/>
        <v>44.032258064516128</v>
      </c>
      <c r="AG21" s="21">
        <v>2040</v>
      </c>
      <c r="AH21" s="22">
        <f t="shared" si="15"/>
        <v>72.857142857142861</v>
      </c>
      <c r="AI21" s="21">
        <v>1788</v>
      </c>
      <c r="AJ21" s="22">
        <f t="shared" si="16"/>
        <v>57.677419354838712</v>
      </c>
      <c r="AK21" s="21">
        <v>1452</v>
      </c>
      <c r="AL21" s="22">
        <f t="shared" si="17"/>
        <v>48.4</v>
      </c>
      <c r="AM21" s="21">
        <v>1827</v>
      </c>
      <c r="AN21" s="22">
        <f t="shared" si="18"/>
        <v>58.935483870967744</v>
      </c>
      <c r="AO21" s="21">
        <v>1806</v>
      </c>
      <c r="AP21" s="22">
        <f t="shared" si="19"/>
        <v>60.2</v>
      </c>
      <c r="AQ21" s="21">
        <v>1881</v>
      </c>
      <c r="AR21" s="22">
        <f t="shared" si="20"/>
        <v>60.677419354838712</v>
      </c>
      <c r="AS21" s="21">
        <v>1938</v>
      </c>
      <c r="AT21" s="22">
        <f t="shared" si="21"/>
        <v>62.516129032258064</v>
      </c>
      <c r="AU21" s="21">
        <v>1856</v>
      </c>
      <c r="AV21" s="22">
        <f t="shared" si="22"/>
        <v>61.866666666666667</v>
      </c>
      <c r="AW21" s="21">
        <v>2092</v>
      </c>
      <c r="AX21" s="22">
        <f t="shared" si="23"/>
        <v>67.483870967741936</v>
      </c>
      <c r="AY21" s="21">
        <v>1816</v>
      </c>
      <c r="AZ21" s="22">
        <f t="shared" si="24"/>
        <v>60.533333333333331</v>
      </c>
      <c r="BA21" s="21">
        <v>2178</v>
      </c>
      <c r="BB21" s="22">
        <f t="shared" si="25"/>
        <v>70.258064516129039</v>
      </c>
      <c r="BC21" s="23">
        <f t="shared" si="26"/>
        <v>22694.1797235023</v>
      </c>
      <c r="BD21" s="24">
        <f t="shared" si="27"/>
        <v>8.1504782662534812</v>
      </c>
      <c r="BE21" s="21">
        <v>1737</v>
      </c>
      <c r="BF21" s="22">
        <f t="shared" si="28"/>
        <v>56.032258064516128</v>
      </c>
      <c r="BG21" s="21">
        <v>1317</v>
      </c>
      <c r="BH21" s="22">
        <f t="shared" si="29"/>
        <v>47.035714285714285</v>
      </c>
      <c r="BI21" s="21">
        <v>1481</v>
      </c>
      <c r="BJ21" s="22">
        <f t="shared" si="30"/>
        <v>47.774193548387096</v>
      </c>
      <c r="BK21" s="21">
        <v>1654</v>
      </c>
      <c r="BL21" s="22">
        <f t="shared" si="31"/>
        <v>55.133333333333333</v>
      </c>
      <c r="BM21" s="21">
        <v>1844</v>
      </c>
      <c r="BN21" s="22">
        <f t="shared" si="32"/>
        <v>59.483870967741936</v>
      </c>
      <c r="BO21" s="21">
        <v>1045</v>
      </c>
      <c r="BP21" s="22">
        <f t="shared" si="33"/>
        <v>34.833333333333336</v>
      </c>
      <c r="BQ21" s="21">
        <v>1300</v>
      </c>
      <c r="BR21" s="22">
        <f t="shared" si="34"/>
        <v>41.935483870967744</v>
      </c>
      <c r="BS21" s="21">
        <v>1863</v>
      </c>
      <c r="BT21" s="22">
        <f t="shared" si="35"/>
        <v>60.096774193548384</v>
      </c>
      <c r="BU21" s="21">
        <v>1151</v>
      </c>
      <c r="BV21" s="22">
        <f t="shared" si="36"/>
        <v>38.366666666666667</v>
      </c>
      <c r="BW21" s="21">
        <v>1097</v>
      </c>
      <c r="BX21" s="22">
        <f t="shared" si="37"/>
        <v>35.387096774193552</v>
      </c>
      <c r="BY21" s="21">
        <v>1604</v>
      </c>
      <c r="BZ21" s="22">
        <f t="shared" si="38"/>
        <v>53.466666666666669</v>
      </c>
      <c r="CA21" s="21">
        <v>2141</v>
      </c>
      <c r="CB21" s="22">
        <f t="shared" si="39"/>
        <v>69.064516129032256</v>
      </c>
      <c r="CC21" s="23">
        <f t="shared" si="40"/>
        <v>18763.545391705069</v>
      </c>
      <c r="CD21" s="24">
        <f t="shared" si="41"/>
        <v>10.819247230169339</v>
      </c>
      <c r="CE21" s="21">
        <v>1396</v>
      </c>
      <c r="CF21" s="22">
        <f t="shared" si="42"/>
        <v>45.032258064516128</v>
      </c>
      <c r="CG21" s="21">
        <v>1813</v>
      </c>
      <c r="CH21" s="22">
        <f t="shared" si="43"/>
        <v>64.75</v>
      </c>
      <c r="CI21" s="21">
        <v>1723</v>
      </c>
      <c r="CJ21" s="22">
        <f t="shared" si="44"/>
        <v>55.58064516129032</v>
      </c>
      <c r="CK21" s="21">
        <v>1098</v>
      </c>
      <c r="CL21" s="22">
        <f t="shared" si="45"/>
        <v>36.6</v>
      </c>
      <c r="CM21" s="21">
        <v>1716</v>
      </c>
      <c r="CN21" s="22">
        <f t="shared" si="46"/>
        <v>55.354838709677416</v>
      </c>
      <c r="CO21" s="21">
        <v>1343</v>
      </c>
      <c r="CP21" s="22">
        <f t="shared" si="47"/>
        <v>44.766666666666666</v>
      </c>
      <c r="CQ21" s="21">
        <v>1697</v>
      </c>
      <c r="CR21" s="22">
        <f t="shared" si="48"/>
        <v>54.741935483870968</v>
      </c>
      <c r="CS21" s="21">
        <v>1631</v>
      </c>
      <c r="CT21" s="22">
        <f t="shared" si="49"/>
        <v>52.612903225806448</v>
      </c>
      <c r="CU21" s="21">
        <v>1187</v>
      </c>
      <c r="CV21" s="22">
        <f t="shared" si="50"/>
        <v>39.56666666666667</v>
      </c>
      <c r="CW21" s="21">
        <v>943</v>
      </c>
      <c r="CX21" s="22">
        <f t="shared" si="51"/>
        <v>30.419354838709676</v>
      </c>
      <c r="CY21" s="21">
        <v>1867</v>
      </c>
      <c r="CZ21" s="22">
        <f t="shared" si="52"/>
        <v>62.233333333333334</v>
      </c>
      <c r="DA21" s="21">
        <v>971</v>
      </c>
      <c r="DB21" s="22">
        <f t="shared" si="53"/>
        <v>31.322580645161292</v>
      </c>
      <c r="DC21" s="23">
        <f t="shared" si="54"/>
        <v>17926.658602150539</v>
      </c>
      <c r="DD21" s="24">
        <f t="shared" si="55"/>
        <v>11.553203773648834</v>
      </c>
      <c r="DE21" s="21">
        <v>2259</v>
      </c>
      <c r="DF21" s="22">
        <f t="shared" si="56"/>
        <v>72.870967741935488</v>
      </c>
      <c r="DG21" s="21">
        <v>2119</v>
      </c>
      <c r="DH21" s="22">
        <f t="shared" si="57"/>
        <v>75.678571428571431</v>
      </c>
      <c r="DI21" s="21">
        <v>1940</v>
      </c>
      <c r="DJ21" s="22">
        <f t="shared" si="58"/>
        <v>62.58064516129032</v>
      </c>
      <c r="DK21" s="21">
        <v>2276</v>
      </c>
      <c r="DL21" s="22">
        <f t="shared" si="59"/>
        <v>75.86666666666666</v>
      </c>
      <c r="DM21" s="21">
        <v>2260</v>
      </c>
      <c r="DN21" s="22">
        <f t="shared" si="60"/>
        <v>72.903225806451616</v>
      </c>
      <c r="DO21" s="21">
        <v>2046</v>
      </c>
      <c r="DP21" s="22">
        <f t="shared" si="61"/>
        <v>68.2</v>
      </c>
      <c r="DQ21" s="21">
        <v>1468</v>
      </c>
      <c r="DR21" s="22">
        <f t="shared" si="62"/>
        <v>47.354838709677416</v>
      </c>
      <c r="DS21" s="21">
        <v>2027</v>
      </c>
      <c r="DT21" s="22">
        <f t="shared" si="63"/>
        <v>65.387096774193552</v>
      </c>
      <c r="DU21" s="21">
        <v>1005</v>
      </c>
      <c r="DV21" s="22">
        <f t="shared" si="64"/>
        <v>33.5</v>
      </c>
      <c r="DW21" s="21">
        <v>1693</v>
      </c>
      <c r="DX21" s="22">
        <f t="shared" si="65"/>
        <v>54.612903225806448</v>
      </c>
      <c r="DY21" s="21">
        <v>1585</v>
      </c>
      <c r="DZ21" s="22">
        <f t="shared" si="66"/>
        <v>52.833333333333336</v>
      </c>
      <c r="EA21" s="21">
        <v>1872</v>
      </c>
      <c r="EB21" s="22">
        <f t="shared" si="67"/>
        <v>60.387096774193552</v>
      </c>
      <c r="EC21" s="23">
        <f t="shared" si="68"/>
        <v>23231.788248847926</v>
      </c>
      <c r="ED21" s="24">
        <f t="shared" si="69"/>
        <v>12.91351421208387</v>
      </c>
      <c r="EE21" s="25">
        <f t="shared" si="70"/>
        <v>859.4639918970488</v>
      </c>
    </row>
    <row r="22" spans="1:135" ht="15" customHeight="1" x14ac:dyDescent="0.35">
      <c r="A22" s="17">
        <v>17</v>
      </c>
      <c r="B22" s="18" t="s">
        <v>68</v>
      </c>
      <c r="C22" s="19" t="s">
        <v>69</v>
      </c>
      <c r="D22" s="20" t="s">
        <v>36</v>
      </c>
      <c r="E22" s="21">
        <v>821</v>
      </c>
      <c r="F22" s="22">
        <f t="shared" si="0"/>
        <v>26.483870967741936</v>
      </c>
      <c r="G22" s="21">
        <v>770</v>
      </c>
      <c r="H22" s="22">
        <f t="shared" si="1"/>
        <v>27.5</v>
      </c>
      <c r="I22" s="21">
        <v>907</v>
      </c>
      <c r="J22" s="22">
        <f t="shared" si="2"/>
        <v>29.258064516129032</v>
      </c>
      <c r="K22" s="21">
        <v>975</v>
      </c>
      <c r="L22" s="22">
        <f t="shared" si="3"/>
        <v>32.5</v>
      </c>
      <c r="M22" s="21">
        <v>495</v>
      </c>
      <c r="N22" s="22">
        <f t="shared" si="4"/>
        <v>15.96774193548387</v>
      </c>
      <c r="O22" s="21">
        <v>568</v>
      </c>
      <c r="P22" s="22">
        <f t="shared" si="5"/>
        <v>18.933333333333334</v>
      </c>
      <c r="Q22" s="21">
        <v>447</v>
      </c>
      <c r="R22" s="22">
        <f t="shared" si="6"/>
        <v>14.419354838709678</v>
      </c>
      <c r="S22" s="21">
        <v>943</v>
      </c>
      <c r="T22" s="22">
        <f t="shared" si="7"/>
        <v>30.419354838709676</v>
      </c>
      <c r="U22" s="21">
        <v>757</v>
      </c>
      <c r="V22" s="22">
        <f t="shared" si="8"/>
        <v>25.233333333333334</v>
      </c>
      <c r="W22" s="21">
        <v>961</v>
      </c>
      <c r="X22" s="22">
        <f t="shared" si="9"/>
        <v>31</v>
      </c>
      <c r="Y22" s="21">
        <v>561</v>
      </c>
      <c r="Z22" s="22">
        <f t="shared" si="10"/>
        <v>18.7</v>
      </c>
      <c r="AA22" s="21">
        <v>469</v>
      </c>
      <c r="AB22" s="22">
        <f t="shared" si="11"/>
        <v>15.129032258064516</v>
      </c>
      <c r="AC22" s="23">
        <f t="shared" si="12"/>
        <v>8944.4150537634414</v>
      </c>
      <c r="AD22" s="24">
        <f t="shared" si="13"/>
        <v>6.7305583321362477</v>
      </c>
      <c r="AE22" s="21">
        <v>766</v>
      </c>
      <c r="AF22" s="22">
        <f t="shared" si="14"/>
        <v>24.70967741935484</v>
      </c>
      <c r="AG22" s="21">
        <v>808</v>
      </c>
      <c r="AH22" s="22">
        <f t="shared" si="15"/>
        <v>28.857142857142858</v>
      </c>
      <c r="AI22" s="21">
        <v>512</v>
      </c>
      <c r="AJ22" s="22">
        <f t="shared" si="16"/>
        <v>16.516129032258064</v>
      </c>
      <c r="AK22" s="21">
        <v>564</v>
      </c>
      <c r="AL22" s="22">
        <f t="shared" si="17"/>
        <v>18.8</v>
      </c>
      <c r="AM22" s="21">
        <v>433</v>
      </c>
      <c r="AN22" s="22">
        <f t="shared" si="18"/>
        <v>13.96774193548387</v>
      </c>
      <c r="AO22" s="21">
        <v>826</v>
      </c>
      <c r="AP22" s="22">
        <f t="shared" si="19"/>
        <v>27.533333333333335</v>
      </c>
      <c r="AQ22" s="21">
        <v>513</v>
      </c>
      <c r="AR22" s="22">
        <f t="shared" si="20"/>
        <v>16.548387096774192</v>
      </c>
      <c r="AS22" s="21">
        <v>605</v>
      </c>
      <c r="AT22" s="22">
        <f t="shared" si="21"/>
        <v>19.516129032258064</v>
      </c>
      <c r="AU22" s="21">
        <v>412</v>
      </c>
      <c r="AV22" s="22">
        <f t="shared" si="22"/>
        <v>13.733333333333333</v>
      </c>
      <c r="AW22" s="21">
        <v>797</v>
      </c>
      <c r="AX22" s="22">
        <f t="shared" si="23"/>
        <v>25.70967741935484</v>
      </c>
      <c r="AY22" s="21">
        <v>431</v>
      </c>
      <c r="AZ22" s="22">
        <f t="shared" si="24"/>
        <v>14.366666666666667</v>
      </c>
      <c r="BA22" s="21">
        <v>586</v>
      </c>
      <c r="BB22" s="22">
        <f t="shared" si="25"/>
        <v>18.903225806451612</v>
      </c>
      <c r="BC22" s="23">
        <f t="shared" si="26"/>
        <v>7473.2582181259622</v>
      </c>
      <c r="BD22" s="24">
        <f t="shared" si="27"/>
        <v>5.4292532260501405</v>
      </c>
      <c r="BE22" s="21">
        <v>809</v>
      </c>
      <c r="BF22" s="22">
        <f t="shared" si="28"/>
        <v>26.096774193548388</v>
      </c>
      <c r="BG22" s="21">
        <v>850</v>
      </c>
      <c r="BH22" s="22">
        <f t="shared" si="29"/>
        <v>30.357142857142858</v>
      </c>
      <c r="BI22" s="21">
        <v>966</v>
      </c>
      <c r="BJ22" s="22">
        <f t="shared" si="30"/>
        <v>31.161290322580644</v>
      </c>
      <c r="BK22" s="21">
        <v>666</v>
      </c>
      <c r="BL22" s="22">
        <f t="shared" si="31"/>
        <v>22.2</v>
      </c>
      <c r="BM22" s="21">
        <v>850</v>
      </c>
      <c r="BN22" s="22">
        <f t="shared" si="32"/>
        <v>27.419354838709676</v>
      </c>
      <c r="BO22" s="21">
        <v>515</v>
      </c>
      <c r="BP22" s="22">
        <f t="shared" si="33"/>
        <v>17.166666666666668</v>
      </c>
      <c r="BQ22" s="21">
        <v>663</v>
      </c>
      <c r="BR22" s="22">
        <f t="shared" si="34"/>
        <v>21.387096774193548</v>
      </c>
      <c r="BS22" s="21">
        <v>483</v>
      </c>
      <c r="BT22" s="22">
        <f t="shared" si="35"/>
        <v>15.580645161290322</v>
      </c>
      <c r="BU22" s="21">
        <v>706</v>
      </c>
      <c r="BV22" s="22">
        <f t="shared" si="36"/>
        <v>23.533333333333335</v>
      </c>
      <c r="BW22" s="21">
        <v>659</v>
      </c>
      <c r="BX22" s="22">
        <f t="shared" si="37"/>
        <v>21.258064516129032</v>
      </c>
      <c r="BY22" s="21">
        <v>969</v>
      </c>
      <c r="BZ22" s="22">
        <f t="shared" si="38"/>
        <v>32.299999999999997</v>
      </c>
      <c r="CA22" s="21">
        <v>446</v>
      </c>
      <c r="CB22" s="22">
        <f t="shared" si="39"/>
        <v>14.387096774193548</v>
      </c>
      <c r="CC22" s="23">
        <f t="shared" si="40"/>
        <v>8850.4603686635928</v>
      </c>
      <c r="CD22" s="24">
        <f t="shared" si="41"/>
        <v>6.0471973190474113</v>
      </c>
      <c r="CE22" s="21">
        <v>562</v>
      </c>
      <c r="CF22" s="22">
        <f t="shared" si="42"/>
        <v>18.129032258064516</v>
      </c>
      <c r="CG22" s="21">
        <v>599</v>
      </c>
      <c r="CH22" s="22">
        <f t="shared" si="43"/>
        <v>21.392857142857142</v>
      </c>
      <c r="CI22" s="21">
        <v>853</v>
      </c>
      <c r="CJ22" s="22">
        <f t="shared" si="44"/>
        <v>27.516129032258064</v>
      </c>
      <c r="CK22" s="21">
        <v>806</v>
      </c>
      <c r="CL22" s="22">
        <f t="shared" si="45"/>
        <v>26.866666666666667</v>
      </c>
      <c r="CM22" s="21">
        <v>426</v>
      </c>
      <c r="CN22" s="22">
        <f t="shared" si="46"/>
        <v>13.741935483870968</v>
      </c>
      <c r="CO22" s="21">
        <v>721</v>
      </c>
      <c r="CP22" s="22">
        <f t="shared" si="47"/>
        <v>24.033333333333335</v>
      </c>
      <c r="CQ22" s="21">
        <v>650</v>
      </c>
      <c r="CR22" s="22">
        <f t="shared" si="48"/>
        <v>20.967741935483872</v>
      </c>
      <c r="CS22" s="21">
        <v>867</v>
      </c>
      <c r="CT22" s="22">
        <f t="shared" si="49"/>
        <v>27.967741935483872</v>
      </c>
      <c r="CU22" s="21">
        <v>556</v>
      </c>
      <c r="CV22" s="22">
        <f t="shared" si="50"/>
        <v>18.533333333333335</v>
      </c>
      <c r="CW22" s="21">
        <v>576</v>
      </c>
      <c r="CX22" s="22">
        <f t="shared" si="51"/>
        <v>18.580645161290324</v>
      </c>
      <c r="CY22" s="21">
        <v>472</v>
      </c>
      <c r="CZ22" s="22">
        <f t="shared" si="52"/>
        <v>15.733333333333333</v>
      </c>
      <c r="DA22" s="21">
        <v>438</v>
      </c>
      <c r="DB22" s="22">
        <f t="shared" si="53"/>
        <v>14.129032258064516</v>
      </c>
      <c r="DC22" s="23">
        <f t="shared" si="54"/>
        <v>7759.4627496159765</v>
      </c>
      <c r="DD22" s="24">
        <f t="shared" si="55"/>
        <v>5.0539985963207101</v>
      </c>
      <c r="DE22" s="21">
        <v>847</v>
      </c>
      <c r="DF22" s="22">
        <f t="shared" si="56"/>
        <v>27.322580645161292</v>
      </c>
      <c r="DG22" s="21">
        <v>639</v>
      </c>
      <c r="DH22" s="22">
        <f t="shared" si="57"/>
        <v>22.821428571428573</v>
      </c>
      <c r="DI22" s="21">
        <v>749</v>
      </c>
      <c r="DJ22" s="22">
        <f t="shared" si="58"/>
        <v>24.161290322580644</v>
      </c>
      <c r="DK22" s="21">
        <v>738</v>
      </c>
      <c r="DL22" s="22">
        <f t="shared" si="59"/>
        <v>24.6</v>
      </c>
      <c r="DM22" s="21">
        <v>714</v>
      </c>
      <c r="DN22" s="22">
        <f t="shared" si="60"/>
        <v>23.032258064516128</v>
      </c>
      <c r="DO22" s="21">
        <v>409</v>
      </c>
      <c r="DP22" s="22">
        <f t="shared" si="61"/>
        <v>13.633333333333333</v>
      </c>
      <c r="DQ22" s="21">
        <v>815</v>
      </c>
      <c r="DR22" s="22">
        <f t="shared" si="62"/>
        <v>26.29032258064516</v>
      </c>
      <c r="DS22" s="21">
        <v>527</v>
      </c>
      <c r="DT22" s="22">
        <f t="shared" si="63"/>
        <v>17</v>
      </c>
      <c r="DU22" s="21">
        <v>464</v>
      </c>
      <c r="DV22" s="22">
        <f t="shared" si="64"/>
        <v>15.466666666666667</v>
      </c>
      <c r="DW22" s="21">
        <v>697</v>
      </c>
      <c r="DX22" s="22">
        <f t="shared" si="65"/>
        <v>22.483870967741936</v>
      </c>
      <c r="DY22" s="21">
        <v>434</v>
      </c>
      <c r="DZ22" s="22">
        <f t="shared" si="66"/>
        <v>14.466666666666667</v>
      </c>
      <c r="EA22" s="21">
        <v>803</v>
      </c>
      <c r="EB22" s="22">
        <f t="shared" si="67"/>
        <v>25.903225806451612</v>
      </c>
      <c r="EC22" s="23">
        <f t="shared" si="68"/>
        <v>8067.2784178187394</v>
      </c>
      <c r="ED22" s="24">
        <f t="shared" si="69"/>
        <v>4.9169467078868125</v>
      </c>
      <c r="EE22" s="25">
        <f t="shared" si="70"/>
        <v>339.84822221772004</v>
      </c>
    </row>
    <row r="23" spans="1:135" ht="15" customHeight="1" x14ac:dyDescent="0.35">
      <c r="A23" s="17">
        <v>18</v>
      </c>
      <c r="B23" s="18" t="s">
        <v>70</v>
      </c>
      <c r="C23" s="19" t="s">
        <v>71</v>
      </c>
      <c r="D23" s="20" t="s">
        <v>36</v>
      </c>
      <c r="E23" s="21">
        <v>1938</v>
      </c>
      <c r="F23" s="22">
        <f t="shared" si="0"/>
        <v>62.516129032258064</v>
      </c>
      <c r="G23" s="21">
        <v>1956</v>
      </c>
      <c r="H23" s="22">
        <f t="shared" si="1"/>
        <v>69.857142857142861</v>
      </c>
      <c r="I23" s="21">
        <v>3279</v>
      </c>
      <c r="J23" s="22">
        <f t="shared" si="2"/>
        <v>105.7741935483871</v>
      </c>
      <c r="K23" s="21">
        <v>2184</v>
      </c>
      <c r="L23" s="22">
        <f t="shared" si="3"/>
        <v>72.8</v>
      </c>
      <c r="M23" s="21">
        <v>1817</v>
      </c>
      <c r="N23" s="22">
        <f t="shared" si="4"/>
        <v>58.612903225806448</v>
      </c>
      <c r="O23" s="21">
        <v>3342</v>
      </c>
      <c r="P23" s="22">
        <f t="shared" si="5"/>
        <v>111.4</v>
      </c>
      <c r="Q23" s="21">
        <v>1524</v>
      </c>
      <c r="R23" s="22">
        <f t="shared" si="6"/>
        <v>49.161290322580648</v>
      </c>
      <c r="S23" s="21">
        <v>3257</v>
      </c>
      <c r="T23" s="22">
        <f t="shared" si="7"/>
        <v>105.06451612903226</v>
      </c>
      <c r="U23" s="21">
        <v>1811</v>
      </c>
      <c r="V23" s="22">
        <f t="shared" si="8"/>
        <v>60.366666666666667</v>
      </c>
      <c r="W23" s="21">
        <v>1782</v>
      </c>
      <c r="X23" s="22">
        <f t="shared" si="9"/>
        <v>57.483870967741936</v>
      </c>
      <c r="Y23" s="21">
        <v>2026</v>
      </c>
      <c r="Z23" s="22">
        <f t="shared" si="10"/>
        <v>67.533333333333331</v>
      </c>
      <c r="AA23" s="21">
        <v>1872</v>
      </c>
      <c r="AB23" s="22">
        <f t="shared" si="11"/>
        <v>60.387096774193552</v>
      </c>
      <c r="AC23" s="23">
        <f t="shared" si="12"/>
        <v>27608.57004608295</v>
      </c>
      <c r="AD23" s="24">
        <f t="shared" si="13"/>
        <v>21.445949104402931</v>
      </c>
      <c r="AE23" s="21">
        <v>3285</v>
      </c>
      <c r="AF23" s="22">
        <f t="shared" si="14"/>
        <v>105.96774193548387</v>
      </c>
      <c r="AG23" s="21">
        <v>1806</v>
      </c>
      <c r="AH23" s="22">
        <f t="shared" si="15"/>
        <v>64.5</v>
      </c>
      <c r="AI23" s="21">
        <v>1780</v>
      </c>
      <c r="AJ23" s="22">
        <f t="shared" si="16"/>
        <v>57.41935483870968</v>
      </c>
      <c r="AK23" s="21">
        <v>3585</v>
      </c>
      <c r="AL23" s="22">
        <f t="shared" si="17"/>
        <v>119.5</v>
      </c>
      <c r="AM23" s="21">
        <v>2300</v>
      </c>
      <c r="AN23" s="22">
        <f t="shared" si="18"/>
        <v>74.193548387096769</v>
      </c>
      <c r="AO23" s="21">
        <v>2500</v>
      </c>
      <c r="AP23" s="22">
        <f t="shared" si="19"/>
        <v>83.333333333333329</v>
      </c>
      <c r="AQ23" s="21">
        <v>2151</v>
      </c>
      <c r="AR23" s="22">
        <f t="shared" si="20"/>
        <v>69.387096774193552</v>
      </c>
      <c r="AS23" s="21">
        <v>1868</v>
      </c>
      <c r="AT23" s="22">
        <f t="shared" si="21"/>
        <v>60.258064516129032</v>
      </c>
      <c r="AU23" s="21">
        <v>3472</v>
      </c>
      <c r="AV23" s="22">
        <f t="shared" si="22"/>
        <v>115.73333333333333</v>
      </c>
      <c r="AW23" s="21">
        <v>2970</v>
      </c>
      <c r="AX23" s="22">
        <f t="shared" si="23"/>
        <v>95.806451612903231</v>
      </c>
      <c r="AY23" s="21">
        <v>3482</v>
      </c>
      <c r="AZ23" s="22">
        <f t="shared" si="24"/>
        <v>116.06666666666666</v>
      </c>
      <c r="BA23" s="21">
        <v>2854</v>
      </c>
      <c r="BB23" s="22">
        <f t="shared" si="25"/>
        <v>92.064516129032256</v>
      </c>
      <c r="BC23" s="23">
        <f t="shared" si="26"/>
        <v>33015.165591397847</v>
      </c>
      <c r="BD23" s="24">
        <f t="shared" si="27"/>
        <v>22.893115547067911</v>
      </c>
      <c r="BE23" s="21">
        <v>2777</v>
      </c>
      <c r="BF23" s="22">
        <f t="shared" si="28"/>
        <v>89.58064516129032</v>
      </c>
      <c r="BG23" s="21">
        <v>2296</v>
      </c>
      <c r="BH23" s="22">
        <f t="shared" si="29"/>
        <v>82</v>
      </c>
      <c r="BI23" s="21">
        <v>1561</v>
      </c>
      <c r="BJ23" s="22">
        <f t="shared" si="30"/>
        <v>50.354838709677416</v>
      </c>
      <c r="BK23" s="21">
        <v>2279</v>
      </c>
      <c r="BL23" s="22">
        <f t="shared" si="31"/>
        <v>75.966666666666669</v>
      </c>
      <c r="BM23" s="21">
        <v>3081</v>
      </c>
      <c r="BN23" s="22">
        <f t="shared" si="32"/>
        <v>99.387096774193552</v>
      </c>
      <c r="BO23" s="21">
        <v>1442</v>
      </c>
      <c r="BP23" s="22">
        <f t="shared" si="33"/>
        <v>48.06666666666667</v>
      </c>
      <c r="BQ23" s="21">
        <v>2786</v>
      </c>
      <c r="BR23" s="22">
        <f t="shared" si="34"/>
        <v>89.870967741935488</v>
      </c>
      <c r="BS23" s="21">
        <v>2939</v>
      </c>
      <c r="BT23" s="22">
        <f t="shared" si="35"/>
        <v>94.806451612903231</v>
      </c>
      <c r="BU23" s="21">
        <v>2311</v>
      </c>
      <c r="BV23" s="22">
        <f t="shared" si="36"/>
        <v>77.033333333333331</v>
      </c>
      <c r="BW23" s="21">
        <v>2195</v>
      </c>
      <c r="BX23" s="22">
        <f t="shared" si="37"/>
        <v>70.806451612903231</v>
      </c>
      <c r="BY23" s="21">
        <v>3115</v>
      </c>
      <c r="BZ23" s="22">
        <f t="shared" si="38"/>
        <v>103.83333333333333</v>
      </c>
      <c r="CA23" s="21">
        <v>1474</v>
      </c>
      <c r="CB23" s="22">
        <f t="shared" si="39"/>
        <v>47.548387096774192</v>
      </c>
      <c r="CC23" s="23">
        <f t="shared" si="40"/>
        <v>29137.706451612896</v>
      </c>
      <c r="CD23" s="24">
        <f t="shared" si="41"/>
        <v>19.860517621979351</v>
      </c>
      <c r="CE23" s="21">
        <v>2990</v>
      </c>
      <c r="CF23" s="22">
        <f t="shared" si="42"/>
        <v>96.451612903225808</v>
      </c>
      <c r="CG23" s="21">
        <v>2802</v>
      </c>
      <c r="CH23" s="22">
        <f t="shared" si="43"/>
        <v>100.07142857142857</v>
      </c>
      <c r="CI23" s="21">
        <v>3494</v>
      </c>
      <c r="CJ23" s="22">
        <f t="shared" si="44"/>
        <v>112.70967741935483</v>
      </c>
      <c r="CK23" s="21">
        <v>3018</v>
      </c>
      <c r="CL23" s="22">
        <f t="shared" si="45"/>
        <v>100.6</v>
      </c>
      <c r="CM23" s="21">
        <v>4038</v>
      </c>
      <c r="CN23" s="22">
        <f t="shared" si="46"/>
        <v>130.25806451612902</v>
      </c>
      <c r="CO23" s="21">
        <v>2004</v>
      </c>
      <c r="CP23" s="22">
        <f t="shared" si="47"/>
        <v>66.8</v>
      </c>
      <c r="CQ23" s="21">
        <v>2021</v>
      </c>
      <c r="CR23" s="22">
        <f t="shared" si="48"/>
        <v>65.193548387096769</v>
      </c>
      <c r="CS23" s="21">
        <v>3305</v>
      </c>
      <c r="CT23" s="22">
        <f t="shared" si="49"/>
        <v>106.61290322580645</v>
      </c>
      <c r="CU23" s="21">
        <v>1985</v>
      </c>
      <c r="CV23" s="22">
        <f t="shared" si="50"/>
        <v>66.166666666666671</v>
      </c>
      <c r="CW23" s="21">
        <v>2494</v>
      </c>
      <c r="CX23" s="22">
        <f t="shared" si="51"/>
        <v>80.451612903225808</v>
      </c>
      <c r="CY23" s="21">
        <v>3365</v>
      </c>
      <c r="CZ23" s="22">
        <f t="shared" si="52"/>
        <v>112.16666666666667</v>
      </c>
      <c r="DA23" s="21">
        <v>3159</v>
      </c>
      <c r="DB23" s="22">
        <f t="shared" si="53"/>
        <v>101.90322580645162</v>
      </c>
      <c r="DC23" s="23">
        <f t="shared" si="54"/>
        <v>35712.482181259606</v>
      </c>
      <c r="DD23" s="24">
        <f t="shared" si="55"/>
        <v>20.932377284853143</v>
      </c>
      <c r="DE23" s="21">
        <v>2416</v>
      </c>
      <c r="DF23" s="22">
        <f t="shared" si="56"/>
        <v>77.935483870967744</v>
      </c>
      <c r="DG23" s="21">
        <v>3920</v>
      </c>
      <c r="DH23" s="22">
        <f t="shared" si="57"/>
        <v>140</v>
      </c>
      <c r="DI23" s="21">
        <v>2877</v>
      </c>
      <c r="DJ23" s="22">
        <f t="shared" si="58"/>
        <v>92.806451612903231</v>
      </c>
      <c r="DK23" s="21">
        <v>2704</v>
      </c>
      <c r="DL23" s="22">
        <f t="shared" si="59"/>
        <v>90.13333333333334</v>
      </c>
      <c r="DM23" s="21">
        <v>3045</v>
      </c>
      <c r="DN23" s="22">
        <f t="shared" si="60"/>
        <v>98.225806451612897</v>
      </c>
      <c r="DO23" s="21">
        <v>1908</v>
      </c>
      <c r="DP23" s="22">
        <f t="shared" si="61"/>
        <v>63.6</v>
      </c>
      <c r="DQ23" s="21">
        <v>3262</v>
      </c>
      <c r="DR23" s="22">
        <f t="shared" si="62"/>
        <v>105.2258064516129</v>
      </c>
      <c r="DS23" s="21">
        <v>3601</v>
      </c>
      <c r="DT23" s="22">
        <f t="shared" si="63"/>
        <v>116.16129032258064</v>
      </c>
      <c r="DU23" s="21">
        <v>3147</v>
      </c>
      <c r="DV23" s="22">
        <f t="shared" si="64"/>
        <v>104.9</v>
      </c>
      <c r="DW23" s="21">
        <v>3413</v>
      </c>
      <c r="DX23" s="22">
        <f t="shared" si="65"/>
        <v>110.09677419354838</v>
      </c>
      <c r="DY23" s="21">
        <v>3305</v>
      </c>
      <c r="DZ23" s="22">
        <f t="shared" si="66"/>
        <v>110.16666666666667</v>
      </c>
      <c r="EA23" s="21">
        <v>2168</v>
      </c>
      <c r="EB23" s="22">
        <f t="shared" si="67"/>
        <v>69.935483870967744</v>
      </c>
      <c r="EC23" s="23">
        <f t="shared" si="68"/>
        <v>36875.251612903223</v>
      </c>
      <c r="ED23" s="24">
        <f t="shared" si="69"/>
        <v>21.21242829126663</v>
      </c>
      <c r="EE23" s="25">
        <f t="shared" si="70"/>
        <v>1360.5473612025253</v>
      </c>
    </row>
    <row r="24" spans="1:135" ht="15" customHeight="1" x14ac:dyDescent="0.35">
      <c r="A24" s="17">
        <v>19</v>
      </c>
      <c r="B24" s="18" t="s">
        <v>72</v>
      </c>
      <c r="C24" s="19" t="s">
        <v>73</v>
      </c>
      <c r="D24" s="20" t="s">
        <v>36</v>
      </c>
      <c r="E24" s="21">
        <v>385</v>
      </c>
      <c r="F24" s="22">
        <f t="shared" si="0"/>
        <v>12.419354838709678</v>
      </c>
      <c r="G24" s="21">
        <v>313</v>
      </c>
      <c r="H24" s="22">
        <f t="shared" si="1"/>
        <v>11.178571428571429</v>
      </c>
      <c r="I24" s="21">
        <v>348</v>
      </c>
      <c r="J24" s="22">
        <f t="shared" si="2"/>
        <v>11.225806451612904</v>
      </c>
      <c r="K24" s="21">
        <v>385</v>
      </c>
      <c r="L24" s="22">
        <f t="shared" si="3"/>
        <v>12.833333333333334</v>
      </c>
      <c r="M24" s="21">
        <v>373</v>
      </c>
      <c r="N24" s="22">
        <f t="shared" si="4"/>
        <v>12.03225806451613</v>
      </c>
      <c r="O24" s="21">
        <v>270</v>
      </c>
      <c r="P24" s="22">
        <f t="shared" si="5"/>
        <v>9</v>
      </c>
      <c r="Q24" s="21">
        <v>377</v>
      </c>
      <c r="R24" s="22">
        <f t="shared" si="6"/>
        <v>12.161290322580646</v>
      </c>
      <c r="S24" s="21">
        <v>453</v>
      </c>
      <c r="T24" s="22">
        <f t="shared" si="7"/>
        <v>14.612903225806452</v>
      </c>
      <c r="U24" s="21">
        <v>360</v>
      </c>
      <c r="V24" s="22">
        <f t="shared" si="8"/>
        <v>12</v>
      </c>
      <c r="W24" s="21">
        <v>289</v>
      </c>
      <c r="X24" s="22">
        <f t="shared" si="9"/>
        <v>9.32258064516129</v>
      </c>
      <c r="Y24" s="21">
        <v>535</v>
      </c>
      <c r="Z24" s="22">
        <f t="shared" si="10"/>
        <v>17.833333333333332</v>
      </c>
      <c r="AA24" s="21">
        <v>262</v>
      </c>
      <c r="AB24" s="22">
        <f t="shared" si="11"/>
        <v>8.4516129032258061</v>
      </c>
      <c r="AC24" s="23">
        <f t="shared" si="12"/>
        <v>4484.6194316436249</v>
      </c>
      <c r="AD24" s="24">
        <f t="shared" si="13"/>
        <v>2.5533263843227618</v>
      </c>
      <c r="AE24" s="21">
        <v>490</v>
      </c>
      <c r="AF24" s="22">
        <f t="shared" si="14"/>
        <v>15.806451612903226</v>
      </c>
      <c r="AG24" s="21">
        <v>261</v>
      </c>
      <c r="AH24" s="22">
        <f t="shared" si="15"/>
        <v>9.3214285714285712</v>
      </c>
      <c r="AI24" s="21">
        <v>262</v>
      </c>
      <c r="AJ24" s="22">
        <f t="shared" si="16"/>
        <v>8.4516129032258061</v>
      </c>
      <c r="AK24" s="21">
        <v>461</v>
      </c>
      <c r="AL24" s="22">
        <f t="shared" si="17"/>
        <v>15.366666666666667</v>
      </c>
      <c r="AM24" s="21">
        <v>484</v>
      </c>
      <c r="AN24" s="22">
        <f t="shared" si="18"/>
        <v>15.612903225806452</v>
      </c>
      <c r="AO24" s="21">
        <v>405</v>
      </c>
      <c r="AP24" s="22">
        <f t="shared" si="19"/>
        <v>13.5</v>
      </c>
      <c r="AQ24" s="21">
        <v>414</v>
      </c>
      <c r="AR24" s="22">
        <f t="shared" si="20"/>
        <v>13.35483870967742</v>
      </c>
      <c r="AS24" s="21">
        <v>406</v>
      </c>
      <c r="AT24" s="22">
        <f t="shared" si="21"/>
        <v>13.096774193548388</v>
      </c>
      <c r="AU24" s="21">
        <v>334</v>
      </c>
      <c r="AV24" s="22">
        <f t="shared" si="22"/>
        <v>11.133333333333333</v>
      </c>
      <c r="AW24" s="21">
        <v>270</v>
      </c>
      <c r="AX24" s="22">
        <f t="shared" si="23"/>
        <v>8.7096774193548381</v>
      </c>
      <c r="AY24" s="21">
        <v>342</v>
      </c>
      <c r="AZ24" s="22">
        <f t="shared" si="24"/>
        <v>11.4</v>
      </c>
      <c r="BA24" s="21">
        <v>438</v>
      </c>
      <c r="BB24" s="22">
        <f t="shared" si="25"/>
        <v>14.129032258064516</v>
      </c>
      <c r="BC24" s="23">
        <f t="shared" si="26"/>
        <v>4702.7536866359442</v>
      </c>
      <c r="BD24" s="24">
        <f t="shared" si="27"/>
        <v>2.6546208856493063</v>
      </c>
      <c r="BE24" s="21">
        <v>402</v>
      </c>
      <c r="BF24" s="22">
        <f t="shared" si="28"/>
        <v>12.96774193548387</v>
      </c>
      <c r="BG24" s="21">
        <v>434</v>
      </c>
      <c r="BH24" s="22">
        <f t="shared" si="29"/>
        <v>15.5</v>
      </c>
      <c r="BI24" s="21">
        <v>395</v>
      </c>
      <c r="BJ24" s="22">
        <f t="shared" si="30"/>
        <v>12.741935483870968</v>
      </c>
      <c r="BK24" s="21">
        <v>461</v>
      </c>
      <c r="BL24" s="22">
        <f t="shared" si="31"/>
        <v>15.366666666666667</v>
      </c>
      <c r="BM24" s="21">
        <v>362</v>
      </c>
      <c r="BN24" s="22">
        <f t="shared" si="32"/>
        <v>11.67741935483871</v>
      </c>
      <c r="BO24" s="21">
        <v>296</v>
      </c>
      <c r="BP24" s="22">
        <f t="shared" si="33"/>
        <v>9.8666666666666671</v>
      </c>
      <c r="BQ24" s="21">
        <v>356</v>
      </c>
      <c r="BR24" s="22">
        <f t="shared" si="34"/>
        <v>11.483870967741936</v>
      </c>
      <c r="BS24" s="21">
        <v>258</v>
      </c>
      <c r="BT24" s="22">
        <f t="shared" si="35"/>
        <v>8.32258064516129</v>
      </c>
      <c r="BU24" s="21">
        <v>377</v>
      </c>
      <c r="BV24" s="22">
        <f t="shared" si="36"/>
        <v>12.566666666666666</v>
      </c>
      <c r="BW24" s="21">
        <v>261</v>
      </c>
      <c r="BX24" s="22">
        <f t="shared" si="37"/>
        <v>8.4193548387096779</v>
      </c>
      <c r="BY24" s="21">
        <v>230</v>
      </c>
      <c r="BZ24" s="22">
        <f t="shared" si="38"/>
        <v>7.666666666666667</v>
      </c>
      <c r="CA24" s="21">
        <v>428</v>
      </c>
      <c r="CB24" s="22">
        <f t="shared" si="39"/>
        <v>13.806451612903226</v>
      </c>
      <c r="CC24" s="23">
        <f t="shared" si="40"/>
        <v>4386.579569892473</v>
      </c>
      <c r="CD24" s="24">
        <f t="shared" si="41"/>
        <v>2.6562307803479253</v>
      </c>
      <c r="CE24" s="21">
        <v>281</v>
      </c>
      <c r="CF24" s="22">
        <f t="shared" si="42"/>
        <v>9.064516129032258</v>
      </c>
      <c r="CG24" s="21">
        <v>380</v>
      </c>
      <c r="CH24" s="22">
        <f t="shared" si="43"/>
        <v>13.571428571428571</v>
      </c>
      <c r="CI24" s="21">
        <v>333</v>
      </c>
      <c r="CJ24" s="22">
        <f t="shared" si="44"/>
        <v>10.741935483870968</v>
      </c>
      <c r="CK24" s="21">
        <v>392</v>
      </c>
      <c r="CL24" s="22">
        <f t="shared" si="45"/>
        <v>13.066666666666666</v>
      </c>
      <c r="CM24" s="21">
        <v>401</v>
      </c>
      <c r="CN24" s="22">
        <f t="shared" si="46"/>
        <v>12.935483870967742</v>
      </c>
      <c r="CO24" s="21">
        <v>434</v>
      </c>
      <c r="CP24" s="22">
        <f t="shared" si="47"/>
        <v>14.466666666666667</v>
      </c>
      <c r="CQ24" s="21">
        <v>394</v>
      </c>
      <c r="CR24" s="22">
        <f t="shared" si="48"/>
        <v>12.709677419354838</v>
      </c>
      <c r="CS24" s="21">
        <v>343</v>
      </c>
      <c r="CT24" s="22">
        <f t="shared" si="49"/>
        <v>11.064516129032258</v>
      </c>
      <c r="CU24" s="21">
        <v>350</v>
      </c>
      <c r="CV24" s="22">
        <f t="shared" si="50"/>
        <v>11.666666666666666</v>
      </c>
      <c r="CW24" s="21">
        <v>195</v>
      </c>
      <c r="CX24" s="22">
        <f t="shared" si="51"/>
        <v>6.290322580645161</v>
      </c>
      <c r="CY24" s="21">
        <v>422</v>
      </c>
      <c r="CZ24" s="22">
        <f t="shared" si="52"/>
        <v>14.066666666666666</v>
      </c>
      <c r="DA24" s="21">
        <v>397</v>
      </c>
      <c r="DB24" s="22">
        <f t="shared" si="53"/>
        <v>12.806451612903226</v>
      </c>
      <c r="DC24" s="23">
        <f t="shared" si="54"/>
        <v>4451.6445468509983</v>
      </c>
      <c r="DD24" s="24">
        <f t="shared" si="55"/>
        <v>2.3272761336605625</v>
      </c>
      <c r="DE24" s="21">
        <v>359</v>
      </c>
      <c r="DF24" s="22">
        <f t="shared" si="56"/>
        <v>11.580645161290322</v>
      </c>
      <c r="DG24" s="21">
        <v>328</v>
      </c>
      <c r="DH24" s="22">
        <f t="shared" si="57"/>
        <v>11.714285714285714</v>
      </c>
      <c r="DI24" s="21">
        <v>512</v>
      </c>
      <c r="DJ24" s="22">
        <f t="shared" si="58"/>
        <v>16.516129032258064</v>
      </c>
      <c r="DK24" s="21">
        <v>373</v>
      </c>
      <c r="DL24" s="22">
        <f t="shared" si="59"/>
        <v>12.433333333333334</v>
      </c>
      <c r="DM24" s="21">
        <v>384</v>
      </c>
      <c r="DN24" s="22">
        <f t="shared" si="60"/>
        <v>12.387096774193548</v>
      </c>
      <c r="DO24" s="21">
        <v>267</v>
      </c>
      <c r="DP24" s="22">
        <f t="shared" si="61"/>
        <v>8.9</v>
      </c>
      <c r="DQ24" s="21">
        <v>571</v>
      </c>
      <c r="DR24" s="22">
        <f t="shared" si="62"/>
        <v>18.419354838709676</v>
      </c>
      <c r="DS24" s="21">
        <v>464</v>
      </c>
      <c r="DT24" s="22">
        <f t="shared" si="63"/>
        <v>14.96774193548387</v>
      </c>
      <c r="DU24" s="21">
        <v>406</v>
      </c>
      <c r="DV24" s="22">
        <f t="shared" si="64"/>
        <v>13.533333333333333</v>
      </c>
      <c r="DW24" s="21">
        <v>315</v>
      </c>
      <c r="DX24" s="22">
        <f t="shared" si="65"/>
        <v>10.161290322580646</v>
      </c>
      <c r="DY24" s="21">
        <v>488</v>
      </c>
      <c r="DZ24" s="22">
        <f t="shared" si="66"/>
        <v>16.266666666666666</v>
      </c>
      <c r="EA24" s="21">
        <v>275</v>
      </c>
      <c r="EB24" s="22">
        <f t="shared" si="67"/>
        <v>8.870967741935484</v>
      </c>
      <c r="EC24" s="23">
        <f t="shared" si="68"/>
        <v>4888.8798771121355</v>
      </c>
      <c r="ED24" s="24">
        <f t="shared" si="69"/>
        <v>3.057576756009321</v>
      </c>
      <c r="EE24" s="25">
        <f t="shared" si="70"/>
        <v>187.67094675676722</v>
      </c>
    </row>
    <row r="25" spans="1:135" ht="15" customHeight="1" x14ac:dyDescent="0.35">
      <c r="A25" s="17">
        <v>20</v>
      </c>
      <c r="B25" s="18" t="s">
        <v>74</v>
      </c>
      <c r="C25" s="19" t="s">
        <v>75</v>
      </c>
      <c r="D25" s="20" t="s">
        <v>36</v>
      </c>
      <c r="E25" s="21">
        <v>198</v>
      </c>
      <c r="F25" s="22">
        <f t="shared" si="0"/>
        <v>6.387096774193548</v>
      </c>
      <c r="G25" s="21">
        <v>128</v>
      </c>
      <c r="H25" s="22">
        <f t="shared" si="1"/>
        <v>4.5714285714285712</v>
      </c>
      <c r="I25" s="21">
        <v>155</v>
      </c>
      <c r="J25" s="22">
        <f t="shared" si="2"/>
        <v>5</v>
      </c>
      <c r="K25" s="21">
        <v>145</v>
      </c>
      <c r="L25" s="22">
        <f t="shared" si="3"/>
        <v>4.833333333333333</v>
      </c>
      <c r="M25" s="21">
        <v>149</v>
      </c>
      <c r="N25" s="22">
        <f t="shared" si="4"/>
        <v>4.806451612903226</v>
      </c>
      <c r="O25" s="21">
        <v>195</v>
      </c>
      <c r="P25" s="22">
        <f t="shared" si="5"/>
        <v>6.5</v>
      </c>
      <c r="Q25" s="21">
        <v>202</v>
      </c>
      <c r="R25" s="22">
        <f t="shared" si="6"/>
        <v>6.5161290322580649</v>
      </c>
      <c r="S25" s="21">
        <v>175</v>
      </c>
      <c r="T25" s="22">
        <f t="shared" si="7"/>
        <v>5.645161290322581</v>
      </c>
      <c r="U25" s="21">
        <v>111</v>
      </c>
      <c r="V25" s="22">
        <f t="shared" si="8"/>
        <v>3.7</v>
      </c>
      <c r="W25" s="21">
        <v>106</v>
      </c>
      <c r="X25" s="22">
        <f t="shared" si="9"/>
        <v>3.4193548387096775</v>
      </c>
      <c r="Y25" s="21">
        <v>120</v>
      </c>
      <c r="Z25" s="22">
        <f t="shared" si="10"/>
        <v>4</v>
      </c>
      <c r="AA25" s="21">
        <v>181</v>
      </c>
      <c r="AB25" s="22">
        <f t="shared" si="11"/>
        <v>5.838709677419355</v>
      </c>
      <c r="AC25" s="23">
        <f t="shared" si="12"/>
        <v>1920.378955453149</v>
      </c>
      <c r="AD25" s="24">
        <f t="shared" si="13"/>
        <v>1.0831831892971391</v>
      </c>
      <c r="AE25" s="21">
        <v>226</v>
      </c>
      <c r="AF25" s="22">
        <f t="shared" si="14"/>
        <v>7.290322580645161</v>
      </c>
      <c r="AG25" s="21">
        <v>162</v>
      </c>
      <c r="AH25" s="22">
        <f t="shared" si="15"/>
        <v>5.7857142857142856</v>
      </c>
      <c r="AI25" s="21">
        <v>224</v>
      </c>
      <c r="AJ25" s="22">
        <f t="shared" si="16"/>
        <v>7.225806451612903</v>
      </c>
      <c r="AK25" s="21">
        <v>196</v>
      </c>
      <c r="AL25" s="22">
        <f t="shared" si="17"/>
        <v>6.5333333333333332</v>
      </c>
      <c r="AM25" s="21">
        <v>190</v>
      </c>
      <c r="AN25" s="22">
        <f t="shared" si="18"/>
        <v>6.129032258064516</v>
      </c>
      <c r="AO25" s="21">
        <v>163</v>
      </c>
      <c r="AP25" s="22">
        <f t="shared" si="19"/>
        <v>5.4333333333333336</v>
      </c>
      <c r="AQ25" s="21">
        <v>239</v>
      </c>
      <c r="AR25" s="22">
        <f t="shared" si="20"/>
        <v>7.709677419354839</v>
      </c>
      <c r="AS25" s="21">
        <v>137</v>
      </c>
      <c r="AT25" s="22">
        <f t="shared" si="21"/>
        <v>4.419354838709677</v>
      </c>
      <c r="AU25" s="21">
        <v>188</v>
      </c>
      <c r="AV25" s="22">
        <f t="shared" si="22"/>
        <v>6.2666666666666666</v>
      </c>
      <c r="AW25" s="21">
        <v>164</v>
      </c>
      <c r="AX25" s="22">
        <f t="shared" si="23"/>
        <v>5.290322580645161</v>
      </c>
      <c r="AY25" s="21">
        <v>227</v>
      </c>
      <c r="AZ25" s="22">
        <f t="shared" si="24"/>
        <v>7.5666666666666664</v>
      </c>
      <c r="BA25" s="21">
        <v>197</v>
      </c>
      <c r="BB25" s="22">
        <f t="shared" si="25"/>
        <v>6.354838709677419</v>
      </c>
      <c r="BC25" s="23">
        <f t="shared" si="26"/>
        <v>2382.6502304147466</v>
      </c>
      <c r="BD25" s="24">
        <f t="shared" si="27"/>
        <v>1.0034253282747674</v>
      </c>
      <c r="BE25" s="21">
        <v>244</v>
      </c>
      <c r="BF25" s="22">
        <f t="shared" si="28"/>
        <v>7.870967741935484</v>
      </c>
      <c r="BG25" s="21">
        <v>137</v>
      </c>
      <c r="BH25" s="22">
        <f t="shared" si="29"/>
        <v>4.8928571428571432</v>
      </c>
      <c r="BI25" s="21">
        <v>197</v>
      </c>
      <c r="BJ25" s="22">
        <f t="shared" si="30"/>
        <v>6.354838709677419</v>
      </c>
      <c r="BK25" s="21">
        <v>232</v>
      </c>
      <c r="BL25" s="22">
        <f t="shared" si="31"/>
        <v>7.7333333333333334</v>
      </c>
      <c r="BM25" s="21">
        <v>130</v>
      </c>
      <c r="BN25" s="22">
        <f t="shared" si="32"/>
        <v>4.193548387096774</v>
      </c>
      <c r="BO25" s="21">
        <v>181</v>
      </c>
      <c r="BP25" s="22">
        <f t="shared" si="33"/>
        <v>6.0333333333333332</v>
      </c>
      <c r="BQ25" s="21">
        <v>165</v>
      </c>
      <c r="BR25" s="22">
        <f t="shared" si="34"/>
        <v>5.32258064516129</v>
      </c>
      <c r="BS25" s="21">
        <v>152</v>
      </c>
      <c r="BT25" s="22">
        <f t="shared" si="35"/>
        <v>4.903225806451613</v>
      </c>
      <c r="BU25" s="21">
        <v>173</v>
      </c>
      <c r="BV25" s="22">
        <f t="shared" si="36"/>
        <v>5.7666666666666666</v>
      </c>
      <c r="BW25" s="21">
        <v>185</v>
      </c>
      <c r="BX25" s="22">
        <f t="shared" si="37"/>
        <v>5.967741935483871</v>
      </c>
      <c r="BY25" s="21">
        <v>130</v>
      </c>
      <c r="BZ25" s="22">
        <f t="shared" si="38"/>
        <v>4.333333333333333</v>
      </c>
      <c r="CA25" s="21">
        <v>257</v>
      </c>
      <c r="CB25" s="22">
        <f t="shared" si="39"/>
        <v>8.2903225806451619</v>
      </c>
      <c r="CC25" s="23">
        <f t="shared" si="40"/>
        <v>2246.3724270353305</v>
      </c>
      <c r="CD25" s="24">
        <f t="shared" si="41"/>
        <v>1.3768274429148886</v>
      </c>
      <c r="CE25" s="21">
        <v>125</v>
      </c>
      <c r="CF25" s="22">
        <f t="shared" si="42"/>
        <v>4.032258064516129</v>
      </c>
      <c r="CG25" s="21">
        <v>152</v>
      </c>
      <c r="CH25" s="22">
        <f t="shared" si="43"/>
        <v>5.4285714285714288</v>
      </c>
      <c r="CI25" s="21">
        <v>196</v>
      </c>
      <c r="CJ25" s="22">
        <f t="shared" si="44"/>
        <v>6.32258064516129</v>
      </c>
      <c r="CK25" s="21">
        <v>169</v>
      </c>
      <c r="CL25" s="22">
        <f t="shared" si="45"/>
        <v>5.6333333333333337</v>
      </c>
      <c r="CM25" s="21">
        <v>214</v>
      </c>
      <c r="CN25" s="22">
        <f t="shared" si="46"/>
        <v>6.903225806451613</v>
      </c>
      <c r="CO25" s="21">
        <v>210</v>
      </c>
      <c r="CP25" s="22">
        <f t="shared" si="47"/>
        <v>7</v>
      </c>
      <c r="CQ25" s="21">
        <v>111</v>
      </c>
      <c r="CR25" s="22">
        <f t="shared" si="48"/>
        <v>3.5806451612903225</v>
      </c>
      <c r="CS25" s="21">
        <v>217</v>
      </c>
      <c r="CT25" s="22">
        <f t="shared" si="49"/>
        <v>7</v>
      </c>
      <c r="CU25" s="21">
        <v>107</v>
      </c>
      <c r="CV25" s="22">
        <f t="shared" si="50"/>
        <v>3.5666666666666669</v>
      </c>
      <c r="CW25" s="21">
        <v>104</v>
      </c>
      <c r="CX25" s="22">
        <f t="shared" si="51"/>
        <v>3.3548387096774195</v>
      </c>
      <c r="CY25" s="21">
        <v>225</v>
      </c>
      <c r="CZ25" s="22">
        <f t="shared" si="52"/>
        <v>7.5</v>
      </c>
      <c r="DA25" s="21">
        <v>217</v>
      </c>
      <c r="DB25" s="22">
        <f t="shared" si="53"/>
        <v>7</v>
      </c>
      <c r="DC25" s="23">
        <f t="shared" si="54"/>
        <v>2107.322119815668</v>
      </c>
      <c r="DD25" s="24">
        <f t="shared" si="55"/>
        <v>1.5797174313406659</v>
      </c>
      <c r="DE25" s="21">
        <v>211</v>
      </c>
      <c r="DF25" s="22">
        <f t="shared" si="56"/>
        <v>6.806451612903226</v>
      </c>
      <c r="DG25" s="21">
        <v>210</v>
      </c>
      <c r="DH25" s="22">
        <f t="shared" si="57"/>
        <v>7.5</v>
      </c>
      <c r="DI25" s="21">
        <v>232</v>
      </c>
      <c r="DJ25" s="22">
        <f t="shared" si="58"/>
        <v>7.4838709677419351</v>
      </c>
      <c r="DK25" s="21">
        <v>185</v>
      </c>
      <c r="DL25" s="22">
        <f t="shared" si="59"/>
        <v>6.166666666666667</v>
      </c>
      <c r="DM25" s="21">
        <v>137</v>
      </c>
      <c r="DN25" s="22">
        <f t="shared" si="60"/>
        <v>4.419354838709677</v>
      </c>
      <c r="DO25" s="21">
        <v>122</v>
      </c>
      <c r="DP25" s="22">
        <f t="shared" si="61"/>
        <v>4.0666666666666664</v>
      </c>
      <c r="DQ25" s="21">
        <v>171</v>
      </c>
      <c r="DR25" s="22">
        <f t="shared" si="62"/>
        <v>5.5161290322580649</v>
      </c>
      <c r="DS25" s="21">
        <v>246</v>
      </c>
      <c r="DT25" s="22">
        <f t="shared" si="63"/>
        <v>7.935483870967742</v>
      </c>
      <c r="DU25" s="21">
        <v>217</v>
      </c>
      <c r="DV25" s="22">
        <f t="shared" si="64"/>
        <v>7.2333333333333334</v>
      </c>
      <c r="DW25" s="21">
        <v>251</v>
      </c>
      <c r="DX25" s="22">
        <f t="shared" si="65"/>
        <v>8.0967741935483879</v>
      </c>
      <c r="DY25" s="21">
        <v>265</v>
      </c>
      <c r="DZ25" s="22">
        <f t="shared" si="66"/>
        <v>8.8333333333333339</v>
      </c>
      <c r="EA25" s="21">
        <v>133</v>
      </c>
      <c r="EB25" s="22">
        <f t="shared" si="67"/>
        <v>4.290322580645161</v>
      </c>
      <c r="EC25" s="23">
        <f t="shared" si="68"/>
        <v>2454.058064516129</v>
      </c>
      <c r="ED25" s="24">
        <f t="shared" si="69"/>
        <v>1.6196606571502608</v>
      </c>
      <c r="EE25" s="25">
        <f t="shared" si="70"/>
        <v>91.267256506298139</v>
      </c>
    </row>
    <row r="26" spans="1:135" ht="15" customHeight="1" x14ac:dyDescent="0.35">
      <c r="A26" s="17">
        <v>21</v>
      </c>
      <c r="B26" s="18" t="s">
        <v>76</v>
      </c>
      <c r="C26" s="19" t="s">
        <v>77</v>
      </c>
      <c r="D26" s="20" t="s">
        <v>36</v>
      </c>
      <c r="E26" s="21">
        <v>451</v>
      </c>
      <c r="F26" s="22">
        <f t="shared" si="0"/>
        <v>14.548387096774194</v>
      </c>
      <c r="G26" s="21">
        <v>281</v>
      </c>
      <c r="H26" s="22">
        <f t="shared" si="1"/>
        <v>10.035714285714286</v>
      </c>
      <c r="I26" s="21">
        <v>379</v>
      </c>
      <c r="J26" s="22">
        <f t="shared" si="2"/>
        <v>12.225806451612904</v>
      </c>
      <c r="K26" s="21">
        <v>360</v>
      </c>
      <c r="L26" s="22">
        <f t="shared" si="3"/>
        <v>12</v>
      </c>
      <c r="M26" s="21">
        <v>324</v>
      </c>
      <c r="N26" s="22">
        <f t="shared" si="4"/>
        <v>10.451612903225806</v>
      </c>
      <c r="O26" s="21">
        <v>300</v>
      </c>
      <c r="P26" s="22">
        <f t="shared" si="5"/>
        <v>10</v>
      </c>
      <c r="Q26" s="21">
        <v>308</v>
      </c>
      <c r="R26" s="22">
        <f t="shared" si="6"/>
        <v>9.935483870967742</v>
      </c>
      <c r="S26" s="21">
        <v>306</v>
      </c>
      <c r="T26" s="22">
        <f t="shared" si="7"/>
        <v>9.870967741935484</v>
      </c>
      <c r="U26" s="21">
        <v>260</v>
      </c>
      <c r="V26" s="22">
        <f t="shared" si="8"/>
        <v>8.6666666666666661</v>
      </c>
      <c r="W26" s="21">
        <v>357</v>
      </c>
      <c r="X26" s="22">
        <f t="shared" si="9"/>
        <v>11.516129032258064</v>
      </c>
      <c r="Y26" s="21">
        <v>244</v>
      </c>
      <c r="Z26" s="22">
        <f t="shared" si="10"/>
        <v>8.1333333333333329</v>
      </c>
      <c r="AA26" s="21">
        <v>357</v>
      </c>
      <c r="AB26" s="22">
        <f t="shared" si="11"/>
        <v>11.516129032258064</v>
      </c>
      <c r="AC26" s="23">
        <f t="shared" si="12"/>
        <v>4044.3841013824886</v>
      </c>
      <c r="AD26" s="24">
        <f t="shared" si="13"/>
        <v>1.7353653665265045</v>
      </c>
      <c r="AE26" s="21">
        <v>425</v>
      </c>
      <c r="AF26" s="22">
        <f t="shared" si="14"/>
        <v>13.709677419354838</v>
      </c>
      <c r="AG26" s="21">
        <v>282</v>
      </c>
      <c r="AH26" s="22">
        <f t="shared" si="15"/>
        <v>10.071428571428571</v>
      </c>
      <c r="AI26" s="21">
        <v>379</v>
      </c>
      <c r="AJ26" s="22">
        <f t="shared" si="16"/>
        <v>12.225806451612904</v>
      </c>
      <c r="AK26" s="21">
        <v>402</v>
      </c>
      <c r="AL26" s="22">
        <f t="shared" si="17"/>
        <v>13.4</v>
      </c>
      <c r="AM26" s="21">
        <v>401</v>
      </c>
      <c r="AN26" s="22">
        <f t="shared" si="18"/>
        <v>12.935483870967742</v>
      </c>
      <c r="AO26" s="21">
        <v>253</v>
      </c>
      <c r="AP26" s="22">
        <f t="shared" si="19"/>
        <v>8.4333333333333336</v>
      </c>
      <c r="AQ26" s="21">
        <v>230</v>
      </c>
      <c r="AR26" s="22">
        <f t="shared" si="20"/>
        <v>7.419354838709677</v>
      </c>
      <c r="AS26" s="21">
        <v>243</v>
      </c>
      <c r="AT26" s="22">
        <f t="shared" si="21"/>
        <v>7.838709677419355</v>
      </c>
      <c r="AU26" s="21">
        <v>347</v>
      </c>
      <c r="AV26" s="22">
        <f t="shared" si="22"/>
        <v>11.566666666666666</v>
      </c>
      <c r="AW26" s="21">
        <v>387</v>
      </c>
      <c r="AX26" s="22">
        <f t="shared" si="23"/>
        <v>12.483870967741936</v>
      </c>
      <c r="AY26" s="21">
        <v>361</v>
      </c>
      <c r="AZ26" s="22">
        <f t="shared" si="24"/>
        <v>12.033333333333333</v>
      </c>
      <c r="BA26" s="21">
        <v>238</v>
      </c>
      <c r="BB26" s="22">
        <f t="shared" si="25"/>
        <v>7.67741935483871</v>
      </c>
      <c r="BC26" s="23">
        <f t="shared" si="26"/>
        <v>4070.1176651305691</v>
      </c>
      <c r="BD26" s="24">
        <f t="shared" si="27"/>
        <v>2.390150552850236</v>
      </c>
      <c r="BE26" s="21">
        <v>362</v>
      </c>
      <c r="BF26" s="22">
        <f t="shared" si="28"/>
        <v>11.67741935483871</v>
      </c>
      <c r="BG26" s="21">
        <v>295</v>
      </c>
      <c r="BH26" s="22">
        <f t="shared" si="29"/>
        <v>10.535714285714286</v>
      </c>
      <c r="BI26" s="21">
        <v>357</v>
      </c>
      <c r="BJ26" s="22">
        <f t="shared" si="30"/>
        <v>11.516129032258064</v>
      </c>
      <c r="BK26" s="21">
        <v>358</v>
      </c>
      <c r="BL26" s="22">
        <f t="shared" si="31"/>
        <v>11.933333333333334</v>
      </c>
      <c r="BM26" s="21">
        <v>285</v>
      </c>
      <c r="BN26" s="22">
        <f t="shared" si="32"/>
        <v>9.193548387096774</v>
      </c>
      <c r="BO26" s="21">
        <v>397</v>
      </c>
      <c r="BP26" s="22">
        <f t="shared" si="33"/>
        <v>13.233333333333333</v>
      </c>
      <c r="BQ26" s="21">
        <v>312</v>
      </c>
      <c r="BR26" s="22">
        <f t="shared" si="34"/>
        <v>10.064516129032258</v>
      </c>
      <c r="BS26" s="21">
        <v>329</v>
      </c>
      <c r="BT26" s="22">
        <f t="shared" si="35"/>
        <v>10.612903225806452</v>
      </c>
      <c r="BU26" s="21">
        <v>326</v>
      </c>
      <c r="BV26" s="22">
        <f t="shared" si="36"/>
        <v>10.866666666666667</v>
      </c>
      <c r="BW26" s="21">
        <v>383</v>
      </c>
      <c r="BX26" s="22">
        <f t="shared" si="37"/>
        <v>12.35483870967742</v>
      </c>
      <c r="BY26" s="21">
        <v>327</v>
      </c>
      <c r="BZ26" s="22">
        <f t="shared" si="38"/>
        <v>10.9</v>
      </c>
      <c r="CA26" s="21">
        <v>214</v>
      </c>
      <c r="CB26" s="22">
        <f t="shared" si="39"/>
        <v>6.903225806451613</v>
      </c>
      <c r="CC26" s="23">
        <f t="shared" si="40"/>
        <v>4067.8884024577574</v>
      </c>
      <c r="CD26" s="24">
        <f t="shared" si="41"/>
        <v>1.6328584356185398</v>
      </c>
      <c r="CE26" s="21">
        <v>234</v>
      </c>
      <c r="CF26" s="22">
        <f t="shared" si="42"/>
        <v>7.5483870967741939</v>
      </c>
      <c r="CG26" s="21">
        <v>341</v>
      </c>
      <c r="CH26" s="22">
        <f t="shared" si="43"/>
        <v>12.178571428571429</v>
      </c>
      <c r="CI26" s="21">
        <v>301</v>
      </c>
      <c r="CJ26" s="22">
        <f t="shared" si="44"/>
        <v>9.7096774193548381</v>
      </c>
      <c r="CK26" s="21">
        <v>293</v>
      </c>
      <c r="CL26" s="22">
        <f t="shared" si="45"/>
        <v>9.7666666666666675</v>
      </c>
      <c r="CM26" s="21">
        <v>231</v>
      </c>
      <c r="CN26" s="22">
        <f t="shared" si="46"/>
        <v>7.4516129032258061</v>
      </c>
      <c r="CO26" s="21">
        <v>360</v>
      </c>
      <c r="CP26" s="22">
        <f t="shared" si="47"/>
        <v>12</v>
      </c>
      <c r="CQ26" s="21">
        <v>304</v>
      </c>
      <c r="CR26" s="22">
        <f t="shared" si="48"/>
        <v>9.806451612903226</v>
      </c>
      <c r="CS26" s="21">
        <v>344</v>
      </c>
      <c r="CT26" s="22">
        <f t="shared" si="49"/>
        <v>11.096774193548388</v>
      </c>
      <c r="CU26" s="21">
        <v>231</v>
      </c>
      <c r="CV26" s="22">
        <f t="shared" si="50"/>
        <v>7.7</v>
      </c>
      <c r="CW26" s="21">
        <v>453</v>
      </c>
      <c r="CX26" s="22">
        <f t="shared" si="51"/>
        <v>14.612903225806452</v>
      </c>
      <c r="CY26" s="21">
        <v>237</v>
      </c>
      <c r="CZ26" s="22">
        <f t="shared" si="52"/>
        <v>7.9</v>
      </c>
      <c r="DA26" s="21">
        <v>462</v>
      </c>
      <c r="DB26" s="22">
        <f t="shared" si="53"/>
        <v>14.903225806451612</v>
      </c>
      <c r="DC26" s="23">
        <f t="shared" si="54"/>
        <v>3900.771044546851</v>
      </c>
      <c r="DD26" s="24">
        <f t="shared" si="55"/>
        <v>2.6255688252108431</v>
      </c>
      <c r="DE26" s="21">
        <v>330</v>
      </c>
      <c r="DF26" s="22">
        <f t="shared" si="56"/>
        <v>10.64516129032258</v>
      </c>
      <c r="DG26" s="21">
        <v>281</v>
      </c>
      <c r="DH26" s="22">
        <f t="shared" si="57"/>
        <v>10.035714285714286</v>
      </c>
      <c r="DI26" s="21">
        <v>258</v>
      </c>
      <c r="DJ26" s="22">
        <f t="shared" si="58"/>
        <v>8.32258064516129</v>
      </c>
      <c r="DK26" s="21">
        <v>249</v>
      </c>
      <c r="DL26" s="22">
        <f t="shared" si="59"/>
        <v>8.3000000000000007</v>
      </c>
      <c r="DM26" s="21">
        <v>268</v>
      </c>
      <c r="DN26" s="22">
        <f t="shared" si="60"/>
        <v>8.6451612903225801</v>
      </c>
      <c r="DO26" s="21">
        <v>317</v>
      </c>
      <c r="DP26" s="22">
        <f t="shared" si="61"/>
        <v>10.566666666666666</v>
      </c>
      <c r="DQ26" s="21">
        <v>338</v>
      </c>
      <c r="DR26" s="22">
        <f t="shared" si="62"/>
        <v>10.903225806451612</v>
      </c>
      <c r="DS26" s="21">
        <v>247</v>
      </c>
      <c r="DT26" s="22">
        <f t="shared" si="63"/>
        <v>7.967741935483871</v>
      </c>
      <c r="DU26" s="21">
        <v>321</v>
      </c>
      <c r="DV26" s="22">
        <f t="shared" si="64"/>
        <v>10.7</v>
      </c>
      <c r="DW26" s="21">
        <v>288</v>
      </c>
      <c r="DX26" s="22">
        <f t="shared" si="65"/>
        <v>9.2903225806451619</v>
      </c>
      <c r="DY26" s="21">
        <v>220</v>
      </c>
      <c r="DZ26" s="22">
        <f t="shared" si="66"/>
        <v>7.333333333333333</v>
      </c>
      <c r="EA26" s="21">
        <v>252</v>
      </c>
      <c r="EB26" s="22">
        <f t="shared" si="67"/>
        <v>8.129032258064516</v>
      </c>
      <c r="EC26" s="23">
        <f t="shared" si="68"/>
        <v>3471.7099078341016</v>
      </c>
      <c r="ED26" s="24">
        <f t="shared" si="69"/>
        <v>1.2733404500978995</v>
      </c>
      <c r="EE26" s="25">
        <f t="shared" si="70"/>
        <v>156.93664821849183</v>
      </c>
    </row>
    <row r="27" spans="1:135" ht="15" customHeight="1" x14ac:dyDescent="0.35">
      <c r="A27" s="17">
        <v>22</v>
      </c>
      <c r="B27" s="18" t="s">
        <v>78</v>
      </c>
      <c r="C27" s="19" t="s">
        <v>79</v>
      </c>
      <c r="D27" s="20" t="s">
        <v>36</v>
      </c>
      <c r="E27" s="21">
        <v>760</v>
      </c>
      <c r="F27" s="22">
        <f t="shared" si="0"/>
        <v>24.516129032258064</v>
      </c>
      <c r="G27" s="21">
        <v>685</v>
      </c>
      <c r="H27" s="22">
        <f t="shared" si="1"/>
        <v>24.464285714285715</v>
      </c>
      <c r="I27" s="21">
        <v>721</v>
      </c>
      <c r="J27" s="22">
        <f t="shared" si="2"/>
        <v>23.258064516129032</v>
      </c>
      <c r="K27" s="21">
        <v>1392</v>
      </c>
      <c r="L27" s="22">
        <f t="shared" si="3"/>
        <v>46.4</v>
      </c>
      <c r="M27" s="21">
        <v>923</v>
      </c>
      <c r="N27" s="22">
        <f t="shared" si="4"/>
        <v>29.774193548387096</v>
      </c>
      <c r="O27" s="21">
        <v>1236</v>
      </c>
      <c r="P27" s="22">
        <f t="shared" si="5"/>
        <v>41.2</v>
      </c>
      <c r="Q27" s="21">
        <v>1059</v>
      </c>
      <c r="R27" s="22">
        <f t="shared" si="6"/>
        <v>34.161290322580648</v>
      </c>
      <c r="S27" s="21">
        <v>779</v>
      </c>
      <c r="T27" s="22">
        <f t="shared" si="7"/>
        <v>25.129032258064516</v>
      </c>
      <c r="U27" s="21">
        <v>842</v>
      </c>
      <c r="V27" s="22">
        <f t="shared" si="8"/>
        <v>28.066666666666666</v>
      </c>
      <c r="W27" s="21">
        <v>1003</v>
      </c>
      <c r="X27" s="22">
        <f t="shared" si="9"/>
        <v>32.354838709677416</v>
      </c>
      <c r="Y27" s="21">
        <v>1004</v>
      </c>
      <c r="Z27" s="22">
        <f t="shared" si="10"/>
        <v>33.466666666666669</v>
      </c>
      <c r="AA27" s="21">
        <v>1074</v>
      </c>
      <c r="AB27" s="22">
        <f t="shared" si="11"/>
        <v>34.645161290322584</v>
      </c>
      <c r="AC27" s="23">
        <f t="shared" si="12"/>
        <v>11820.791167434718</v>
      </c>
      <c r="AD27" s="24">
        <f t="shared" si="13"/>
        <v>7.1300082939595502</v>
      </c>
      <c r="AE27" s="21">
        <v>905</v>
      </c>
      <c r="AF27" s="22">
        <f t="shared" si="14"/>
        <v>29.193548387096776</v>
      </c>
      <c r="AG27" s="21">
        <v>1118</v>
      </c>
      <c r="AH27" s="22">
        <f t="shared" si="15"/>
        <v>39.928571428571431</v>
      </c>
      <c r="AI27" s="21">
        <v>1029</v>
      </c>
      <c r="AJ27" s="22">
        <f t="shared" si="16"/>
        <v>33.193548387096776</v>
      </c>
      <c r="AK27" s="21">
        <v>1154</v>
      </c>
      <c r="AL27" s="22">
        <f t="shared" si="17"/>
        <v>38.466666666666669</v>
      </c>
      <c r="AM27" s="21">
        <v>1084</v>
      </c>
      <c r="AN27" s="22">
        <f t="shared" si="18"/>
        <v>34.967741935483872</v>
      </c>
      <c r="AO27" s="21">
        <v>1342</v>
      </c>
      <c r="AP27" s="22">
        <f t="shared" si="19"/>
        <v>44.733333333333334</v>
      </c>
      <c r="AQ27" s="21">
        <v>1533</v>
      </c>
      <c r="AR27" s="22">
        <f t="shared" si="20"/>
        <v>49.451612903225808</v>
      </c>
      <c r="AS27" s="21">
        <v>1392</v>
      </c>
      <c r="AT27" s="22">
        <f t="shared" si="21"/>
        <v>44.903225806451616</v>
      </c>
      <c r="AU27" s="21">
        <v>813</v>
      </c>
      <c r="AV27" s="22">
        <f t="shared" si="22"/>
        <v>27.1</v>
      </c>
      <c r="AW27" s="21">
        <v>841</v>
      </c>
      <c r="AX27" s="22">
        <f t="shared" si="23"/>
        <v>27.129032258064516</v>
      </c>
      <c r="AY27" s="21">
        <v>1423</v>
      </c>
      <c r="AZ27" s="22">
        <f t="shared" si="24"/>
        <v>47.43333333333333</v>
      </c>
      <c r="BA27" s="21">
        <v>1030</v>
      </c>
      <c r="BB27" s="22">
        <f t="shared" si="25"/>
        <v>33.225806451612904</v>
      </c>
      <c r="BC27" s="23">
        <f t="shared" si="26"/>
        <v>14080.500614439321</v>
      </c>
      <c r="BD27" s="24">
        <f t="shared" si="27"/>
        <v>7.8821310526533406</v>
      </c>
      <c r="BE27" s="21">
        <v>1346</v>
      </c>
      <c r="BF27" s="22">
        <f t="shared" si="28"/>
        <v>43.41935483870968</v>
      </c>
      <c r="BG27" s="21">
        <v>1285</v>
      </c>
      <c r="BH27" s="22">
        <f t="shared" si="29"/>
        <v>45.892857142857146</v>
      </c>
      <c r="BI27" s="21">
        <v>1513</v>
      </c>
      <c r="BJ27" s="22">
        <f t="shared" si="30"/>
        <v>48.806451612903224</v>
      </c>
      <c r="BK27" s="21">
        <v>1483</v>
      </c>
      <c r="BL27" s="22">
        <f t="shared" si="31"/>
        <v>49.43333333333333</v>
      </c>
      <c r="BM27" s="21">
        <v>990</v>
      </c>
      <c r="BN27" s="22">
        <f t="shared" si="32"/>
        <v>31.93548387096774</v>
      </c>
      <c r="BO27" s="21">
        <v>1218</v>
      </c>
      <c r="BP27" s="22">
        <f t="shared" si="33"/>
        <v>40.6</v>
      </c>
      <c r="BQ27" s="21">
        <v>814</v>
      </c>
      <c r="BR27" s="22">
        <f t="shared" si="34"/>
        <v>26.258064516129032</v>
      </c>
      <c r="BS27" s="21">
        <v>1005</v>
      </c>
      <c r="BT27" s="22">
        <f t="shared" si="35"/>
        <v>32.41935483870968</v>
      </c>
      <c r="BU27" s="21">
        <v>1569</v>
      </c>
      <c r="BV27" s="22">
        <f t="shared" si="36"/>
        <v>52.3</v>
      </c>
      <c r="BW27" s="21">
        <v>1323</v>
      </c>
      <c r="BX27" s="22">
        <f t="shared" si="37"/>
        <v>42.677419354838712</v>
      </c>
      <c r="BY27" s="21">
        <v>1043</v>
      </c>
      <c r="BZ27" s="22">
        <f t="shared" si="38"/>
        <v>34.766666666666666</v>
      </c>
      <c r="CA27" s="21">
        <v>1229</v>
      </c>
      <c r="CB27" s="22">
        <f t="shared" si="39"/>
        <v>39.645161290322584</v>
      </c>
      <c r="CC27" s="23">
        <f t="shared" si="40"/>
        <v>15266.508986175115</v>
      </c>
      <c r="CD27" s="24">
        <f t="shared" si="41"/>
        <v>8.0062131111291848</v>
      </c>
      <c r="CE27" s="21">
        <v>1261</v>
      </c>
      <c r="CF27" s="22">
        <f t="shared" si="42"/>
        <v>40.677419354838712</v>
      </c>
      <c r="CG27" s="21">
        <v>792</v>
      </c>
      <c r="CH27" s="22">
        <f t="shared" si="43"/>
        <v>28.285714285714285</v>
      </c>
      <c r="CI27" s="21">
        <v>842</v>
      </c>
      <c r="CJ27" s="22">
        <f t="shared" si="44"/>
        <v>27.161290322580644</v>
      </c>
      <c r="CK27" s="21">
        <v>1152</v>
      </c>
      <c r="CL27" s="22">
        <f t="shared" si="45"/>
        <v>38.4</v>
      </c>
      <c r="CM27" s="21">
        <v>1168</v>
      </c>
      <c r="CN27" s="22">
        <f t="shared" si="46"/>
        <v>37.677419354838712</v>
      </c>
      <c r="CO27" s="21">
        <v>1061</v>
      </c>
      <c r="CP27" s="22">
        <f t="shared" si="47"/>
        <v>35.366666666666667</v>
      </c>
      <c r="CQ27" s="21">
        <v>1180</v>
      </c>
      <c r="CR27" s="22">
        <f t="shared" si="48"/>
        <v>38.064516129032256</v>
      </c>
      <c r="CS27" s="21">
        <v>1112</v>
      </c>
      <c r="CT27" s="22">
        <f t="shared" si="49"/>
        <v>35.87096774193548</v>
      </c>
      <c r="CU27" s="21">
        <v>1072</v>
      </c>
      <c r="CV27" s="22">
        <f t="shared" si="50"/>
        <v>35.733333333333334</v>
      </c>
      <c r="CW27" s="21">
        <v>954</v>
      </c>
      <c r="CX27" s="22">
        <f t="shared" si="51"/>
        <v>30.774193548387096</v>
      </c>
      <c r="CY27" s="21">
        <v>1043</v>
      </c>
      <c r="CZ27" s="22">
        <f t="shared" si="52"/>
        <v>34.766666666666666</v>
      </c>
      <c r="DA27" s="21">
        <v>877</v>
      </c>
      <c r="DB27" s="22">
        <f t="shared" si="53"/>
        <v>28.29032258064516</v>
      </c>
      <c r="DC27" s="23">
        <f t="shared" si="54"/>
        <v>12896.778187403994</v>
      </c>
      <c r="DD27" s="24">
        <f t="shared" si="55"/>
        <v>4.5185955445949659</v>
      </c>
      <c r="DE27" s="21">
        <v>909</v>
      </c>
      <c r="DF27" s="22">
        <f t="shared" si="56"/>
        <v>29.322580645161292</v>
      </c>
      <c r="DG27" s="21">
        <v>910</v>
      </c>
      <c r="DH27" s="22">
        <f t="shared" si="57"/>
        <v>32.5</v>
      </c>
      <c r="DI27" s="21">
        <v>761</v>
      </c>
      <c r="DJ27" s="22">
        <f t="shared" si="58"/>
        <v>24.548387096774192</v>
      </c>
      <c r="DK27" s="21">
        <v>789</v>
      </c>
      <c r="DL27" s="22">
        <f t="shared" si="59"/>
        <v>26.3</v>
      </c>
      <c r="DM27" s="21">
        <v>1389</v>
      </c>
      <c r="DN27" s="22">
        <f t="shared" si="60"/>
        <v>44.806451612903224</v>
      </c>
      <c r="DO27" s="21">
        <v>1011</v>
      </c>
      <c r="DP27" s="22">
        <f t="shared" si="61"/>
        <v>33.700000000000003</v>
      </c>
      <c r="DQ27" s="21">
        <v>799</v>
      </c>
      <c r="DR27" s="22">
        <f t="shared" si="62"/>
        <v>25.774193548387096</v>
      </c>
      <c r="DS27" s="21">
        <v>726</v>
      </c>
      <c r="DT27" s="22">
        <f t="shared" si="63"/>
        <v>23.419354838709676</v>
      </c>
      <c r="DU27" s="21">
        <v>677</v>
      </c>
      <c r="DV27" s="22">
        <f t="shared" si="64"/>
        <v>22.566666666666666</v>
      </c>
      <c r="DW27" s="21">
        <v>1304</v>
      </c>
      <c r="DX27" s="22">
        <f t="shared" si="65"/>
        <v>42.064516129032256</v>
      </c>
      <c r="DY27" s="21">
        <v>696</v>
      </c>
      <c r="DZ27" s="22">
        <f t="shared" si="66"/>
        <v>23.2</v>
      </c>
      <c r="EA27" s="21">
        <v>1244</v>
      </c>
      <c r="EB27" s="22">
        <f t="shared" si="67"/>
        <v>40.12903225806452</v>
      </c>
      <c r="EC27" s="23">
        <f t="shared" si="68"/>
        <v>11543.202150537636</v>
      </c>
      <c r="ED27" s="24">
        <f t="shared" si="69"/>
        <v>7.9089279717860839</v>
      </c>
      <c r="EE27" s="25">
        <f t="shared" si="70"/>
        <v>542.34742384512879</v>
      </c>
    </row>
    <row r="28" spans="1:135" ht="15" customHeight="1" x14ac:dyDescent="0.35">
      <c r="A28" s="17">
        <v>23</v>
      </c>
      <c r="B28" s="18" t="s">
        <v>80</v>
      </c>
      <c r="C28" s="19" t="s">
        <v>81</v>
      </c>
      <c r="D28" s="20" t="s">
        <v>36</v>
      </c>
      <c r="E28" s="21">
        <v>4814</v>
      </c>
      <c r="F28" s="22">
        <f t="shared" si="0"/>
        <v>155.29032258064515</v>
      </c>
      <c r="G28" s="21">
        <v>4961</v>
      </c>
      <c r="H28" s="22">
        <f t="shared" si="1"/>
        <v>177.17857142857142</v>
      </c>
      <c r="I28" s="21">
        <v>2392</v>
      </c>
      <c r="J28" s="22">
        <f t="shared" si="2"/>
        <v>77.161290322580641</v>
      </c>
      <c r="K28" s="21">
        <v>3300</v>
      </c>
      <c r="L28" s="22">
        <f t="shared" si="3"/>
        <v>110</v>
      </c>
      <c r="M28" s="21">
        <v>4605</v>
      </c>
      <c r="N28" s="22">
        <f t="shared" si="4"/>
        <v>148.54838709677421</v>
      </c>
      <c r="O28" s="21">
        <v>2676</v>
      </c>
      <c r="P28" s="22">
        <f t="shared" si="5"/>
        <v>89.2</v>
      </c>
      <c r="Q28" s="21">
        <v>3422</v>
      </c>
      <c r="R28" s="22">
        <f t="shared" si="6"/>
        <v>110.38709677419355</v>
      </c>
      <c r="S28" s="21">
        <v>2770</v>
      </c>
      <c r="T28" s="22">
        <f t="shared" si="7"/>
        <v>89.354838709677423</v>
      </c>
      <c r="U28" s="21">
        <v>4802</v>
      </c>
      <c r="V28" s="22">
        <f t="shared" si="8"/>
        <v>160.06666666666666</v>
      </c>
      <c r="W28" s="21">
        <v>4619</v>
      </c>
      <c r="X28" s="22">
        <f t="shared" si="9"/>
        <v>149</v>
      </c>
      <c r="Y28" s="21">
        <v>4735</v>
      </c>
      <c r="Z28" s="22">
        <f t="shared" si="10"/>
        <v>157.83333333333334</v>
      </c>
      <c r="AA28" s="21">
        <v>2780</v>
      </c>
      <c r="AB28" s="22">
        <f t="shared" si="11"/>
        <v>89.677419354838705</v>
      </c>
      <c r="AC28" s="23">
        <f t="shared" si="12"/>
        <v>47300.020506912442</v>
      </c>
      <c r="AD28" s="24">
        <f t="shared" si="13"/>
        <v>35.148616414745568</v>
      </c>
      <c r="AE28" s="21">
        <v>4133</v>
      </c>
      <c r="AF28" s="22">
        <f t="shared" si="14"/>
        <v>133.32258064516128</v>
      </c>
      <c r="AG28" s="21">
        <v>4039</v>
      </c>
      <c r="AH28" s="22">
        <f t="shared" si="15"/>
        <v>144.25</v>
      </c>
      <c r="AI28" s="21">
        <v>4963</v>
      </c>
      <c r="AJ28" s="22">
        <f t="shared" si="16"/>
        <v>160.09677419354838</v>
      </c>
      <c r="AK28" s="21">
        <v>3436</v>
      </c>
      <c r="AL28" s="22">
        <f t="shared" si="17"/>
        <v>114.53333333333333</v>
      </c>
      <c r="AM28" s="21">
        <v>4155</v>
      </c>
      <c r="AN28" s="22">
        <f t="shared" si="18"/>
        <v>134.03225806451613</v>
      </c>
      <c r="AO28" s="21">
        <v>3601</v>
      </c>
      <c r="AP28" s="22">
        <f t="shared" si="19"/>
        <v>120.03333333333333</v>
      </c>
      <c r="AQ28" s="21">
        <v>5214</v>
      </c>
      <c r="AR28" s="22">
        <f t="shared" si="20"/>
        <v>168.19354838709677</v>
      </c>
      <c r="AS28" s="21">
        <v>4172</v>
      </c>
      <c r="AT28" s="22">
        <f t="shared" si="21"/>
        <v>134.58064516129033</v>
      </c>
      <c r="AU28" s="21">
        <v>4468</v>
      </c>
      <c r="AV28" s="22">
        <f t="shared" si="22"/>
        <v>148.93333333333334</v>
      </c>
      <c r="AW28" s="21">
        <v>3687</v>
      </c>
      <c r="AX28" s="22">
        <f t="shared" si="23"/>
        <v>118.93548387096774</v>
      </c>
      <c r="AY28" s="21">
        <v>5423</v>
      </c>
      <c r="AZ28" s="22">
        <f t="shared" si="24"/>
        <v>180.76666666666668</v>
      </c>
      <c r="BA28" s="21">
        <v>4242</v>
      </c>
      <c r="BB28" s="22">
        <f t="shared" si="25"/>
        <v>136.83870967741936</v>
      </c>
      <c r="BC28" s="23">
        <f t="shared" si="26"/>
        <v>53090.677956989253</v>
      </c>
      <c r="BD28" s="24">
        <f t="shared" si="27"/>
        <v>20.341362227553589</v>
      </c>
      <c r="BE28" s="21">
        <v>5094</v>
      </c>
      <c r="BF28" s="22">
        <f t="shared" si="28"/>
        <v>164.32258064516128</v>
      </c>
      <c r="BG28" s="21">
        <v>3593</v>
      </c>
      <c r="BH28" s="22">
        <f t="shared" si="29"/>
        <v>128.32142857142858</v>
      </c>
      <c r="BI28" s="21">
        <v>5454</v>
      </c>
      <c r="BJ28" s="22">
        <f t="shared" si="30"/>
        <v>175.93548387096774</v>
      </c>
      <c r="BK28" s="21">
        <v>5574</v>
      </c>
      <c r="BL28" s="22">
        <f t="shared" si="31"/>
        <v>185.8</v>
      </c>
      <c r="BM28" s="21">
        <v>3894</v>
      </c>
      <c r="BN28" s="22">
        <f t="shared" si="32"/>
        <v>125.61290322580645</v>
      </c>
      <c r="BO28" s="21">
        <v>3316</v>
      </c>
      <c r="BP28" s="22">
        <f t="shared" si="33"/>
        <v>110.53333333333333</v>
      </c>
      <c r="BQ28" s="21">
        <v>3638</v>
      </c>
      <c r="BR28" s="22">
        <f t="shared" si="34"/>
        <v>117.35483870967742</v>
      </c>
      <c r="BS28" s="21">
        <v>4105</v>
      </c>
      <c r="BT28" s="22">
        <f t="shared" si="35"/>
        <v>132.41935483870967</v>
      </c>
      <c r="BU28" s="21">
        <v>5516</v>
      </c>
      <c r="BV28" s="22">
        <f t="shared" si="36"/>
        <v>183.86666666666667</v>
      </c>
      <c r="BW28" s="21">
        <v>5036</v>
      </c>
      <c r="BX28" s="22">
        <f t="shared" si="37"/>
        <v>162.45161290322579</v>
      </c>
      <c r="BY28" s="21">
        <v>4985</v>
      </c>
      <c r="BZ28" s="22">
        <f t="shared" si="38"/>
        <v>166.16666666666666</v>
      </c>
      <c r="CA28" s="21">
        <v>2855</v>
      </c>
      <c r="CB28" s="22">
        <f t="shared" si="39"/>
        <v>92.096774193548384</v>
      </c>
      <c r="CC28" s="23">
        <f t="shared" si="40"/>
        <v>54712.784869431642</v>
      </c>
      <c r="CD28" s="24">
        <f t="shared" si="41"/>
        <v>31.362237015437593</v>
      </c>
      <c r="CE28" s="21">
        <v>2817</v>
      </c>
      <c r="CF28" s="22">
        <f t="shared" si="42"/>
        <v>90.870967741935488</v>
      </c>
      <c r="CG28" s="21">
        <v>3919</v>
      </c>
      <c r="CH28" s="22">
        <f t="shared" si="43"/>
        <v>139.96428571428572</v>
      </c>
      <c r="CI28" s="21">
        <v>4575</v>
      </c>
      <c r="CJ28" s="22">
        <f t="shared" si="44"/>
        <v>147.58064516129033</v>
      </c>
      <c r="CK28" s="21">
        <v>3675</v>
      </c>
      <c r="CL28" s="22">
        <f t="shared" si="45"/>
        <v>122.5</v>
      </c>
      <c r="CM28" s="21">
        <v>2402</v>
      </c>
      <c r="CN28" s="22">
        <f t="shared" si="46"/>
        <v>77.483870967741936</v>
      </c>
      <c r="CO28" s="21">
        <v>4496</v>
      </c>
      <c r="CP28" s="22">
        <f t="shared" si="47"/>
        <v>149.86666666666667</v>
      </c>
      <c r="CQ28" s="21">
        <v>4510</v>
      </c>
      <c r="CR28" s="22">
        <f t="shared" si="48"/>
        <v>145.48387096774192</v>
      </c>
      <c r="CS28" s="21">
        <v>2916</v>
      </c>
      <c r="CT28" s="22">
        <f t="shared" si="49"/>
        <v>94.064516129032256</v>
      </c>
      <c r="CU28" s="21">
        <v>4262</v>
      </c>
      <c r="CV28" s="22">
        <f t="shared" si="50"/>
        <v>142.06666666666666</v>
      </c>
      <c r="CW28" s="21">
        <v>2881</v>
      </c>
      <c r="CX28" s="22">
        <f t="shared" si="51"/>
        <v>92.935483870967744</v>
      </c>
      <c r="CY28" s="21">
        <v>4663</v>
      </c>
      <c r="CZ28" s="22">
        <f t="shared" si="52"/>
        <v>155.43333333333334</v>
      </c>
      <c r="DA28" s="21">
        <v>2528</v>
      </c>
      <c r="DB28" s="22">
        <f t="shared" si="53"/>
        <v>81.548387096774192</v>
      </c>
      <c r="DC28" s="23">
        <f t="shared" si="54"/>
        <v>45002.250307219663</v>
      </c>
      <c r="DD28" s="24">
        <f t="shared" si="55"/>
        <v>30.134850408730212</v>
      </c>
      <c r="DE28" s="21">
        <v>3907</v>
      </c>
      <c r="DF28" s="22">
        <f t="shared" si="56"/>
        <v>126.03225806451613</v>
      </c>
      <c r="DG28" s="21">
        <v>5582</v>
      </c>
      <c r="DH28" s="22">
        <f t="shared" si="57"/>
        <v>199.35714285714286</v>
      </c>
      <c r="DI28" s="21">
        <v>3198</v>
      </c>
      <c r="DJ28" s="22">
        <f t="shared" si="58"/>
        <v>103.16129032258064</v>
      </c>
      <c r="DK28" s="21">
        <v>3952</v>
      </c>
      <c r="DL28" s="22">
        <f t="shared" si="59"/>
        <v>131.73333333333332</v>
      </c>
      <c r="DM28" s="21">
        <v>3618</v>
      </c>
      <c r="DN28" s="22">
        <f t="shared" si="60"/>
        <v>116.70967741935483</v>
      </c>
      <c r="DO28" s="21">
        <v>2556</v>
      </c>
      <c r="DP28" s="22">
        <f t="shared" si="61"/>
        <v>85.2</v>
      </c>
      <c r="DQ28" s="21">
        <v>2643</v>
      </c>
      <c r="DR28" s="22">
        <f t="shared" si="62"/>
        <v>85.258064516129039</v>
      </c>
      <c r="DS28" s="21">
        <v>4120</v>
      </c>
      <c r="DT28" s="22">
        <f t="shared" si="63"/>
        <v>132.90322580645162</v>
      </c>
      <c r="DU28" s="21">
        <v>3244</v>
      </c>
      <c r="DV28" s="22">
        <f t="shared" si="64"/>
        <v>108.13333333333334</v>
      </c>
      <c r="DW28" s="21">
        <v>5740</v>
      </c>
      <c r="DX28" s="22">
        <f t="shared" si="65"/>
        <v>185.16129032258064</v>
      </c>
      <c r="DY28" s="21">
        <v>3701</v>
      </c>
      <c r="DZ28" s="22">
        <f t="shared" si="66"/>
        <v>123.36666666666666</v>
      </c>
      <c r="EA28" s="21">
        <v>2561</v>
      </c>
      <c r="EB28" s="22">
        <f t="shared" si="67"/>
        <v>82.612903225806448</v>
      </c>
      <c r="EC28" s="23">
        <f t="shared" si="68"/>
        <v>46219.016282642093</v>
      </c>
      <c r="ED28" s="24">
        <f t="shared" si="69"/>
        <v>36.946629002086439</v>
      </c>
      <c r="EE28" s="25">
        <f t="shared" si="70"/>
        <v>2032.9120945283228</v>
      </c>
    </row>
    <row r="29" spans="1:135" ht="15" customHeight="1" x14ac:dyDescent="0.35">
      <c r="A29" s="17">
        <v>24</v>
      </c>
      <c r="B29" s="18" t="s">
        <v>82</v>
      </c>
      <c r="C29" s="19" t="s">
        <v>83</v>
      </c>
      <c r="D29" s="20" t="s">
        <v>36</v>
      </c>
      <c r="E29" s="21">
        <v>3344</v>
      </c>
      <c r="F29" s="22">
        <f t="shared" si="0"/>
        <v>107.87096774193549</v>
      </c>
      <c r="G29" s="21">
        <v>3162</v>
      </c>
      <c r="H29" s="22">
        <f t="shared" si="1"/>
        <v>112.92857142857143</v>
      </c>
      <c r="I29" s="21">
        <v>2785</v>
      </c>
      <c r="J29" s="22">
        <f t="shared" si="2"/>
        <v>89.838709677419359</v>
      </c>
      <c r="K29" s="21">
        <v>3067</v>
      </c>
      <c r="L29" s="22">
        <f t="shared" si="3"/>
        <v>102.23333333333333</v>
      </c>
      <c r="M29" s="21">
        <v>1766</v>
      </c>
      <c r="N29" s="22">
        <f t="shared" si="4"/>
        <v>56.967741935483872</v>
      </c>
      <c r="O29" s="21">
        <v>2063</v>
      </c>
      <c r="P29" s="22">
        <f t="shared" si="5"/>
        <v>68.766666666666666</v>
      </c>
      <c r="Q29" s="21">
        <v>3143</v>
      </c>
      <c r="R29" s="22">
        <f t="shared" si="6"/>
        <v>101.38709677419355</v>
      </c>
      <c r="S29" s="21">
        <v>2877</v>
      </c>
      <c r="T29" s="22">
        <f t="shared" si="7"/>
        <v>92.806451612903231</v>
      </c>
      <c r="U29" s="21">
        <v>1768</v>
      </c>
      <c r="V29" s="22">
        <f t="shared" si="8"/>
        <v>58.93333333333333</v>
      </c>
      <c r="W29" s="21">
        <v>2896</v>
      </c>
      <c r="X29" s="22">
        <f t="shared" si="9"/>
        <v>93.41935483870968</v>
      </c>
      <c r="Y29" s="21">
        <v>2385</v>
      </c>
      <c r="Z29" s="22">
        <f t="shared" si="10"/>
        <v>79.5</v>
      </c>
      <c r="AA29" s="21">
        <v>1503</v>
      </c>
      <c r="AB29" s="22">
        <f t="shared" si="11"/>
        <v>48.483870967741936</v>
      </c>
      <c r="AC29" s="23">
        <f t="shared" si="12"/>
        <v>31723.652227342547</v>
      </c>
      <c r="AD29" s="24">
        <f t="shared" si="13"/>
        <v>21.558380817866375</v>
      </c>
      <c r="AE29" s="21">
        <v>1817</v>
      </c>
      <c r="AF29" s="22">
        <f t="shared" si="14"/>
        <v>58.612903225806448</v>
      </c>
      <c r="AG29" s="21">
        <v>2205</v>
      </c>
      <c r="AH29" s="22">
        <f t="shared" si="15"/>
        <v>78.75</v>
      </c>
      <c r="AI29" s="21">
        <v>3474</v>
      </c>
      <c r="AJ29" s="22">
        <f t="shared" si="16"/>
        <v>112.06451612903226</v>
      </c>
      <c r="AK29" s="21">
        <v>2846</v>
      </c>
      <c r="AL29" s="22">
        <f t="shared" si="17"/>
        <v>94.86666666666666</v>
      </c>
      <c r="AM29" s="21">
        <v>3237</v>
      </c>
      <c r="AN29" s="22">
        <f t="shared" si="18"/>
        <v>104.41935483870968</v>
      </c>
      <c r="AO29" s="21">
        <v>2800</v>
      </c>
      <c r="AP29" s="22">
        <f t="shared" si="19"/>
        <v>93.333333333333329</v>
      </c>
      <c r="AQ29" s="21">
        <v>1887</v>
      </c>
      <c r="AR29" s="22">
        <f t="shared" si="20"/>
        <v>60.87096774193548</v>
      </c>
      <c r="AS29" s="21">
        <v>2275</v>
      </c>
      <c r="AT29" s="22">
        <f t="shared" si="21"/>
        <v>73.387096774193552</v>
      </c>
      <c r="AU29" s="21">
        <v>2304</v>
      </c>
      <c r="AV29" s="22">
        <f t="shared" si="22"/>
        <v>76.8</v>
      </c>
      <c r="AW29" s="21">
        <v>1748</v>
      </c>
      <c r="AX29" s="22">
        <f t="shared" si="23"/>
        <v>56.387096774193552</v>
      </c>
      <c r="AY29" s="21">
        <v>2564</v>
      </c>
      <c r="AZ29" s="22">
        <f t="shared" si="24"/>
        <v>85.466666666666669</v>
      </c>
      <c r="BA29" s="21">
        <v>3384</v>
      </c>
      <c r="BB29" s="22">
        <f t="shared" si="25"/>
        <v>109.16129032258064</v>
      </c>
      <c r="BC29" s="23">
        <f t="shared" si="26"/>
        <v>31435.958602150535</v>
      </c>
      <c r="BD29" s="24">
        <f t="shared" si="27"/>
        <v>19.488260259439905</v>
      </c>
      <c r="BE29" s="21">
        <v>2890</v>
      </c>
      <c r="BF29" s="22">
        <f t="shared" si="28"/>
        <v>93.225806451612897</v>
      </c>
      <c r="BG29" s="21">
        <v>2061</v>
      </c>
      <c r="BH29" s="22">
        <f t="shared" si="29"/>
        <v>73.607142857142861</v>
      </c>
      <c r="BI29" s="21">
        <v>3963</v>
      </c>
      <c r="BJ29" s="22">
        <f t="shared" si="30"/>
        <v>127.83870967741936</v>
      </c>
      <c r="BK29" s="21">
        <v>3224</v>
      </c>
      <c r="BL29" s="22">
        <f t="shared" si="31"/>
        <v>107.46666666666667</v>
      </c>
      <c r="BM29" s="21">
        <v>1835</v>
      </c>
      <c r="BN29" s="22">
        <f t="shared" si="32"/>
        <v>59.193548387096776</v>
      </c>
      <c r="BO29" s="21">
        <v>3030</v>
      </c>
      <c r="BP29" s="22">
        <f t="shared" si="33"/>
        <v>101</v>
      </c>
      <c r="BQ29" s="21">
        <v>2375</v>
      </c>
      <c r="BR29" s="22">
        <f t="shared" si="34"/>
        <v>76.612903225806448</v>
      </c>
      <c r="BS29" s="21">
        <v>2139</v>
      </c>
      <c r="BT29" s="22">
        <f t="shared" si="35"/>
        <v>69</v>
      </c>
      <c r="BU29" s="21">
        <v>2823</v>
      </c>
      <c r="BV29" s="22">
        <f t="shared" si="36"/>
        <v>94.1</v>
      </c>
      <c r="BW29" s="21">
        <v>3268</v>
      </c>
      <c r="BX29" s="22">
        <f t="shared" si="37"/>
        <v>105.41935483870968</v>
      </c>
      <c r="BY29" s="21">
        <v>2372</v>
      </c>
      <c r="BZ29" s="22">
        <f t="shared" si="38"/>
        <v>79.066666666666663</v>
      </c>
      <c r="CA29" s="21">
        <v>2793</v>
      </c>
      <c r="CB29" s="22">
        <f t="shared" si="39"/>
        <v>90.096774193548384</v>
      </c>
      <c r="CC29" s="23">
        <f t="shared" si="40"/>
        <v>33759.530798771113</v>
      </c>
      <c r="CD29" s="24">
        <f t="shared" si="41"/>
        <v>19.257588074081159</v>
      </c>
      <c r="CE29" s="21">
        <v>2507</v>
      </c>
      <c r="CF29" s="22">
        <f t="shared" si="42"/>
        <v>80.870967741935488</v>
      </c>
      <c r="CG29" s="21">
        <v>1481</v>
      </c>
      <c r="CH29" s="22">
        <f t="shared" si="43"/>
        <v>52.892857142857146</v>
      </c>
      <c r="CI29" s="21">
        <v>3056</v>
      </c>
      <c r="CJ29" s="22">
        <f t="shared" si="44"/>
        <v>98.58064516129032</v>
      </c>
      <c r="CK29" s="21">
        <v>1449</v>
      </c>
      <c r="CL29" s="22">
        <f t="shared" si="45"/>
        <v>48.3</v>
      </c>
      <c r="CM29" s="21">
        <v>2261</v>
      </c>
      <c r="CN29" s="22">
        <f t="shared" si="46"/>
        <v>72.935483870967744</v>
      </c>
      <c r="CO29" s="21">
        <v>2228</v>
      </c>
      <c r="CP29" s="22">
        <f t="shared" si="47"/>
        <v>74.266666666666666</v>
      </c>
      <c r="CQ29" s="21">
        <v>3081</v>
      </c>
      <c r="CR29" s="22">
        <f t="shared" si="48"/>
        <v>99.387096774193552</v>
      </c>
      <c r="CS29" s="21">
        <v>2311</v>
      </c>
      <c r="CT29" s="22">
        <f t="shared" si="49"/>
        <v>74.548387096774192</v>
      </c>
      <c r="CU29" s="21">
        <v>2021</v>
      </c>
      <c r="CV29" s="22">
        <f t="shared" si="50"/>
        <v>67.36666666666666</v>
      </c>
      <c r="CW29" s="21">
        <v>2162</v>
      </c>
      <c r="CX29" s="22">
        <f t="shared" si="51"/>
        <v>69.741935483870961</v>
      </c>
      <c r="CY29" s="21">
        <v>2456</v>
      </c>
      <c r="CZ29" s="22">
        <f t="shared" si="52"/>
        <v>81.86666666666666</v>
      </c>
      <c r="DA29" s="21">
        <v>3068</v>
      </c>
      <c r="DB29" s="22">
        <f t="shared" si="53"/>
        <v>98.967741935483872</v>
      </c>
      <c r="DC29" s="23">
        <f t="shared" si="54"/>
        <v>28901.757373271885</v>
      </c>
      <c r="DD29" s="24">
        <f t="shared" si="55"/>
        <v>16.697742740763644</v>
      </c>
      <c r="DE29" s="21">
        <v>1790</v>
      </c>
      <c r="DF29" s="22">
        <f t="shared" si="56"/>
        <v>57.741935483870968</v>
      </c>
      <c r="DG29" s="21">
        <v>1367</v>
      </c>
      <c r="DH29" s="22">
        <f t="shared" si="57"/>
        <v>48.821428571428569</v>
      </c>
      <c r="DI29" s="21">
        <v>2744</v>
      </c>
      <c r="DJ29" s="22">
        <f t="shared" si="58"/>
        <v>88.516129032258064</v>
      </c>
      <c r="DK29" s="21">
        <v>1953</v>
      </c>
      <c r="DL29" s="22">
        <f t="shared" si="59"/>
        <v>65.099999999999994</v>
      </c>
      <c r="DM29" s="21">
        <v>2645</v>
      </c>
      <c r="DN29" s="22">
        <f t="shared" si="60"/>
        <v>85.322580645161295</v>
      </c>
      <c r="DO29" s="21">
        <v>2458</v>
      </c>
      <c r="DP29" s="22">
        <f t="shared" si="61"/>
        <v>81.933333333333337</v>
      </c>
      <c r="DQ29" s="21">
        <v>2714</v>
      </c>
      <c r="DR29" s="22">
        <f t="shared" si="62"/>
        <v>87.548387096774192</v>
      </c>
      <c r="DS29" s="21">
        <v>2649</v>
      </c>
      <c r="DT29" s="22">
        <f t="shared" si="63"/>
        <v>85.451612903225808</v>
      </c>
      <c r="DU29" s="21">
        <v>1931</v>
      </c>
      <c r="DV29" s="22">
        <f t="shared" si="64"/>
        <v>64.36666666666666</v>
      </c>
      <c r="DW29" s="21">
        <v>1417</v>
      </c>
      <c r="DX29" s="22">
        <f t="shared" si="65"/>
        <v>45.70967741935484</v>
      </c>
      <c r="DY29" s="21">
        <v>2311</v>
      </c>
      <c r="DZ29" s="22">
        <f t="shared" si="66"/>
        <v>77.033333333333331</v>
      </c>
      <c r="EA29" s="21">
        <v>2788</v>
      </c>
      <c r="EB29" s="22">
        <f t="shared" si="67"/>
        <v>89.935483870967744</v>
      </c>
      <c r="EC29" s="23">
        <f t="shared" si="68"/>
        <v>27554.545084485409</v>
      </c>
      <c r="ED29" s="24">
        <f t="shared" si="69"/>
        <v>16.071184398362213</v>
      </c>
      <c r="EE29" s="25">
        <f t="shared" si="70"/>
        <v>1271.9769776958251</v>
      </c>
    </row>
    <row r="30" spans="1:135" ht="15" customHeight="1" x14ac:dyDescent="0.35">
      <c r="A30" s="17">
        <v>25</v>
      </c>
      <c r="B30" s="18" t="s">
        <v>84</v>
      </c>
      <c r="C30" s="19" t="s">
        <v>85</v>
      </c>
      <c r="D30" s="20" t="s">
        <v>36</v>
      </c>
      <c r="E30" s="21">
        <v>779</v>
      </c>
      <c r="F30" s="22">
        <f t="shared" si="0"/>
        <v>25.129032258064516</v>
      </c>
      <c r="G30" s="21">
        <v>1287</v>
      </c>
      <c r="H30" s="22">
        <f t="shared" si="1"/>
        <v>45.964285714285715</v>
      </c>
      <c r="I30" s="21">
        <v>1023</v>
      </c>
      <c r="J30" s="22">
        <f t="shared" si="2"/>
        <v>33</v>
      </c>
      <c r="K30" s="21">
        <v>1217</v>
      </c>
      <c r="L30" s="22">
        <f t="shared" si="3"/>
        <v>40.56666666666667</v>
      </c>
      <c r="M30" s="21">
        <v>1163</v>
      </c>
      <c r="N30" s="22">
        <f t="shared" si="4"/>
        <v>37.516129032258064</v>
      </c>
      <c r="O30" s="21">
        <v>1315</v>
      </c>
      <c r="P30" s="22">
        <f t="shared" si="5"/>
        <v>43.833333333333336</v>
      </c>
      <c r="Q30" s="21">
        <v>685</v>
      </c>
      <c r="R30" s="22">
        <f t="shared" si="6"/>
        <v>22.096774193548388</v>
      </c>
      <c r="S30" s="21">
        <v>1285</v>
      </c>
      <c r="T30" s="22">
        <f t="shared" si="7"/>
        <v>41.451612903225808</v>
      </c>
      <c r="U30" s="21">
        <v>1017</v>
      </c>
      <c r="V30" s="22">
        <f t="shared" si="8"/>
        <v>33.9</v>
      </c>
      <c r="W30" s="21">
        <v>878</v>
      </c>
      <c r="X30" s="22">
        <f t="shared" si="9"/>
        <v>28.322580645161292</v>
      </c>
      <c r="Y30" s="21">
        <v>668</v>
      </c>
      <c r="Z30" s="22">
        <f t="shared" si="10"/>
        <v>22.266666666666666</v>
      </c>
      <c r="AA30" s="21">
        <v>799</v>
      </c>
      <c r="AB30" s="22">
        <f t="shared" si="11"/>
        <v>25.774193548387096</v>
      </c>
      <c r="AC30" s="23">
        <f t="shared" si="12"/>
        <v>12490.04708141321</v>
      </c>
      <c r="AD30" s="24">
        <f t="shared" si="13"/>
        <v>8.5505663707548614</v>
      </c>
      <c r="AE30" s="21">
        <v>465</v>
      </c>
      <c r="AF30" s="22">
        <f t="shared" si="14"/>
        <v>15</v>
      </c>
      <c r="AG30" s="21">
        <v>989</v>
      </c>
      <c r="AH30" s="22">
        <f t="shared" si="15"/>
        <v>35.321428571428569</v>
      </c>
      <c r="AI30" s="21">
        <v>744</v>
      </c>
      <c r="AJ30" s="22">
        <f t="shared" si="16"/>
        <v>24</v>
      </c>
      <c r="AK30" s="21">
        <v>1022</v>
      </c>
      <c r="AL30" s="22">
        <f t="shared" si="17"/>
        <v>34.06666666666667</v>
      </c>
      <c r="AM30" s="21">
        <v>760</v>
      </c>
      <c r="AN30" s="22">
        <f t="shared" si="18"/>
        <v>24.516129032258064</v>
      </c>
      <c r="AO30" s="21">
        <v>590</v>
      </c>
      <c r="AP30" s="22">
        <f t="shared" si="19"/>
        <v>19.666666666666668</v>
      </c>
      <c r="AQ30" s="21">
        <v>883</v>
      </c>
      <c r="AR30" s="22">
        <f t="shared" si="20"/>
        <v>28.483870967741936</v>
      </c>
      <c r="AS30" s="21">
        <v>553</v>
      </c>
      <c r="AT30" s="22">
        <f t="shared" si="21"/>
        <v>17.838709677419356</v>
      </c>
      <c r="AU30" s="21">
        <v>650</v>
      </c>
      <c r="AV30" s="22">
        <f t="shared" si="22"/>
        <v>21.666666666666668</v>
      </c>
      <c r="AW30" s="21">
        <v>900</v>
      </c>
      <c r="AX30" s="22">
        <f t="shared" si="23"/>
        <v>29.032258064516128</v>
      </c>
      <c r="AY30" s="21">
        <v>949</v>
      </c>
      <c r="AZ30" s="22">
        <f t="shared" si="24"/>
        <v>31.633333333333333</v>
      </c>
      <c r="BA30" s="21">
        <v>636</v>
      </c>
      <c r="BB30" s="22">
        <f t="shared" si="25"/>
        <v>20.516129032258064</v>
      </c>
      <c r="BC30" s="23">
        <f t="shared" si="26"/>
        <v>9422.2257296466978</v>
      </c>
      <c r="BD30" s="24">
        <f t="shared" si="27"/>
        <v>6.5578539355023837</v>
      </c>
      <c r="BE30" s="21">
        <v>493</v>
      </c>
      <c r="BF30" s="22">
        <f t="shared" si="28"/>
        <v>15.903225806451612</v>
      </c>
      <c r="BG30" s="21">
        <v>630</v>
      </c>
      <c r="BH30" s="22">
        <f t="shared" si="29"/>
        <v>22.5</v>
      </c>
      <c r="BI30" s="21">
        <v>924</v>
      </c>
      <c r="BJ30" s="22">
        <f t="shared" si="30"/>
        <v>29.806451612903224</v>
      </c>
      <c r="BK30" s="21">
        <v>842</v>
      </c>
      <c r="BL30" s="22">
        <f t="shared" si="31"/>
        <v>28.066666666666666</v>
      </c>
      <c r="BM30" s="21">
        <v>927</v>
      </c>
      <c r="BN30" s="22">
        <f t="shared" si="32"/>
        <v>29.903225806451612</v>
      </c>
      <c r="BO30" s="21">
        <v>641</v>
      </c>
      <c r="BP30" s="22">
        <f t="shared" si="33"/>
        <v>21.366666666666667</v>
      </c>
      <c r="BQ30" s="21">
        <v>972</v>
      </c>
      <c r="BR30" s="22">
        <f t="shared" si="34"/>
        <v>31.35483870967742</v>
      </c>
      <c r="BS30" s="21">
        <v>702</v>
      </c>
      <c r="BT30" s="22">
        <f t="shared" si="35"/>
        <v>22.64516129032258</v>
      </c>
      <c r="BU30" s="21">
        <v>703</v>
      </c>
      <c r="BV30" s="22">
        <f t="shared" si="36"/>
        <v>23.433333333333334</v>
      </c>
      <c r="BW30" s="21">
        <v>944</v>
      </c>
      <c r="BX30" s="22">
        <f t="shared" si="37"/>
        <v>30.451612903225808</v>
      </c>
      <c r="BY30" s="21">
        <v>715</v>
      </c>
      <c r="BZ30" s="22">
        <f t="shared" si="38"/>
        <v>23.833333333333332</v>
      </c>
      <c r="CA30" s="21">
        <v>874</v>
      </c>
      <c r="CB30" s="22">
        <f t="shared" si="39"/>
        <v>28.193548387096776</v>
      </c>
      <c r="CC30" s="23">
        <f t="shared" si="40"/>
        <v>9646.2645161290329</v>
      </c>
      <c r="CD30" s="24">
        <f t="shared" si="41"/>
        <v>4.7076230248378108</v>
      </c>
      <c r="CE30" s="21">
        <v>1129</v>
      </c>
      <c r="CF30" s="22">
        <f t="shared" si="42"/>
        <v>36.41935483870968</v>
      </c>
      <c r="CG30" s="21">
        <v>633</v>
      </c>
      <c r="CH30" s="22">
        <f t="shared" si="43"/>
        <v>22.607142857142858</v>
      </c>
      <c r="CI30" s="21">
        <v>1034</v>
      </c>
      <c r="CJ30" s="22">
        <f t="shared" si="44"/>
        <v>33.354838709677416</v>
      </c>
      <c r="CK30" s="21">
        <v>1202</v>
      </c>
      <c r="CL30" s="22">
        <f t="shared" si="45"/>
        <v>40.06666666666667</v>
      </c>
      <c r="CM30" s="21">
        <v>990</v>
      </c>
      <c r="CN30" s="22">
        <f t="shared" si="46"/>
        <v>31.93548387096774</v>
      </c>
      <c r="CO30" s="21">
        <v>819</v>
      </c>
      <c r="CP30" s="22">
        <f t="shared" si="47"/>
        <v>27.3</v>
      </c>
      <c r="CQ30" s="21">
        <v>634</v>
      </c>
      <c r="CR30" s="22">
        <f t="shared" si="48"/>
        <v>20.451612903225808</v>
      </c>
      <c r="CS30" s="21">
        <v>1078</v>
      </c>
      <c r="CT30" s="22">
        <f t="shared" si="49"/>
        <v>34.774193548387096</v>
      </c>
      <c r="CU30" s="21">
        <v>807</v>
      </c>
      <c r="CV30" s="22">
        <f t="shared" si="50"/>
        <v>26.9</v>
      </c>
      <c r="CW30" s="21">
        <v>1034</v>
      </c>
      <c r="CX30" s="22">
        <f t="shared" si="51"/>
        <v>33.354838709677416</v>
      </c>
      <c r="CY30" s="21">
        <v>899</v>
      </c>
      <c r="CZ30" s="22">
        <f t="shared" si="52"/>
        <v>29.966666666666665</v>
      </c>
      <c r="DA30" s="21">
        <v>1100</v>
      </c>
      <c r="DB30" s="22">
        <f t="shared" si="53"/>
        <v>35.483870967741936</v>
      </c>
      <c r="DC30" s="23">
        <f t="shared" si="54"/>
        <v>11696.130798771122</v>
      </c>
      <c r="DD30" s="24">
        <f t="shared" si="55"/>
        <v>5.8085670436991181</v>
      </c>
      <c r="DE30" s="21">
        <v>886</v>
      </c>
      <c r="DF30" s="22">
        <f t="shared" si="56"/>
        <v>28.580645161290324</v>
      </c>
      <c r="DG30" s="21">
        <v>637</v>
      </c>
      <c r="DH30" s="22">
        <f t="shared" si="57"/>
        <v>22.75</v>
      </c>
      <c r="DI30" s="21">
        <v>1303</v>
      </c>
      <c r="DJ30" s="22">
        <f t="shared" si="58"/>
        <v>42.032258064516128</v>
      </c>
      <c r="DK30" s="21">
        <v>887</v>
      </c>
      <c r="DL30" s="22">
        <f t="shared" si="59"/>
        <v>29.566666666666666</v>
      </c>
      <c r="DM30" s="21">
        <v>1406</v>
      </c>
      <c r="DN30" s="22">
        <f t="shared" si="60"/>
        <v>45.354838709677416</v>
      </c>
      <c r="DO30" s="21">
        <v>824</v>
      </c>
      <c r="DP30" s="22">
        <f t="shared" si="61"/>
        <v>27.466666666666665</v>
      </c>
      <c r="DQ30" s="21">
        <v>1391</v>
      </c>
      <c r="DR30" s="22">
        <f t="shared" si="62"/>
        <v>44.87096774193548</v>
      </c>
      <c r="DS30" s="21">
        <v>1365</v>
      </c>
      <c r="DT30" s="22">
        <f t="shared" si="63"/>
        <v>44.032258064516128</v>
      </c>
      <c r="DU30" s="21">
        <v>663</v>
      </c>
      <c r="DV30" s="22">
        <f t="shared" si="64"/>
        <v>22.1</v>
      </c>
      <c r="DW30" s="21">
        <v>1116</v>
      </c>
      <c r="DX30" s="22">
        <f t="shared" si="65"/>
        <v>36</v>
      </c>
      <c r="DY30" s="21">
        <v>895</v>
      </c>
      <c r="DZ30" s="22">
        <f t="shared" si="66"/>
        <v>29.833333333333332</v>
      </c>
      <c r="EA30" s="21">
        <v>1247</v>
      </c>
      <c r="EB30" s="22">
        <f t="shared" si="67"/>
        <v>40.225806451612904</v>
      </c>
      <c r="EC30" s="23">
        <f t="shared" si="68"/>
        <v>12992.587634408603</v>
      </c>
      <c r="ED30" s="24">
        <f t="shared" si="69"/>
        <v>8.6882652225700117</v>
      </c>
      <c r="EE30" s="25">
        <f t="shared" si="70"/>
        <v>477.00851839865294</v>
      </c>
    </row>
    <row r="31" spans="1:135" ht="15" customHeight="1" x14ac:dyDescent="0.35">
      <c r="A31" s="17">
        <v>26</v>
      </c>
      <c r="B31" s="18" t="s">
        <v>86</v>
      </c>
      <c r="C31" s="19" t="s">
        <v>87</v>
      </c>
      <c r="D31" s="20" t="s">
        <v>36</v>
      </c>
      <c r="E31" s="21">
        <v>4649</v>
      </c>
      <c r="F31" s="22">
        <f t="shared" si="0"/>
        <v>149.96774193548387</v>
      </c>
      <c r="G31" s="21">
        <v>5538</v>
      </c>
      <c r="H31" s="22">
        <f t="shared" si="1"/>
        <v>197.78571428571428</v>
      </c>
      <c r="I31" s="21">
        <v>2904</v>
      </c>
      <c r="J31" s="22">
        <f t="shared" si="2"/>
        <v>93.677419354838705</v>
      </c>
      <c r="K31" s="21">
        <v>4416</v>
      </c>
      <c r="L31" s="22">
        <f t="shared" si="3"/>
        <v>147.19999999999999</v>
      </c>
      <c r="M31" s="21">
        <v>4981</v>
      </c>
      <c r="N31" s="22">
        <f t="shared" si="4"/>
        <v>160.67741935483872</v>
      </c>
      <c r="O31" s="21">
        <v>2553</v>
      </c>
      <c r="P31" s="22">
        <f t="shared" si="5"/>
        <v>85.1</v>
      </c>
      <c r="Q31" s="21">
        <v>2658</v>
      </c>
      <c r="R31" s="22">
        <f t="shared" si="6"/>
        <v>85.741935483870961</v>
      </c>
      <c r="S31" s="21">
        <v>4972</v>
      </c>
      <c r="T31" s="22">
        <f t="shared" si="7"/>
        <v>160.38709677419354</v>
      </c>
      <c r="U31" s="21">
        <v>3631</v>
      </c>
      <c r="V31" s="22">
        <f t="shared" si="8"/>
        <v>121.03333333333333</v>
      </c>
      <c r="W31" s="21">
        <v>3685</v>
      </c>
      <c r="X31" s="22">
        <f t="shared" si="9"/>
        <v>118.87096774193549</v>
      </c>
      <c r="Y31" s="21">
        <v>4284</v>
      </c>
      <c r="Z31" s="22">
        <f t="shared" si="10"/>
        <v>142.80000000000001</v>
      </c>
      <c r="AA31" s="21">
        <v>4407</v>
      </c>
      <c r="AB31" s="22">
        <f t="shared" si="11"/>
        <v>142.16129032258064</v>
      </c>
      <c r="AC31" s="23">
        <f t="shared" si="12"/>
        <v>50141.241628264208</v>
      </c>
      <c r="AD31" s="24">
        <f t="shared" si="13"/>
        <v>34.101796355920243</v>
      </c>
      <c r="AE31" s="21">
        <v>4663</v>
      </c>
      <c r="AF31" s="22">
        <f t="shared" si="14"/>
        <v>150.41935483870967</v>
      </c>
      <c r="AG31" s="21">
        <v>5544</v>
      </c>
      <c r="AH31" s="22">
        <f t="shared" si="15"/>
        <v>198</v>
      </c>
      <c r="AI31" s="21">
        <v>3661</v>
      </c>
      <c r="AJ31" s="22">
        <f t="shared" si="16"/>
        <v>118.09677419354838</v>
      </c>
      <c r="AK31" s="21">
        <v>4938</v>
      </c>
      <c r="AL31" s="22">
        <f t="shared" si="17"/>
        <v>164.6</v>
      </c>
      <c r="AM31" s="21">
        <v>4320</v>
      </c>
      <c r="AN31" s="22">
        <f t="shared" si="18"/>
        <v>139.35483870967741</v>
      </c>
      <c r="AO31" s="21">
        <v>4175</v>
      </c>
      <c r="AP31" s="22">
        <f t="shared" si="19"/>
        <v>139.16666666666666</v>
      </c>
      <c r="AQ31" s="21">
        <v>3746</v>
      </c>
      <c r="AR31" s="22">
        <f t="shared" si="20"/>
        <v>120.83870967741936</v>
      </c>
      <c r="AS31" s="21">
        <v>4567</v>
      </c>
      <c r="AT31" s="22">
        <f t="shared" si="21"/>
        <v>147.32258064516128</v>
      </c>
      <c r="AU31" s="21">
        <v>3262</v>
      </c>
      <c r="AV31" s="22">
        <f t="shared" si="22"/>
        <v>108.73333333333333</v>
      </c>
      <c r="AW31" s="21">
        <v>2818</v>
      </c>
      <c r="AX31" s="22">
        <f t="shared" si="23"/>
        <v>90.903225806451616</v>
      </c>
      <c r="AY31" s="21">
        <v>4848</v>
      </c>
      <c r="AZ31" s="22">
        <f t="shared" si="24"/>
        <v>161.6</v>
      </c>
      <c r="BA31" s="21">
        <v>4076</v>
      </c>
      <c r="BB31" s="22">
        <f t="shared" si="25"/>
        <v>131.48387096774192</v>
      </c>
      <c r="BC31" s="23">
        <f t="shared" si="26"/>
        <v>52157.035483870968</v>
      </c>
      <c r="BD31" s="24">
        <f t="shared" si="27"/>
        <v>28.44300853958303</v>
      </c>
      <c r="BE31" s="21">
        <v>4085</v>
      </c>
      <c r="BF31" s="22">
        <f t="shared" si="28"/>
        <v>131.7741935483871</v>
      </c>
      <c r="BG31" s="21">
        <v>4713</v>
      </c>
      <c r="BH31" s="22">
        <f t="shared" si="29"/>
        <v>168.32142857142858</v>
      </c>
      <c r="BI31" s="21">
        <v>3635</v>
      </c>
      <c r="BJ31" s="22">
        <f t="shared" si="30"/>
        <v>117.25806451612904</v>
      </c>
      <c r="BK31" s="21">
        <v>3630</v>
      </c>
      <c r="BL31" s="22">
        <f t="shared" si="31"/>
        <v>121</v>
      </c>
      <c r="BM31" s="21">
        <v>4298</v>
      </c>
      <c r="BN31" s="22">
        <f t="shared" si="32"/>
        <v>138.64516129032259</v>
      </c>
      <c r="BO31" s="21">
        <v>6275</v>
      </c>
      <c r="BP31" s="22">
        <f t="shared" si="33"/>
        <v>209.16666666666666</v>
      </c>
      <c r="BQ31" s="21">
        <v>3721</v>
      </c>
      <c r="BR31" s="22">
        <f t="shared" si="34"/>
        <v>120.03225806451613</v>
      </c>
      <c r="BS31" s="21">
        <v>5987</v>
      </c>
      <c r="BT31" s="22">
        <f t="shared" si="35"/>
        <v>193.12903225806451</v>
      </c>
      <c r="BU31" s="21">
        <v>4459</v>
      </c>
      <c r="BV31" s="22">
        <f t="shared" si="36"/>
        <v>148.63333333333333</v>
      </c>
      <c r="BW31" s="21">
        <v>3135</v>
      </c>
      <c r="BX31" s="22">
        <f t="shared" si="37"/>
        <v>101.12903225806451</v>
      </c>
      <c r="BY31" s="21">
        <v>5759</v>
      </c>
      <c r="BZ31" s="22">
        <f t="shared" si="38"/>
        <v>191.96666666666667</v>
      </c>
      <c r="CA31" s="21">
        <v>4319</v>
      </c>
      <c r="CB31" s="22">
        <f t="shared" si="39"/>
        <v>139.32258064516128</v>
      </c>
      <c r="CC31" s="23">
        <f t="shared" si="40"/>
        <v>55657.055837173582</v>
      </c>
      <c r="CD31" s="24">
        <f t="shared" si="41"/>
        <v>34.643717361417885</v>
      </c>
      <c r="CE31" s="21">
        <v>4333</v>
      </c>
      <c r="CF31" s="22">
        <f t="shared" si="42"/>
        <v>139.7741935483871</v>
      </c>
      <c r="CG31" s="21">
        <v>3141</v>
      </c>
      <c r="CH31" s="22">
        <f t="shared" si="43"/>
        <v>112.17857142857143</v>
      </c>
      <c r="CI31" s="21">
        <v>2202</v>
      </c>
      <c r="CJ31" s="22">
        <f t="shared" si="44"/>
        <v>71.032258064516128</v>
      </c>
      <c r="CK31" s="21">
        <v>3764</v>
      </c>
      <c r="CL31" s="22">
        <f t="shared" si="45"/>
        <v>125.46666666666667</v>
      </c>
      <c r="CM31" s="21">
        <v>4194</v>
      </c>
      <c r="CN31" s="22">
        <f t="shared" si="46"/>
        <v>135.29032258064515</v>
      </c>
      <c r="CO31" s="21">
        <v>2811</v>
      </c>
      <c r="CP31" s="22">
        <f t="shared" si="47"/>
        <v>93.7</v>
      </c>
      <c r="CQ31" s="21">
        <v>2885</v>
      </c>
      <c r="CR31" s="22">
        <f t="shared" si="48"/>
        <v>93.064516129032256</v>
      </c>
      <c r="CS31" s="21">
        <v>2142</v>
      </c>
      <c r="CT31" s="22">
        <f t="shared" si="49"/>
        <v>69.096774193548384</v>
      </c>
      <c r="CU31" s="21">
        <v>3396</v>
      </c>
      <c r="CV31" s="22">
        <f t="shared" si="50"/>
        <v>113.2</v>
      </c>
      <c r="CW31" s="21">
        <v>4314</v>
      </c>
      <c r="CX31" s="22">
        <f t="shared" si="51"/>
        <v>139.16129032258064</v>
      </c>
      <c r="CY31" s="21">
        <v>4209</v>
      </c>
      <c r="CZ31" s="22">
        <f t="shared" si="52"/>
        <v>140.30000000000001</v>
      </c>
      <c r="DA31" s="21">
        <v>3842</v>
      </c>
      <c r="DB31" s="22">
        <f t="shared" si="53"/>
        <v>123.93548387096774</v>
      </c>
      <c r="DC31" s="23">
        <f t="shared" si="54"/>
        <v>42465.264592933956</v>
      </c>
      <c r="DD31" s="24">
        <f t="shared" si="55"/>
        <v>25.89810653499465</v>
      </c>
      <c r="DE31" s="21">
        <v>5658</v>
      </c>
      <c r="DF31" s="22">
        <f t="shared" si="56"/>
        <v>182.51612903225808</v>
      </c>
      <c r="DG31" s="21">
        <v>4681</v>
      </c>
      <c r="DH31" s="22">
        <f t="shared" si="57"/>
        <v>167.17857142857142</v>
      </c>
      <c r="DI31" s="21">
        <v>5207</v>
      </c>
      <c r="DJ31" s="22">
        <f t="shared" si="58"/>
        <v>167.96774193548387</v>
      </c>
      <c r="DK31" s="21">
        <v>4246</v>
      </c>
      <c r="DL31" s="22">
        <f t="shared" si="59"/>
        <v>141.53333333333333</v>
      </c>
      <c r="DM31" s="21">
        <v>2939</v>
      </c>
      <c r="DN31" s="22">
        <f t="shared" si="60"/>
        <v>94.806451612903231</v>
      </c>
      <c r="DO31" s="21">
        <v>3208</v>
      </c>
      <c r="DP31" s="22">
        <f t="shared" si="61"/>
        <v>106.93333333333334</v>
      </c>
      <c r="DQ31" s="21">
        <v>2998</v>
      </c>
      <c r="DR31" s="22">
        <f t="shared" si="62"/>
        <v>96.709677419354833</v>
      </c>
      <c r="DS31" s="21">
        <v>5196</v>
      </c>
      <c r="DT31" s="22">
        <f t="shared" si="63"/>
        <v>167.61290322580646</v>
      </c>
      <c r="DU31" s="21">
        <v>2619</v>
      </c>
      <c r="DV31" s="22">
        <f t="shared" si="64"/>
        <v>87.3</v>
      </c>
      <c r="DW31" s="21">
        <v>4399</v>
      </c>
      <c r="DX31" s="22">
        <f t="shared" si="65"/>
        <v>141.90322580645162</v>
      </c>
      <c r="DY31" s="21">
        <v>3774</v>
      </c>
      <c r="DZ31" s="22">
        <f t="shared" si="66"/>
        <v>125.8</v>
      </c>
      <c r="EA31" s="21">
        <v>5241</v>
      </c>
      <c r="EB31" s="22">
        <f t="shared" si="67"/>
        <v>169.06451612903226</v>
      </c>
      <c r="EC31" s="23">
        <f t="shared" si="68"/>
        <v>51646.261367127503</v>
      </c>
      <c r="ED31" s="24">
        <f t="shared" si="69"/>
        <v>34.181490605218428</v>
      </c>
      <c r="EE31" s="25">
        <f t="shared" si="70"/>
        <v>2063.7442188252817</v>
      </c>
    </row>
    <row r="32" spans="1:135" ht="15" customHeight="1" x14ac:dyDescent="0.35">
      <c r="A32" s="17">
        <v>27</v>
      </c>
      <c r="B32" s="18" t="s">
        <v>88</v>
      </c>
      <c r="C32" s="19" t="s">
        <v>89</v>
      </c>
      <c r="D32" s="20" t="s">
        <v>36</v>
      </c>
      <c r="E32" s="21">
        <v>3495</v>
      </c>
      <c r="F32" s="22">
        <f t="shared" si="0"/>
        <v>112.74193548387096</v>
      </c>
      <c r="G32" s="21">
        <v>3657</v>
      </c>
      <c r="H32" s="22">
        <f t="shared" si="1"/>
        <v>130.60714285714286</v>
      </c>
      <c r="I32" s="21">
        <v>2245</v>
      </c>
      <c r="J32" s="22">
        <f t="shared" si="2"/>
        <v>72.41935483870968</v>
      </c>
      <c r="K32" s="21">
        <v>2844</v>
      </c>
      <c r="L32" s="22">
        <f t="shared" si="3"/>
        <v>94.8</v>
      </c>
      <c r="M32" s="21">
        <v>4697</v>
      </c>
      <c r="N32" s="22">
        <f t="shared" si="4"/>
        <v>151.51612903225808</v>
      </c>
      <c r="O32" s="21">
        <v>3944</v>
      </c>
      <c r="P32" s="22">
        <f t="shared" si="5"/>
        <v>131.46666666666667</v>
      </c>
      <c r="Q32" s="21">
        <v>3425</v>
      </c>
      <c r="R32" s="22">
        <f t="shared" si="6"/>
        <v>110.48387096774194</v>
      </c>
      <c r="S32" s="21">
        <v>4079</v>
      </c>
      <c r="T32" s="22">
        <f t="shared" si="7"/>
        <v>131.58064516129033</v>
      </c>
      <c r="U32" s="21">
        <v>4224</v>
      </c>
      <c r="V32" s="22">
        <f t="shared" si="8"/>
        <v>140.80000000000001</v>
      </c>
      <c r="W32" s="21">
        <v>2212</v>
      </c>
      <c r="X32" s="22">
        <f t="shared" si="9"/>
        <v>71.354838709677423</v>
      </c>
      <c r="Y32" s="21">
        <v>4624</v>
      </c>
      <c r="Z32" s="22">
        <f t="shared" si="10"/>
        <v>154.13333333333333</v>
      </c>
      <c r="AA32" s="21">
        <v>3738</v>
      </c>
      <c r="AB32" s="22">
        <f t="shared" si="11"/>
        <v>120.58064516129032</v>
      </c>
      <c r="AC32" s="23">
        <f t="shared" si="12"/>
        <v>44485.903917050695</v>
      </c>
      <c r="AD32" s="24">
        <f t="shared" si="13"/>
        <v>27.555588596579323</v>
      </c>
      <c r="AE32" s="21">
        <v>3366</v>
      </c>
      <c r="AF32" s="22">
        <f t="shared" si="14"/>
        <v>108.58064516129032</v>
      </c>
      <c r="AG32" s="21">
        <v>4011</v>
      </c>
      <c r="AH32" s="22">
        <f t="shared" si="15"/>
        <v>143.25</v>
      </c>
      <c r="AI32" s="21">
        <v>3070</v>
      </c>
      <c r="AJ32" s="22">
        <f t="shared" si="16"/>
        <v>99.032258064516128</v>
      </c>
      <c r="AK32" s="21">
        <v>4566</v>
      </c>
      <c r="AL32" s="22">
        <f t="shared" si="17"/>
        <v>152.19999999999999</v>
      </c>
      <c r="AM32" s="21">
        <v>4292</v>
      </c>
      <c r="AN32" s="22">
        <f t="shared" si="18"/>
        <v>138.45161290322579</v>
      </c>
      <c r="AO32" s="21">
        <v>3898</v>
      </c>
      <c r="AP32" s="22">
        <f t="shared" si="19"/>
        <v>129.93333333333334</v>
      </c>
      <c r="AQ32" s="21">
        <v>2614</v>
      </c>
      <c r="AR32" s="22">
        <f t="shared" si="20"/>
        <v>84.322580645161295</v>
      </c>
      <c r="AS32" s="21">
        <v>4814</v>
      </c>
      <c r="AT32" s="22">
        <f t="shared" si="21"/>
        <v>155.29032258064515</v>
      </c>
      <c r="AU32" s="21">
        <v>3317</v>
      </c>
      <c r="AV32" s="22">
        <f t="shared" si="22"/>
        <v>110.56666666666666</v>
      </c>
      <c r="AW32" s="21">
        <v>4658</v>
      </c>
      <c r="AX32" s="22">
        <f t="shared" si="23"/>
        <v>150.25806451612902</v>
      </c>
      <c r="AY32" s="21">
        <v>2259</v>
      </c>
      <c r="AZ32" s="22">
        <f t="shared" si="24"/>
        <v>75.3</v>
      </c>
      <c r="BA32" s="21">
        <v>2452</v>
      </c>
      <c r="BB32" s="22">
        <f t="shared" si="25"/>
        <v>79.096774193548384</v>
      </c>
      <c r="BC32" s="23">
        <f t="shared" si="26"/>
        <v>44664.185483870977</v>
      </c>
      <c r="BD32" s="24">
        <f t="shared" si="27"/>
        <v>29.794583664897278</v>
      </c>
      <c r="BE32" s="21">
        <v>2638</v>
      </c>
      <c r="BF32" s="22">
        <f t="shared" si="28"/>
        <v>85.096774193548384</v>
      </c>
      <c r="BG32" s="21">
        <v>2672</v>
      </c>
      <c r="BH32" s="22">
        <f t="shared" si="29"/>
        <v>95.428571428571431</v>
      </c>
      <c r="BI32" s="21">
        <v>3134</v>
      </c>
      <c r="BJ32" s="22">
        <f t="shared" si="30"/>
        <v>101.09677419354838</v>
      </c>
      <c r="BK32" s="21">
        <v>4264</v>
      </c>
      <c r="BL32" s="22">
        <f t="shared" si="31"/>
        <v>142.13333333333333</v>
      </c>
      <c r="BM32" s="21">
        <v>3202</v>
      </c>
      <c r="BN32" s="22">
        <f t="shared" si="32"/>
        <v>103.29032258064517</v>
      </c>
      <c r="BO32" s="21">
        <v>4940</v>
      </c>
      <c r="BP32" s="22">
        <f t="shared" si="33"/>
        <v>164.66666666666666</v>
      </c>
      <c r="BQ32" s="21">
        <v>4806</v>
      </c>
      <c r="BR32" s="22">
        <f t="shared" si="34"/>
        <v>155.03225806451613</v>
      </c>
      <c r="BS32" s="21">
        <v>4663</v>
      </c>
      <c r="BT32" s="22">
        <f t="shared" si="35"/>
        <v>150.41935483870967</v>
      </c>
      <c r="BU32" s="21">
        <v>2923</v>
      </c>
      <c r="BV32" s="22">
        <f t="shared" si="36"/>
        <v>97.433333333333337</v>
      </c>
      <c r="BW32" s="21">
        <v>4047</v>
      </c>
      <c r="BX32" s="22">
        <f t="shared" si="37"/>
        <v>130.54838709677421</v>
      </c>
      <c r="BY32" s="21">
        <v>3801</v>
      </c>
      <c r="BZ32" s="22">
        <f t="shared" si="38"/>
        <v>126.7</v>
      </c>
      <c r="CA32" s="21">
        <v>2557</v>
      </c>
      <c r="CB32" s="22">
        <f t="shared" si="39"/>
        <v>82.483870967741936</v>
      </c>
      <c r="CC32" s="23">
        <f t="shared" si="40"/>
        <v>44998.845775729642</v>
      </c>
      <c r="CD32" s="24">
        <f t="shared" si="41"/>
        <v>28.866968843007506</v>
      </c>
      <c r="CE32" s="21">
        <v>2803</v>
      </c>
      <c r="CF32" s="22">
        <f t="shared" si="42"/>
        <v>90.41935483870968</v>
      </c>
      <c r="CG32" s="21">
        <v>3417</v>
      </c>
      <c r="CH32" s="22">
        <f t="shared" si="43"/>
        <v>122.03571428571429</v>
      </c>
      <c r="CI32" s="21">
        <v>3335</v>
      </c>
      <c r="CJ32" s="22">
        <f t="shared" si="44"/>
        <v>107.58064516129032</v>
      </c>
      <c r="CK32" s="21">
        <v>2446</v>
      </c>
      <c r="CL32" s="22">
        <f t="shared" si="45"/>
        <v>81.533333333333331</v>
      </c>
      <c r="CM32" s="21">
        <v>4504</v>
      </c>
      <c r="CN32" s="22">
        <f t="shared" si="46"/>
        <v>145.29032258064515</v>
      </c>
      <c r="CO32" s="21">
        <v>2407</v>
      </c>
      <c r="CP32" s="22">
        <f t="shared" si="47"/>
        <v>80.233333333333334</v>
      </c>
      <c r="CQ32" s="21">
        <v>3751</v>
      </c>
      <c r="CR32" s="22">
        <f t="shared" si="48"/>
        <v>121</v>
      </c>
      <c r="CS32" s="21">
        <v>3916</v>
      </c>
      <c r="CT32" s="22">
        <f t="shared" si="49"/>
        <v>126.3225806451613</v>
      </c>
      <c r="CU32" s="21">
        <v>3608</v>
      </c>
      <c r="CV32" s="22">
        <f t="shared" si="50"/>
        <v>120.26666666666667</v>
      </c>
      <c r="CW32" s="21">
        <v>4240</v>
      </c>
      <c r="CX32" s="22">
        <f t="shared" si="51"/>
        <v>136.7741935483871</v>
      </c>
      <c r="CY32" s="21">
        <v>3497</v>
      </c>
      <c r="CZ32" s="22">
        <f t="shared" si="52"/>
        <v>116.56666666666666</v>
      </c>
      <c r="DA32" s="21">
        <v>4194</v>
      </c>
      <c r="DB32" s="22">
        <f t="shared" si="53"/>
        <v>135.29032258064515</v>
      </c>
      <c r="DC32" s="23">
        <f t="shared" si="54"/>
        <v>43366.022811059906</v>
      </c>
      <c r="DD32" s="24">
        <f t="shared" si="55"/>
        <v>21.393052740482265</v>
      </c>
      <c r="DE32" s="21">
        <v>1930</v>
      </c>
      <c r="DF32" s="22">
        <f t="shared" si="56"/>
        <v>62.258064516129032</v>
      </c>
      <c r="DG32" s="21">
        <v>1972</v>
      </c>
      <c r="DH32" s="22">
        <f t="shared" si="57"/>
        <v>70.428571428571431</v>
      </c>
      <c r="DI32" s="21">
        <v>3450</v>
      </c>
      <c r="DJ32" s="22">
        <f t="shared" si="58"/>
        <v>111.29032258064517</v>
      </c>
      <c r="DK32" s="21">
        <v>3289</v>
      </c>
      <c r="DL32" s="22">
        <f t="shared" si="59"/>
        <v>109.63333333333334</v>
      </c>
      <c r="DM32" s="21">
        <v>3474</v>
      </c>
      <c r="DN32" s="22">
        <f t="shared" si="60"/>
        <v>112.06451612903226</v>
      </c>
      <c r="DO32" s="21">
        <v>3761</v>
      </c>
      <c r="DP32" s="22">
        <f t="shared" si="61"/>
        <v>125.36666666666666</v>
      </c>
      <c r="DQ32" s="21">
        <v>2892</v>
      </c>
      <c r="DR32" s="22">
        <f t="shared" si="62"/>
        <v>93.290322580645167</v>
      </c>
      <c r="DS32" s="21">
        <v>3444</v>
      </c>
      <c r="DT32" s="22">
        <f t="shared" si="63"/>
        <v>111.09677419354838</v>
      </c>
      <c r="DU32" s="21">
        <v>3094</v>
      </c>
      <c r="DV32" s="22">
        <f t="shared" si="64"/>
        <v>103.13333333333334</v>
      </c>
      <c r="DW32" s="21">
        <v>3414</v>
      </c>
      <c r="DX32" s="22">
        <f t="shared" si="65"/>
        <v>110.12903225806451</v>
      </c>
      <c r="DY32" s="21">
        <v>2578</v>
      </c>
      <c r="DZ32" s="22">
        <f t="shared" si="66"/>
        <v>85.933333333333337</v>
      </c>
      <c r="EA32" s="21">
        <v>4231</v>
      </c>
      <c r="EB32" s="22">
        <f t="shared" si="67"/>
        <v>136.48387096774192</v>
      </c>
      <c r="EC32" s="23">
        <f t="shared" si="68"/>
        <v>38623.624270353306</v>
      </c>
      <c r="ED32" s="24">
        <f t="shared" si="69"/>
        <v>21.399001800884633</v>
      </c>
      <c r="EE32" s="25">
        <f t="shared" si="70"/>
        <v>1809.3898893991957</v>
      </c>
    </row>
    <row r="33" spans="1:135" ht="15" customHeight="1" x14ac:dyDescent="0.35">
      <c r="A33" s="17">
        <v>28</v>
      </c>
      <c r="B33" s="18" t="s">
        <v>90</v>
      </c>
      <c r="C33" s="19" t="s">
        <v>91</v>
      </c>
      <c r="D33" s="20" t="s">
        <v>36</v>
      </c>
      <c r="E33" s="21">
        <v>1542</v>
      </c>
      <c r="F33" s="22">
        <f t="shared" si="0"/>
        <v>49.741935483870968</v>
      </c>
      <c r="G33" s="21">
        <v>1945</v>
      </c>
      <c r="H33" s="22">
        <f t="shared" si="1"/>
        <v>69.464285714285708</v>
      </c>
      <c r="I33" s="21">
        <v>1795</v>
      </c>
      <c r="J33" s="22">
        <f t="shared" si="2"/>
        <v>57.903225806451616</v>
      </c>
      <c r="K33" s="21">
        <v>1310</v>
      </c>
      <c r="L33" s="22">
        <f t="shared" si="3"/>
        <v>43.666666666666664</v>
      </c>
      <c r="M33" s="21">
        <v>1029</v>
      </c>
      <c r="N33" s="22">
        <f t="shared" si="4"/>
        <v>33.193548387096776</v>
      </c>
      <c r="O33" s="21">
        <v>1013</v>
      </c>
      <c r="P33" s="22">
        <f t="shared" si="5"/>
        <v>33.766666666666666</v>
      </c>
      <c r="Q33" s="21">
        <v>1488</v>
      </c>
      <c r="R33" s="22">
        <f t="shared" si="6"/>
        <v>48</v>
      </c>
      <c r="S33" s="21">
        <v>1544</v>
      </c>
      <c r="T33" s="22">
        <f t="shared" si="7"/>
        <v>49.806451612903224</v>
      </c>
      <c r="U33" s="21">
        <v>1193</v>
      </c>
      <c r="V33" s="22">
        <f t="shared" si="8"/>
        <v>39.766666666666666</v>
      </c>
      <c r="W33" s="21">
        <v>1697</v>
      </c>
      <c r="X33" s="22">
        <f t="shared" si="9"/>
        <v>54.741935483870968</v>
      </c>
      <c r="Y33" s="21">
        <v>1329</v>
      </c>
      <c r="Z33" s="22">
        <f t="shared" si="10"/>
        <v>44.3</v>
      </c>
      <c r="AA33" s="21">
        <v>1837</v>
      </c>
      <c r="AB33" s="22">
        <f t="shared" si="11"/>
        <v>59.258064516129032</v>
      </c>
      <c r="AC33" s="23">
        <f t="shared" si="12"/>
        <v>18246.351382488479</v>
      </c>
      <c r="AD33" s="24">
        <f t="shared" si="13"/>
        <v>10.67935048968992</v>
      </c>
      <c r="AE33" s="21">
        <v>1966</v>
      </c>
      <c r="AF33" s="22">
        <f t="shared" si="14"/>
        <v>63.41935483870968</v>
      </c>
      <c r="AG33" s="21">
        <v>2134</v>
      </c>
      <c r="AH33" s="22">
        <f t="shared" si="15"/>
        <v>76.214285714285708</v>
      </c>
      <c r="AI33" s="21">
        <v>2285</v>
      </c>
      <c r="AJ33" s="22">
        <f t="shared" si="16"/>
        <v>73.709677419354833</v>
      </c>
      <c r="AK33" s="21">
        <v>1167</v>
      </c>
      <c r="AL33" s="22">
        <f t="shared" si="17"/>
        <v>38.9</v>
      </c>
      <c r="AM33" s="21">
        <v>1484</v>
      </c>
      <c r="AN33" s="22">
        <f t="shared" si="18"/>
        <v>47.87096774193548</v>
      </c>
      <c r="AO33" s="21">
        <v>1737</v>
      </c>
      <c r="AP33" s="22">
        <f t="shared" si="19"/>
        <v>57.9</v>
      </c>
      <c r="AQ33" s="21">
        <v>1416</v>
      </c>
      <c r="AR33" s="22">
        <f t="shared" si="20"/>
        <v>45.677419354838712</v>
      </c>
      <c r="AS33" s="21">
        <v>1611</v>
      </c>
      <c r="AT33" s="22">
        <f t="shared" si="21"/>
        <v>51.967741935483872</v>
      </c>
      <c r="AU33" s="21">
        <v>1348</v>
      </c>
      <c r="AV33" s="22">
        <f t="shared" si="22"/>
        <v>44.93333333333333</v>
      </c>
      <c r="AW33" s="21">
        <v>1322</v>
      </c>
      <c r="AX33" s="22">
        <f t="shared" si="23"/>
        <v>42.645161290322584</v>
      </c>
      <c r="AY33" s="21">
        <v>1122</v>
      </c>
      <c r="AZ33" s="22">
        <f t="shared" si="24"/>
        <v>37.4</v>
      </c>
      <c r="BA33" s="21">
        <v>1378</v>
      </c>
      <c r="BB33" s="22">
        <f t="shared" si="25"/>
        <v>44.451612903225808</v>
      </c>
      <c r="BC33" s="23">
        <f t="shared" si="26"/>
        <v>19550.637941628262</v>
      </c>
      <c r="BD33" s="24">
        <f t="shared" si="27"/>
        <v>12.999924372593986</v>
      </c>
      <c r="BE33" s="21">
        <v>1379</v>
      </c>
      <c r="BF33" s="22">
        <f t="shared" si="28"/>
        <v>44.483870967741936</v>
      </c>
      <c r="BG33" s="21">
        <v>1660</v>
      </c>
      <c r="BH33" s="22">
        <f t="shared" si="29"/>
        <v>59.285714285714285</v>
      </c>
      <c r="BI33" s="21">
        <v>1214</v>
      </c>
      <c r="BJ33" s="22">
        <f t="shared" si="30"/>
        <v>39.161290322580648</v>
      </c>
      <c r="BK33" s="21">
        <v>1964</v>
      </c>
      <c r="BL33" s="22">
        <f t="shared" si="31"/>
        <v>65.466666666666669</v>
      </c>
      <c r="BM33" s="21">
        <v>1106</v>
      </c>
      <c r="BN33" s="22">
        <f t="shared" si="32"/>
        <v>35.677419354838712</v>
      </c>
      <c r="BO33" s="21">
        <v>1310</v>
      </c>
      <c r="BP33" s="22">
        <f t="shared" si="33"/>
        <v>43.666666666666664</v>
      </c>
      <c r="BQ33" s="21">
        <v>1615</v>
      </c>
      <c r="BR33" s="22">
        <f t="shared" si="34"/>
        <v>52.096774193548384</v>
      </c>
      <c r="BS33" s="21">
        <v>1292</v>
      </c>
      <c r="BT33" s="22">
        <f t="shared" si="35"/>
        <v>41.677419354838712</v>
      </c>
      <c r="BU33" s="21">
        <v>1840</v>
      </c>
      <c r="BV33" s="22">
        <f t="shared" si="36"/>
        <v>61.333333333333336</v>
      </c>
      <c r="BW33" s="21">
        <v>1518</v>
      </c>
      <c r="BX33" s="22">
        <f t="shared" si="37"/>
        <v>48.967741935483872</v>
      </c>
      <c r="BY33" s="21">
        <v>1538</v>
      </c>
      <c r="BZ33" s="22">
        <f t="shared" si="38"/>
        <v>51.266666666666666</v>
      </c>
      <c r="CA33" s="21">
        <v>1519</v>
      </c>
      <c r="CB33" s="22">
        <f t="shared" si="39"/>
        <v>49</v>
      </c>
      <c r="CC33" s="23">
        <f t="shared" si="40"/>
        <v>18498.083563748081</v>
      </c>
      <c r="CD33" s="24">
        <f t="shared" si="41"/>
        <v>9.141060020576278</v>
      </c>
      <c r="CE33" s="21">
        <v>1497</v>
      </c>
      <c r="CF33" s="22">
        <f t="shared" si="42"/>
        <v>48.29032258064516</v>
      </c>
      <c r="CG33" s="21">
        <v>1094</v>
      </c>
      <c r="CH33" s="22">
        <f t="shared" si="43"/>
        <v>39.071428571428569</v>
      </c>
      <c r="CI33" s="21">
        <v>2398</v>
      </c>
      <c r="CJ33" s="22">
        <f t="shared" si="44"/>
        <v>77.354838709677423</v>
      </c>
      <c r="CK33" s="21">
        <v>1776</v>
      </c>
      <c r="CL33" s="22">
        <f t="shared" si="45"/>
        <v>59.2</v>
      </c>
      <c r="CM33" s="21">
        <v>2428</v>
      </c>
      <c r="CN33" s="22">
        <f t="shared" si="46"/>
        <v>78.322580645161295</v>
      </c>
      <c r="CO33" s="21">
        <v>1365</v>
      </c>
      <c r="CP33" s="22">
        <f t="shared" si="47"/>
        <v>45.5</v>
      </c>
      <c r="CQ33" s="21">
        <v>1560</v>
      </c>
      <c r="CR33" s="22">
        <f t="shared" si="48"/>
        <v>50.322580645161288</v>
      </c>
      <c r="CS33" s="21">
        <v>1132</v>
      </c>
      <c r="CT33" s="22">
        <f t="shared" si="49"/>
        <v>36.516129032258064</v>
      </c>
      <c r="CU33" s="21">
        <v>1761</v>
      </c>
      <c r="CV33" s="22">
        <f t="shared" si="50"/>
        <v>58.7</v>
      </c>
      <c r="CW33" s="21">
        <v>2309</v>
      </c>
      <c r="CX33" s="22">
        <f t="shared" si="51"/>
        <v>74.483870967741936</v>
      </c>
      <c r="CY33" s="21">
        <v>1986</v>
      </c>
      <c r="CZ33" s="22">
        <f t="shared" si="52"/>
        <v>66.2</v>
      </c>
      <c r="DA33" s="21">
        <v>1726</v>
      </c>
      <c r="DB33" s="22">
        <f t="shared" si="53"/>
        <v>55.677419354838712</v>
      </c>
      <c r="DC33" s="23">
        <f t="shared" si="54"/>
        <v>21665.961751152074</v>
      </c>
      <c r="DD33" s="24">
        <f t="shared" si="55"/>
        <v>14.33319700680353</v>
      </c>
      <c r="DE33" s="21">
        <v>1379</v>
      </c>
      <c r="DF33" s="22">
        <f t="shared" si="56"/>
        <v>44.483870967741936</v>
      </c>
      <c r="DG33" s="21">
        <v>1711</v>
      </c>
      <c r="DH33" s="22">
        <f t="shared" si="57"/>
        <v>61.107142857142854</v>
      </c>
      <c r="DI33" s="21">
        <v>1265</v>
      </c>
      <c r="DJ33" s="22">
        <f t="shared" si="58"/>
        <v>40.806451612903224</v>
      </c>
      <c r="DK33" s="21">
        <v>1749</v>
      </c>
      <c r="DL33" s="22">
        <f t="shared" si="59"/>
        <v>58.3</v>
      </c>
      <c r="DM33" s="21">
        <v>1583</v>
      </c>
      <c r="DN33" s="22">
        <f t="shared" si="60"/>
        <v>51.064516129032256</v>
      </c>
      <c r="DO33" s="21">
        <v>1622</v>
      </c>
      <c r="DP33" s="22">
        <f t="shared" si="61"/>
        <v>54.06666666666667</v>
      </c>
      <c r="DQ33" s="21">
        <v>1196</v>
      </c>
      <c r="DR33" s="22">
        <f t="shared" si="62"/>
        <v>38.58064516129032</v>
      </c>
      <c r="DS33" s="21">
        <v>1233</v>
      </c>
      <c r="DT33" s="22">
        <f t="shared" si="63"/>
        <v>39.774193548387096</v>
      </c>
      <c r="DU33" s="21">
        <v>1415</v>
      </c>
      <c r="DV33" s="22">
        <f t="shared" si="64"/>
        <v>47.166666666666664</v>
      </c>
      <c r="DW33" s="21">
        <v>1012</v>
      </c>
      <c r="DX33" s="22">
        <f t="shared" si="65"/>
        <v>32.645161290322584</v>
      </c>
      <c r="DY33" s="21">
        <v>1396</v>
      </c>
      <c r="DZ33" s="22">
        <f t="shared" si="66"/>
        <v>46.533333333333331</v>
      </c>
      <c r="EA33" s="21">
        <v>882</v>
      </c>
      <c r="EB33" s="22">
        <f t="shared" si="67"/>
        <v>28.451612903225808</v>
      </c>
      <c r="EC33" s="23">
        <f t="shared" si="68"/>
        <v>16957.528648233485</v>
      </c>
      <c r="ED33" s="24">
        <f t="shared" si="69"/>
        <v>9.8833137881134743</v>
      </c>
      <c r="EE33" s="25">
        <f t="shared" si="70"/>
        <v>785.28749485219089</v>
      </c>
    </row>
    <row r="34" spans="1:135" ht="15" customHeight="1" x14ac:dyDescent="0.35">
      <c r="A34" s="17">
        <v>29</v>
      </c>
      <c r="B34" s="18" t="s">
        <v>92</v>
      </c>
      <c r="C34" s="19" t="s">
        <v>93</v>
      </c>
      <c r="D34" s="20" t="s">
        <v>36</v>
      </c>
      <c r="E34" s="21">
        <v>1203</v>
      </c>
      <c r="F34" s="22">
        <f t="shared" si="0"/>
        <v>38.806451612903224</v>
      </c>
      <c r="G34" s="21">
        <v>1453</v>
      </c>
      <c r="H34" s="22">
        <f t="shared" si="1"/>
        <v>51.892857142857146</v>
      </c>
      <c r="I34" s="21">
        <v>988</v>
      </c>
      <c r="J34" s="22">
        <f t="shared" si="2"/>
        <v>31.870967741935484</v>
      </c>
      <c r="K34" s="21">
        <v>1668</v>
      </c>
      <c r="L34" s="22">
        <f t="shared" si="3"/>
        <v>55.6</v>
      </c>
      <c r="M34" s="21">
        <v>1372</v>
      </c>
      <c r="N34" s="22">
        <f t="shared" si="4"/>
        <v>44.258064516129032</v>
      </c>
      <c r="O34" s="21">
        <v>833</v>
      </c>
      <c r="P34" s="22">
        <f t="shared" si="5"/>
        <v>27.766666666666666</v>
      </c>
      <c r="Q34" s="21">
        <v>1655</v>
      </c>
      <c r="R34" s="22">
        <f t="shared" si="6"/>
        <v>53.387096774193552</v>
      </c>
      <c r="S34" s="21">
        <v>1097</v>
      </c>
      <c r="T34" s="22">
        <f t="shared" si="7"/>
        <v>35.387096774193552</v>
      </c>
      <c r="U34" s="21">
        <v>1482</v>
      </c>
      <c r="V34" s="22">
        <f t="shared" si="8"/>
        <v>49.4</v>
      </c>
      <c r="W34" s="21">
        <v>1045</v>
      </c>
      <c r="X34" s="22">
        <f t="shared" si="9"/>
        <v>33.70967741935484</v>
      </c>
      <c r="Y34" s="21">
        <v>1620</v>
      </c>
      <c r="Z34" s="22">
        <f t="shared" si="10"/>
        <v>54</v>
      </c>
      <c r="AA34" s="21">
        <v>1444</v>
      </c>
      <c r="AB34" s="22">
        <f t="shared" si="11"/>
        <v>46.58064516129032</v>
      </c>
      <c r="AC34" s="23">
        <f t="shared" si="12"/>
        <v>16336.078878648232</v>
      </c>
      <c r="AD34" s="24">
        <f t="shared" si="13"/>
        <v>9.7055031386061081</v>
      </c>
      <c r="AE34" s="21">
        <v>1055</v>
      </c>
      <c r="AF34" s="22">
        <f t="shared" si="14"/>
        <v>34.032258064516128</v>
      </c>
      <c r="AG34" s="21">
        <v>1400</v>
      </c>
      <c r="AH34" s="22">
        <f t="shared" si="15"/>
        <v>50</v>
      </c>
      <c r="AI34" s="21">
        <v>1390</v>
      </c>
      <c r="AJ34" s="22">
        <f t="shared" si="16"/>
        <v>44.838709677419352</v>
      </c>
      <c r="AK34" s="21">
        <v>884</v>
      </c>
      <c r="AL34" s="22">
        <f t="shared" si="17"/>
        <v>29.466666666666665</v>
      </c>
      <c r="AM34" s="21">
        <v>986</v>
      </c>
      <c r="AN34" s="22">
        <f t="shared" si="18"/>
        <v>31.806451612903224</v>
      </c>
      <c r="AO34" s="21">
        <v>1204</v>
      </c>
      <c r="AP34" s="22">
        <f t="shared" si="19"/>
        <v>40.133333333333333</v>
      </c>
      <c r="AQ34" s="21">
        <v>1361</v>
      </c>
      <c r="AR34" s="22">
        <f t="shared" si="20"/>
        <v>43.903225806451616</v>
      </c>
      <c r="AS34" s="21">
        <v>1342</v>
      </c>
      <c r="AT34" s="22">
        <f t="shared" si="21"/>
        <v>43.29032258064516</v>
      </c>
      <c r="AU34" s="21">
        <v>1508</v>
      </c>
      <c r="AV34" s="22">
        <f t="shared" si="22"/>
        <v>50.266666666666666</v>
      </c>
      <c r="AW34" s="21">
        <v>1407</v>
      </c>
      <c r="AX34" s="22">
        <f t="shared" si="23"/>
        <v>45.387096774193552</v>
      </c>
      <c r="AY34" s="21">
        <v>1199</v>
      </c>
      <c r="AZ34" s="22">
        <f t="shared" si="24"/>
        <v>39.966666666666669</v>
      </c>
      <c r="BA34" s="21">
        <v>1516</v>
      </c>
      <c r="BB34" s="22">
        <f t="shared" si="25"/>
        <v>48.903225806451616</v>
      </c>
      <c r="BC34" s="23">
        <f t="shared" si="26"/>
        <v>15705.091397849463</v>
      </c>
      <c r="BD34" s="24">
        <f t="shared" si="27"/>
        <v>6.9842143313112501</v>
      </c>
      <c r="BE34" s="21">
        <v>828</v>
      </c>
      <c r="BF34" s="22">
        <f t="shared" si="28"/>
        <v>26.70967741935484</v>
      </c>
      <c r="BG34" s="21">
        <v>1579</v>
      </c>
      <c r="BH34" s="22">
        <f t="shared" si="29"/>
        <v>56.392857142857146</v>
      </c>
      <c r="BI34" s="21">
        <v>1351</v>
      </c>
      <c r="BJ34" s="22">
        <f t="shared" si="30"/>
        <v>43.58064516129032</v>
      </c>
      <c r="BK34" s="21">
        <v>952</v>
      </c>
      <c r="BL34" s="22">
        <f t="shared" si="31"/>
        <v>31.733333333333334</v>
      </c>
      <c r="BM34" s="21">
        <v>985</v>
      </c>
      <c r="BN34" s="22">
        <f t="shared" si="32"/>
        <v>31.774193548387096</v>
      </c>
      <c r="BO34" s="21">
        <v>1432</v>
      </c>
      <c r="BP34" s="22">
        <f t="shared" si="33"/>
        <v>47.733333333333334</v>
      </c>
      <c r="BQ34" s="21">
        <v>1163</v>
      </c>
      <c r="BR34" s="22">
        <f t="shared" si="34"/>
        <v>37.516129032258064</v>
      </c>
      <c r="BS34" s="21">
        <v>1323</v>
      </c>
      <c r="BT34" s="22">
        <f t="shared" si="35"/>
        <v>42.677419354838712</v>
      </c>
      <c r="BU34" s="21">
        <v>952</v>
      </c>
      <c r="BV34" s="22">
        <f t="shared" si="36"/>
        <v>31.733333333333334</v>
      </c>
      <c r="BW34" s="21">
        <v>1420</v>
      </c>
      <c r="BX34" s="22">
        <f t="shared" si="37"/>
        <v>45.806451612903224</v>
      </c>
      <c r="BY34" s="21">
        <v>1015</v>
      </c>
      <c r="BZ34" s="22">
        <f t="shared" si="38"/>
        <v>33.833333333333336</v>
      </c>
      <c r="CA34" s="21">
        <v>1292</v>
      </c>
      <c r="CB34" s="22">
        <f t="shared" si="39"/>
        <v>41.677419354838712</v>
      </c>
      <c r="CC34" s="23">
        <f t="shared" si="40"/>
        <v>14721.490706605224</v>
      </c>
      <c r="CD34" s="24">
        <f t="shared" si="41"/>
        <v>8.54782145427016</v>
      </c>
      <c r="CE34" s="21">
        <v>1722</v>
      </c>
      <c r="CF34" s="22">
        <f t="shared" si="42"/>
        <v>55.548387096774192</v>
      </c>
      <c r="CG34" s="21">
        <v>1328</v>
      </c>
      <c r="CH34" s="22">
        <f t="shared" si="43"/>
        <v>47.428571428571431</v>
      </c>
      <c r="CI34" s="21">
        <v>1540</v>
      </c>
      <c r="CJ34" s="22">
        <f t="shared" si="44"/>
        <v>49.677419354838712</v>
      </c>
      <c r="CK34" s="21">
        <v>1469</v>
      </c>
      <c r="CL34" s="22">
        <f t="shared" si="45"/>
        <v>48.966666666666669</v>
      </c>
      <c r="CM34" s="21">
        <v>1432</v>
      </c>
      <c r="CN34" s="22">
        <f t="shared" si="46"/>
        <v>46.193548387096776</v>
      </c>
      <c r="CO34" s="21">
        <v>773</v>
      </c>
      <c r="CP34" s="22">
        <f t="shared" si="47"/>
        <v>25.766666666666666</v>
      </c>
      <c r="CQ34" s="21">
        <v>1219</v>
      </c>
      <c r="CR34" s="22">
        <f t="shared" si="48"/>
        <v>39.322580645161288</v>
      </c>
      <c r="CS34" s="21">
        <v>1709</v>
      </c>
      <c r="CT34" s="22">
        <f t="shared" si="49"/>
        <v>55.12903225806452</v>
      </c>
      <c r="CU34" s="21">
        <v>1526</v>
      </c>
      <c r="CV34" s="22">
        <f t="shared" si="50"/>
        <v>50.866666666666667</v>
      </c>
      <c r="CW34" s="21">
        <v>1519</v>
      </c>
      <c r="CX34" s="22">
        <f t="shared" si="51"/>
        <v>49</v>
      </c>
      <c r="CY34" s="21">
        <v>1322</v>
      </c>
      <c r="CZ34" s="22">
        <f t="shared" si="52"/>
        <v>44.06666666666667</v>
      </c>
      <c r="DA34" s="21">
        <v>1465</v>
      </c>
      <c r="DB34" s="22">
        <f t="shared" si="53"/>
        <v>47.258064516129032</v>
      </c>
      <c r="DC34" s="23">
        <f t="shared" si="54"/>
        <v>17535.966205837176</v>
      </c>
      <c r="DD34" s="24">
        <f t="shared" si="55"/>
        <v>7.9002025848674693</v>
      </c>
      <c r="DE34" s="21">
        <v>1447</v>
      </c>
      <c r="DF34" s="22">
        <f t="shared" si="56"/>
        <v>46.677419354838712</v>
      </c>
      <c r="DG34" s="21">
        <v>999</v>
      </c>
      <c r="DH34" s="22">
        <f t="shared" si="57"/>
        <v>35.678571428571431</v>
      </c>
      <c r="DI34" s="21">
        <v>1496</v>
      </c>
      <c r="DJ34" s="22">
        <f t="shared" si="58"/>
        <v>48.258064516129032</v>
      </c>
      <c r="DK34" s="21">
        <v>1486</v>
      </c>
      <c r="DL34" s="22">
        <f t="shared" si="59"/>
        <v>49.533333333333331</v>
      </c>
      <c r="DM34" s="21">
        <v>1727</v>
      </c>
      <c r="DN34" s="22">
        <f t="shared" si="60"/>
        <v>55.70967741935484</v>
      </c>
      <c r="DO34" s="21">
        <v>974</v>
      </c>
      <c r="DP34" s="22">
        <f t="shared" si="61"/>
        <v>32.466666666666669</v>
      </c>
      <c r="DQ34" s="21">
        <v>1553</v>
      </c>
      <c r="DR34" s="22">
        <f t="shared" si="62"/>
        <v>50.096774193548384</v>
      </c>
      <c r="DS34" s="21">
        <v>848</v>
      </c>
      <c r="DT34" s="22">
        <f t="shared" si="63"/>
        <v>27.35483870967742</v>
      </c>
      <c r="DU34" s="21">
        <v>1843</v>
      </c>
      <c r="DV34" s="22">
        <f t="shared" si="64"/>
        <v>61.43333333333333</v>
      </c>
      <c r="DW34" s="21">
        <v>933</v>
      </c>
      <c r="DX34" s="22">
        <f t="shared" si="65"/>
        <v>30.096774193548388</v>
      </c>
      <c r="DY34" s="21">
        <v>834</v>
      </c>
      <c r="DZ34" s="22">
        <f t="shared" si="66"/>
        <v>27.8</v>
      </c>
      <c r="EA34" s="21">
        <v>1154</v>
      </c>
      <c r="EB34" s="22">
        <f t="shared" si="67"/>
        <v>37.225806451612904</v>
      </c>
      <c r="EC34" s="23">
        <f t="shared" si="68"/>
        <v>15759.105453149004</v>
      </c>
      <c r="ED34" s="24">
        <f t="shared" si="69"/>
        <v>11.521416775870804</v>
      </c>
      <c r="EE34" s="25">
        <f t="shared" si="70"/>
        <v>657.20575309267599</v>
      </c>
    </row>
    <row r="35" spans="1:135" ht="15" customHeight="1" x14ac:dyDescent="0.35">
      <c r="A35" s="17">
        <v>30</v>
      </c>
      <c r="B35" s="18" t="s">
        <v>94</v>
      </c>
      <c r="C35" s="19" t="s">
        <v>95</v>
      </c>
      <c r="D35" s="20" t="s">
        <v>36</v>
      </c>
      <c r="E35" s="21">
        <v>732</v>
      </c>
      <c r="F35" s="22">
        <f t="shared" si="0"/>
        <v>23.612903225806452</v>
      </c>
      <c r="G35" s="21">
        <v>1170</v>
      </c>
      <c r="H35" s="22">
        <f t="shared" si="1"/>
        <v>41.785714285714285</v>
      </c>
      <c r="I35" s="21">
        <v>943</v>
      </c>
      <c r="J35" s="22">
        <f t="shared" si="2"/>
        <v>30.419354838709676</v>
      </c>
      <c r="K35" s="21">
        <v>1239</v>
      </c>
      <c r="L35" s="22">
        <f t="shared" si="3"/>
        <v>41.3</v>
      </c>
      <c r="M35" s="21">
        <v>1357</v>
      </c>
      <c r="N35" s="22">
        <f t="shared" si="4"/>
        <v>43.774193548387096</v>
      </c>
      <c r="O35" s="21">
        <v>1318</v>
      </c>
      <c r="P35" s="22">
        <f t="shared" si="5"/>
        <v>43.93333333333333</v>
      </c>
      <c r="Q35" s="21">
        <v>1207</v>
      </c>
      <c r="R35" s="22">
        <f t="shared" si="6"/>
        <v>38.935483870967744</v>
      </c>
      <c r="S35" s="21">
        <v>660</v>
      </c>
      <c r="T35" s="22">
        <f t="shared" si="7"/>
        <v>21.29032258064516</v>
      </c>
      <c r="U35" s="21">
        <v>721</v>
      </c>
      <c r="V35" s="22">
        <f t="shared" si="8"/>
        <v>24.033333333333335</v>
      </c>
      <c r="W35" s="21">
        <v>778</v>
      </c>
      <c r="X35" s="22">
        <f t="shared" si="9"/>
        <v>25.096774193548388</v>
      </c>
      <c r="Y35" s="21">
        <v>873</v>
      </c>
      <c r="Z35" s="22">
        <f t="shared" si="10"/>
        <v>29.1</v>
      </c>
      <c r="AA35" s="21">
        <v>1147</v>
      </c>
      <c r="AB35" s="22">
        <f t="shared" si="11"/>
        <v>37</v>
      </c>
      <c r="AC35" s="23">
        <f t="shared" si="12"/>
        <v>12508.281413210447</v>
      </c>
      <c r="AD35" s="24">
        <f t="shared" si="13"/>
        <v>8.6411708850947786</v>
      </c>
      <c r="AE35" s="21">
        <v>1306</v>
      </c>
      <c r="AF35" s="22">
        <f t="shared" si="14"/>
        <v>42.12903225806452</v>
      </c>
      <c r="AG35" s="21">
        <v>1089</v>
      </c>
      <c r="AH35" s="22">
        <f t="shared" si="15"/>
        <v>38.892857142857146</v>
      </c>
      <c r="AI35" s="21">
        <v>946</v>
      </c>
      <c r="AJ35" s="22">
        <f t="shared" si="16"/>
        <v>30.516129032258064</v>
      </c>
      <c r="AK35" s="21">
        <v>1702</v>
      </c>
      <c r="AL35" s="22">
        <f t="shared" si="17"/>
        <v>56.733333333333334</v>
      </c>
      <c r="AM35" s="21">
        <v>1119</v>
      </c>
      <c r="AN35" s="22">
        <f t="shared" si="18"/>
        <v>36.096774193548384</v>
      </c>
      <c r="AO35" s="21">
        <v>1131</v>
      </c>
      <c r="AP35" s="22">
        <f t="shared" si="19"/>
        <v>37.700000000000003</v>
      </c>
      <c r="AQ35" s="21">
        <v>1559</v>
      </c>
      <c r="AR35" s="22">
        <f t="shared" si="20"/>
        <v>50.29032258064516</v>
      </c>
      <c r="AS35" s="21">
        <v>1507</v>
      </c>
      <c r="AT35" s="22">
        <f t="shared" si="21"/>
        <v>48.612903225806448</v>
      </c>
      <c r="AU35" s="21">
        <v>1427</v>
      </c>
      <c r="AV35" s="22">
        <f t="shared" si="22"/>
        <v>47.56666666666667</v>
      </c>
      <c r="AW35" s="21">
        <v>1478</v>
      </c>
      <c r="AX35" s="22">
        <f t="shared" si="23"/>
        <v>47.677419354838712</v>
      </c>
      <c r="AY35" s="21">
        <v>1393</v>
      </c>
      <c r="AZ35" s="22">
        <f t="shared" si="24"/>
        <v>46.43333333333333</v>
      </c>
      <c r="BA35" s="21">
        <v>965</v>
      </c>
      <c r="BB35" s="22">
        <f t="shared" si="25"/>
        <v>31.129032258064516</v>
      </c>
      <c r="BC35" s="23">
        <f t="shared" si="26"/>
        <v>16104.648771121352</v>
      </c>
      <c r="BD35" s="24">
        <f t="shared" si="27"/>
        <v>8.0763714543145806</v>
      </c>
      <c r="BE35" s="21">
        <v>958</v>
      </c>
      <c r="BF35" s="22">
        <f t="shared" si="28"/>
        <v>30.903225806451612</v>
      </c>
      <c r="BG35" s="21">
        <v>1258</v>
      </c>
      <c r="BH35" s="22">
        <f t="shared" si="29"/>
        <v>44.928571428571431</v>
      </c>
      <c r="BI35" s="21">
        <v>938</v>
      </c>
      <c r="BJ35" s="22">
        <f t="shared" si="30"/>
        <v>30.258064516129032</v>
      </c>
      <c r="BK35" s="21">
        <v>1657</v>
      </c>
      <c r="BL35" s="22">
        <f t="shared" si="31"/>
        <v>55.233333333333334</v>
      </c>
      <c r="BM35" s="21">
        <v>1008</v>
      </c>
      <c r="BN35" s="22">
        <f t="shared" si="32"/>
        <v>32.516129032258064</v>
      </c>
      <c r="BO35" s="21">
        <v>999</v>
      </c>
      <c r="BP35" s="22">
        <f t="shared" si="33"/>
        <v>33.299999999999997</v>
      </c>
      <c r="BQ35" s="21">
        <v>921</v>
      </c>
      <c r="BR35" s="22">
        <f t="shared" si="34"/>
        <v>29.70967741935484</v>
      </c>
      <c r="BS35" s="21">
        <v>1399</v>
      </c>
      <c r="BT35" s="22">
        <f t="shared" si="35"/>
        <v>45.12903225806452</v>
      </c>
      <c r="BU35" s="21">
        <v>1026</v>
      </c>
      <c r="BV35" s="22">
        <f t="shared" si="36"/>
        <v>34.200000000000003</v>
      </c>
      <c r="BW35" s="21">
        <v>1057</v>
      </c>
      <c r="BX35" s="22">
        <f t="shared" si="37"/>
        <v>34.096774193548384</v>
      </c>
      <c r="BY35" s="21">
        <v>1619</v>
      </c>
      <c r="BZ35" s="22">
        <f t="shared" si="38"/>
        <v>53.966666666666669</v>
      </c>
      <c r="CA35" s="21">
        <v>1486</v>
      </c>
      <c r="CB35" s="22">
        <f t="shared" si="39"/>
        <v>47.935483870967744</v>
      </c>
      <c r="CC35" s="23">
        <f t="shared" si="40"/>
        <v>14750.24147465438</v>
      </c>
      <c r="CD35" s="24">
        <f t="shared" si="41"/>
        <v>9.4797663121260065</v>
      </c>
      <c r="CE35" s="21">
        <v>907</v>
      </c>
      <c r="CF35" s="22">
        <f t="shared" si="42"/>
        <v>29.258064516129032</v>
      </c>
      <c r="CG35" s="21">
        <v>773</v>
      </c>
      <c r="CH35" s="22">
        <f t="shared" si="43"/>
        <v>27.607142857142858</v>
      </c>
      <c r="CI35" s="21">
        <v>1265</v>
      </c>
      <c r="CJ35" s="22">
        <f t="shared" si="44"/>
        <v>40.806451612903224</v>
      </c>
      <c r="CK35" s="21">
        <v>1001</v>
      </c>
      <c r="CL35" s="22">
        <f t="shared" si="45"/>
        <v>33.366666666666667</v>
      </c>
      <c r="CM35" s="21">
        <v>1534</v>
      </c>
      <c r="CN35" s="22">
        <f t="shared" si="46"/>
        <v>49.483870967741936</v>
      </c>
      <c r="CO35" s="21">
        <v>1390</v>
      </c>
      <c r="CP35" s="22">
        <f t="shared" si="47"/>
        <v>46.333333333333336</v>
      </c>
      <c r="CQ35" s="21">
        <v>1511</v>
      </c>
      <c r="CR35" s="22">
        <f t="shared" si="48"/>
        <v>48.741935483870968</v>
      </c>
      <c r="CS35" s="21">
        <v>1378</v>
      </c>
      <c r="CT35" s="22">
        <f t="shared" si="49"/>
        <v>44.451612903225808</v>
      </c>
      <c r="CU35" s="21">
        <v>922</v>
      </c>
      <c r="CV35" s="22">
        <f t="shared" si="50"/>
        <v>30.733333333333334</v>
      </c>
      <c r="CW35" s="21">
        <v>920</v>
      </c>
      <c r="CX35" s="22">
        <f t="shared" si="51"/>
        <v>29.677419354838708</v>
      </c>
      <c r="CY35" s="21">
        <v>1298</v>
      </c>
      <c r="CZ35" s="22">
        <f t="shared" si="52"/>
        <v>43.266666666666666</v>
      </c>
      <c r="DA35" s="21">
        <v>972</v>
      </c>
      <c r="DB35" s="22">
        <f t="shared" si="53"/>
        <v>31.35483870967742</v>
      </c>
      <c r="DC35" s="23">
        <f t="shared" si="54"/>
        <v>14294.726497695852</v>
      </c>
      <c r="DD35" s="24">
        <f t="shared" si="55"/>
        <v>8.3448868323686636</v>
      </c>
      <c r="DE35" s="21">
        <v>1257</v>
      </c>
      <c r="DF35" s="22">
        <f t="shared" si="56"/>
        <v>40.548387096774192</v>
      </c>
      <c r="DG35" s="21">
        <v>1061</v>
      </c>
      <c r="DH35" s="22">
        <f t="shared" si="57"/>
        <v>37.892857142857146</v>
      </c>
      <c r="DI35" s="21">
        <v>1295</v>
      </c>
      <c r="DJ35" s="22">
        <f t="shared" si="58"/>
        <v>41.774193548387096</v>
      </c>
      <c r="DK35" s="21">
        <v>1003</v>
      </c>
      <c r="DL35" s="22">
        <f t="shared" si="59"/>
        <v>33.43333333333333</v>
      </c>
      <c r="DM35" s="21">
        <v>1358</v>
      </c>
      <c r="DN35" s="22">
        <f t="shared" si="60"/>
        <v>43.806451612903224</v>
      </c>
      <c r="DO35" s="21">
        <v>1774</v>
      </c>
      <c r="DP35" s="22">
        <f t="shared" si="61"/>
        <v>59.133333333333333</v>
      </c>
      <c r="DQ35" s="21">
        <v>1524</v>
      </c>
      <c r="DR35" s="22">
        <f t="shared" si="62"/>
        <v>49.161290322580648</v>
      </c>
      <c r="DS35" s="21">
        <v>935</v>
      </c>
      <c r="DT35" s="22">
        <f t="shared" si="63"/>
        <v>30.161290322580644</v>
      </c>
      <c r="DU35" s="21">
        <v>1439</v>
      </c>
      <c r="DV35" s="22">
        <f t="shared" si="64"/>
        <v>47.966666666666669</v>
      </c>
      <c r="DW35" s="21">
        <v>1409</v>
      </c>
      <c r="DX35" s="22">
        <f t="shared" si="65"/>
        <v>45.451612903225808</v>
      </c>
      <c r="DY35" s="21">
        <v>1046</v>
      </c>
      <c r="DZ35" s="22">
        <f t="shared" si="66"/>
        <v>34.866666666666667</v>
      </c>
      <c r="EA35" s="21">
        <v>1497</v>
      </c>
      <c r="EB35" s="22">
        <f t="shared" si="67"/>
        <v>48.29032258064516</v>
      </c>
      <c r="EC35" s="23">
        <f t="shared" si="68"/>
        <v>16062.196082949311</v>
      </c>
      <c r="ED35" s="24">
        <f t="shared" si="69"/>
        <v>8.0489063554611242</v>
      </c>
      <c r="EE35" s="25">
        <f t="shared" si="70"/>
        <v>615.3560413982857</v>
      </c>
    </row>
    <row r="36" spans="1:135" ht="15" customHeight="1" x14ac:dyDescent="0.35">
      <c r="A36" s="17">
        <v>31</v>
      </c>
      <c r="B36" s="18" t="s">
        <v>96</v>
      </c>
      <c r="C36" s="19" t="s">
        <v>97</v>
      </c>
      <c r="D36" s="20" t="s">
        <v>36</v>
      </c>
      <c r="E36" s="21">
        <v>3338</v>
      </c>
      <c r="F36" s="22">
        <f t="shared" si="0"/>
        <v>107.6774193548387</v>
      </c>
      <c r="G36" s="21">
        <v>3617</v>
      </c>
      <c r="H36" s="22">
        <f t="shared" si="1"/>
        <v>129.17857142857142</v>
      </c>
      <c r="I36" s="21">
        <v>2091</v>
      </c>
      <c r="J36" s="22">
        <f t="shared" si="2"/>
        <v>67.451612903225808</v>
      </c>
      <c r="K36" s="21">
        <v>3032</v>
      </c>
      <c r="L36" s="22">
        <f t="shared" si="3"/>
        <v>101.06666666666666</v>
      </c>
      <c r="M36" s="21">
        <v>3824</v>
      </c>
      <c r="N36" s="22">
        <f t="shared" si="4"/>
        <v>123.35483870967742</v>
      </c>
      <c r="O36" s="21">
        <v>2217</v>
      </c>
      <c r="P36" s="22">
        <f t="shared" si="5"/>
        <v>73.900000000000006</v>
      </c>
      <c r="Q36" s="21">
        <v>3963</v>
      </c>
      <c r="R36" s="22">
        <f t="shared" si="6"/>
        <v>127.83870967741936</v>
      </c>
      <c r="S36" s="21">
        <v>1968</v>
      </c>
      <c r="T36" s="22">
        <f t="shared" si="7"/>
        <v>63.483870967741936</v>
      </c>
      <c r="U36" s="21">
        <v>3389</v>
      </c>
      <c r="V36" s="22">
        <f t="shared" si="8"/>
        <v>112.96666666666667</v>
      </c>
      <c r="W36" s="21">
        <v>4376</v>
      </c>
      <c r="X36" s="22">
        <f t="shared" si="9"/>
        <v>141.16129032258064</v>
      </c>
      <c r="Y36" s="21">
        <v>3015</v>
      </c>
      <c r="Z36" s="22">
        <f t="shared" si="10"/>
        <v>100.5</v>
      </c>
      <c r="AA36" s="21">
        <v>4391</v>
      </c>
      <c r="AB36" s="22">
        <f t="shared" si="11"/>
        <v>141.64516129032259</v>
      </c>
      <c r="AC36" s="23">
        <f t="shared" si="12"/>
        <v>40369.579646697392</v>
      </c>
      <c r="AD36" s="24">
        <f t="shared" si="13"/>
        <v>27.343814988026502</v>
      </c>
      <c r="AE36" s="21">
        <v>5186</v>
      </c>
      <c r="AF36" s="22">
        <f t="shared" si="14"/>
        <v>167.29032258064515</v>
      </c>
      <c r="AG36" s="21">
        <v>3909</v>
      </c>
      <c r="AH36" s="22">
        <f t="shared" si="15"/>
        <v>139.60714285714286</v>
      </c>
      <c r="AI36" s="21">
        <v>3024</v>
      </c>
      <c r="AJ36" s="22">
        <f t="shared" si="16"/>
        <v>97.548387096774192</v>
      </c>
      <c r="AK36" s="21">
        <v>5458</v>
      </c>
      <c r="AL36" s="22">
        <f t="shared" si="17"/>
        <v>181.93333333333334</v>
      </c>
      <c r="AM36" s="21">
        <v>3411</v>
      </c>
      <c r="AN36" s="22">
        <f t="shared" si="18"/>
        <v>110.03225806451613</v>
      </c>
      <c r="AO36" s="21">
        <v>4446</v>
      </c>
      <c r="AP36" s="22">
        <f t="shared" si="19"/>
        <v>148.19999999999999</v>
      </c>
      <c r="AQ36" s="21">
        <v>5280</v>
      </c>
      <c r="AR36" s="22">
        <f t="shared" si="20"/>
        <v>170.32258064516128</v>
      </c>
      <c r="AS36" s="21">
        <v>2673</v>
      </c>
      <c r="AT36" s="22">
        <f t="shared" si="21"/>
        <v>86.225806451612897</v>
      </c>
      <c r="AU36" s="21">
        <v>4217</v>
      </c>
      <c r="AV36" s="22">
        <f t="shared" si="22"/>
        <v>140.56666666666666</v>
      </c>
      <c r="AW36" s="21">
        <v>4093</v>
      </c>
      <c r="AX36" s="22">
        <f t="shared" si="23"/>
        <v>132.03225806451613</v>
      </c>
      <c r="AY36" s="21">
        <v>4691</v>
      </c>
      <c r="AZ36" s="22">
        <f t="shared" si="24"/>
        <v>156.36666666666667</v>
      </c>
      <c r="BA36" s="21">
        <v>5372</v>
      </c>
      <c r="BB36" s="22">
        <f t="shared" si="25"/>
        <v>173.29032258064515</v>
      </c>
      <c r="BC36" s="23">
        <f t="shared" si="26"/>
        <v>53290.125422427038</v>
      </c>
      <c r="BD36" s="24">
        <f t="shared" si="27"/>
        <v>30.860560625125803</v>
      </c>
      <c r="BE36" s="21">
        <v>3556</v>
      </c>
      <c r="BF36" s="22">
        <f t="shared" si="28"/>
        <v>114.70967741935483</v>
      </c>
      <c r="BG36" s="21">
        <v>1978</v>
      </c>
      <c r="BH36" s="22">
        <f t="shared" si="29"/>
        <v>70.642857142857139</v>
      </c>
      <c r="BI36" s="21">
        <v>3490</v>
      </c>
      <c r="BJ36" s="22">
        <f t="shared" si="30"/>
        <v>112.58064516129032</v>
      </c>
      <c r="BK36" s="21">
        <v>1980</v>
      </c>
      <c r="BL36" s="22">
        <f t="shared" si="31"/>
        <v>66</v>
      </c>
      <c r="BM36" s="21">
        <v>3570</v>
      </c>
      <c r="BN36" s="22">
        <f t="shared" si="32"/>
        <v>115.16129032258064</v>
      </c>
      <c r="BO36" s="21">
        <v>3736</v>
      </c>
      <c r="BP36" s="22">
        <f t="shared" si="33"/>
        <v>124.53333333333333</v>
      </c>
      <c r="BQ36" s="21">
        <v>2453</v>
      </c>
      <c r="BR36" s="22">
        <f t="shared" si="34"/>
        <v>79.129032258064512</v>
      </c>
      <c r="BS36" s="21">
        <v>2663</v>
      </c>
      <c r="BT36" s="22">
        <f t="shared" si="35"/>
        <v>85.903225806451616</v>
      </c>
      <c r="BU36" s="21">
        <v>3606</v>
      </c>
      <c r="BV36" s="22">
        <f t="shared" si="36"/>
        <v>120.2</v>
      </c>
      <c r="BW36" s="21">
        <v>3661</v>
      </c>
      <c r="BX36" s="22">
        <f t="shared" si="37"/>
        <v>118.09677419354838</v>
      </c>
      <c r="BY36" s="21">
        <v>3584</v>
      </c>
      <c r="BZ36" s="22">
        <f t="shared" si="38"/>
        <v>119.46666666666667</v>
      </c>
      <c r="CA36" s="21">
        <v>3478</v>
      </c>
      <c r="CB36" s="22">
        <f t="shared" si="39"/>
        <v>112.19354838709677</v>
      </c>
      <c r="CC36" s="23">
        <f t="shared" si="40"/>
        <v>38881.423502304147</v>
      </c>
      <c r="CD36" s="24">
        <f t="shared" si="41"/>
        <v>21.314631134249499</v>
      </c>
      <c r="CE36" s="21">
        <v>2026</v>
      </c>
      <c r="CF36" s="22">
        <f t="shared" si="42"/>
        <v>65.354838709677423</v>
      </c>
      <c r="CG36" s="21">
        <v>3517</v>
      </c>
      <c r="CH36" s="22">
        <f t="shared" si="43"/>
        <v>125.60714285714286</v>
      </c>
      <c r="CI36" s="21">
        <v>2288</v>
      </c>
      <c r="CJ36" s="22">
        <f t="shared" si="44"/>
        <v>73.806451612903231</v>
      </c>
      <c r="CK36" s="21">
        <v>4624</v>
      </c>
      <c r="CL36" s="22">
        <f t="shared" si="45"/>
        <v>154.13333333333333</v>
      </c>
      <c r="CM36" s="21">
        <v>2761</v>
      </c>
      <c r="CN36" s="22">
        <f t="shared" si="46"/>
        <v>89.064516129032256</v>
      </c>
      <c r="CO36" s="21">
        <v>4640</v>
      </c>
      <c r="CP36" s="22">
        <f t="shared" si="47"/>
        <v>154.66666666666666</v>
      </c>
      <c r="CQ36" s="21">
        <v>3451</v>
      </c>
      <c r="CR36" s="22">
        <f t="shared" si="48"/>
        <v>111.3225806451613</v>
      </c>
      <c r="CS36" s="21">
        <v>3319</v>
      </c>
      <c r="CT36" s="22">
        <f t="shared" si="49"/>
        <v>107.06451612903226</v>
      </c>
      <c r="CU36" s="21">
        <v>4506</v>
      </c>
      <c r="CV36" s="22">
        <f t="shared" si="50"/>
        <v>150.19999999999999</v>
      </c>
      <c r="CW36" s="21">
        <v>4272</v>
      </c>
      <c r="CX36" s="22">
        <f t="shared" si="51"/>
        <v>137.80645161290323</v>
      </c>
      <c r="CY36" s="21">
        <v>3250</v>
      </c>
      <c r="CZ36" s="22">
        <f t="shared" si="52"/>
        <v>108.33333333333333</v>
      </c>
      <c r="DA36" s="21">
        <v>2516</v>
      </c>
      <c r="DB36" s="22">
        <f t="shared" si="53"/>
        <v>81.161290322580641</v>
      </c>
      <c r="DC36" s="23">
        <f t="shared" si="54"/>
        <v>42447.359831029193</v>
      </c>
      <c r="DD36" s="24">
        <f t="shared" si="55"/>
        <v>31.677781972483992</v>
      </c>
      <c r="DE36" s="21">
        <v>2595</v>
      </c>
      <c r="DF36" s="22">
        <f t="shared" si="56"/>
        <v>83.709677419354833</v>
      </c>
      <c r="DG36" s="21">
        <v>2745</v>
      </c>
      <c r="DH36" s="22">
        <f t="shared" si="57"/>
        <v>98.035714285714292</v>
      </c>
      <c r="DI36" s="21">
        <v>3637</v>
      </c>
      <c r="DJ36" s="22">
        <f t="shared" si="58"/>
        <v>117.3225806451613</v>
      </c>
      <c r="DK36" s="21">
        <v>3030</v>
      </c>
      <c r="DL36" s="22">
        <f t="shared" si="59"/>
        <v>101</v>
      </c>
      <c r="DM36" s="21">
        <v>2816</v>
      </c>
      <c r="DN36" s="22">
        <f t="shared" si="60"/>
        <v>90.838709677419359</v>
      </c>
      <c r="DO36" s="21">
        <v>4472</v>
      </c>
      <c r="DP36" s="22">
        <f t="shared" si="61"/>
        <v>149.06666666666666</v>
      </c>
      <c r="DQ36" s="21">
        <v>4635</v>
      </c>
      <c r="DR36" s="22">
        <f t="shared" si="62"/>
        <v>149.51612903225808</v>
      </c>
      <c r="DS36" s="21">
        <v>3964</v>
      </c>
      <c r="DT36" s="22">
        <f t="shared" si="63"/>
        <v>127.87096774193549</v>
      </c>
      <c r="DU36" s="21">
        <v>4534</v>
      </c>
      <c r="DV36" s="22">
        <f t="shared" si="64"/>
        <v>151.13333333333333</v>
      </c>
      <c r="DW36" s="21">
        <v>2784</v>
      </c>
      <c r="DX36" s="22">
        <f t="shared" si="65"/>
        <v>89.806451612903231</v>
      </c>
      <c r="DY36" s="21">
        <v>4832</v>
      </c>
      <c r="DZ36" s="22">
        <f t="shared" si="66"/>
        <v>161.06666666666666</v>
      </c>
      <c r="EA36" s="21">
        <v>4955</v>
      </c>
      <c r="EB36" s="22">
        <f t="shared" si="67"/>
        <v>159.83870967741936</v>
      </c>
      <c r="EC36" s="23">
        <f t="shared" si="68"/>
        <v>46318.366897081411</v>
      </c>
      <c r="ED36" s="24">
        <f t="shared" si="69"/>
        <v>29.882239551467336</v>
      </c>
      <c r="EE36" s="25">
        <f t="shared" si="70"/>
        <v>1859.6493317070242</v>
      </c>
    </row>
    <row r="37" spans="1:135" ht="15" customHeight="1" x14ac:dyDescent="0.35">
      <c r="A37" s="17">
        <v>32</v>
      </c>
      <c r="B37" s="18" t="s">
        <v>98</v>
      </c>
      <c r="C37" s="19" t="s">
        <v>99</v>
      </c>
      <c r="D37" s="20" t="s">
        <v>36</v>
      </c>
      <c r="E37" s="21">
        <v>1807</v>
      </c>
      <c r="F37" s="22">
        <f t="shared" si="0"/>
        <v>58.29032258064516</v>
      </c>
      <c r="G37" s="21">
        <v>1450</v>
      </c>
      <c r="H37" s="22">
        <f t="shared" si="1"/>
        <v>51.785714285714285</v>
      </c>
      <c r="I37" s="21">
        <v>959</v>
      </c>
      <c r="J37" s="22">
        <f t="shared" si="2"/>
        <v>30.93548387096774</v>
      </c>
      <c r="K37" s="21">
        <v>1626</v>
      </c>
      <c r="L37" s="22">
        <f t="shared" si="3"/>
        <v>54.2</v>
      </c>
      <c r="M37" s="21">
        <v>1071</v>
      </c>
      <c r="N37" s="22">
        <f t="shared" si="4"/>
        <v>34.548387096774192</v>
      </c>
      <c r="O37" s="21">
        <v>1020</v>
      </c>
      <c r="P37" s="22">
        <f t="shared" si="5"/>
        <v>34</v>
      </c>
      <c r="Q37" s="21">
        <v>1230</v>
      </c>
      <c r="R37" s="22">
        <f t="shared" si="6"/>
        <v>39.677419354838712</v>
      </c>
      <c r="S37" s="21">
        <v>1144</v>
      </c>
      <c r="T37" s="22">
        <f t="shared" si="7"/>
        <v>36.903225806451616</v>
      </c>
      <c r="U37" s="21">
        <v>1158</v>
      </c>
      <c r="V37" s="22">
        <f t="shared" si="8"/>
        <v>38.6</v>
      </c>
      <c r="W37" s="21">
        <v>1129</v>
      </c>
      <c r="X37" s="22">
        <f t="shared" si="9"/>
        <v>36.41935483870968</v>
      </c>
      <c r="Y37" s="21">
        <v>1723</v>
      </c>
      <c r="Z37" s="22">
        <f t="shared" si="10"/>
        <v>57.43333333333333</v>
      </c>
      <c r="AA37" s="21">
        <v>1953</v>
      </c>
      <c r="AB37" s="22">
        <f t="shared" si="11"/>
        <v>63</v>
      </c>
      <c r="AC37" s="23">
        <f t="shared" si="12"/>
        <v>16742.793241167434</v>
      </c>
      <c r="AD37" s="24">
        <f t="shared" si="13"/>
        <v>11.365632207050288</v>
      </c>
      <c r="AE37" s="21">
        <v>1037</v>
      </c>
      <c r="AF37" s="22">
        <f t="shared" si="14"/>
        <v>33.451612903225808</v>
      </c>
      <c r="AG37" s="21">
        <v>1452</v>
      </c>
      <c r="AH37" s="22">
        <f t="shared" si="15"/>
        <v>51.857142857142854</v>
      </c>
      <c r="AI37" s="21">
        <v>751</v>
      </c>
      <c r="AJ37" s="22">
        <f t="shared" si="16"/>
        <v>24.225806451612904</v>
      </c>
      <c r="AK37" s="21">
        <v>1384</v>
      </c>
      <c r="AL37" s="22">
        <f t="shared" si="17"/>
        <v>46.133333333333333</v>
      </c>
      <c r="AM37" s="21">
        <v>1423</v>
      </c>
      <c r="AN37" s="22">
        <f t="shared" si="18"/>
        <v>45.903225806451616</v>
      </c>
      <c r="AO37" s="21">
        <v>801</v>
      </c>
      <c r="AP37" s="22">
        <f t="shared" si="19"/>
        <v>26.7</v>
      </c>
      <c r="AQ37" s="21">
        <v>856</v>
      </c>
      <c r="AR37" s="22">
        <f t="shared" si="20"/>
        <v>27.612903225806452</v>
      </c>
      <c r="AS37" s="21">
        <v>1042</v>
      </c>
      <c r="AT37" s="22">
        <f t="shared" si="21"/>
        <v>33.612903225806448</v>
      </c>
      <c r="AU37" s="21">
        <v>1139</v>
      </c>
      <c r="AV37" s="22">
        <f t="shared" si="22"/>
        <v>37.966666666666669</v>
      </c>
      <c r="AW37" s="21">
        <v>1235</v>
      </c>
      <c r="AX37" s="22">
        <f t="shared" si="23"/>
        <v>39.838709677419352</v>
      </c>
      <c r="AY37" s="21">
        <v>1622</v>
      </c>
      <c r="AZ37" s="22">
        <f t="shared" si="24"/>
        <v>54.06666666666667</v>
      </c>
      <c r="BA37" s="21">
        <v>1433</v>
      </c>
      <c r="BB37" s="22">
        <f t="shared" si="25"/>
        <v>46.225806451612904</v>
      </c>
      <c r="BC37" s="23">
        <f t="shared" si="26"/>
        <v>14596.368970814132</v>
      </c>
      <c r="BD37" s="24">
        <f t="shared" si="27"/>
        <v>10.017518852858849</v>
      </c>
      <c r="BE37" s="21">
        <v>1231</v>
      </c>
      <c r="BF37" s="22">
        <f t="shared" si="28"/>
        <v>39.70967741935484</v>
      </c>
      <c r="BG37" s="21">
        <v>1006</v>
      </c>
      <c r="BH37" s="22">
        <f t="shared" si="29"/>
        <v>35.928571428571431</v>
      </c>
      <c r="BI37" s="21">
        <v>1933</v>
      </c>
      <c r="BJ37" s="22">
        <f t="shared" si="30"/>
        <v>62.354838709677416</v>
      </c>
      <c r="BK37" s="21">
        <v>1212</v>
      </c>
      <c r="BL37" s="22">
        <f t="shared" si="31"/>
        <v>40.4</v>
      </c>
      <c r="BM37" s="21">
        <v>1583</v>
      </c>
      <c r="BN37" s="22">
        <f t="shared" si="32"/>
        <v>51.064516129032256</v>
      </c>
      <c r="BO37" s="21">
        <v>1124</v>
      </c>
      <c r="BP37" s="22">
        <f t="shared" si="33"/>
        <v>37.466666666666669</v>
      </c>
      <c r="BQ37" s="21">
        <v>1025</v>
      </c>
      <c r="BR37" s="22">
        <f t="shared" si="34"/>
        <v>33.064516129032256</v>
      </c>
      <c r="BS37" s="21">
        <v>1048</v>
      </c>
      <c r="BT37" s="22">
        <f t="shared" si="35"/>
        <v>33.806451612903224</v>
      </c>
      <c r="BU37" s="21">
        <v>1737</v>
      </c>
      <c r="BV37" s="22">
        <f t="shared" si="36"/>
        <v>57.9</v>
      </c>
      <c r="BW37" s="21">
        <v>1573</v>
      </c>
      <c r="BX37" s="22">
        <f t="shared" si="37"/>
        <v>50.741935483870968</v>
      </c>
      <c r="BY37" s="21">
        <v>1352</v>
      </c>
      <c r="BZ37" s="22">
        <f t="shared" si="38"/>
        <v>45.06666666666667</v>
      </c>
      <c r="CA37" s="21">
        <v>1507</v>
      </c>
      <c r="CB37" s="22">
        <f t="shared" si="39"/>
        <v>48.612903225806448</v>
      </c>
      <c r="CC37" s="23">
        <f t="shared" si="40"/>
        <v>16818.503840245776</v>
      </c>
      <c r="CD37" s="24">
        <f t="shared" si="41"/>
        <v>9.5588617658766246</v>
      </c>
      <c r="CE37" s="21">
        <v>1127</v>
      </c>
      <c r="CF37" s="22">
        <f t="shared" si="42"/>
        <v>36.354838709677416</v>
      </c>
      <c r="CG37" s="21">
        <v>1189</v>
      </c>
      <c r="CH37" s="22">
        <f t="shared" si="43"/>
        <v>42.464285714285715</v>
      </c>
      <c r="CI37" s="21">
        <v>1305</v>
      </c>
      <c r="CJ37" s="22">
        <f t="shared" si="44"/>
        <v>42.096774193548384</v>
      </c>
      <c r="CK37" s="21">
        <v>894</v>
      </c>
      <c r="CL37" s="22">
        <f t="shared" si="45"/>
        <v>29.8</v>
      </c>
      <c r="CM37" s="21">
        <v>921</v>
      </c>
      <c r="CN37" s="22">
        <f t="shared" si="46"/>
        <v>29.70967741935484</v>
      </c>
      <c r="CO37" s="21">
        <v>1389</v>
      </c>
      <c r="CP37" s="22">
        <f t="shared" si="47"/>
        <v>46.3</v>
      </c>
      <c r="CQ37" s="21">
        <v>1498</v>
      </c>
      <c r="CR37" s="22">
        <f t="shared" si="48"/>
        <v>48.322580645161288</v>
      </c>
      <c r="CS37" s="21">
        <v>768</v>
      </c>
      <c r="CT37" s="22">
        <f t="shared" si="49"/>
        <v>24.774193548387096</v>
      </c>
      <c r="CU37" s="21">
        <v>1105</v>
      </c>
      <c r="CV37" s="22">
        <f t="shared" si="50"/>
        <v>36.833333333333336</v>
      </c>
      <c r="CW37" s="21">
        <v>1342</v>
      </c>
      <c r="CX37" s="22">
        <f t="shared" si="51"/>
        <v>43.29032258064516</v>
      </c>
      <c r="CY37" s="21">
        <v>764</v>
      </c>
      <c r="CZ37" s="22">
        <f t="shared" si="52"/>
        <v>25.466666666666665</v>
      </c>
      <c r="DA37" s="21">
        <v>1213</v>
      </c>
      <c r="DB37" s="22">
        <f t="shared" si="53"/>
        <v>39.12903225806452</v>
      </c>
      <c r="DC37" s="23">
        <f t="shared" si="54"/>
        <v>13920.412672811062</v>
      </c>
      <c r="DD37" s="24">
        <f t="shared" si="55"/>
        <v>7.9916079631742063</v>
      </c>
      <c r="DE37" s="21">
        <v>828</v>
      </c>
      <c r="DF37" s="22">
        <f t="shared" si="56"/>
        <v>26.70967741935484</v>
      </c>
      <c r="DG37" s="21">
        <v>1323</v>
      </c>
      <c r="DH37" s="22">
        <f t="shared" si="57"/>
        <v>47.25</v>
      </c>
      <c r="DI37" s="21">
        <v>1280</v>
      </c>
      <c r="DJ37" s="22">
        <f t="shared" si="58"/>
        <v>41.29032258064516</v>
      </c>
      <c r="DK37" s="21">
        <v>1348</v>
      </c>
      <c r="DL37" s="22">
        <f t="shared" si="59"/>
        <v>44.93333333333333</v>
      </c>
      <c r="DM37" s="21">
        <v>917</v>
      </c>
      <c r="DN37" s="22">
        <f t="shared" si="60"/>
        <v>29.580645161290324</v>
      </c>
      <c r="DO37" s="21">
        <v>1099</v>
      </c>
      <c r="DP37" s="22">
        <f t="shared" si="61"/>
        <v>36.633333333333333</v>
      </c>
      <c r="DQ37" s="21">
        <v>1295</v>
      </c>
      <c r="DR37" s="22">
        <f t="shared" si="62"/>
        <v>41.774193548387096</v>
      </c>
      <c r="DS37" s="21">
        <v>883</v>
      </c>
      <c r="DT37" s="22">
        <f t="shared" si="63"/>
        <v>28.483870967741936</v>
      </c>
      <c r="DU37" s="21">
        <v>974</v>
      </c>
      <c r="DV37" s="22">
        <f t="shared" si="64"/>
        <v>32.466666666666669</v>
      </c>
      <c r="DW37" s="21">
        <v>1359</v>
      </c>
      <c r="DX37" s="22">
        <f t="shared" si="65"/>
        <v>43.838709677419352</v>
      </c>
      <c r="DY37" s="21">
        <v>857</v>
      </c>
      <c r="DZ37" s="22">
        <f t="shared" si="66"/>
        <v>28.566666666666666</v>
      </c>
      <c r="EA37" s="21">
        <v>1285</v>
      </c>
      <c r="EB37" s="22">
        <f t="shared" si="67"/>
        <v>41.451612903225808</v>
      </c>
      <c r="EC37" s="23">
        <f t="shared" si="68"/>
        <v>13849.527419354839</v>
      </c>
      <c r="ED37" s="24">
        <f t="shared" si="69"/>
        <v>7.3914366788774979</v>
      </c>
      <c r="EE37" s="25">
        <f t="shared" si="70"/>
        <v>629.71513517039648</v>
      </c>
    </row>
    <row r="38" spans="1:135" ht="15" customHeight="1" x14ac:dyDescent="0.35">
      <c r="A38" s="17">
        <v>33</v>
      </c>
      <c r="B38" s="18" t="s">
        <v>100</v>
      </c>
      <c r="C38" s="19" t="s">
        <v>101</v>
      </c>
      <c r="D38" s="20" t="s">
        <v>36</v>
      </c>
      <c r="E38" s="21">
        <v>1692</v>
      </c>
      <c r="F38" s="22">
        <f t="shared" ref="F38:F69" si="71">E38/31</f>
        <v>54.58064516129032</v>
      </c>
      <c r="G38" s="21">
        <v>1307</v>
      </c>
      <c r="H38" s="22">
        <f t="shared" ref="H38:H69" si="72">G38/28</f>
        <v>46.678571428571431</v>
      </c>
      <c r="I38" s="21">
        <v>1372</v>
      </c>
      <c r="J38" s="22">
        <f t="shared" ref="J38:J69" si="73">I38/31</f>
        <v>44.258064516129032</v>
      </c>
      <c r="K38" s="21">
        <v>1310</v>
      </c>
      <c r="L38" s="22">
        <f t="shared" ref="L38:L69" si="74">K38/30</f>
        <v>43.666666666666664</v>
      </c>
      <c r="M38" s="21">
        <v>877</v>
      </c>
      <c r="N38" s="22">
        <f t="shared" ref="N38:N69" si="75">M38/31</f>
        <v>28.29032258064516</v>
      </c>
      <c r="O38" s="21">
        <v>1316</v>
      </c>
      <c r="P38" s="22">
        <f t="shared" ref="P38:P69" si="76">O38/30</f>
        <v>43.866666666666667</v>
      </c>
      <c r="Q38" s="21">
        <v>1690</v>
      </c>
      <c r="R38" s="22">
        <f t="shared" ref="R38:R69" si="77">Q38/31</f>
        <v>54.516129032258064</v>
      </c>
      <c r="S38" s="21">
        <v>1600</v>
      </c>
      <c r="T38" s="22">
        <f t="shared" ref="T38:T69" si="78">S38/31</f>
        <v>51.612903225806448</v>
      </c>
      <c r="U38" s="21">
        <v>1244</v>
      </c>
      <c r="V38" s="22">
        <f t="shared" ref="V38:V69" si="79">U38/30</f>
        <v>41.466666666666669</v>
      </c>
      <c r="W38" s="21">
        <v>1701</v>
      </c>
      <c r="X38" s="22">
        <f t="shared" ref="X38:X69" si="80">W38/31</f>
        <v>54.87096774193548</v>
      </c>
      <c r="Y38" s="21">
        <v>1624</v>
      </c>
      <c r="Z38" s="22">
        <f t="shared" ref="Z38:Z69" si="81">Y38/30</f>
        <v>54.133333333333333</v>
      </c>
      <c r="AA38" s="21">
        <v>1442</v>
      </c>
      <c r="AB38" s="22">
        <f t="shared" ref="AB38:AB69" si="82">AA38/31</f>
        <v>46.516129032258064</v>
      </c>
      <c r="AC38" s="23">
        <f t="shared" ref="AC38:AC69" si="83">SUM(E38:AA38)</f>
        <v>17692.940937019972</v>
      </c>
      <c r="AD38" s="24">
        <f t="shared" ref="AD38:AD69" si="84">IFERROR(STDEV(F38,H38,J38,L38,N38,P38,R38,T38,V38,X38,Z38,AB38),0)</f>
        <v>7.7313457303640885</v>
      </c>
      <c r="AE38" s="21">
        <v>934</v>
      </c>
      <c r="AF38" s="22">
        <f t="shared" ref="AF38:AF69" si="85">AE38/31</f>
        <v>30.129032258064516</v>
      </c>
      <c r="AG38" s="21">
        <v>1285</v>
      </c>
      <c r="AH38" s="22">
        <f t="shared" ref="AH38:AH69" si="86">AG38/28</f>
        <v>45.892857142857146</v>
      </c>
      <c r="AI38" s="21">
        <v>956</v>
      </c>
      <c r="AJ38" s="22">
        <f t="shared" ref="AJ38:AJ69" si="87">AI38/31</f>
        <v>30.838709677419356</v>
      </c>
      <c r="AK38" s="21">
        <v>2048</v>
      </c>
      <c r="AL38" s="22">
        <f t="shared" ref="AL38:AL69" si="88">AK38/30</f>
        <v>68.266666666666666</v>
      </c>
      <c r="AM38" s="21">
        <v>1978</v>
      </c>
      <c r="AN38" s="22">
        <f t="shared" ref="AN38:AN69" si="89">AM38/31</f>
        <v>63.806451612903224</v>
      </c>
      <c r="AO38" s="21">
        <v>962</v>
      </c>
      <c r="AP38" s="22">
        <f t="shared" ref="AP38:AP69" si="90">AO38/30</f>
        <v>32.06666666666667</v>
      </c>
      <c r="AQ38" s="21">
        <v>1977</v>
      </c>
      <c r="AR38" s="22">
        <f t="shared" ref="AR38:AR69" si="91">AQ38/31</f>
        <v>63.774193548387096</v>
      </c>
      <c r="AS38" s="21">
        <v>918</v>
      </c>
      <c r="AT38" s="22">
        <f t="shared" ref="AT38:AT69" si="92">AS38/31</f>
        <v>29.612903225806452</v>
      </c>
      <c r="AU38" s="21">
        <v>1361</v>
      </c>
      <c r="AV38" s="22">
        <f t="shared" ref="AV38:AV69" si="93">AU38/30</f>
        <v>45.366666666666667</v>
      </c>
      <c r="AW38" s="21">
        <v>1784</v>
      </c>
      <c r="AX38" s="22">
        <f t="shared" ref="AX38:AX69" si="94">AW38/31</f>
        <v>57.548387096774192</v>
      </c>
      <c r="AY38" s="21">
        <v>1780</v>
      </c>
      <c r="AZ38" s="22">
        <f t="shared" ref="AZ38:AZ69" si="95">AY38/30</f>
        <v>59.333333333333336</v>
      </c>
      <c r="BA38" s="21">
        <v>2030</v>
      </c>
      <c r="BB38" s="22">
        <f t="shared" ref="BB38:BB69" si="96">BA38/31</f>
        <v>65.483870967741936</v>
      </c>
      <c r="BC38" s="23">
        <f t="shared" ref="BC38:BC69" si="97">SUM(AE38:BA38)</f>
        <v>18539.635867895548</v>
      </c>
      <c r="BD38" s="24">
        <f t="shared" ref="BD38:BD69" si="98">IFERROR(STDEV(AF38,AH38,AJ38,AL38,AN38,AP38,AR38,AT38,AV38,AX38,AZ38,BB38),0)</f>
        <v>15.463350316911351</v>
      </c>
      <c r="BE38" s="21">
        <v>1395</v>
      </c>
      <c r="BF38" s="22">
        <f t="shared" ref="BF38:BF69" si="99">BE38/31</f>
        <v>45</v>
      </c>
      <c r="BG38" s="21">
        <v>1170</v>
      </c>
      <c r="BH38" s="22">
        <f t="shared" ref="BH38:BH69" si="100">BG38/28</f>
        <v>41.785714285714285</v>
      </c>
      <c r="BI38" s="21">
        <v>1742</v>
      </c>
      <c r="BJ38" s="22">
        <f t="shared" ref="BJ38:BJ69" si="101">BI38/31</f>
        <v>56.193548387096776</v>
      </c>
      <c r="BK38" s="21">
        <v>1132</v>
      </c>
      <c r="BL38" s="22">
        <f t="shared" ref="BL38:BL69" si="102">BK38/30</f>
        <v>37.733333333333334</v>
      </c>
      <c r="BM38" s="21">
        <v>1619</v>
      </c>
      <c r="BN38" s="22">
        <f t="shared" ref="BN38:BN69" si="103">BM38/31</f>
        <v>52.225806451612904</v>
      </c>
      <c r="BO38" s="21">
        <v>1656</v>
      </c>
      <c r="BP38" s="22">
        <f t="shared" ref="BP38:BP69" si="104">BO38/30</f>
        <v>55.2</v>
      </c>
      <c r="BQ38" s="21">
        <v>1125</v>
      </c>
      <c r="BR38" s="22">
        <f t="shared" ref="BR38:BR69" si="105">BQ38/31</f>
        <v>36.29032258064516</v>
      </c>
      <c r="BS38" s="21">
        <v>1432</v>
      </c>
      <c r="BT38" s="22">
        <f t="shared" ref="BT38:BT69" si="106">BS38/31</f>
        <v>46.193548387096776</v>
      </c>
      <c r="BU38" s="21">
        <v>1411</v>
      </c>
      <c r="BV38" s="22">
        <f t="shared" ref="BV38:BV69" si="107">BU38/30</f>
        <v>47.033333333333331</v>
      </c>
      <c r="BW38" s="21">
        <v>1289</v>
      </c>
      <c r="BX38" s="22">
        <f t="shared" ref="BX38:BX69" si="108">BW38/31</f>
        <v>41.58064516129032</v>
      </c>
      <c r="BY38" s="21">
        <v>1403</v>
      </c>
      <c r="BZ38" s="22">
        <f t="shared" ref="BZ38:BZ69" si="109">BY38/30</f>
        <v>46.766666666666666</v>
      </c>
      <c r="CA38" s="21">
        <v>1097</v>
      </c>
      <c r="CB38" s="22">
        <f t="shared" ref="CB38:CB69" si="110">CA38/31</f>
        <v>35.387096774193552</v>
      </c>
      <c r="CC38" s="23">
        <f t="shared" ref="CC38:CC69" si="111">SUM(BE38:CA38)</f>
        <v>16977.00291858679</v>
      </c>
      <c r="CD38" s="24">
        <f t="shared" ref="CD38:CD69" si="112">IFERROR(STDEV(BF38,BH38,BJ38,BL38,BN38,BP38,BR38,BT38,BV38,BX38,BZ38,CB38),0)</f>
        <v>6.9619835181362788</v>
      </c>
      <c r="CE38" s="21">
        <v>930</v>
      </c>
      <c r="CF38" s="22">
        <f t="shared" ref="CF38:CF69" si="113">CE38/31</f>
        <v>30</v>
      </c>
      <c r="CG38" s="21">
        <v>1289</v>
      </c>
      <c r="CH38" s="22">
        <f t="shared" ref="CH38:CH69" si="114">CG38/28</f>
        <v>46.035714285714285</v>
      </c>
      <c r="CI38" s="21">
        <v>1281</v>
      </c>
      <c r="CJ38" s="22">
        <f t="shared" ref="CJ38:CJ69" si="115">CI38/31</f>
        <v>41.322580645161288</v>
      </c>
      <c r="CK38" s="21">
        <v>1480</v>
      </c>
      <c r="CL38" s="22">
        <f t="shared" ref="CL38:CL69" si="116">CK38/30</f>
        <v>49.333333333333336</v>
      </c>
      <c r="CM38" s="21">
        <v>974</v>
      </c>
      <c r="CN38" s="22">
        <f t="shared" ref="CN38:CN69" si="117">CM38/31</f>
        <v>31.419354838709676</v>
      </c>
      <c r="CO38" s="21">
        <v>755</v>
      </c>
      <c r="CP38" s="22">
        <f t="shared" ref="CP38:CP69" si="118">CO38/30</f>
        <v>25.166666666666668</v>
      </c>
      <c r="CQ38" s="21">
        <v>774</v>
      </c>
      <c r="CR38" s="22">
        <f t="shared" ref="CR38:CR69" si="119">CQ38/31</f>
        <v>24.967741935483872</v>
      </c>
      <c r="CS38" s="21">
        <v>1050</v>
      </c>
      <c r="CT38" s="22">
        <f t="shared" ref="CT38:CT69" si="120">CS38/31</f>
        <v>33.87096774193548</v>
      </c>
      <c r="CU38" s="21">
        <v>1426</v>
      </c>
      <c r="CV38" s="22">
        <f t="shared" ref="CV38:CV69" si="121">CU38/30</f>
        <v>47.533333333333331</v>
      </c>
      <c r="CW38" s="21">
        <v>1296</v>
      </c>
      <c r="CX38" s="22">
        <f t="shared" ref="CX38:CX69" si="122">CW38/31</f>
        <v>41.806451612903224</v>
      </c>
      <c r="CY38" s="21">
        <v>1284</v>
      </c>
      <c r="CZ38" s="22">
        <f t="shared" ref="CZ38:CZ69" si="123">CY38/30</f>
        <v>42.8</v>
      </c>
      <c r="DA38" s="21">
        <v>1576</v>
      </c>
      <c r="DB38" s="22">
        <f t="shared" ref="DB38:DB69" si="124">DA38/31</f>
        <v>50.838709677419352</v>
      </c>
      <c r="DC38" s="23">
        <f t="shared" ref="DC38:DC69" si="125">SUM(CE38:DA38)</f>
        <v>14529.256144393241</v>
      </c>
      <c r="DD38" s="24">
        <f t="shared" ref="DD38:DD69" si="126">IFERROR(STDEV(CF38,CH38,CJ38,CL38,CN38,CP38,CR38,CT38,CV38,CX38,CZ38,DB38),0)</f>
        <v>9.2897677685404698</v>
      </c>
      <c r="DE38" s="21">
        <v>959</v>
      </c>
      <c r="DF38" s="22">
        <f t="shared" ref="DF38:DF69" si="127">DE38/31</f>
        <v>30.93548387096774</v>
      </c>
      <c r="DG38" s="21">
        <v>1054</v>
      </c>
      <c r="DH38" s="22">
        <f t="shared" ref="DH38:DH69" si="128">DG38/28</f>
        <v>37.642857142857146</v>
      </c>
      <c r="DI38" s="21">
        <v>986</v>
      </c>
      <c r="DJ38" s="22">
        <f t="shared" ref="DJ38:DJ69" si="129">DI38/31</f>
        <v>31.806451612903224</v>
      </c>
      <c r="DK38" s="21">
        <v>1623</v>
      </c>
      <c r="DL38" s="22">
        <f t="shared" ref="DL38:DL69" si="130">DK38/30</f>
        <v>54.1</v>
      </c>
      <c r="DM38" s="21">
        <v>1418</v>
      </c>
      <c r="DN38" s="22">
        <f t="shared" ref="DN38:DN69" si="131">DM38/31</f>
        <v>45.741935483870968</v>
      </c>
      <c r="DO38" s="21">
        <v>830</v>
      </c>
      <c r="DP38" s="22">
        <f t="shared" ref="DP38:DP69" si="132">DO38/30</f>
        <v>27.666666666666668</v>
      </c>
      <c r="DQ38" s="21">
        <v>1500</v>
      </c>
      <c r="DR38" s="22">
        <f t="shared" ref="DR38:DR69" si="133">DQ38/31</f>
        <v>48.387096774193552</v>
      </c>
      <c r="DS38" s="21">
        <v>1124</v>
      </c>
      <c r="DT38" s="22">
        <f t="shared" ref="DT38:DT69" si="134">DS38/31</f>
        <v>36.258064516129032</v>
      </c>
      <c r="DU38" s="21">
        <v>1458</v>
      </c>
      <c r="DV38" s="22">
        <f t="shared" ref="DV38:DV69" si="135">DU38/30</f>
        <v>48.6</v>
      </c>
      <c r="DW38" s="21">
        <v>1571</v>
      </c>
      <c r="DX38" s="22">
        <f t="shared" ref="DX38:DX69" si="136">DW38/31</f>
        <v>50.677419354838712</v>
      </c>
      <c r="DY38" s="21">
        <v>736</v>
      </c>
      <c r="DZ38" s="22">
        <f t="shared" ref="DZ38:DZ69" si="137">DY38/30</f>
        <v>24.533333333333335</v>
      </c>
      <c r="EA38" s="21">
        <v>919</v>
      </c>
      <c r="EB38" s="22">
        <f t="shared" ref="EB38:EB69" si="138">EA38/31</f>
        <v>29.64516129032258</v>
      </c>
      <c r="EC38" s="23">
        <f t="shared" ref="EC38:EC69" si="139">SUM(DE38:EA38)</f>
        <v>14614.349308755762</v>
      </c>
      <c r="ED38" s="24">
        <f t="shared" ref="ED38:ED69" si="140">IFERROR(STDEV(DF38,DH38,DJ38,DL38,DN38,DP38,DR38,DT38,DV38,DX38,DZ38,EB38),0)</f>
        <v>10.185344754303232</v>
      </c>
      <c r="EE38" s="25">
        <f t="shared" ref="EE38:EE69" si="141">STDEV(F38:AB38,AF38:BB38,BF38:CB38,CF38:DB38,DF38:EB38)</f>
        <v>692.80488173435538</v>
      </c>
    </row>
    <row r="39" spans="1:135" ht="15" customHeight="1" x14ac:dyDescent="0.35">
      <c r="A39" s="17">
        <v>34</v>
      </c>
      <c r="B39" s="18" t="s">
        <v>102</v>
      </c>
      <c r="C39" s="19" t="s">
        <v>103</v>
      </c>
      <c r="D39" s="20" t="s">
        <v>36</v>
      </c>
      <c r="E39" s="21">
        <v>2334</v>
      </c>
      <c r="F39" s="22">
        <f t="shared" si="71"/>
        <v>75.290322580645167</v>
      </c>
      <c r="G39" s="21">
        <v>2150</v>
      </c>
      <c r="H39" s="22">
        <f t="shared" si="72"/>
        <v>76.785714285714292</v>
      </c>
      <c r="I39" s="21">
        <v>3698</v>
      </c>
      <c r="J39" s="22">
        <f t="shared" si="73"/>
        <v>119.29032258064517</v>
      </c>
      <c r="K39" s="21">
        <v>3987</v>
      </c>
      <c r="L39" s="22">
        <f t="shared" si="74"/>
        <v>132.9</v>
      </c>
      <c r="M39" s="21">
        <v>2191</v>
      </c>
      <c r="N39" s="22">
        <f t="shared" si="75"/>
        <v>70.677419354838705</v>
      </c>
      <c r="O39" s="21">
        <v>4089</v>
      </c>
      <c r="P39" s="22">
        <f t="shared" si="76"/>
        <v>136.30000000000001</v>
      </c>
      <c r="Q39" s="21">
        <v>3161</v>
      </c>
      <c r="R39" s="22">
        <f t="shared" si="77"/>
        <v>101.96774193548387</v>
      </c>
      <c r="S39" s="21">
        <v>2701</v>
      </c>
      <c r="T39" s="22">
        <f t="shared" si="78"/>
        <v>87.129032258064512</v>
      </c>
      <c r="U39" s="21">
        <v>2654</v>
      </c>
      <c r="V39" s="22">
        <f t="shared" si="79"/>
        <v>88.466666666666669</v>
      </c>
      <c r="W39" s="21">
        <v>4427</v>
      </c>
      <c r="X39" s="22">
        <f t="shared" si="80"/>
        <v>142.80645161290323</v>
      </c>
      <c r="Y39" s="21">
        <v>2212</v>
      </c>
      <c r="Z39" s="22">
        <f t="shared" si="81"/>
        <v>73.733333333333334</v>
      </c>
      <c r="AA39" s="21">
        <v>3440</v>
      </c>
      <c r="AB39" s="22">
        <f t="shared" si="82"/>
        <v>110.96774193548387</v>
      </c>
      <c r="AC39" s="23">
        <f t="shared" si="83"/>
        <v>38149.347004608295</v>
      </c>
      <c r="AD39" s="24">
        <f t="shared" si="84"/>
        <v>26.465232123394618</v>
      </c>
      <c r="AE39" s="21">
        <v>2671</v>
      </c>
      <c r="AF39" s="22">
        <f t="shared" si="85"/>
        <v>86.161290322580641</v>
      </c>
      <c r="AG39" s="21">
        <v>4025</v>
      </c>
      <c r="AH39" s="22">
        <f t="shared" si="86"/>
        <v>143.75</v>
      </c>
      <c r="AI39" s="21">
        <v>3808</v>
      </c>
      <c r="AJ39" s="22">
        <f t="shared" si="87"/>
        <v>122.83870967741936</v>
      </c>
      <c r="AK39" s="21">
        <v>2747</v>
      </c>
      <c r="AL39" s="22">
        <f t="shared" si="88"/>
        <v>91.566666666666663</v>
      </c>
      <c r="AM39" s="21">
        <v>3465</v>
      </c>
      <c r="AN39" s="22">
        <f t="shared" si="89"/>
        <v>111.7741935483871</v>
      </c>
      <c r="AO39" s="21">
        <v>3656</v>
      </c>
      <c r="AP39" s="22">
        <f t="shared" si="90"/>
        <v>121.86666666666666</v>
      </c>
      <c r="AQ39" s="21">
        <v>2752</v>
      </c>
      <c r="AR39" s="22">
        <f t="shared" si="91"/>
        <v>88.774193548387103</v>
      </c>
      <c r="AS39" s="21">
        <v>2703</v>
      </c>
      <c r="AT39" s="22">
        <f t="shared" si="92"/>
        <v>87.193548387096769</v>
      </c>
      <c r="AU39" s="21">
        <v>2296</v>
      </c>
      <c r="AV39" s="22">
        <f t="shared" si="93"/>
        <v>76.533333333333331</v>
      </c>
      <c r="AW39" s="21">
        <v>3625</v>
      </c>
      <c r="AX39" s="22">
        <f t="shared" si="94"/>
        <v>116.93548387096774</v>
      </c>
      <c r="AY39" s="21">
        <v>2496</v>
      </c>
      <c r="AZ39" s="22">
        <f t="shared" si="95"/>
        <v>83.2</v>
      </c>
      <c r="BA39" s="21">
        <v>2700</v>
      </c>
      <c r="BB39" s="22">
        <f t="shared" si="96"/>
        <v>87.096774193548384</v>
      </c>
      <c r="BC39" s="23">
        <f t="shared" si="97"/>
        <v>38074.594086021498</v>
      </c>
      <c r="BD39" s="24">
        <f t="shared" si="98"/>
        <v>21.030831446430774</v>
      </c>
      <c r="BE39" s="21">
        <v>2126</v>
      </c>
      <c r="BF39" s="22">
        <f t="shared" si="99"/>
        <v>68.58064516129032</v>
      </c>
      <c r="BG39" s="21">
        <v>4454</v>
      </c>
      <c r="BH39" s="22">
        <f t="shared" si="100"/>
        <v>159.07142857142858</v>
      </c>
      <c r="BI39" s="21">
        <v>4273</v>
      </c>
      <c r="BJ39" s="22">
        <f t="shared" si="101"/>
        <v>137.83870967741936</v>
      </c>
      <c r="BK39" s="21">
        <v>4357</v>
      </c>
      <c r="BL39" s="22">
        <f t="shared" si="102"/>
        <v>145.23333333333332</v>
      </c>
      <c r="BM39" s="21">
        <v>3608</v>
      </c>
      <c r="BN39" s="22">
        <f t="shared" si="103"/>
        <v>116.38709677419355</v>
      </c>
      <c r="BO39" s="21">
        <v>3087</v>
      </c>
      <c r="BP39" s="22">
        <f t="shared" si="104"/>
        <v>102.9</v>
      </c>
      <c r="BQ39" s="21">
        <v>3266</v>
      </c>
      <c r="BR39" s="22">
        <f t="shared" si="105"/>
        <v>105.35483870967742</v>
      </c>
      <c r="BS39" s="21">
        <v>4516</v>
      </c>
      <c r="BT39" s="22">
        <f t="shared" si="106"/>
        <v>145.67741935483872</v>
      </c>
      <c r="BU39" s="21">
        <v>4436</v>
      </c>
      <c r="BV39" s="22">
        <f t="shared" si="107"/>
        <v>147.86666666666667</v>
      </c>
      <c r="BW39" s="21">
        <v>3727</v>
      </c>
      <c r="BX39" s="22">
        <f t="shared" si="108"/>
        <v>120.2258064516129</v>
      </c>
      <c r="BY39" s="21">
        <v>4027</v>
      </c>
      <c r="BZ39" s="22">
        <f t="shared" si="109"/>
        <v>134.23333333333332</v>
      </c>
      <c r="CA39" s="21">
        <v>2802</v>
      </c>
      <c r="CB39" s="22">
        <f t="shared" si="110"/>
        <v>90.387096774193552</v>
      </c>
      <c r="CC39" s="23">
        <f t="shared" si="111"/>
        <v>46062.369278033788</v>
      </c>
      <c r="CD39" s="24">
        <f t="shared" si="112"/>
        <v>27.078836282556612</v>
      </c>
      <c r="CE39" s="21">
        <v>3150</v>
      </c>
      <c r="CF39" s="22">
        <f t="shared" si="113"/>
        <v>101.61290322580645</v>
      </c>
      <c r="CG39" s="21">
        <v>2429</v>
      </c>
      <c r="CH39" s="22">
        <f t="shared" si="114"/>
        <v>86.75</v>
      </c>
      <c r="CI39" s="21">
        <v>3042</v>
      </c>
      <c r="CJ39" s="22">
        <f t="shared" si="115"/>
        <v>98.129032258064512</v>
      </c>
      <c r="CK39" s="21">
        <v>4063</v>
      </c>
      <c r="CL39" s="22">
        <f t="shared" si="116"/>
        <v>135.43333333333334</v>
      </c>
      <c r="CM39" s="21">
        <v>3304</v>
      </c>
      <c r="CN39" s="22">
        <f t="shared" si="117"/>
        <v>106.58064516129032</v>
      </c>
      <c r="CO39" s="21">
        <v>4319</v>
      </c>
      <c r="CP39" s="22">
        <f t="shared" si="118"/>
        <v>143.96666666666667</v>
      </c>
      <c r="CQ39" s="21">
        <v>2838</v>
      </c>
      <c r="CR39" s="22">
        <f t="shared" si="119"/>
        <v>91.548387096774192</v>
      </c>
      <c r="CS39" s="21">
        <v>3936</v>
      </c>
      <c r="CT39" s="22">
        <f t="shared" si="120"/>
        <v>126.96774193548387</v>
      </c>
      <c r="CU39" s="21">
        <v>4202</v>
      </c>
      <c r="CV39" s="22">
        <f t="shared" si="121"/>
        <v>140.06666666666666</v>
      </c>
      <c r="CW39" s="21">
        <v>4496</v>
      </c>
      <c r="CX39" s="22">
        <f t="shared" si="122"/>
        <v>145.03225806451613</v>
      </c>
      <c r="CY39" s="21">
        <v>3544</v>
      </c>
      <c r="CZ39" s="22">
        <f t="shared" si="123"/>
        <v>118.13333333333334</v>
      </c>
      <c r="DA39" s="21">
        <v>4639</v>
      </c>
      <c r="DB39" s="22">
        <f t="shared" si="124"/>
        <v>149.64516129032259</v>
      </c>
      <c r="DC39" s="23">
        <f t="shared" si="125"/>
        <v>45256.220967741931</v>
      </c>
      <c r="DD39" s="24">
        <f t="shared" si="126"/>
        <v>22.729752714772424</v>
      </c>
      <c r="DE39" s="21">
        <v>3608</v>
      </c>
      <c r="DF39" s="22">
        <f t="shared" si="127"/>
        <v>116.38709677419355</v>
      </c>
      <c r="DG39" s="21">
        <v>2440</v>
      </c>
      <c r="DH39" s="22">
        <f t="shared" si="128"/>
        <v>87.142857142857139</v>
      </c>
      <c r="DI39" s="21">
        <v>2740</v>
      </c>
      <c r="DJ39" s="22">
        <f t="shared" si="129"/>
        <v>88.387096774193552</v>
      </c>
      <c r="DK39" s="21">
        <v>2631</v>
      </c>
      <c r="DL39" s="22">
        <f t="shared" si="130"/>
        <v>87.7</v>
      </c>
      <c r="DM39" s="21">
        <v>3855</v>
      </c>
      <c r="DN39" s="22">
        <f t="shared" si="131"/>
        <v>124.35483870967742</v>
      </c>
      <c r="DO39" s="21">
        <v>4615</v>
      </c>
      <c r="DP39" s="22">
        <f t="shared" si="132"/>
        <v>153.83333333333334</v>
      </c>
      <c r="DQ39" s="21">
        <v>4408</v>
      </c>
      <c r="DR39" s="22">
        <f t="shared" si="133"/>
        <v>142.19354838709677</v>
      </c>
      <c r="DS39" s="21">
        <v>2325</v>
      </c>
      <c r="DT39" s="22">
        <f t="shared" si="134"/>
        <v>75</v>
      </c>
      <c r="DU39" s="21">
        <v>4070</v>
      </c>
      <c r="DV39" s="22">
        <f t="shared" si="135"/>
        <v>135.66666666666666</v>
      </c>
      <c r="DW39" s="21">
        <v>2596</v>
      </c>
      <c r="DX39" s="22">
        <f t="shared" si="136"/>
        <v>83.741935483870961</v>
      </c>
      <c r="DY39" s="21">
        <v>2811</v>
      </c>
      <c r="DZ39" s="22">
        <f t="shared" si="137"/>
        <v>93.7</v>
      </c>
      <c r="EA39" s="21">
        <v>3929</v>
      </c>
      <c r="EB39" s="22">
        <f t="shared" si="138"/>
        <v>126.74193548387096</v>
      </c>
      <c r="EC39" s="23">
        <f t="shared" si="139"/>
        <v>41216.107373271887</v>
      </c>
      <c r="ED39" s="24">
        <f t="shared" si="140"/>
        <v>26.643324195161128</v>
      </c>
      <c r="EE39" s="25">
        <f t="shared" si="141"/>
        <v>1748.5095626196703</v>
      </c>
    </row>
    <row r="40" spans="1:135" ht="15" customHeight="1" x14ac:dyDescent="0.35">
      <c r="A40" s="17">
        <v>35</v>
      </c>
      <c r="B40" s="18" t="s">
        <v>104</v>
      </c>
      <c r="C40" s="19" t="s">
        <v>105</v>
      </c>
      <c r="D40" s="20" t="s">
        <v>57</v>
      </c>
      <c r="E40" s="21">
        <v>349</v>
      </c>
      <c r="F40" s="22">
        <f t="shared" si="71"/>
        <v>11.258064516129032</v>
      </c>
      <c r="G40" s="21">
        <v>419</v>
      </c>
      <c r="H40" s="22">
        <f t="shared" si="72"/>
        <v>14.964285714285714</v>
      </c>
      <c r="I40" s="21">
        <v>242</v>
      </c>
      <c r="J40" s="22">
        <f t="shared" si="73"/>
        <v>7.806451612903226</v>
      </c>
      <c r="K40" s="21">
        <v>390</v>
      </c>
      <c r="L40" s="22">
        <f t="shared" si="74"/>
        <v>13</v>
      </c>
      <c r="M40" s="21">
        <v>380</v>
      </c>
      <c r="N40" s="22">
        <f t="shared" si="75"/>
        <v>12.258064516129032</v>
      </c>
      <c r="O40" s="21">
        <v>338</v>
      </c>
      <c r="P40" s="22">
        <f t="shared" si="76"/>
        <v>11.266666666666667</v>
      </c>
      <c r="Q40" s="21">
        <v>317</v>
      </c>
      <c r="R40" s="22">
        <f t="shared" si="77"/>
        <v>10.225806451612904</v>
      </c>
      <c r="S40" s="21">
        <v>418</v>
      </c>
      <c r="T40" s="22">
        <f t="shared" si="78"/>
        <v>13.483870967741936</v>
      </c>
      <c r="U40" s="21">
        <v>279</v>
      </c>
      <c r="V40" s="22">
        <f t="shared" si="79"/>
        <v>9.3000000000000007</v>
      </c>
      <c r="W40" s="21">
        <v>440</v>
      </c>
      <c r="X40" s="22">
        <f t="shared" si="80"/>
        <v>14.193548387096774</v>
      </c>
      <c r="Y40" s="21">
        <v>197</v>
      </c>
      <c r="Z40" s="22">
        <f t="shared" si="81"/>
        <v>6.5666666666666664</v>
      </c>
      <c r="AA40" s="21">
        <v>435</v>
      </c>
      <c r="AB40" s="22">
        <f t="shared" si="82"/>
        <v>14.03225806451613</v>
      </c>
      <c r="AC40" s="23">
        <f t="shared" si="83"/>
        <v>4328.3234254992312</v>
      </c>
      <c r="AD40" s="24">
        <f t="shared" si="84"/>
        <v>2.6453268654725783</v>
      </c>
      <c r="AE40" s="21">
        <v>613</v>
      </c>
      <c r="AF40" s="22">
        <f t="shared" si="85"/>
        <v>19.774193548387096</v>
      </c>
      <c r="AG40" s="21">
        <v>310</v>
      </c>
      <c r="AH40" s="22">
        <f t="shared" si="86"/>
        <v>11.071428571428571</v>
      </c>
      <c r="AI40" s="21">
        <v>626</v>
      </c>
      <c r="AJ40" s="22">
        <f t="shared" si="87"/>
        <v>20.193548387096776</v>
      </c>
      <c r="AK40" s="21">
        <v>440</v>
      </c>
      <c r="AL40" s="22">
        <f t="shared" si="88"/>
        <v>14.666666666666666</v>
      </c>
      <c r="AM40" s="21">
        <v>355</v>
      </c>
      <c r="AN40" s="22">
        <f t="shared" si="89"/>
        <v>11.451612903225806</v>
      </c>
      <c r="AO40" s="21">
        <v>485</v>
      </c>
      <c r="AP40" s="22">
        <f t="shared" si="90"/>
        <v>16.166666666666668</v>
      </c>
      <c r="AQ40" s="21">
        <v>342</v>
      </c>
      <c r="AR40" s="22">
        <f t="shared" si="91"/>
        <v>11.03225806451613</v>
      </c>
      <c r="AS40" s="21">
        <v>596</v>
      </c>
      <c r="AT40" s="22">
        <f t="shared" si="92"/>
        <v>19.225806451612904</v>
      </c>
      <c r="AU40" s="21">
        <v>466</v>
      </c>
      <c r="AV40" s="22">
        <f t="shared" si="93"/>
        <v>15.533333333333333</v>
      </c>
      <c r="AW40" s="21">
        <v>546</v>
      </c>
      <c r="AX40" s="22">
        <f t="shared" si="94"/>
        <v>17.612903225806452</v>
      </c>
      <c r="AY40" s="21">
        <v>405</v>
      </c>
      <c r="AZ40" s="22">
        <f t="shared" si="95"/>
        <v>13.5</v>
      </c>
      <c r="BA40" s="21">
        <v>459</v>
      </c>
      <c r="BB40" s="22">
        <f t="shared" si="96"/>
        <v>14.806451612903226</v>
      </c>
      <c r="BC40" s="23">
        <f t="shared" si="97"/>
        <v>5813.228417818741</v>
      </c>
      <c r="BD40" s="24">
        <f t="shared" si="98"/>
        <v>3.3049536920660341</v>
      </c>
      <c r="BE40" s="21">
        <v>401</v>
      </c>
      <c r="BF40" s="22">
        <f t="shared" si="99"/>
        <v>12.935483870967742</v>
      </c>
      <c r="BG40" s="21">
        <v>366</v>
      </c>
      <c r="BH40" s="22">
        <f t="shared" si="100"/>
        <v>13.071428571428571</v>
      </c>
      <c r="BI40" s="21">
        <v>457</v>
      </c>
      <c r="BJ40" s="22">
        <f t="shared" si="101"/>
        <v>14.741935483870968</v>
      </c>
      <c r="BK40" s="21">
        <v>451</v>
      </c>
      <c r="BL40" s="22">
        <f t="shared" si="102"/>
        <v>15.033333333333333</v>
      </c>
      <c r="BM40" s="21">
        <v>307</v>
      </c>
      <c r="BN40" s="22">
        <f t="shared" si="103"/>
        <v>9.9032258064516121</v>
      </c>
      <c r="BO40" s="21">
        <v>626</v>
      </c>
      <c r="BP40" s="22">
        <f t="shared" si="104"/>
        <v>20.866666666666667</v>
      </c>
      <c r="BQ40" s="21">
        <v>441</v>
      </c>
      <c r="BR40" s="22">
        <f t="shared" si="105"/>
        <v>14.225806451612904</v>
      </c>
      <c r="BS40" s="21">
        <v>575</v>
      </c>
      <c r="BT40" s="22">
        <f t="shared" si="106"/>
        <v>18.548387096774192</v>
      </c>
      <c r="BU40" s="21">
        <v>602</v>
      </c>
      <c r="BV40" s="22">
        <f t="shared" si="107"/>
        <v>20.066666666666666</v>
      </c>
      <c r="BW40" s="21">
        <v>405</v>
      </c>
      <c r="BX40" s="22">
        <f t="shared" si="108"/>
        <v>13.064516129032258</v>
      </c>
      <c r="BY40" s="21">
        <v>421</v>
      </c>
      <c r="BZ40" s="22">
        <f t="shared" si="109"/>
        <v>14.033333333333333</v>
      </c>
      <c r="CA40" s="21">
        <v>475</v>
      </c>
      <c r="CB40" s="22">
        <f t="shared" si="110"/>
        <v>15.32258064516129</v>
      </c>
      <c r="CC40" s="23">
        <f t="shared" si="111"/>
        <v>5693.4907834101377</v>
      </c>
      <c r="CD40" s="24">
        <f t="shared" si="112"/>
        <v>3.1882785629931512</v>
      </c>
      <c r="CE40" s="21">
        <v>310</v>
      </c>
      <c r="CF40" s="22">
        <f t="shared" si="113"/>
        <v>10</v>
      </c>
      <c r="CG40" s="21">
        <v>286</v>
      </c>
      <c r="CH40" s="22">
        <f t="shared" si="114"/>
        <v>10.214285714285714</v>
      </c>
      <c r="CI40" s="21">
        <v>323</v>
      </c>
      <c r="CJ40" s="22">
        <f t="shared" si="115"/>
        <v>10.419354838709678</v>
      </c>
      <c r="CK40" s="21">
        <v>538</v>
      </c>
      <c r="CL40" s="22">
        <f t="shared" si="116"/>
        <v>17.933333333333334</v>
      </c>
      <c r="CM40" s="21">
        <v>425</v>
      </c>
      <c r="CN40" s="22">
        <f t="shared" si="117"/>
        <v>13.709677419354838</v>
      </c>
      <c r="CO40" s="21">
        <v>373</v>
      </c>
      <c r="CP40" s="22">
        <f t="shared" si="118"/>
        <v>12.433333333333334</v>
      </c>
      <c r="CQ40" s="21">
        <v>288</v>
      </c>
      <c r="CR40" s="22">
        <f t="shared" si="119"/>
        <v>9.2903225806451619</v>
      </c>
      <c r="CS40" s="21">
        <v>345</v>
      </c>
      <c r="CT40" s="22">
        <f t="shared" si="120"/>
        <v>11.129032258064516</v>
      </c>
      <c r="CU40" s="21">
        <v>361</v>
      </c>
      <c r="CV40" s="22">
        <f t="shared" si="121"/>
        <v>12.033333333333333</v>
      </c>
      <c r="CW40" s="21">
        <v>506</v>
      </c>
      <c r="CX40" s="22">
        <f t="shared" si="122"/>
        <v>16.322580645161292</v>
      </c>
      <c r="CY40" s="21">
        <v>399</v>
      </c>
      <c r="CZ40" s="22">
        <f t="shared" si="123"/>
        <v>13.3</v>
      </c>
      <c r="DA40" s="21">
        <v>449</v>
      </c>
      <c r="DB40" s="22">
        <f t="shared" si="124"/>
        <v>14.483870967741936</v>
      </c>
      <c r="DC40" s="23">
        <f t="shared" si="125"/>
        <v>4739.7852534562217</v>
      </c>
      <c r="DD40" s="24">
        <f t="shared" si="126"/>
        <v>2.6670626045000088</v>
      </c>
      <c r="DE40" s="21">
        <v>430</v>
      </c>
      <c r="DF40" s="22">
        <f t="shared" si="127"/>
        <v>13.870967741935484</v>
      </c>
      <c r="DG40" s="21">
        <v>302</v>
      </c>
      <c r="DH40" s="22">
        <f t="shared" si="128"/>
        <v>10.785714285714286</v>
      </c>
      <c r="DI40" s="21">
        <v>471</v>
      </c>
      <c r="DJ40" s="22">
        <f t="shared" si="129"/>
        <v>15.193548387096774</v>
      </c>
      <c r="DK40" s="21">
        <v>515</v>
      </c>
      <c r="DL40" s="22">
        <f t="shared" si="130"/>
        <v>17.166666666666668</v>
      </c>
      <c r="DM40" s="21">
        <v>417</v>
      </c>
      <c r="DN40" s="22">
        <f t="shared" si="131"/>
        <v>13.451612903225806</v>
      </c>
      <c r="DO40" s="21">
        <v>372</v>
      </c>
      <c r="DP40" s="22">
        <f t="shared" si="132"/>
        <v>12.4</v>
      </c>
      <c r="DQ40" s="21">
        <v>275</v>
      </c>
      <c r="DR40" s="22">
        <f t="shared" si="133"/>
        <v>8.870967741935484</v>
      </c>
      <c r="DS40" s="21">
        <v>463</v>
      </c>
      <c r="DT40" s="22">
        <f t="shared" si="134"/>
        <v>14.935483870967742</v>
      </c>
      <c r="DU40" s="21">
        <v>276</v>
      </c>
      <c r="DV40" s="22">
        <f t="shared" si="135"/>
        <v>9.1999999999999993</v>
      </c>
      <c r="DW40" s="21">
        <v>441</v>
      </c>
      <c r="DX40" s="22">
        <f t="shared" si="136"/>
        <v>14.225806451612904</v>
      </c>
      <c r="DY40" s="21">
        <v>371</v>
      </c>
      <c r="DZ40" s="22">
        <f t="shared" si="137"/>
        <v>12.366666666666667</v>
      </c>
      <c r="EA40" s="21">
        <v>500</v>
      </c>
      <c r="EB40" s="22">
        <f t="shared" si="138"/>
        <v>16.129032258064516</v>
      </c>
      <c r="EC40" s="23">
        <f t="shared" si="139"/>
        <v>4975.4674347158216</v>
      </c>
      <c r="ED40" s="24">
        <f t="shared" si="140"/>
        <v>2.6070903867459725</v>
      </c>
      <c r="EE40" s="25">
        <f t="shared" si="141"/>
        <v>211.4077512239345</v>
      </c>
    </row>
    <row r="41" spans="1:135" ht="15" customHeight="1" x14ac:dyDescent="0.35">
      <c r="A41" s="17">
        <v>36</v>
      </c>
      <c r="B41" s="18" t="s">
        <v>106</v>
      </c>
      <c r="C41" s="19" t="s">
        <v>107</v>
      </c>
      <c r="D41" s="20" t="s">
        <v>36</v>
      </c>
      <c r="E41" s="21">
        <v>963</v>
      </c>
      <c r="F41" s="22">
        <f t="shared" si="71"/>
        <v>31.06451612903226</v>
      </c>
      <c r="G41" s="21">
        <v>1037</v>
      </c>
      <c r="H41" s="22">
        <f t="shared" si="72"/>
        <v>37.035714285714285</v>
      </c>
      <c r="I41" s="21">
        <v>603</v>
      </c>
      <c r="J41" s="22">
        <f t="shared" si="73"/>
        <v>19.451612903225808</v>
      </c>
      <c r="K41" s="21">
        <v>584</v>
      </c>
      <c r="L41" s="22">
        <f t="shared" si="74"/>
        <v>19.466666666666665</v>
      </c>
      <c r="M41" s="21">
        <v>1190</v>
      </c>
      <c r="N41" s="22">
        <f t="shared" si="75"/>
        <v>38.387096774193552</v>
      </c>
      <c r="O41" s="21">
        <v>1263</v>
      </c>
      <c r="P41" s="22">
        <f t="shared" si="76"/>
        <v>42.1</v>
      </c>
      <c r="Q41" s="21">
        <v>1057</v>
      </c>
      <c r="R41" s="22">
        <f t="shared" si="77"/>
        <v>34.096774193548384</v>
      </c>
      <c r="S41" s="21">
        <v>1128</v>
      </c>
      <c r="T41" s="22">
        <f t="shared" si="78"/>
        <v>36.387096774193552</v>
      </c>
      <c r="U41" s="21">
        <v>866</v>
      </c>
      <c r="V41" s="22">
        <f t="shared" si="79"/>
        <v>28.866666666666667</v>
      </c>
      <c r="W41" s="21">
        <v>1187</v>
      </c>
      <c r="X41" s="22">
        <f t="shared" si="80"/>
        <v>38.29032258064516</v>
      </c>
      <c r="Y41" s="21">
        <v>731</v>
      </c>
      <c r="Z41" s="22">
        <f t="shared" si="81"/>
        <v>24.366666666666667</v>
      </c>
      <c r="AA41" s="21">
        <v>1086</v>
      </c>
      <c r="AB41" s="22">
        <f t="shared" si="82"/>
        <v>35.032258064516128</v>
      </c>
      <c r="AC41" s="23">
        <f t="shared" si="83"/>
        <v>12044.513133640552</v>
      </c>
      <c r="AD41" s="24">
        <f t="shared" si="84"/>
        <v>7.5320624482086176</v>
      </c>
      <c r="AE41" s="21">
        <v>693</v>
      </c>
      <c r="AF41" s="22">
        <f t="shared" si="85"/>
        <v>22.35483870967742</v>
      </c>
      <c r="AG41" s="21">
        <v>1146</v>
      </c>
      <c r="AH41" s="22">
        <f t="shared" si="86"/>
        <v>40.928571428571431</v>
      </c>
      <c r="AI41" s="21">
        <v>1025</v>
      </c>
      <c r="AJ41" s="22">
        <f t="shared" si="87"/>
        <v>33.064516129032256</v>
      </c>
      <c r="AK41" s="21">
        <v>1248</v>
      </c>
      <c r="AL41" s="22">
        <f t="shared" si="88"/>
        <v>41.6</v>
      </c>
      <c r="AM41" s="21">
        <v>1293</v>
      </c>
      <c r="AN41" s="22">
        <f t="shared" si="89"/>
        <v>41.70967741935484</v>
      </c>
      <c r="AO41" s="21">
        <v>1247</v>
      </c>
      <c r="AP41" s="22">
        <f t="shared" si="90"/>
        <v>41.56666666666667</v>
      </c>
      <c r="AQ41" s="21">
        <v>1125</v>
      </c>
      <c r="AR41" s="22">
        <f t="shared" si="91"/>
        <v>36.29032258064516</v>
      </c>
      <c r="AS41" s="21">
        <v>1130</v>
      </c>
      <c r="AT41" s="22">
        <f t="shared" si="92"/>
        <v>36.451612903225808</v>
      </c>
      <c r="AU41" s="21">
        <v>690</v>
      </c>
      <c r="AV41" s="22">
        <f t="shared" si="93"/>
        <v>23</v>
      </c>
      <c r="AW41" s="21">
        <v>1188</v>
      </c>
      <c r="AX41" s="22">
        <f t="shared" si="94"/>
        <v>38.322580645161288</v>
      </c>
      <c r="AY41" s="21">
        <v>695</v>
      </c>
      <c r="AZ41" s="22">
        <f t="shared" si="95"/>
        <v>23.166666666666668</v>
      </c>
      <c r="BA41" s="21">
        <v>1167</v>
      </c>
      <c r="BB41" s="22">
        <f t="shared" si="96"/>
        <v>37.645161290322584</v>
      </c>
      <c r="BC41" s="23">
        <f t="shared" si="97"/>
        <v>13025.455453149001</v>
      </c>
      <c r="BD41" s="24">
        <f t="shared" si="98"/>
        <v>7.598230973240768</v>
      </c>
      <c r="BE41" s="21">
        <v>792</v>
      </c>
      <c r="BF41" s="22">
        <f t="shared" si="99"/>
        <v>25.548387096774192</v>
      </c>
      <c r="BG41" s="21">
        <v>1334</v>
      </c>
      <c r="BH41" s="22">
        <f t="shared" si="100"/>
        <v>47.642857142857146</v>
      </c>
      <c r="BI41" s="21">
        <v>593</v>
      </c>
      <c r="BJ41" s="22">
        <f t="shared" si="101"/>
        <v>19.129032258064516</v>
      </c>
      <c r="BK41" s="21">
        <v>1207</v>
      </c>
      <c r="BL41" s="22">
        <f t="shared" si="102"/>
        <v>40.233333333333334</v>
      </c>
      <c r="BM41" s="21">
        <v>1100</v>
      </c>
      <c r="BN41" s="22">
        <f t="shared" si="103"/>
        <v>35.483870967741936</v>
      </c>
      <c r="BO41" s="21">
        <v>1202</v>
      </c>
      <c r="BP41" s="22">
        <f t="shared" si="104"/>
        <v>40.06666666666667</v>
      </c>
      <c r="BQ41" s="21">
        <v>1282</v>
      </c>
      <c r="BR41" s="22">
        <f t="shared" si="105"/>
        <v>41.354838709677416</v>
      </c>
      <c r="BS41" s="21">
        <v>662</v>
      </c>
      <c r="BT41" s="22">
        <f t="shared" si="106"/>
        <v>21.35483870967742</v>
      </c>
      <c r="BU41" s="21">
        <v>654</v>
      </c>
      <c r="BV41" s="22">
        <f t="shared" si="107"/>
        <v>21.8</v>
      </c>
      <c r="BW41" s="21">
        <v>694</v>
      </c>
      <c r="BX41" s="22">
        <f t="shared" si="108"/>
        <v>22.387096774193548</v>
      </c>
      <c r="BY41" s="21">
        <v>728</v>
      </c>
      <c r="BZ41" s="22">
        <f t="shared" si="109"/>
        <v>24.266666666666666</v>
      </c>
      <c r="CA41" s="21">
        <v>986</v>
      </c>
      <c r="CB41" s="22">
        <f t="shared" si="110"/>
        <v>31.806451612903224</v>
      </c>
      <c r="CC41" s="23">
        <f t="shared" si="111"/>
        <v>11573.267588325652</v>
      </c>
      <c r="CD41" s="24">
        <f t="shared" si="112"/>
        <v>9.7242866286964311</v>
      </c>
      <c r="CE41" s="21">
        <v>1069</v>
      </c>
      <c r="CF41" s="22">
        <f t="shared" si="113"/>
        <v>34.483870967741936</v>
      </c>
      <c r="CG41" s="21">
        <v>695</v>
      </c>
      <c r="CH41" s="22">
        <f t="shared" si="114"/>
        <v>24.821428571428573</v>
      </c>
      <c r="CI41" s="21">
        <v>783</v>
      </c>
      <c r="CJ41" s="22">
        <f t="shared" si="115"/>
        <v>25.258064516129032</v>
      </c>
      <c r="CK41" s="21">
        <v>767</v>
      </c>
      <c r="CL41" s="22">
        <f t="shared" si="116"/>
        <v>25.566666666666666</v>
      </c>
      <c r="CM41" s="21">
        <v>789</v>
      </c>
      <c r="CN41" s="22">
        <f t="shared" si="117"/>
        <v>25.451612903225808</v>
      </c>
      <c r="CO41" s="21">
        <v>898</v>
      </c>
      <c r="CP41" s="22">
        <f t="shared" si="118"/>
        <v>29.933333333333334</v>
      </c>
      <c r="CQ41" s="21">
        <v>1188</v>
      </c>
      <c r="CR41" s="22">
        <f t="shared" si="119"/>
        <v>38.322580645161288</v>
      </c>
      <c r="CS41" s="21">
        <v>666</v>
      </c>
      <c r="CT41" s="22">
        <f t="shared" si="120"/>
        <v>21.483870967741936</v>
      </c>
      <c r="CU41" s="21">
        <v>979</v>
      </c>
      <c r="CV41" s="22">
        <f t="shared" si="121"/>
        <v>32.633333333333333</v>
      </c>
      <c r="CW41" s="21">
        <v>1091</v>
      </c>
      <c r="CX41" s="22">
        <f t="shared" si="122"/>
        <v>35.193548387096776</v>
      </c>
      <c r="CY41" s="21">
        <v>958</v>
      </c>
      <c r="CZ41" s="22">
        <f t="shared" si="123"/>
        <v>31.933333333333334</v>
      </c>
      <c r="DA41" s="21">
        <v>1098</v>
      </c>
      <c r="DB41" s="22">
        <f t="shared" si="124"/>
        <v>35.41935483870968</v>
      </c>
      <c r="DC41" s="23">
        <f t="shared" si="125"/>
        <v>11306.08164362519</v>
      </c>
      <c r="DD41" s="24">
        <f t="shared" si="126"/>
        <v>5.3812707751227338</v>
      </c>
      <c r="DE41" s="21">
        <v>1128</v>
      </c>
      <c r="DF41" s="22">
        <f t="shared" si="127"/>
        <v>36.387096774193552</v>
      </c>
      <c r="DG41" s="21">
        <v>630</v>
      </c>
      <c r="DH41" s="22">
        <f t="shared" si="128"/>
        <v>22.5</v>
      </c>
      <c r="DI41" s="21">
        <v>844</v>
      </c>
      <c r="DJ41" s="22">
        <f t="shared" si="129"/>
        <v>27.225806451612904</v>
      </c>
      <c r="DK41" s="21">
        <v>974</v>
      </c>
      <c r="DL41" s="22">
        <f t="shared" si="130"/>
        <v>32.466666666666669</v>
      </c>
      <c r="DM41" s="21">
        <v>603</v>
      </c>
      <c r="DN41" s="22">
        <f t="shared" si="131"/>
        <v>19.451612903225808</v>
      </c>
      <c r="DO41" s="21">
        <v>568</v>
      </c>
      <c r="DP41" s="22">
        <f t="shared" si="132"/>
        <v>18.933333333333334</v>
      </c>
      <c r="DQ41" s="21">
        <v>689</v>
      </c>
      <c r="DR41" s="22">
        <f t="shared" si="133"/>
        <v>22.225806451612904</v>
      </c>
      <c r="DS41" s="21">
        <v>934</v>
      </c>
      <c r="DT41" s="22">
        <f t="shared" si="134"/>
        <v>30.129032258064516</v>
      </c>
      <c r="DU41" s="21">
        <v>885</v>
      </c>
      <c r="DV41" s="22">
        <f t="shared" si="135"/>
        <v>29.5</v>
      </c>
      <c r="DW41" s="21">
        <v>1147</v>
      </c>
      <c r="DX41" s="22">
        <f t="shared" si="136"/>
        <v>37</v>
      </c>
      <c r="DY41" s="21">
        <v>984</v>
      </c>
      <c r="DZ41" s="22">
        <f t="shared" si="137"/>
        <v>32.799999999999997</v>
      </c>
      <c r="EA41" s="21">
        <v>1202</v>
      </c>
      <c r="EB41" s="22">
        <f t="shared" si="138"/>
        <v>38.774193548387096</v>
      </c>
      <c r="EC41" s="23">
        <f t="shared" si="139"/>
        <v>10896.619354838709</v>
      </c>
      <c r="ED41" s="24">
        <f t="shared" si="140"/>
        <v>6.9141017701376626</v>
      </c>
      <c r="EE41" s="25">
        <f t="shared" si="141"/>
        <v>490.29502452727559</v>
      </c>
    </row>
    <row r="42" spans="1:135" ht="15" customHeight="1" x14ac:dyDescent="0.35">
      <c r="A42" s="17">
        <v>37</v>
      </c>
      <c r="B42" s="18" t="s">
        <v>108</v>
      </c>
      <c r="C42" s="19" t="s">
        <v>109</v>
      </c>
      <c r="D42" s="20" t="s">
        <v>36</v>
      </c>
      <c r="E42" s="21">
        <v>1597</v>
      </c>
      <c r="F42" s="22">
        <f t="shared" si="71"/>
        <v>51.516129032258064</v>
      </c>
      <c r="G42" s="21">
        <v>2414</v>
      </c>
      <c r="H42" s="22">
        <f t="shared" si="72"/>
        <v>86.214285714285708</v>
      </c>
      <c r="I42" s="21">
        <v>1497</v>
      </c>
      <c r="J42" s="22">
        <f t="shared" si="73"/>
        <v>48.29032258064516</v>
      </c>
      <c r="K42" s="21">
        <v>1816</v>
      </c>
      <c r="L42" s="22">
        <f t="shared" si="74"/>
        <v>60.533333333333331</v>
      </c>
      <c r="M42" s="21">
        <v>3057</v>
      </c>
      <c r="N42" s="22">
        <f t="shared" si="75"/>
        <v>98.612903225806448</v>
      </c>
      <c r="O42" s="21">
        <v>3093</v>
      </c>
      <c r="P42" s="22">
        <f t="shared" si="76"/>
        <v>103.1</v>
      </c>
      <c r="Q42" s="21">
        <v>2315</v>
      </c>
      <c r="R42" s="22">
        <f t="shared" si="77"/>
        <v>74.677419354838705</v>
      </c>
      <c r="S42" s="21">
        <v>1505</v>
      </c>
      <c r="T42" s="22">
        <f t="shared" si="78"/>
        <v>48.548387096774192</v>
      </c>
      <c r="U42" s="21">
        <v>1557</v>
      </c>
      <c r="V42" s="22">
        <f t="shared" si="79"/>
        <v>51.9</v>
      </c>
      <c r="W42" s="21">
        <v>3165</v>
      </c>
      <c r="X42" s="22">
        <f t="shared" si="80"/>
        <v>102.09677419354838</v>
      </c>
      <c r="Y42" s="21">
        <v>3116</v>
      </c>
      <c r="Z42" s="22">
        <f t="shared" si="81"/>
        <v>103.86666666666666</v>
      </c>
      <c r="AA42" s="21">
        <v>2481</v>
      </c>
      <c r="AB42" s="22">
        <f t="shared" si="82"/>
        <v>80.032258064516128</v>
      </c>
      <c r="AC42" s="23">
        <f t="shared" si="83"/>
        <v>28442.356221198155</v>
      </c>
      <c r="AD42" s="24">
        <f t="shared" si="84"/>
        <v>22.895062461622079</v>
      </c>
      <c r="AE42" s="21">
        <v>1423</v>
      </c>
      <c r="AF42" s="22">
        <f t="shared" si="85"/>
        <v>45.903225806451616</v>
      </c>
      <c r="AG42" s="21">
        <v>3051</v>
      </c>
      <c r="AH42" s="22">
        <f t="shared" si="86"/>
        <v>108.96428571428571</v>
      </c>
      <c r="AI42" s="21">
        <v>1934</v>
      </c>
      <c r="AJ42" s="22">
        <f t="shared" si="87"/>
        <v>62.387096774193552</v>
      </c>
      <c r="AK42" s="21">
        <v>3110</v>
      </c>
      <c r="AL42" s="22">
        <f t="shared" si="88"/>
        <v>103.66666666666667</v>
      </c>
      <c r="AM42" s="21">
        <v>2430</v>
      </c>
      <c r="AN42" s="22">
        <f t="shared" si="89"/>
        <v>78.387096774193552</v>
      </c>
      <c r="AO42" s="21">
        <v>2730</v>
      </c>
      <c r="AP42" s="22">
        <f t="shared" si="90"/>
        <v>91</v>
      </c>
      <c r="AQ42" s="21">
        <v>2658</v>
      </c>
      <c r="AR42" s="22">
        <f t="shared" si="91"/>
        <v>85.741935483870961</v>
      </c>
      <c r="AS42" s="21">
        <v>2087</v>
      </c>
      <c r="AT42" s="22">
        <f t="shared" si="92"/>
        <v>67.322580645161295</v>
      </c>
      <c r="AU42" s="21">
        <v>1503</v>
      </c>
      <c r="AV42" s="22">
        <f t="shared" si="93"/>
        <v>50.1</v>
      </c>
      <c r="AW42" s="21">
        <v>1658</v>
      </c>
      <c r="AX42" s="22">
        <f t="shared" si="94"/>
        <v>53.483870967741936</v>
      </c>
      <c r="AY42" s="21">
        <v>1800</v>
      </c>
      <c r="AZ42" s="22">
        <f t="shared" si="95"/>
        <v>60</v>
      </c>
      <c r="BA42" s="21">
        <v>2880</v>
      </c>
      <c r="BB42" s="22">
        <f t="shared" si="96"/>
        <v>92.903225806451616</v>
      </c>
      <c r="BC42" s="23">
        <f t="shared" si="97"/>
        <v>28070.956758832563</v>
      </c>
      <c r="BD42" s="24">
        <f t="shared" si="98"/>
        <v>21.429249589539474</v>
      </c>
      <c r="BE42" s="21">
        <v>1899</v>
      </c>
      <c r="BF42" s="22">
        <f t="shared" si="99"/>
        <v>61.258064516129032</v>
      </c>
      <c r="BG42" s="21">
        <v>2744</v>
      </c>
      <c r="BH42" s="22">
        <f t="shared" si="100"/>
        <v>98</v>
      </c>
      <c r="BI42" s="21">
        <v>1803</v>
      </c>
      <c r="BJ42" s="22">
        <f t="shared" si="101"/>
        <v>58.161290322580648</v>
      </c>
      <c r="BK42" s="21">
        <v>2509</v>
      </c>
      <c r="BL42" s="22">
        <f t="shared" si="102"/>
        <v>83.63333333333334</v>
      </c>
      <c r="BM42" s="21">
        <v>1483</v>
      </c>
      <c r="BN42" s="22">
        <f t="shared" si="103"/>
        <v>47.838709677419352</v>
      </c>
      <c r="BO42" s="21">
        <v>2897</v>
      </c>
      <c r="BP42" s="22">
        <f t="shared" si="104"/>
        <v>96.566666666666663</v>
      </c>
      <c r="BQ42" s="21">
        <v>2457</v>
      </c>
      <c r="BR42" s="22">
        <f t="shared" si="105"/>
        <v>79.258064516129039</v>
      </c>
      <c r="BS42" s="21">
        <v>2085</v>
      </c>
      <c r="BT42" s="22">
        <f t="shared" si="106"/>
        <v>67.258064516129039</v>
      </c>
      <c r="BU42" s="21">
        <v>2874</v>
      </c>
      <c r="BV42" s="22">
        <f t="shared" si="107"/>
        <v>95.8</v>
      </c>
      <c r="BW42" s="21">
        <v>1339</v>
      </c>
      <c r="BX42" s="22">
        <f t="shared" si="108"/>
        <v>43.193548387096776</v>
      </c>
      <c r="BY42" s="21">
        <v>1978</v>
      </c>
      <c r="BZ42" s="22">
        <f t="shared" si="109"/>
        <v>65.933333333333337</v>
      </c>
      <c r="CA42" s="21">
        <v>2648</v>
      </c>
      <c r="CB42" s="22">
        <f t="shared" si="110"/>
        <v>85.41935483870968</v>
      </c>
      <c r="CC42" s="23">
        <f t="shared" si="111"/>
        <v>27512.901075268815</v>
      </c>
      <c r="CD42" s="24">
        <f t="shared" si="112"/>
        <v>18.987683468224606</v>
      </c>
      <c r="CE42" s="21">
        <v>2398</v>
      </c>
      <c r="CF42" s="22">
        <f t="shared" si="113"/>
        <v>77.354838709677423</v>
      </c>
      <c r="CG42" s="21">
        <v>3340</v>
      </c>
      <c r="CH42" s="22">
        <f t="shared" si="114"/>
        <v>119.28571428571429</v>
      </c>
      <c r="CI42" s="21">
        <v>3748</v>
      </c>
      <c r="CJ42" s="22">
        <f t="shared" si="115"/>
        <v>120.90322580645162</v>
      </c>
      <c r="CK42" s="21">
        <v>2521</v>
      </c>
      <c r="CL42" s="22">
        <f t="shared" si="116"/>
        <v>84.033333333333331</v>
      </c>
      <c r="CM42" s="21">
        <v>3350</v>
      </c>
      <c r="CN42" s="22">
        <f t="shared" si="117"/>
        <v>108.06451612903226</v>
      </c>
      <c r="CO42" s="21">
        <v>1714</v>
      </c>
      <c r="CP42" s="22">
        <f t="shared" si="118"/>
        <v>57.133333333333333</v>
      </c>
      <c r="CQ42" s="21">
        <v>2250</v>
      </c>
      <c r="CR42" s="22">
        <f t="shared" si="119"/>
        <v>72.58064516129032</v>
      </c>
      <c r="CS42" s="21">
        <v>3831</v>
      </c>
      <c r="CT42" s="22">
        <f t="shared" si="120"/>
        <v>123.58064516129032</v>
      </c>
      <c r="CU42" s="21">
        <v>2728</v>
      </c>
      <c r="CV42" s="22">
        <f t="shared" si="121"/>
        <v>90.933333333333337</v>
      </c>
      <c r="CW42" s="21">
        <v>2431</v>
      </c>
      <c r="CX42" s="22">
        <f t="shared" si="122"/>
        <v>78.41935483870968</v>
      </c>
      <c r="CY42" s="21">
        <v>3718</v>
      </c>
      <c r="CZ42" s="22">
        <f t="shared" si="123"/>
        <v>123.93333333333334</v>
      </c>
      <c r="DA42" s="21">
        <v>2599</v>
      </c>
      <c r="DB42" s="22">
        <f t="shared" si="124"/>
        <v>83.838709677419359</v>
      </c>
      <c r="DC42" s="23">
        <f t="shared" si="125"/>
        <v>35684.222273425505</v>
      </c>
      <c r="DD42" s="24">
        <f t="shared" si="126"/>
        <v>23.09979680530456</v>
      </c>
      <c r="DE42" s="21">
        <v>2393</v>
      </c>
      <c r="DF42" s="22">
        <f t="shared" si="127"/>
        <v>77.193548387096769</v>
      </c>
      <c r="DG42" s="21">
        <v>2361</v>
      </c>
      <c r="DH42" s="22">
        <f t="shared" si="128"/>
        <v>84.321428571428569</v>
      </c>
      <c r="DI42" s="21">
        <v>1399</v>
      </c>
      <c r="DJ42" s="22">
        <f t="shared" si="129"/>
        <v>45.12903225806452</v>
      </c>
      <c r="DK42" s="21">
        <v>2290</v>
      </c>
      <c r="DL42" s="22">
        <f t="shared" si="130"/>
        <v>76.333333333333329</v>
      </c>
      <c r="DM42" s="21">
        <v>2591</v>
      </c>
      <c r="DN42" s="22">
        <f t="shared" si="131"/>
        <v>83.58064516129032</v>
      </c>
      <c r="DO42" s="21">
        <v>2448</v>
      </c>
      <c r="DP42" s="22">
        <f t="shared" si="132"/>
        <v>81.599999999999994</v>
      </c>
      <c r="DQ42" s="21">
        <v>1392</v>
      </c>
      <c r="DR42" s="22">
        <f t="shared" si="133"/>
        <v>44.903225806451616</v>
      </c>
      <c r="DS42" s="21">
        <v>1513</v>
      </c>
      <c r="DT42" s="22">
        <f t="shared" si="134"/>
        <v>48.806451612903224</v>
      </c>
      <c r="DU42" s="21">
        <v>2446</v>
      </c>
      <c r="DV42" s="22">
        <f t="shared" si="135"/>
        <v>81.533333333333331</v>
      </c>
      <c r="DW42" s="21">
        <v>2316</v>
      </c>
      <c r="DX42" s="22">
        <f t="shared" si="136"/>
        <v>74.709677419354833</v>
      </c>
      <c r="DY42" s="21">
        <v>2493</v>
      </c>
      <c r="DZ42" s="22">
        <f t="shared" si="137"/>
        <v>83.1</v>
      </c>
      <c r="EA42" s="21">
        <v>1785</v>
      </c>
      <c r="EB42" s="22">
        <f t="shared" si="138"/>
        <v>57.58064516129032</v>
      </c>
      <c r="EC42" s="23">
        <f t="shared" si="139"/>
        <v>26208.210675883252</v>
      </c>
      <c r="ED42" s="24">
        <f t="shared" si="140"/>
        <v>15.938696664876586</v>
      </c>
      <c r="EE42" s="25">
        <f t="shared" si="141"/>
        <v>1246.8842310917621</v>
      </c>
    </row>
    <row r="43" spans="1:135" ht="15" customHeight="1" x14ac:dyDescent="0.35">
      <c r="A43" s="17">
        <v>38</v>
      </c>
      <c r="B43" s="18" t="s">
        <v>110</v>
      </c>
      <c r="C43" s="19" t="s">
        <v>111</v>
      </c>
      <c r="D43" s="20" t="s">
        <v>36</v>
      </c>
      <c r="E43" s="21">
        <v>2896</v>
      </c>
      <c r="F43" s="22">
        <f t="shared" si="71"/>
        <v>93.41935483870968</v>
      </c>
      <c r="G43" s="21">
        <v>2553</v>
      </c>
      <c r="H43" s="22">
        <f t="shared" si="72"/>
        <v>91.178571428571431</v>
      </c>
      <c r="I43" s="21">
        <v>3578</v>
      </c>
      <c r="J43" s="22">
        <f t="shared" si="73"/>
        <v>115.41935483870968</v>
      </c>
      <c r="K43" s="21">
        <v>3752</v>
      </c>
      <c r="L43" s="22">
        <f t="shared" si="74"/>
        <v>125.06666666666666</v>
      </c>
      <c r="M43" s="21">
        <v>3448</v>
      </c>
      <c r="N43" s="22">
        <f t="shared" si="75"/>
        <v>111.2258064516129</v>
      </c>
      <c r="O43" s="21">
        <v>2984</v>
      </c>
      <c r="P43" s="22">
        <f t="shared" si="76"/>
        <v>99.466666666666669</v>
      </c>
      <c r="Q43" s="21">
        <v>3169</v>
      </c>
      <c r="R43" s="22">
        <f t="shared" si="77"/>
        <v>102.2258064516129</v>
      </c>
      <c r="S43" s="21">
        <v>4053</v>
      </c>
      <c r="T43" s="22">
        <f t="shared" si="78"/>
        <v>130.74193548387098</v>
      </c>
      <c r="U43" s="21">
        <v>4411</v>
      </c>
      <c r="V43" s="22">
        <f t="shared" si="79"/>
        <v>147.03333333333333</v>
      </c>
      <c r="W43" s="21">
        <v>3915</v>
      </c>
      <c r="X43" s="22">
        <f t="shared" si="80"/>
        <v>126.29032258064517</v>
      </c>
      <c r="Y43" s="21">
        <v>2624</v>
      </c>
      <c r="Z43" s="22">
        <f t="shared" si="81"/>
        <v>87.466666666666669</v>
      </c>
      <c r="AA43" s="21">
        <v>3732</v>
      </c>
      <c r="AB43" s="22">
        <f t="shared" si="82"/>
        <v>120.38709677419355</v>
      </c>
      <c r="AC43" s="23">
        <f t="shared" si="83"/>
        <v>42344.534485407072</v>
      </c>
      <c r="AD43" s="24">
        <f t="shared" si="84"/>
        <v>18.257089180951507</v>
      </c>
      <c r="AE43" s="21">
        <v>2694</v>
      </c>
      <c r="AF43" s="22">
        <f t="shared" si="85"/>
        <v>86.903225806451616</v>
      </c>
      <c r="AG43" s="21">
        <v>4308</v>
      </c>
      <c r="AH43" s="22">
        <f t="shared" si="86"/>
        <v>153.85714285714286</v>
      </c>
      <c r="AI43" s="21">
        <v>3434</v>
      </c>
      <c r="AJ43" s="22">
        <f t="shared" si="87"/>
        <v>110.7741935483871</v>
      </c>
      <c r="AK43" s="21">
        <v>3628</v>
      </c>
      <c r="AL43" s="22">
        <f t="shared" si="88"/>
        <v>120.93333333333334</v>
      </c>
      <c r="AM43" s="21">
        <v>3330</v>
      </c>
      <c r="AN43" s="22">
        <f t="shared" si="89"/>
        <v>107.41935483870968</v>
      </c>
      <c r="AO43" s="21">
        <v>3636</v>
      </c>
      <c r="AP43" s="22">
        <f t="shared" si="90"/>
        <v>121.2</v>
      </c>
      <c r="AQ43" s="21">
        <v>2668</v>
      </c>
      <c r="AR43" s="22">
        <f t="shared" si="91"/>
        <v>86.064516129032256</v>
      </c>
      <c r="AS43" s="21">
        <v>5277</v>
      </c>
      <c r="AT43" s="22">
        <f t="shared" si="92"/>
        <v>170.2258064516129</v>
      </c>
      <c r="AU43" s="21">
        <v>5290</v>
      </c>
      <c r="AV43" s="22">
        <f t="shared" si="93"/>
        <v>176.33333333333334</v>
      </c>
      <c r="AW43" s="21">
        <v>5523</v>
      </c>
      <c r="AX43" s="22">
        <f t="shared" si="94"/>
        <v>178.16129032258064</v>
      </c>
      <c r="AY43" s="21">
        <v>4225</v>
      </c>
      <c r="AZ43" s="22">
        <f t="shared" si="95"/>
        <v>140.83333333333334</v>
      </c>
      <c r="BA43" s="21">
        <v>2939</v>
      </c>
      <c r="BB43" s="22">
        <f t="shared" si="96"/>
        <v>94.806451612903231</v>
      </c>
      <c r="BC43" s="23">
        <f t="shared" si="97"/>
        <v>48404.705529953928</v>
      </c>
      <c r="BD43" s="24">
        <f t="shared" si="98"/>
        <v>34.143198193537103</v>
      </c>
      <c r="BE43" s="21">
        <v>4829</v>
      </c>
      <c r="BF43" s="22">
        <f t="shared" si="99"/>
        <v>155.7741935483871</v>
      </c>
      <c r="BG43" s="21">
        <v>3796</v>
      </c>
      <c r="BH43" s="22">
        <f t="shared" si="100"/>
        <v>135.57142857142858</v>
      </c>
      <c r="BI43" s="21">
        <v>4489</v>
      </c>
      <c r="BJ43" s="22">
        <f t="shared" si="101"/>
        <v>144.80645161290323</v>
      </c>
      <c r="BK43" s="21">
        <v>5309</v>
      </c>
      <c r="BL43" s="22">
        <f t="shared" si="102"/>
        <v>176.96666666666667</v>
      </c>
      <c r="BM43" s="21">
        <v>3473</v>
      </c>
      <c r="BN43" s="22">
        <f t="shared" si="103"/>
        <v>112.03225806451613</v>
      </c>
      <c r="BO43" s="21">
        <v>5060</v>
      </c>
      <c r="BP43" s="22">
        <f t="shared" si="104"/>
        <v>168.66666666666666</v>
      </c>
      <c r="BQ43" s="21">
        <v>5002</v>
      </c>
      <c r="BR43" s="22">
        <f t="shared" si="105"/>
        <v>161.35483870967741</v>
      </c>
      <c r="BS43" s="21">
        <v>5271</v>
      </c>
      <c r="BT43" s="22">
        <f t="shared" si="106"/>
        <v>170.03225806451613</v>
      </c>
      <c r="BU43" s="21">
        <v>3532</v>
      </c>
      <c r="BV43" s="22">
        <f t="shared" si="107"/>
        <v>117.73333333333333</v>
      </c>
      <c r="BW43" s="21">
        <v>4278</v>
      </c>
      <c r="BX43" s="22">
        <f t="shared" si="108"/>
        <v>138</v>
      </c>
      <c r="BY43" s="21">
        <v>4256</v>
      </c>
      <c r="BZ43" s="22">
        <f t="shared" si="109"/>
        <v>141.86666666666667</v>
      </c>
      <c r="CA43" s="21">
        <v>5873</v>
      </c>
      <c r="CB43" s="22">
        <f t="shared" si="110"/>
        <v>189.45161290322579</v>
      </c>
      <c r="CC43" s="23">
        <f t="shared" si="111"/>
        <v>56790.804761904757</v>
      </c>
      <c r="CD43" s="24">
        <f t="shared" si="112"/>
        <v>23.570237512931286</v>
      </c>
      <c r="CE43" s="21">
        <v>4889</v>
      </c>
      <c r="CF43" s="22">
        <f t="shared" si="113"/>
        <v>157.70967741935485</v>
      </c>
      <c r="CG43" s="21">
        <v>3440</v>
      </c>
      <c r="CH43" s="22">
        <f t="shared" si="114"/>
        <v>122.85714285714286</v>
      </c>
      <c r="CI43" s="21">
        <v>3118</v>
      </c>
      <c r="CJ43" s="22">
        <f t="shared" si="115"/>
        <v>100.58064516129032</v>
      </c>
      <c r="CK43" s="21">
        <v>3837</v>
      </c>
      <c r="CL43" s="22">
        <f t="shared" si="116"/>
        <v>127.9</v>
      </c>
      <c r="CM43" s="21">
        <v>6181</v>
      </c>
      <c r="CN43" s="22">
        <f t="shared" si="117"/>
        <v>199.38709677419354</v>
      </c>
      <c r="CO43" s="21">
        <v>3938</v>
      </c>
      <c r="CP43" s="22">
        <f t="shared" si="118"/>
        <v>131.26666666666668</v>
      </c>
      <c r="CQ43" s="21">
        <v>4985</v>
      </c>
      <c r="CR43" s="22">
        <f t="shared" si="119"/>
        <v>160.80645161290323</v>
      </c>
      <c r="CS43" s="21">
        <v>5654</v>
      </c>
      <c r="CT43" s="22">
        <f t="shared" si="120"/>
        <v>182.38709677419354</v>
      </c>
      <c r="CU43" s="21">
        <v>3928</v>
      </c>
      <c r="CV43" s="22">
        <f t="shared" si="121"/>
        <v>130.93333333333334</v>
      </c>
      <c r="CW43" s="21">
        <v>3947</v>
      </c>
      <c r="CX43" s="22">
        <f t="shared" si="122"/>
        <v>127.3225806451613</v>
      </c>
      <c r="CY43" s="21">
        <v>5696</v>
      </c>
      <c r="CZ43" s="22">
        <f t="shared" si="123"/>
        <v>189.86666666666667</v>
      </c>
      <c r="DA43" s="21">
        <v>5856</v>
      </c>
      <c r="DB43" s="22">
        <f t="shared" si="124"/>
        <v>188.90322580645162</v>
      </c>
      <c r="DC43" s="23">
        <f t="shared" si="125"/>
        <v>57100.017357910911</v>
      </c>
      <c r="DD43" s="24">
        <f t="shared" si="126"/>
        <v>32.51591088795626</v>
      </c>
      <c r="DE43" s="21">
        <v>5518</v>
      </c>
      <c r="DF43" s="22">
        <f t="shared" si="127"/>
        <v>178</v>
      </c>
      <c r="DG43" s="21">
        <v>2836</v>
      </c>
      <c r="DH43" s="22">
        <f t="shared" si="128"/>
        <v>101.28571428571429</v>
      </c>
      <c r="DI43" s="21">
        <v>3426</v>
      </c>
      <c r="DJ43" s="22">
        <f t="shared" si="129"/>
        <v>110.51612903225806</v>
      </c>
      <c r="DK43" s="21">
        <v>5432</v>
      </c>
      <c r="DL43" s="22">
        <f t="shared" si="130"/>
        <v>181.06666666666666</v>
      </c>
      <c r="DM43" s="21">
        <v>3043</v>
      </c>
      <c r="DN43" s="22">
        <f t="shared" si="131"/>
        <v>98.161290322580641</v>
      </c>
      <c r="DO43" s="21">
        <v>3406</v>
      </c>
      <c r="DP43" s="22">
        <f t="shared" si="132"/>
        <v>113.53333333333333</v>
      </c>
      <c r="DQ43" s="21">
        <v>5487</v>
      </c>
      <c r="DR43" s="22">
        <f t="shared" si="133"/>
        <v>177</v>
      </c>
      <c r="DS43" s="21">
        <v>5500</v>
      </c>
      <c r="DT43" s="22">
        <f t="shared" si="134"/>
        <v>177.41935483870967</v>
      </c>
      <c r="DU43" s="21">
        <v>3333</v>
      </c>
      <c r="DV43" s="22">
        <f t="shared" si="135"/>
        <v>111.1</v>
      </c>
      <c r="DW43" s="21">
        <v>4624</v>
      </c>
      <c r="DX43" s="22">
        <f t="shared" si="136"/>
        <v>149.16129032258064</v>
      </c>
      <c r="DY43" s="21">
        <v>3971</v>
      </c>
      <c r="DZ43" s="22">
        <f t="shared" si="137"/>
        <v>132.36666666666667</v>
      </c>
      <c r="EA43" s="21">
        <v>4243</v>
      </c>
      <c r="EB43" s="22">
        <f t="shared" si="138"/>
        <v>136.87096774193549</v>
      </c>
      <c r="EC43" s="23">
        <f t="shared" si="139"/>
        <v>52348.610445468512</v>
      </c>
      <c r="ED43" s="24">
        <f t="shared" si="140"/>
        <v>32.600480165371785</v>
      </c>
      <c r="EE43" s="25">
        <f t="shared" si="141"/>
        <v>2125.7231789070793</v>
      </c>
    </row>
    <row r="44" spans="1:135" ht="15" customHeight="1" x14ac:dyDescent="0.35">
      <c r="A44" s="17">
        <v>39</v>
      </c>
      <c r="B44" s="18" t="s">
        <v>112</v>
      </c>
      <c r="C44" s="19" t="s">
        <v>113</v>
      </c>
      <c r="D44" s="20" t="s">
        <v>36</v>
      </c>
      <c r="E44" s="21">
        <v>1465</v>
      </c>
      <c r="F44" s="22">
        <f t="shared" si="71"/>
        <v>47.258064516129032</v>
      </c>
      <c r="G44" s="21">
        <v>1662</v>
      </c>
      <c r="H44" s="22">
        <f t="shared" si="72"/>
        <v>59.357142857142854</v>
      </c>
      <c r="I44" s="21">
        <v>2312</v>
      </c>
      <c r="J44" s="22">
        <f t="shared" si="73"/>
        <v>74.58064516129032</v>
      </c>
      <c r="K44" s="21">
        <v>1687</v>
      </c>
      <c r="L44" s="22">
        <f t="shared" si="74"/>
        <v>56.233333333333334</v>
      </c>
      <c r="M44" s="21">
        <v>1275</v>
      </c>
      <c r="N44" s="22">
        <f t="shared" si="75"/>
        <v>41.12903225806452</v>
      </c>
      <c r="O44" s="21">
        <v>1939</v>
      </c>
      <c r="P44" s="22">
        <f t="shared" si="76"/>
        <v>64.63333333333334</v>
      </c>
      <c r="Q44" s="21">
        <v>1981</v>
      </c>
      <c r="R44" s="22">
        <f t="shared" si="77"/>
        <v>63.903225806451616</v>
      </c>
      <c r="S44" s="21">
        <v>1912</v>
      </c>
      <c r="T44" s="22">
        <f t="shared" si="78"/>
        <v>61.677419354838712</v>
      </c>
      <c r="U44" s="21">
        <v>2113</v>
      </c>
      <c r="V44" s="22">
        <f t="shared" si="79"/>
        <v>70.433333333333337</v>
      </c>
      <c r="W44" s="21">
        <v>1919</v>
      </c>
      <c r="X44" s="22">
        <f t="shared" si="80"/>
        <v>61.903225806451616</v>
      </c>
      <c r="Y44" s="21">
        <v>2513</v>
      </c>
      <c r="Z44" s="22">
        <f t="shared" si="81"/>
        <v>83.766666666666666</v>
      </c>
      <c r="AA44" s="21">
        <v>1788</v>
      </c>
      <c r="AB44" s="22">
        <f t="shared" si="82"/>
        <v>57.677419354838712</v>
      </c>
      <c r="AC44" s="23">
        <f t="shared" si="83"/>
        <v>23250.875422427034</v>
      </c>
      <c r="AD44" s="24">
        <f t="shared" si="84"/>
        <v>11.38389186448128</v>
      </c>
      <c r="AE44" s="21">
        <v>2002</v>
      </c>
      <c r="AF44" s="22">
        <f t="shared" si="85"/>
        <v>64.58064516129032</v>
      </c>
      <c r="AG44" s="21">
        <v>1632</v>
      </c>
      <c r="AH44" s="22">
        <f t="shared" si="86"/>
        <v>58.285714285714285</v>
      </c>
      <c r="AI44" s="21">
        <v>1430</v>
      </c>
      <c r="AJ44" s="22">
        <f t="shared" si="87"/>
        <v>46.12903225806452</v>
      </c>
      <c r="AK44" s="21">
        <v>1981</v>
      </c>
      <c r="AL44" s="22">
        <f t="shared" si="88"/>
        <v>66.033333333333331</v>
      </c>
      <c r="AM44" s="21">
        <v>2154</v>
      </c>
      <c r="AN44" s="22">
        <f t="shared" si="89"/>
        <v>69.483870967741936</v>
      </c>
      <c r="AO44" s="21">
        <v>2122</v>
      </c>
      <c r="AP44" s="22">
        <f t="shared" si="90"/>
        <v>70.733333333333334</v>
      </c>
      <c r="AQ44" s="21">
        <v>1592</v>
      </c>
      <c r="AR44" s="22">
        <f t="shared" si="91"/>
        <v>51.354838709677416</v>
      </c>
      <c r="AS44" s="21">
        <v>1715</v>
      </c>
      <c r="AT44" s="22">
        <f t="shared" si="92"/>
        <v>55.322580645161288</v>
      </c>
      <c r="AU44" s="21">
        <v>1899</v>
      </c>
      <c r="AV44" s="22">
        <f t="shared" si="93"/>
        <v>63.3</v>
      </c>
      <c r="AW44" s="21">
        <v>1362</v>
      </c>
      <c r="AX44" s="22">
        <f t="shared" si="94"/>
        <v>43.935483870967744</v>
      </c>
      <c r="AY44" s="21">
        <v>1934</v>
      </c>
      <c r="AZ44" s="22">
        <f t="shared" si="95"/>
        <v>64.466666666666669</v>
      </c>
      <c r="BA44" s="21">
        <v>2012</v>
      </c>
      <c r="BB44" s="22">
        <f t="shared" si="96"/>
        <v>64.903225806451616</v>
      </c>
      <c r="BC44" s="23">
        <f t="shared" si="97"/>
        <v>22488.625499231952</v>
      </c>
      <c r="BD44" s="24">
        <f t="shared" si="98"/>
        <v>8.8793032421456441</v>
      </c>
      <c r="BE44" s="21">
        <v>2666</v>
      </c>
      <c r="BF44" s="22">
        <f t="shared" si="99"/>
        <v>86</v>
      </c>
      <c r="BG44" s="21">
        <v>1427</v>
      </c>
      <c r="BH44" s="22">
        <f t="shared" si="100"/>
        <v>50.964285714285715</v>
      </c>
      <c r="BI44" s="21">
        <v>3015</v>
      </c>
      <c r="BJ44" s="22">
        <f t="shared" si="101"/>
        <v>97.258064516129039</v>
      </c>
      <c r="BK44" s="21">
        <v>2129</v>
      </c>
      <c r="BL44" s="22">
        <f t="shared" si="102"/>
        <v>70.966666666666669</v>
      </c>
      <c r="BM44" s="21">
        <v>1993</v>
      </c>
      <c r="BN44" s="22">
        <f t="shared" si="103"/>
        <v>64.290322580645167</v>
      </c>
      <c r="BO44" s="21">
        <v>2176</v>
      </c>
      <c r="BP44" s="22">
        <f t="shared" si="104"/>
        <v>72.533333333333331</v>
      </c>
      <c r="BQ44" s="21">
        <v>2893</v>
      </c>
      <c r="BR44" s="22">
        <f t="shared" si="105"/>
        <v>93.322580645161295</v>
      </c>
      <c r="BS44" s="21">
        <v>2497</v>
      </c>
      <c r="BT44" s="22">
        <f t="shared" si="106"/>
        <v>80.548387096774192</v>
      </c>
      <c r="BU44" s="21">
        <v>2240</v>
      </c>
      <c r="BV44" s="22">
        <f t="shared" si="107"/>
        <v>74.666666666666671</v>
      </c>
      <c r="BW44" s="21">
        <v>2668</v>
      </c>
      <c r="BX44" s="22">
        <f t="shared" si="108"/>
        <v>86.064516129032256</v>
      </c>
      <c r="BY44" s="21">
        <v>1922</v>
      </c>
      <c r="BZ44" s="22">
        <f t="shared" si="109"/>
        <v>64.066666666666663</v>
      </c>
      <c r="CA44" s="21">
        <v>2850</v>
      </c>
      <c r="CB44" s="22">
        <f t="shared" si="110"/>
        <v>91.935483870967744</v>
      </c>
      <c r="CC44" s="23">
        <f t="shared" si="111"/>
        <v>29316.681490015366</v>
      </c>
      <c r="CD44" s="24">
        <f t="shared" si="112"/>
        <v>13.941160146809237</v>
      </c>
      <c r="CE44" s="21">
        <v>2311</v>
      </c>
      <c r="CF44" s="22">
        <f t="shared" si="113"/>
        <v>74.548387096774192</v>
      </c>
      <c r="CG44" s="21">
        <v>2492</v>
      </c>
      <c r="CH44" s="22">
        <f t="shared" si="114"/>
        <v>89</v>
      </c>
      <c r="CI44" s="21">
        <v>1499</v>
      </c>
      <c r="CJ44" s="22">
        <f t="shared" si="115"/>
        <v>48.354838709677416</v>
      </c>
      <c r="CK44" s="21">
        <v>2727</v>
      </c>
      <c r="CL44" s="22">
        <f t="shared" si="116"/>
        <v>90.9</v>
      </c>
      <c r="CM44" s="21">
        <v>2527</v>
      </c>
      <c r="CN44" s="22">
        <f t="shared" si="117"/>
        <v>81.516129032258064</v>
      </c>
      <c r="CO44" s="21">
        <v>1984</v>
      </c>
      <c r="CP44" s="22">
        <f t="shared" si="118"/>
        <v>66.13333333333334</v>
      </c>
      <c r="CQ44" s="21">
        <v>2508</v>
      </c>
      <c r="CR44" s="22">
        <f t="shared" si="119"/>
        <v>80.903225806451616</v>
      </c>
      <c r="CS44" s="21">
        <v>1426</v>
      </c>
      <c r="CT44" s="22">
        <f t="shared" si="120"/>
        <v>46</v>
      </c>
      <c r="CU44" s="21">
        <v>3113</v>
      </c>
      <c r="CV44" s="22">
        <f t="shared" si="121"/>
        <v>103.76666666666667</v>
      </c>
      <c r="CW44" s="21">
        <v>2563</v>
      </c>
      <c r="CX44" s="22">
        <f t="shared" si="122"/>
        <v>82.677419354838705</v>
      </c>
      <c r="CY44" s="21">
        <v>2064</v>
      </c>
      <c r="CZ44" s="22">
        <f t="shared" si="123"/>
        <v>68.8</v>
      </c>
      <c r="DA44" s="21">
        <v>2698</v>
      </c>
      <c r="DB44" s="22">
        <f t="shared" si="124"/>
        <v>87.032258064516128</v>
      </c>
      <c r="DC44" s="23">
        <f t="shared" si="125"/>
        <v>28744.599999999995</v>
      </c>
      <c r="DD44" s="24">
        <f t="shared" si="126"/>
        <v>17.038631724477536</v>
      </c>
      <c r="DE44" s="21">
        <v>2423</v>
      </c>
      <c r="DF44" s="22">
        <f t="shared" si="127"/>
        <v>78.161290322580641</v>
      </c>
      <c r="DG44" s="21">
        <v>1667</v>
      </c>
      <c r="DH44" s="22">
        <f t="shared" si="128"/>
        <v>59.535714285714285</v>
      </c>
      <c r="DI44" s="21">
        <v>1074</v>
      </c>
      <c r="DJ44" s="22">
        <f t="shared" si="129"/>
        <v>34.645161290322584</v>
      </c>
      <c r="DK44" s="21">
        <v>1425</v>
      </c>
      <c r="DL44" s="22">
        <f t="shared" si="130"/>
        <v>47.5</v>
      </c>
      <c r="DM44" s="21">
        <v>1780</v>
      </c>
      <c r="DN44" s="22">
        <f t="shared" si="131"/>
        <v>57.41935483870968</v>
      </c>
      <c r="DO44" s="21">
        <v>1792</v>
      </c>
      <c r="DP44" s="22">
        <f t="shared" si="132"/>
        <v>59.733333333333334</v>
      </c>
      <c r="DQ44" s="21">
        <v>1879</v>
      </c>
      <c r="DR44" s="22">
        <f t="shared" si="133"/>
        <v>60.612903225806448</v>
      </c>
      <c r="DS44" s="21">
        <v>1872</v>
      </c>
      <c r="DT44" s="22">
        <f t="shared" si="134"/>
        <v>60.387096774193552</v>
      </c>
      <c r="DU44" s="21">
        <v>1689</v>
      </c>
      <c r="DV44" s="22">
        <f t="shared" si="135"/>
        <v>56.3</v>
      </c>
      <c r="DW44" s="21">
        <v>1612</v>
      </c>
      <c r="DX44" s="22">
        <f t="shared" si="136"/>
        <v>52</v>
      </c>
      <c r="DY44" s="21">
        <v>2150</v>
      </c>
      <c r="DZ44" s="22">
        <f t="shared" si="137"/>
        <v>71.666666666666671</v>
      </c>
      <c r="EA44" s="21">
        <v>1890</v>
      </c>
      <c r="EB44" s="22">
        <f t="shared" si="138"/>
        <v>60.967741935483872</v>
      </c>
      <c r="EC44" s="23">
        <f t="shared" si="139"/>
        <v>21890.961520737332</v>
      </c>
      <c r="ED44" s="24">
        <f t="shared" si="140"/>
        <v>10.930199391737608</v>
      </c>
      <c r="EE44" s="25">
        <f t="shared" si="141"/>
        <v>1031.3962147388081</v>
      </c>
    </row>
    <row r="45" spans="1:135" ht="15" customHeight="1" x14ac:dyDescent="0.35">
      <c r="A45" s="17">
        <v>40</v>
      </c>
      <c r="B45" s="18" t="s">
        <v>114</v>
      </c>
      <c r="C45" s="19" t="s">
        <v>115</v>
      </c>
      <c r="D45" s="20" t="s">
        <v>36</v>
      </c>
      <c r="E45" s="21">
        <v>4849</v>
      </c>
      <c r="F45" s="22">
        <f t="shared" si="71"/>
        <v>156.41935483870967</v>
      </c>
      <c r="G45" s="21">
        <v>4246</v>
      </c>
      <c r="H45" s="22">
        <f t="shared" si="72"/>
        <v>151.64285714285714</v>
      </c>
      <c r="I45" s="21">
        <v>3004</v>
      </c>
      <c r="J45" s="22">
        <f t="shared" si="73"/>
        <v>96.903225806451616</v>
      </c>
      <c r="K45" s="21">
        <v>3314</v>
      </c>
      <c r="L45" s="22">
        <f t="shared" si="74"/>
        <v>110.46666666666667</v>
      </c>
      <c r="M45" s="21">
        <v>4522</v>
      </c>
      <c r="N45" s="22">
        <f t="shared" si="75"/>
        <v>145.87096774193549</v>
      </c>
      <c r="O45" s="21">
        <v>6638</v>
      </c>
      <c r="P45" s="22">
        <f t="shared" si="76"/>
        <v>221.26666666666668</v>
      </c>
      <c r="Q45" s="21">
        <v>3359</v>
      </c>
      <c r="R45" s="22">
        <f t="shared" si="77"/>
        <v>108.35483870967742</v>
      </c>
      <c r="S45" s="21">
        <v>6556</v>
      </c>
      <c r="T45" s="22">
        <f t="shared" si="78"/>
        <v>211.48387096774192</v>
      </c>
      <c r="U45" s="21">
        <v>3458</v>
      </c>
      <c r="V45" s="22">
        <f t="shared" si="79"/>
        <v>115.26666666666667</v>
      </c>
      <c r="W45" s="21">
        <v>4118</v>
      </c>
      <c r="X45" s="22">
        <f t="shared" si="80"/>
        <v>132.83870967741936</v>
      </c>
      <c r="Y45" s="21">
        <v>4674</v>
      </c>
      <c r="Z45" s="22">
        <f t="shared" si="81"/>
        <v>155.80000000000001</v>
      </c>
      <c r="AA45" s="21">
        <v>3711</v>
      </c>
      <c r="AB45" s="22">
        <f t="shared" si="82"/>
        <v>119.70967741935483</v>
      </c>
      <c r="AC45" s="23">
        <f t="shared" si="83"/>
        <v>54055.313824884797</v>
      </c>
      <c r="AD45" s="24">
        <f t="shared" si="84"/>
        <v>39.349998218772001</v>
      </c>
      <c r="AE45" s="21">
        <v>4455</v>
      </c>
      <c r="AF45" s="22">
        <f t="shared" si="85"/>
        <v>143.70967741935485</v>
      </c>
      <c r="AG45" s="21">
        <v>4431</v>
      </c>
      <c r="AH45" s="22">
        <f t="shared" si="86"/>
        <v>158.25</v>
      </c>
      <c r="AI45" s="21">
        <v>4294</v>
      </c>
      <c r="AJ45" s="22">
        <f t="shared" si="87"/>
        <v>138.51612903225808</v>
      </c>
      <c r="AK45" s="21">
        <v>5228</v>
      </c>
      <c r="AL45" s="22">
        <f t="shared" si="88"/>
        <v>174.26666666666668</v>
      </c>
      <c r="AM45" s="21">
        <v>3863</v>
      </c>
      <c r="AN45" s="22">
        <f t="shared" si="89"/>
        <v>124.61290322580645</v>
      </c>
      <c r="AO45" s="21">
        <v>3795</v>
      </c>
      <c r="AP45" s="22">
        <f t="shared" si="90"/>
        <v>126.5</v>
      </c>
      <c r="AQ45" s="21">
        <v>5638</v>
      </c>
      <c r="AR45" s="22">
        <f t="shared" si="91"/>
        <v>181.87096774193549</v>
      </c>
      <c r="AS45" s="21">
        <v>3126</v>
      </c>
      <c r="AT45" s="22">
        <f t="shared" si="92"/>
        <v>100.83870967741936</v>
      </c>
      <c r="AU45" s="21">
        <v>5779</v>
      </c>
      <c r="AV45" s="22">
        <f t="shared" si="93"/>
        <v>192.63333333333333</v>
      </c>
      <c r="AW45" s="21">
        <v>5052</v>
      </c>
      <c r="AX45" s="22">
        <f t="shared" si="94"/>
        <v>162.96774193548387</v>
      </c>
      <c r="AY45" s="21">
        <v>5157</v>
      </c>
      <c r="AZ45" s="22">
        <f t="shared" si="95"/>
        <v>171.9</v>
      </c>
      <c r="BA45" s="21">
        <v>3304</v>
      </c>
      <c r="BB45" s="22">
        <f t="shared" si="96"/>
        <v>106.58064516129032</v>
      </c>
      <c r="BC45" s="23">
        <f t="shared" si="97"/>
        <v>55798.066129032261</v>
      </c>
      <c r="BD45" s="24">
        <f t="shared" si="98"/>
        <v>29.822575455460537</v>
      </c>
      <c r="BE45" s="21">
        <v>5161</v>
      </c>
      <c r="BF45" s="22">
        <f t="shared" si="99"/>
        <v>166.48387096774192</v>
      </c>
      <c r="BG45" s="21">
        <v>2959</v>
      </c>
      <c r="BH45" s="22">
        <f t="shared" si="100"/>
        <v>105.67857142857143</v>
      </c>
      <c r="BI45" s="21">
        <v>2752</v>
      </c>
      <c r="BJ45" s="22">
        <f t="shared" si="101"/>
        <v>88.774193548387103</v>
      </c>
      <c r="BK45" s="21">
        <v>2709</v>
      </c>
      <c r="BL45" s="22">
        <f t="shared" si="102"/>
        <v>90.3</v>
      </c>
      <c r="BM45" s="21">
        <v>3899</v>
      </c>
      <c r="BN45" s="22">
        <f t="shared" si="103"/>
        <v>125.7741935483871</v>
      </c>
      <c r="BO45" s="21">
        <v>5086</v>
      </c>
      <c r="BP45" s="22">
        <f t="shared" si="104"/>
        <v>169.53333333333333</v>
      </c>
      <c r="BQ45" s="21">
        <v>2923</v>
      </c>
      <c r="BR45" s="22">
        <f t="shared" si="105"/>
        <v>94.290322580645167</v>
      </c>
      <c r="BS45" s="21">
        <v>3438</v>
      </c>
      <c r="BT45" s="22">
        <f t="shared" si="106"/>
        <v>110.90322580645162</v>
      </c>
      <c r="BU45" s="21">
        <v>2782</v>
      </c>
      <c r="BV45" s="22">
        <f t="shared" si="107"/>
        <v>92.733333333333334</v>
      </c>
      <c r="BW45" s="21">
        <v>4139</v>
      </c>
      <c r="BX45" s="22">
        <f t="shared" si="108"/>
        <v>133.51612903225808</v>
      </c>
      <c r="BY45" s="21">
        <v>3519</v>
      </c>
      <c r="BZ45" s="22">
        <f t="shared" si="109"/>
        <v>117.3</v>
      </c>
      <c r="CA45" s="21">
        <v>2319</v>
      </c>
      <c r="CB45" s="22">
        <f t="shared" si="110"/>
        <v>74.806451612903231</v>
      </c>
      <c r="CC45" s="23">
        <f t="shared" si="111"/>
        <v>42981.287173579105</v>
      </c>
      <c r="CD45" s="24">
        <f t="shared" si="112"/>
        <v>30.184715732020813</v>
      </c>
      <c r="CE45" s="21">
        <v>4519</v>
      </c>
      <c r="CF45" s="22">
        <f t="shared" si="113"/>
        <v>145.7741935483871</v>
      </c>
      <c r="CG45" s="21">
        <v>3138</v>
      </c>
      <c r="CH45" s="22">
        <f t="shared" si="114"/>
        <v>112.07142857142857</v>
      </c>
      <c r="CI45" s="21">
        <v>4446</v>
      </c>
      <c r="CJ45" s="22">
        <f t="shared" si="115"/>
        <v>143.41935483870967</v>
      </c>
      <c r="CK45" s="21">
        <v>3773</v>
      </c>
      <c r="CL45" s="22">
        <f t="shared" si="116"/>
        <v>125.76666666666667</v>
      </c>
      <c r="CM45" s="21">
        <v>4819</v>
      </c>
      <c r="CN45" s="22">
        <f t="shared" si="117"/>
        <v>155.45161290322579</v>
      </c>
      <c r="CO45" s="21">
        <v>3166</v>
      </c>
      <c r="CP45" s="22">
        <f t="shared" si="118"/>
        <v>105.53333333333333</v>
      </c>
      <c r="CQ45" s="21">
        <v>4977</v>
      </c>
      <c r="CR45" s="22">
        <f t="shared" si="119"/>
        <v>160.54838709677421</v>
      </c>
      <c r="CS45" s="21">
        <v>5164</v>
      </c>
      <c r="CT45" s="22">
        <f t="shared" si="120"/>
        <v>166.58064516129033</v>
      </c>
      <c r="CU45" s="21">
        <v>2692</v>
      </c>
      <c r="CV45" s="22">
        <f t="shared" si="121"/>
        <v>89.733333333333334</v>
      </c>
      <c r="CW45" s="21">
        <v>2822</v>
      </c>
      <c r="CX45" s="22">
        <f t="shared" si="122"/>
        <v>91.032258064516128</v>
      </c>
      <c r="CY45" s="21">
        <v>5373</v>
      </c>
      <c r="CZ45" s="22">
        <f t="shared" si="123"/>
        <v>179.1</v>
      </c>
      <c r="DA45" s="21">
        <v>3104</v>
      </c>
      <c r="DB45" s="22">
        <f t="shared" si="124"/>
        <v>100.12903225806451</v>
      </c>
      <c r="DC45" s="23">
        <f t="shared" si="125"/>
        <v>49468.011213517661</v>
      </c>
      <c r="DD45" s="24">
        <f t="shared" si="126"/>
        <v>31.202973050475883</v>
      </c>
      <c r="DE45" s="21">
        <v>3735</v>
      </c>
      <c r="DF45" s="22">
        <f t="shared" si="127"/>
        <v>120.48387096774194</v>
      </c>
      <c r="DG45" s="21">
        <v>4192</v>
      </c>
      <c r="DH45" s="22">
        <f t="shared" si="128"/>
        <v>149.71428571428572</v>
      </c>
      <c r="DI45" s="21">
        <v>3514</v>
      </c>
      <c r="DJ45" s="22">
        <f t="shared" si="129"/>
        <v>113.35483870967742</v>
      </c>
      <c r="DK45" s="21">
        <v>5598</v>
      </c>
      <c r="DL45" s="22">
        <f t="shared" si="130"/>
        <v>186.6</v>
      </c>
      <c r="DM45" s="21">
        <v>4436</v>
      </c>
      <c r="DN45" s="22">
        <f t="shared" si="131"/>
        <v>143.09677419354838</v>
      </c>
      <c r="DO45" s="21">
        <v>4822</v>
      </c>
      <c r="DP45" s="22">
        <f t="shared" si="132"/>
        <v>160.73333333333332</v>
      </c>
      <c r="DQ45" s="21">
        <v>4676</v>
      </c>
      <c r="DR45" s="22">
        <f t="shared" si="133"/>
        <v>150.83870967741936</v>
      </c>
      <c r="DS45" s="21">
        <v>4726</v>
      </c>
      <c r="DT45" s="22">
        <f t="shared" si="134"/>
        <v>152.45161290322579</v>
      </c>
      <c r="DU45" s="21">
        <v>4641</v>
      </c>
      <c r="DV45" s="22">
        <f t="shared" si="135"/>
        <v>154.69999999999999</v>
      </c>
      <c r="DW45" s="21">
        <v>3812</v>
      </c>
      <c r="DX45" s="22">
        <f t="shared" si="136"/>
        <v>122.96774193548387</v>
      </c>
      <c r="DY45" s="21">
        <v>5539</v>
      </c>
      <c r="DZ45" s="22">
        <f t="shared" si="137"/>
        <v>184.63333333333333</v>
      </c>
      <c r="EA45" s="21">
        <v>4747</v>
      </c>
      <c r="EB45" s="22">
        <f t="shared" si="138"/>
        <v>153.12903225806451</v>
      </c>
      <c r="EC45" s="23">
        <f t="shared" si="139"/>
        <v>56077.574500768053</v>
      </c>
      <c r="ED45" s="24">
        <f t="shared" si="140"/>
        <v>22.725514742211633</v>
      </c>
      <c r="EE45" s="25">
        <f t="shared" si="141"/>
        <v>2131.0482067255898</v>
      </c>
    </row>
    <row r="46" spans="1:135" ht="15" customHeight="1" x14ac:dyDescent="0.35">
      <c r="A46" s="17">
        <v>41</v>
      </c>
      <c r="B46" s="18" t="s">
        <v>116</v>
      </c>
      <c r="C46" s="19" t="s">
        <v>117</v>
      </c>
      <c r="D46" s="20" t="s">
        <v>36</v>
      </c>
      <c r="E46" s="21">
        <v>4473</v>
      </c>
      <c r="F46" s="22">
        <f t="shared" si="71"/>
        <v>144.29032258064515</v>
      </c>
      <c r="G46" s="21">
        <v>4165</v>
      </c>
      <c r="H46" s="22">
        <f t="shared" si="72"/>
        <v>148.75</v>
      </c>
      <c r="I46" s="21">
        <v>2996</v>
      </c>
      <c r="J46" s="22">
        <f t="shared" si="73"/>
        <v>96.645161290322577</v>
      </c>
      <c r="K46" s="21">
        <v>3903</v>
      </c>
      <c r="L46" s="22">
        <f t="shared" si="74"/>
        <v>130.1</v>
      </c>
      <c r="M46" s="21">
        <v>2388</v>
      </c>
      <c r="N46" s="22">
        <f t="shared" si="75"/>
        <v>77.032258064516128</v>
      </c>
      <c r="O46" s="21">
        <v>2528</v>
      </c>
      <c r="P46" s="22">
        <f t="shared" si="76"/>
        <v>84.266666666666666</v>
      </c>
      <c r="Q46" s="21">
        <v>2482</v>
      </c>
      <c r="R46" s="22">
        <f t="shared" si="77"/>
        <v>80.064516129032256</v>
      </c>
      <c r="S46" s="21">
        <v>3019</v>
      </c>
      <c r="T46" s="22">
        <f t="shared" si="78"/>
        <v>97.387096774193552</v>
      </c>
      <c r="U46" s="21">
        <v>2669</v>
      </c>
      <c r="V46" s="22">
        <f t="shared" si="79"/>
        <v>88.966666666666669</v>
      </c>
      <c r="W46" s="21">
        <v>4129</v>
      </c>
      <c r="X46" s="22">
        <f t="shared" si="80"/>
        <v>133.19354838709677</v>
      </c>
      <c r="Y46" s="21">
        <v>3606</v>
      </c>
      <c r="Z46" s="22">
        <f t="shared" si="81"/>
        <v>120.2</v>
      </c>
      <c r="AA46" s="21">
        <v>3342</v>
      </c>
      <c r="AB46" s="22">
        <f t="shared" si="82"/>
        <v>107.80645161290323</v>
      </c>
      <c r="AC46" s="23">
        <f t="shared" si="83"/>
        <v>40900.896236559136</v>
      </c>
      <c r="AD46" s="24">
        <f t="shared" si="84"/>
        <v>25.481906407914011</v>
      </c>
      <c r="AE46" s="21">
        <v>2887</v>
      </c>
      <c r="AF46" s="22">
        <f t="shared" si="85"/>
        <v>93.129032258064512</v>
      </c>
      <c r="AG46" s="21">
        <v>3687</v>
      </c>
      <c r="AH46" s="22">
        <f t="shared" si="86"/>
        <v>131.67857142857142</v>
      </c>
      <c r="AI46" s="21">
        <v>3043</v>
      </c>
      <c r="AJ46" s="22">
        <f t="shared" si="87"/>
        <v>98.161290322580641</v>
      </c>
      <c r="AK46" s="21">
        <v>4506</v>
      </c>
      <c r="AL46" s="22">
        <f t="shared" si="88"/>
        <v>150.19999999999999</v>
      </c>
      <c r="AM46" s="21">
        <v>4694</v>
      </c>
      <c r="AN46" s="22">
        <f t="shared" si="89"/>
        <v>151.41935483870967</v>
      </c>
      <c r="AO46" s="21">
        <v>4538</v>
      </c>
      <c r="AP46" s="22">
        <f t="shared" si="90"/>
        <v>151.26666666666668</v>
      </c>
      <c r="AQ46" s="21">
        <v>5691</v>
      </c>
      <c r="AR46" s="22">
        <f t="shared" si="91"/>
        <v>183.58064516129033</v>
      </c>
      <c r="AS46" s="21">
        <v>4244</v>
      </c>
      <c r="AT46" s="22">
        <f t="shared" si="92"/>
        <v>136.90322580645162</v>
      </c>
      <c r="AU46" s="21">
        <v>4031</v>
      </c>
      <c r="AV46" s="22">
        <f t="shared" si="93"/>
        <v>134.36666666666667</v>
      </c>
      <c r="AW46" s="21">
        <v>2895</v>
      </c>
      <c r="AX46" s="22">
        <f t="shared" si="94"/>
        <v>93.387096774193552</v>
      </c>
      <c r="AY46" s="21">
        <v>3462</v>
      </c>
      <c r="AZ46" s="22">
        <f t="shared" si="95"/>
        <v>115.4</v>
      </c>
      <c r="BA46" s="21">
        <v>3906</v>
      </c>
      <c r="BB46" s="22">
        <f t="shared" si="96"/>
        <v>126</v>
      </c>
      <c r="BC46" s="23">
        <f t="shared" si="97"/>
        <v>49023.492549923212</v>
      </c>
      <c r="BD46" s="24">
        <f t="shared" si="98"/>
        <v>27.302759908980395</v>
      </c>
      <c r="BE46" s="21">
        <v>2280</v>
      </c>
      <c r="BF46" s="22">
        <f t="shared" si="99"/>
        <v>73.548387096774192</v>
      </c>
      <c r="BG46" s="21">
        <v>3147</v>
      </c>
      <c r="BH46" s="22">
        <f t="shared" si="100"/>
        <v>112.39285714285714</v>
      </c>
      <c r="BI46" s="21">
        <v>2155</v>
      </c>
      <c r="BJ46" s="22">
        <f t="shared" si="101"/>
        <v>69.516129032258064</v>
      </c>
      <c r="BK46" s="21">
        <v>2516</v>
      </c>
      <c r="BL46" s="22">
        <f t="shared" si="102"/>
        <v>83.86666666666666</v>
      </c>
      <c r="BM46" s="21">
        <v>4442</v>
      </c>
      <c r="BN46" s="22">
        <f t="shared" si="103"/>
        <v>143.29032258064515</v>
      </c>
      <c r="BO46" s="21">
        <v>4863</v>
      </c>
      <c r="BP46" s="22">
        <f t="shared" si="104"/>
        <v>162.1</v>
      </c>
      <c r="BQ46" s="21">
        <v>3562</v>
      </c>
      <c r="BR46" s="22">
        <f t="shared" si="105"/>
        <v>114.90322580645162</v>
      </c>
      <c r="BS46" s="21">
        <v>3533</v>
      </c>
      <c r="BT46" s="22">
        <f t="shared" si="106"/>
        <v>113.96774193548387</v>
      </c>
      <c r="BU46" s="21">
        <v>4071</v>
      </c>
      <c r="BV46" s="22">
        <f t="shared" si="107"/>
        <v>135.69999999999999</v>
      </c>
      <c r="BW46" s="21">
        <v>3308</v>
      </c>
      <c r="BX46" s="22">
        <f t="shared" si="108"/>
        <v>106.70967741935483</v>
      </c>
      <c r="BY46" s="21">
        <v>4512</v>
      </c>
      <c r="BZ46" s="22">
        <f t="shared" si="109"/>
        <v>150.4</v>
      </c>
      <c r="CA46" s="21">
        <v>3515</v>
      </c>
      <c r="CB46" s="22">
        <f t="shared" si="110"/>
        <v>113.38709677419355</v>
      </c>
      <c r="CC46" s="23">
        <f t="shared" si="111"/>
        <v>43170.39500768049</v>
      </c>
      <c r="CD46" s="24">
        <f t="shared" si="112"/>
        <v>29.443172678679893</v>
      </c>
      <c r="CE46" s="21">
        <v>2170</v>
      </c>
      <c r="CF46" s="22">
        <f t="shared" si="113"/>
        <v>70</v>
      </c>
      <c r="CG46" s="21">
        <v>2035</v>
      </c>
      <c r="CH46" s="22">
        <f t="shared" si="114"/>
        <v>72.678571428571431</v>
      </c>
      <c r="CI46" s="21">
        <v>3937</v>
      </c>
      <c r="CJ46" s="22">
        <f t="shared" si="115"/>
        <v>127</v>
      </c>
      <c r="CK46" s="21">
        <v>2715</v>
      </c>
      <c r="CL46" s="22">
        <f t="shared" si="116"/>
        <v>90.5</v>
      </c>
      <c r="CM46" s="21">
        <v>2670</v>
      </c>
      <c r="CN46" s="22">
        <f t="shared" si="117"/>
        <v>86.129032258064512</v>
      </c>
      <c r="CO46" s="21">
        <v>3355</v>
      </c>
      <c r="CP46" s="22">
        <f t="shared" si="118"/>
        <v>111.83333333333333</v>
      </c>
      <c r="CQ46" s="21">
        <v>2392</v>
      </c>
      <c r="CR46" s="22">
        <f t="shared" si="119"/>
        <v>77.161290322580641</v>
      </c>
      <c r="CS46" s="21">
        <v>3146</v>
      </c>
      <c r="CT46" s="22">
        <f t="shared" si="120"/>
        <v>101.48387096774194</v>
      </c>
      <c r="CU46" s="21">
        <v>3889</v>
      </c>
      <c r="CV46" s="22">
        <f t="shared" si="121"/>
        <v>129.63333333333333</v>
      </c>
      <c r="CW46" s="21">
        <v>3950</v>
      </c>
      <c r="CX46" s="22">
        <f t="shared" si="122"/>
        <v>127.41935483870968</v>
      </c>
      <c r="CY46" s="21">
        <v>3387</v>
      </c>
      <c r="CZ46" s="22">
        <f t="shared" si="123"/>
        <v>112.9</v>
      </c>
      <c r="DA46" s="21">
        <v>2249</v>
      </c>
      <c r="DB46" s="22">
        <f t="shared" si="124"/>
        <v>72.548387096774192</v>
      </c>
      <c r="DC46" s="23">
        <f t="shared" si="125"/>
        <v>37001.738786482332</v>
      </c>
      <c r="DD46" s="24">
        <f t="shared" si="126"/>
        <v>23.033878736607001</v>
      </c>
      <c r="DE46" s="21">
        <v>2469</v>
      </c>
      <c r="DF46" s="22">
        <f t="shared" si="127"/>
        <v>79.645161290322577</v>
      </c>
      <c r="DG46" s="21">
        <v>4357</v>
      </c>
      <c r="DH46" s="22">
        <f t="shared" si="128"/>
        <v>155.60714285714286</v>
      </c>
      <c r="DI46" s="21">
        <v>4495</v>
      </c>
      <c r="DJ46" s="22">
        <f t="shared" si="129"/>
        <v>145</v>
      </c>
      <c r="DK46" s="21">
        <v>3191</v>
      </c>
      <c r="DL46" s="22">
        <f t="shared" si="130"/>
        <v>106.36666666666666</v>
      </c>
      <c r="DM46" s="21">
        <v>4493</v>
      </c>
      <c r="DN46" s="22">
        <f t="shared" si="131"/>
        <v>144.93548387096774</v>
      </c>
      <c r="DO46" s="21">
        <v>2262</v>
      </c>
      <c r="DP46" s="22">
        <f t="shared" si="132"/>
        <v>75.400000000000006</v>
      </c>
      <c r="DQ46" s="21">
        <v>4197</v>
      </c>
      <c r="DR46" s="22">
        <f t="shared" si="133"/>
        <v>135.38709677419354</v>
      </c>
      <c r="DS46" s="21">
        <v>3704</v>
      </c>
      <c r="DT46" s="22">
        <f t="shared" si="134"/>
        <v>119.48387096774194</v>
      </c>
      <c r="DU46" s="21">
        <v>4971</v>
      </c>
      <c r="DV46" s="22">
        <f t="shared" si="135"/>
        <v>165.7</v>
      </c>
      <c r="DW46" s="21">
        <v>2435</v>
      </c>
      <c r="DX46" s="22">
        <f t="shared" si="136"/>
        <v>78.548387096774192</v>
      </c>
      <c r="DY46" s="21">
        <v>4514</v>
      </c>
      <c r="DZ46" s="22">
        <f t="shared" si="137"/>
        <v>150.46666666666667</v>
      </c>
      <c r="EA46" s="21">
        <v>4290</v>
      </c>
      <c r="EB46" s="22">
        <f t="shared" si="138"/>
        <v>138.38709677419354</v>
      </c>
      <c r="EC46" s="23">
        <f t="shared" si="139"/>
        <v>46734.540476190472</v>
      </c>
      <c r="ED46" s="24">
        <f t="shared" si="140"/>
        <v>32.159865390893408</v>
      </c>
      <c r="EE46" s="25">
        <f t="shared" si="141"/>
        <v>1827.6780980943063</v>
      </c>
    </row>
    <row r="47" spans="1:135" ht="15" customHeight="1" x14ac:dyDescent="0.35">
      <c r="A47" s="17">
        <v>42</v>
      </c>
      <c r="B47" s="18" t="s">
        <v>118</v>
      </c>
      <c r="C47" s="19" t="s">
        <v>119</v>
      </c>
      <c r="D47" s="20" t="s">
        <v>36</v>
      </c>
      <c r="E47" s="21">
        <v>1984</v>
      </c>
      <c r="F47" s="22">
        <f t="shared" si="71"/>
        <v>64</v>
      </c>
      <c r="G47" s="21">
        <v>3313</v>
      </c>
      <c r="H47" s="22">
        <f t="shared" si="72"/>
        <v>118.32142857142857</v>
      </c>
      <c r="I47" s="21">
        <v>2272</v>
      </c>
      <c r="J47" s="22">
        <f t="shared" si="73"/>
        <v>73.290322580645167</v>
      </c>
      <c r="K47" s="21">
        <v>2081</v>
      </c>
      <c r="L47" s="22">
        <f t="shared" si="74"/>
        <v>69.36666666666666</v>
      </c>
      <c r="M47" s="21">
        <v>2968</v>
      </c>
      <c r="N47" s="22">
        <f t="shared" si="75"/>
        <v>95.741935483870961</v>
      </c>
      <c r="O47" s="21">
        <v>2252</v>
      </c>
      <c r="P47" s="22">
        <f t="shared" si="76"/>
        <v>75.066666666666663</v>
      </c>
      <c r="Q47" s="21">
        <v>3303</v>
      </c>
      <c r="R47" s="22">
        <f t="shared" si="77"/>
        <v>106.54838709677419</v>
      </c>
      <c r="S47" s="21">
        <v>2890</v>
      </c>
      <c r="T47" s="22">
        <f t="shared" si="78"/>
        <v>93.225806451612897</v>
      </c>
      <c r="U47" s="21">
        <v>1869</v>
      </c>
      <c r="V47" s="22">
        <f t="shared" si="79"/>
        <v>62.3</v>
      </c>
      <c r="W47" s="21">
        <v>2956</v>
      </c>
      <c r="X47" s="22">
        <f t="shared" si="80"/>
        <v>95.354838709677423</v>
      </c>
      <c r="Y47" s="21">
        <v>2534</v>
      </c>
      <c r="Z47" s="22">
        <f t="shared" si="81"/>
        <v>84.466666666666669</v>
      </c>
      <c r="AA47" s="21">
        <v>2085</v>
      </c>
      <c r="AB47" s="22">
        <f t="shared" si="82"/>
        <v>67.258064516129039</v>
      </c>
      <c r="AC47" s="23">
        <f t="shared" si="83"/>
        <v>31444.682718894008</v>
      </c>
      <c r="AD47" s="24">
        <f t="shared" si="84"/>
        <v>18.084567745330357</v>
      </c>
      <c r="AE47" s="21">
        <v>3015</v>
      </c>
      <c r="AF47" s="22">
        <f t="shared" si="85"/>
        <v>97.258064516129039</v>
      </c>
      <c r="AG47" s="21">
        <v>2854</v>
      </c>
      <c r="AH47" s="22">
        <f t="shared" si="86"/>
        <v>101.92857142857143</v>
      </c>
      <c r="AI47" s="21">
        <v>1891</v>
      </c>
      <c r="AJ47" s="22">
        <f t="shared" si="87"/>
        <v>61</v>
      </c>
      <c r="AK47" s="21">
        <v>1836</v>
      </c>
      <c r="AL47" s="22">
        <f t="shared" si="88"/>
        <v>61.2</v>
      </c>
      <c r="AM47" s="21">
        <v>1975</v>
      </c>
      <c r="AN47" s="22">
        <f t="shared" si="89"/>
        <v>63.70967741935484</v>
      </c>
      <c r="AO47" s="21">
        <v>1975</v>
      </c>
      <c r="AP47" s="22">
        <f t="shared" si="90"/>
        <v>65.833333333333329</v>
      </c>
      <c r="AQ47" s="21">
        <v>1671</v>
      </c>
      <c r="AR47" s="22">
        <f t="shared" si="91"/>
        <v>53.903225806451616</v>
      </c>
      <c r="AS47" s="21">
        <v>2272</v>
      </c>
      <c r="AT47" s="22">
        <f t="shared" si="92"/>
        <v>73.290322580645167</v>
      </c>
      <c r="AU47" s="21">
        <v>2128</v>
      </c>
      <c r="AV47" s="22">
        <f t="shared" si="93"/>
        <v>70.933333333333337</v>
      </c>
      <c r="AW47" s="21">
        <v>2660</v>
      </c>
      <c r="AX47" s="22">
        <f t="shared" si="94"/>
        <v>85.806451612903231</v>
      </c>
      <c r="AY47" s="21">
        <v>2216</v>
      </c>
      <c r="AZ47" s="22">
        <f t="shared" si="95"/>
        <v>73.86666666666666</v>
      </c>
      <c r="BA47" s="21">
        <v>3002</v>
      </c>
      <c r="BB47" s="22">
        <f t="shared" si="96"/>
        <v>96.838709677419359</v>
      </c>
      <c r="BC47" s="23">
        <f t="shared" si="97"/>
        <v>28303.729646697386</v>
      </c>
      <c r="BD47" s="24">
        <f t="shared" si="98"/>
        <v>16.168016720800438</v>
      </c>
      <c r="BE47" s="21">
        <v>1460</v>
      </c>
      <c r="BF47" s="22">
        <f t="shared" si="99"/>
        <v>47.096774193548384</v>
      </c>
      <c r="BG47" s="21">
        <v>1429</v>
      </c>
      <c r="BH47" s="22">
        <f t="shared" si="100"/>
        <v>51.035714285714285</v>
      </c>
      <c r="BI47" s="21">
        <v>2259</v>
      </c>
      <c r="BJ47" s="22">
        <f t="shared" si="101"/>
        <v>72.870967741935488</v>
      </c>
      <c r="BK47" s="21">
        <v>2438</v>
      </c>
      <c r="BL47" s="22">
        <f t="shared" si="102"/>
        <v>81.266666666666666</v>
      </c>
      <c r="BM47" s="21">
        <v>2008</v>
      </c>
      <c r="BN47" s="22">
        <f t="shared" si="103"/>
        <v>64.774193548387103</v>
      </c>
      <c r="BO47" s="21">
        <v>1187</v>
      </c>
      <c r="BP47" s="22">
        <f t="shared" si="104"/>
        <v>39.56666666666667</v>
      </c>
      <c r="BQ47" s="21">
        <v>2406</v>
      </c>
      <c r="BR47" s="22">
        <f t="shared" si="105"/>
        <v>77.612903225806448</v>
      </c>
      <c r="BS47" s="21">
        <v>2157</v>
      </c>
      <c r="BT47" s="22">
        <f t="shared" si="106"/>
        <v>69.58064516129032</v>
      </c>
      <c r="BU47" s="21">
        <v>2344</v>
      </c>
      <c r="BV47" s="22">
        <f t="shared" si="107"/>
        <v>78.13333333333334</v>
      </c>
      <c r="BW47" s="21">
        <v>2448</v>
      </c>
      <c r="BX47" s="22">
        <f t="shared" si="108"/>
        <v>78.967741935483872</v>
      </c>
      <c r="BY47" s="21">
        <v>2272</v>
      </c>
      <c r="BZ47" s="22">
        <f t="shared" si="109"/>
        <v>75.733333333333334</v>
      </c>
      <c r="CA47" s="21">
        <v>1232</v>
      </c>
      <c r="CB47" s="22">
        <f t="shared" si="110"/>
        <v>39.741935483870968</v>
      </c>
      <c r="CC47" s="23">
        <f t="shared" si="111"/>
        <v>24376.638940092169</v>
      </c>
      <c r="CD47" s="24">
        <f t="shared" si="112"/>
        <v>15.922315500677806</v>
      </c>
      <c r="CE47" s="21">
        <v>2711</v>
      </c>
      <c r="CF47" s="22">
        <f t="shared" si="113"/>
        <v>87.451612903225808</v>
      </c>
      <c r="CG47" s="21">
        <v>1677</v>
      </c>
      <c r="CH47" s="22">
        <f t="shared" si="114"/>
        <v>59.892857142857146</v>
      </c>
      <c r="CI47" s="21">
        <v>2451</v>
      </c>
      <c r="CJ47" s="22">
        <f t="shared" si="115"/>
        <v>79.064516129032256</v>
      </c>
      <c r="CK47" s="21">
        <v>2648</v>
      </c>
      <c r="CL47" s="22">
        <f t="shared" si="116"/>
        <v>88.266666666666666</v>
      </c>
      <c r="CM47" s="21">
        <v>2535</v>
      </c>
      <c r="CN47" s="22">
        <f t="shared" si="117"/>
        <v>81.774193548387103</v>
      </c>
      <c r="CO47" s="21">
        <v>2392</v>
      </c>
      <c r="CP47" s="22">
        <f t="shared" si="118"/>
        <v>79.733333333333334</v>
      </c>
      <c r="CQ47" s="21">
        <v>2079</v>
      </c>
      <c r="CR47" s="22">
        <f t="shared" si="119"/>
        <v>67.064516129032256</v>
      </c>
      <c r="CS47" s="21">
        <v>2227</v>
      </c>
      <c r="CT47" s="22">
        <f t="shared" si="120"/>
        <v>71.838709677419359</v>
      </c>
      <c r="CU47" s="21">
        <v>1709</v>
      </c>
      <c r="CV47" s="22">
        <f t="shared" si="121"/>
        <v>56.966666666666669</v>
      </c>
      <c r="CW47" s="21">
        <v>1953</v>
      </c>
      <c r="CX47" s="22">
        <f t="shared" si="122"/>
        <v>63</v>
      </c>
      <c r="CY47" s="21">
        <v>2016</v>
      </c>
      <c r="CZ47" s="22">
        <f t="shared" si="123"/>
        <v>67.2</v>
      </c>
      <c r="DA47" s="21">
        <v>2321</v>
      </c>
      <c r="DB47" s="22">
        <f t="shared" si="124"/>
        <v>74.870967741935488</v>
      </c>
      <c r="DC47" s="23">
        <f t="shared" si="125"/>
        <v>27521.253072196621</v>
      </c>
      <c r="DD47" s="24">
        <f t="shared" si="126"/>
        <v>10.459887014097891</v>
      </c>
      <c r="DE47" s="21">
        <v>2767</v>
      </c>
      <c r="DF47" s="22">
        <f t="shared" si="127"/>
        <v>89.258064516129039</v>
      </c>
      <c r="DG47" s="21">
        <v>1431</v>
      </c>
      <c r="DH47" s="22">
        <f t="shared" si="128"/>
        <v>51.107142857142854</v>
      </c>
      <c r="DI47" s="21">
        <v>2148</v>
      </c>
      <c r="DJ47" s="22">
        <f t="shared" si="129"/>
        <v>69.290322580645167</v>
      </c>
      <c r="DK47" s="21">
        <v>1745</v>
      </c>
      <c r="DL47" s="22">
        <f t="shared" si="130"/>
        <v>58.166666666666664</v>
      </c>
      <c r="DM47" s="21">
        <v>2862</v>
      </c>
      <c r="DN47" s="22">
        <f t="shared" si="131"/>
        <v>92.322580645161295</v>
      </c>
      <c r="DO47" s="21">
        <v>1900</v>
      </c>
      <c r="DP47" s="22">
        <f t="shared" si="132"/>
        <v>63.333333333333336</v>
      </c>
      <c r="DQ47" s="21">
        <v>2886</v>
      </c>
      <c r="DR47" s="22">
        <f t="shared" si="133"/>
        <v>93.096774193548384</v>
      </c>
      <c r="DS47" s="21">
        <v>1829</v>
      </c>
      <c r="DT47" s="22">
        <f t="shared" si="134"/>
        <v>59</v>
      </c>
      <c r="DU47" s="21">
        <v>1277</v>
      </c>
      <c r="DV47" s="22">
        <f t="shared" si="135"/>
        <v>42.56666666666667</v>
      </c>
      <c r="DW47" s="21">
        <v>2587</v>
      </c>
      <c r="DX47" s="22">
        <f t="shared" si="136"/>
        <v>83.451612903225808</v>
      </c>
      <c r="DY47" s="21">
        <v>2517</v>
      </c>
      <c r="DZ47" s="22">
        <f t="shared" si="137"/>
        <v>83.9</v>
      </c>
      <c r="EA47" s="21">
        <v>2514</v>
      </c>
      <c r="EB47" s="22">
        <f t="shared" si="138"/>
        <v>81.096774193548384</v>
      </c>
      <c r="EC47" s="23">
        <f t="shared" si="139"/>
        <v>27248.493164362524</v>
      </c>
      <c r="ED47" s="24">
        <f t="shared" si="140"/>
        <v>17.206000216470564</v>
      </c>
      <c r="EE47" s="25">
        <f t="shared" si="141"/>
        <v>1136.0126023573112</v>
      </c>
    </row>
    <row r="48" spans="1:135" ht="15" customHeight="1" x14ac:dyDescent="0.35">
      <c r="A48" s="17">
        <v>43</v>
      </c>
      <c r="B48" s="18" t="s">
        <v>120</v>
      </c>
      <c r="C48" s="19" t="s">
        <v>121</v>
      </c>
      <c r="D48" s="20" t="s">
        <v>36</v>
      </c>
      <c r="E48" s="21">
        <v>4479</v>
      </c>
      <c r="F48" s="22">
        <f t="shared" si="71"/>
        <v>144.48387096774192</v>
      </c>
      <c r="G48" s="21">
        <v>5241</v>
      </c>
      <c r="H48" s="22">
        <f t="shared" si="72"/>
        <v>187.17857142857142</v>
      </c>
      <c r="I48" s="21">
        <v>4107</v>
      </c>
      <c r="J48" s="22">
        <f t="shared" si="73"/>
        <v>132.48387096774192</v>
      </c>
      <c r="K48" s="21">
        <v>3014</v>
      </c>
      <c r="L48" s="22">
        <f t="shared" si="74"/>
        <v>100.46666666666667</v>
      </c>
      <c r="M48" s="21">
        <v>4760</v>
      </c>
      <c r="N48" s="22">
        <f t="shared" si="75"/>
        <v>153.54838709677421</v>
      </c>
      <c r="O48" s="21">
        <v>3587</v>
      </c>
      <c r="P48" s="22">
        <f t="shared" si="76"/>
        <v>119.56666666666666</v>
      </c>
      <c r="Q48" s="21">
        <v>4372</v>
      </c>
      <c r="R48" s="22">
        <f t="shared" si="77"/>
        <v>141.03225806451613</v>
      </c>
      <c r="S48" s="21">
        <v>3565</v>
      </c>
      <c r="T48" s="22">
        <f t="shared" si="78"/>
        <v>115</v>
      </c>
      <c r="U48" s="21">
        <v>3775</v>
      </c>
      <c r="V48" s="22">
        <f t="shared" si="79"/>
        <v>125.83333333333333</v>
      </c>
      <c r="W48" s="21">
        <v>5850</v>
      </c>
      <c r="X48" s="22">
        <f t="shared" si="80"/>
        <v>188.70967741935485</v>
      </c>
      <c r="Y48" s="21">
        <v>4031</v>
      </c>
      <c r="Z48" s="22">
        <f t="shared" si="81"/>
        <v>134.36666666666667</v>
      </c>
      <c r="AA48" s="21">
        <v>4922</v>
      </c>
      <c r="AB48" s="22">
        <f t="shared" si="82"/>
        <v>158.7741935483871</v>
      </c>
      <c r="AC48" s="23">
        <f t="shared" si="83"/>
        <v>53245.669969278038</v>
      </c>
      <c r="AD48" s="24">
        <f t="shared" si="84"/>
        <v>26.987633023550408</v>
      </c>
      <c r="AE48" s="21">
        <v>5443</v>
      </c>
      <c r="AF48" s="22">
        <f t="shared" si="85"/>
        <v>175.58064516129033</v>
      </c>
      <c r="AG48" s="21">
        <v>5109</v>
      </c>
      <c r="AH48" s="22">
        <f t="shared" si="86"/>
        <v>182.46428571428572</v>
      </c>
      <c r="AI48" s="21">
        <v>4523</v>
      </c>
      <c r="AJ48" s="22">
        <f t="shared" si="87"/>
        <v>145.90322580645162</v>
      </c>
      <c r="AK48" s="21">
        <v>5924</v>
      </c>
      <c r="AL48" s="22">
        <f t="shared" si="88"/>
        <v>197.46666666666667</v>
      </c>
      <c r="AM48" s="21">
        <v>3302</v>
      </c>
      <c r="AN48" s="22">
        <f t="shared" si="89"/>
        <v>106.51612903225806</v>
      </c>
      <c r="AO48" s="21">
        <v>3513</v>
      </c>
      <c r="AP48" s="22">
        <f t="shared" si="90"/>
        <v>117.1</v>
      </c>
      <c r="AQ48" s="21">
        <v>6344</v>
      </c>
      <c r="AR48" s="22">
        <f t="shared" si="91"/>
        <v>204.64516129032259</v>
      </c>
      <c r="AS48" s="21">
        <v>5002</v>
      </c>
      <c r="AT48" s="22">
        <f t="shared" si="92"/>
        <v>161.35483870967741</v>
      </c>
      <c r="AU48" s="21">
        <v>3615</v>
      </c>
      <c r="AV48" s="22">
        <f t="shared" si="93"/>
        <v>120.5</v>
      </c>
      <c r="AW48" s="21">
        <v>6649</v>
      </c>
      <c r="AX48" s="22">
        <f t="shared" si="94"/>
        <v>214.48387096774192</v>
      </c>
      <c r="AY48" s="21">
        <v>4927</v>
      </c>
      <c r="AZ48" s="22">
        <f t="shared" si="95"/>
        <v>164.23333333333332</v>
      </c>
      <c r="BA48" s="21">
        <v>3104</v>
      </c>
      <c r="BB48" s="22">
        <f t="shared" si="96"/>
        <v>100.12903225806451</v>
      </c>
      <c r="BC48" s="23">
        <f t="shared" si="97"/>
        <v>59245.248156682028</v>
      </c>
      <c r="BD48" s="24">
        <f t="shared" si="98"/>
        <v>39.432221978952498</v>
      </c>
      <c r="BE48" s="21">
        <v>5027</v>
      </c>
      <c r="BF48" s="22">
        <f t="shared" si="99"/>
        <v>162.16129032258064</v>
      </c>
      <c r="BG48" s="21">
        <v>2803</v>
      </c>
      <c r="BH48" s="22">
        <f t="shared" si="100"/>
        <v>100.10714285714286</v>
      </c>
      <c r="BI48" s="21">
        <v>4234</v>
      </c>
      <c r="BJ48" s="22">
        <f t="shared" si="101"/>
        <v>136.58064516129033</v>
      </c>
      <c r="BK48" s="21">
        <v>2595</v>
      </c>
      <c r="BL48" s="22">
        <f t="shared" si="102"/>
        <v>86.5</v>
      </c>
      <c r="BM48" s="21">
        <v>4120</v>
      </c>
      <c r="BN48" s="22">
        <f t="shared" si="103"/>
        <v>132.90322580645162</v>
      </c>
      <c r="BO48" s="21">
        <v>2675</v>
      </c>
      <c r="BP48" s="22">
        <f t="shared" si="104"/>
        <v>89.166666666666671</v>
      </c>
      <c r="BQ48" s="21">
        <v>4952</v>
      </c>
      <c r="BR48" s="22">
        <f t="shared" si="105"/>
        <v>159.74193548387098</v>
      </c>
      <c r="BS48" s="21">
        <v>3014</v>
      </c>
      <c r="BT48" s="22">
        <f t="shared" si="106"/>
        <v>97.225806451612897</v>
      </c>
      <c r="BU48" s="21">
        <v>4134</v>
      </c>
      <c r="BV48" s="22">
        <f t="shared" si="107"/>
        <v>137.80000000000001</v>
      </c>
      <c r="BW48" s="21">
        <v>2944</v>
      </c>
      <c r="BX48" s="22">
        <f t="shared" si="108"/>
        <v>94.967741935483872</v>
      </c>
      <c r="BY48" s="21">
        <v>3302</v>
      </c>
      <c r="BZ48" s="22">
        <f t="shared" si="109"/>
        <v>110.06666666666666</v>
      </c>
      <c r="CA48" s="21">
        <v>4867</v>
      </c>
      <c r="CB48" s="22">
        <f t="shared" si="110"/>
        <v>157</v>
      </c>
      <c r="CC48" s="23">
        <f t="shared" si="111"/>
        <v>45974.221121351773</v>
      </c>
      <c r="CD48" s="24">
        <f t="shared" si="112"/>
        <v>28.838070582815956</v>
      </c>
      <c r="CE48" s="21">
        <v>3663</v>
      </c>
      <c r="CF48" s="22">
        <f t="shared" si="113"/>
        <v>118.16129032258064</v>
      </c>
      <c r="CG48" s="21">
        <v>4587</v>
      </c>
      <c r="CH48" s="22">
        <f t="shared" si="114"/>
        <v>163.82142857142858</v>
      </c>
      <c r="CI48" s="21">
        <v>4223</v>
      </c>
      <c r="CJ48" s="22">
        <f t="shared" si="115"/>
        <v>136.2258064516129</v>
      </c>
      <c r="CK48" s="21">
        <v>5800</v>
      </c>
      <c r="CL48" s="22">
        <f t="shared" si="116"/>
        <v>193.33333333333334</v>
      </c>
      <c r="CM48" s="21">
        <v>3938</v>
      </c>
      <c r="CN48" s="22">
        <f t="shared" si="117"/>
        <v>127.03225806451613</v>
      </c>
      <c r="CO48" s="21">
        <v>5624</v>
      </c>
      <c r="CP48" s="22">
        <f t="shared" si="118"/>
        <v>187.46666666666667</v>
      </c>
      <c r="CQ48" s="21">
        <v>5817</v>
      </c>
      <c r="CR48" s="22">
        <f t="shared" si="119"/>
        <v>187.64516129032259</v>
      </c>
      <c r="CS48" s="21">
        <v>3005</v>
      </c>
      <c r="CT48" s="22">
        <f t="shared" si="120"/>
        <v>96.935483870967744</v>
      </c>
      <c r="CU48" s="21">
        <v>4909</v>
      </c>
      <c r="CV48" s="22">
        <f t="shared" si="121"/>
        <v>163.63333333333333</v>
      </c>
      <c r="CW48" s="21">
        <v>3532</v>
      </c>
      <c r="CX48" s="22">
        <f t="shared" si="122"/>
        <v>113.93548387096774</v>
      </c>
      <c r="CY48" s="21">
        <v>3906</v>
      </c>
      <c r="CZ48" s="22">
        <f t="shared" si="123"/>
        <v>130.19999999999999</v>
      </c>
      <c r="DA48" s="21">
        <v>5722</v>
      </c>
      <c r="DB48" s="22">
        <f t="shared" si="124"/>
        <v>184.58064516129033</v>
      </c>
      <c r="DC48" s="23">
        <f t="shared" si="125"/>
        <v>56344.390245775729</v>
      </c>
      <c r="DD48" s="24">
        <f t="shared" si="126"/>
        <v>33.723681231393748</v>
      </c>
      <c r="DE48" s="21">
        <v>2643</v>
      </c>
      <c r="DF48" s="22">
        <f t="shared" si="127"/>
        <v>85.258064516129039</v>
      </c>
      <c r="DG48" s="21">
        <v>5032</v>
      </c>
      <c r="DH48" s="22">
        <f t="shared" si="128"/>
        <v>179.71428571428572</v>
      </c>
      <c r="DI48" s="21">
        <v>5455</v>
      </c>
      <c r="DJ48" s="22">
        <f t="shared" si="129"/>
        <v>175.96774193548387</v>
      </c>
      <c r="DK48" s="21">
        <v>6051</v>
      </c>
      <c r="DL48" s="22">
        <f t="shared" si="130"/>
        <v>201.7</v>
      </c>
      <c r="DM48" s="21">
        <v>4081</v>
      </c>
      <c r="DN48" s="22">
        <f t="shared" si="131"/>
        <v>131.64516129032259</v>
      </c>
      <c r="DO48" s="21">
        <v>3071</v>
      </c>
      <c r="DP48" s="22">
        <f t="shared" si="132"/>
        <v>102.36666666666666</v>
      </c>
      <c r="DQ48" s="21">
        <v>2857</v>
      </c>
      <c r="DR48" s="22">
        <f t="shared" si="133"/>
        <v>92.161290322580641</v>
      </c>
      <c r="DS48" s="21">
        <v>3944</v>
      </c>
      <c r="DT48" s="22">
        <f t="shared" si="134"/>
        <v>127.2258064516129</v>
      </c>
      <c r="DU48" s="21">
        <v>5155</v>
      </c>
      <c r="DV48" s="22">
        <f t="shared" si="135"/>
        <v>171.83333333333334</v>
      </c>
      <c r="DW48" s="21">
        <v>2967</v>
      </c>
      <c r="DX48" s="22">
        <f t="shared" si="136"/>
        <v>95.709677419354833</v>
      </c>
      <c r="DY48" s="21">
        <v>3702</v>
      </c>
      <c r="DZ48" s="22">
        <f t="shared" si="137"/>
        <v>123.4</v>
      </c>
      <c r="EA48" s="21">
        <v>5677</v>
      </c>
      <c r="EB48" s="22">
        <f t="shared" si="138"/>
        <v>183.12903225806451</v>
      </c>
      <c r="EC48" s="23">
        <f t="shared" si="139"/>
        <v>52121.98202764977</v>
      </c>
      <c r="ED48" s="24">
        <f t="shared" si="140"/>
        <v>41.247351066339895</v>
      </c>
      <c r="EE48" s="25">
        <f t="shared" si="141"/>
        <v>2225.5609246055924</v>
      </c>
    </row>
    <row r="49" spans="1:135" ht="15" customHeight="1" x14ac:dyDescent="0.35">
      <c r="A49" s="17">
        <v>44</v>
      </c>
      <c r="B49" s="18" t="s">
        <v>122</v>
      </c>
      <c r="C49" s="19" t="s">
        <v>123</v>
      </c>
      <c r="D49" s="20" t="s">
        <v>36</v>
      </c>
      <c r="E49" s="21">
        <v>745</v>
      </c>
      <c r="F49" s="22">
        <f t="shared" si="71"/>
        <v>24.032258064516128</v>
      </c>
      <c r="G49" s="21">
        <v>1279</v>
      </c>
      <c r="H49" s="22">
        <f t="shared" si="72"/>
        <v>45.678571428571431</v>
      </c>
      <c r="I49" s="21">
        <v>1262</v>
      </c>
      <c r="J49" s="22">
        <f t="shared" si="73"/>
        <v>40.70967741935484</v>
      </c>
      <c r="K49" s="21">
        <v>742</v>
      </c>
      <c r="L49" s="22">
        <f t="shared" si="74"/>
        <v>24.733333333333334</v>
      </c>
      <c r="M49" s="21">
        <v>1464</v>
      </c>
      <c r="N49" s="22">
        <f t="shared" si="75"/>
        <v>47.225806451612904</v>
      </c>
      <c r="O49" s="21">
        <v>750</v>
      </c>
      <c r="P49" s="22">
        <f t="shared" si="76"/>
        <v>25</v>
      </c>
      <c r="Q49" s="21">
        <v>1075</v>
      </c>
      <c r="R49" s="22">
        <f t="shared" si="77"/>
        <v>34.677419354838712</v>
      </c>
      <c r="S49" s="21">
        <v>637</v>
      </c>
      <c r="T49" s="22">
        <f t="shared" si="78"/>
        <v>20.548387096774192</v>
      </c>
      <c r="U49" s="21">
        <v>1176</v>
      </c>
      <c r="V49" s="22">
        <f t="shared" si="79"/>
        <v>39.200000000000003</v>
      </c>
      <c r="W49" s="21">
        <v>999</v>
      </c>
      <c r="X49" s="22">
        <f t="shared" si="80"/>
        <v>32.225806451612904</v>
      </c>
      <c r="Y49" s="21">
        <v>1237</v>
      </c>
      <c r="Z49" s="22">
        <f t="shared" si="81"/>
        <v>41.233333333333334</v>
      </c>
      <c r="AA49" s="21">
        <v>1157</v>
      </c>
      <c r="AB49" s="22">
        <f t="shared" si="82"/>
        <v>37.322580645161288</v>
      </c>
      <c r="AC49" s="23">
        <f t="shared" si="83"/>
        <v>12898.264592933951</v>
      </c>
      <c r="AD49" s="24">
        <f t="shared" si="84"/>
        <v>9.0239954747517235</v>
      </c>
      <c r="AE49" s="21">
        <v>911</v>
      </c>
      <c r="AF49" s="22">
        <f t="shared" si="85"/>
        <v>29.387096774193548</v>
      </c>
      <c r="AG49" s="21">
        <v>1174</v>
      </c>
      <c r="AH49" s="22">
        <f t="shared" si="86"/>
        <v>41.928571428571431</v>
      </c>
      <c r="AI49" s="21">
        <v>1452</v>
      </c>
      <c r="AJ49" s="22">
        <f t="shared" si="87"/>
        <v>46.838709677419352</v>
      </c>
      <c r="AK49" s="21">
        <v>1628</v>
      </c>
      <c r="AL49" s="22">
        <f t="shared" si="88"/>
        <v>54.266666666666666</v>
      </c>
      <c r="AM49" s="21">
        <v>846</v>
      </c>
      <c r="AN49" s="22">
        <f t="shared" si="89"/>
        <v>27.29032258064516</v>
      </c>
      <c r="AO49" s="21">
        <v>860</v>
      </c>
      <c r="AP49" s="22">
        <f t="shared" si="90"/>
        <v>28.666666666666668</v>
      </c>
      <c r="AQ49" s="21">
        <v>1519</v>
      </c>
      <c r="AR49" s="22">
        <f t="shared" si="91"/>
        <v>49</v>
      </c>
      <c r="AS49" s="21">
        <v>1354</v>
      </c>
      <c r="AT49" s="22">
        <f t="shared" si="92"/>
        <v>43.677419354838712</v>
      </c>
      <c r="AU49" s="21">
        <v>1146</v>
      </c>
      <c r="AV49" s="22">
        <f t="shared" si="93"/>
        <v>38.200000000000003</v>
      </c>
      <c r="AW49" s="21">
        <v>1732</v>
      </c>
      <c r="AX49" s="22">
        <f t="shared" si="94"/>
        <v>55.87096774193548</v>
      </c>
      <c r="AY49" s="21">
        <v>1076</v>
      </c>
      <c r="AZ49" s="22">
        <f t="shared" si="95"/>
        <v>35.866666666666667</v>
      </c>
      <c r="BA49" s="21">
        <v>900</v>
      </c>
      <c r="BB49" s="22">
        <f t="shared" si="96"/>
        <v>29.032258064516128</v>
      </c>
      <c r="BC49" s="23">
        <f t="shared" si="97"/>
        <v>15048.993087557605</v>
      </c>
      <c r="BD49" s="24">
        <f t="shared" si="98"/>
        <v>10.196550037167544</v>
      </c>
      <c r="BE49" s="21">
        <v>973</v>
      </c>
      <c r="BF49" s="22">
        <f t="shared" si="99"/>
        <v>31.387096774193548</v>
      </c>
      <c r="BG49" s="21">
        <v>790</v>
      </c>
      <c r="BH49" s="22">
        <f t="shared" si="100"/>
        <v>28.214285714285715</v>
      </c>
      <c r="BI49" s="21">
        <v>1235</v>
      </c>
      <c r="BJ49" s="22">
        <f t="shared" si="101"/>
        <v>39.838709677419352</v>
      </c>
      <c r="BK49" s="21">
        <v>1279</v>
      </c>
      <c r="BL49" s="22">
        <f t="shared" si="102"/>
        <v>42.633333333333333</v>
      </c>
      <c r="BM49" s="21">
        <v>1286</v>
      </c>
      <c r="BN49" s="22">
        <f t="shared" si="103"/>
        <v>41.483870967741936</v>
      </c>
      <c r="BO49" s="21">
        <v>1449</v>
      </c>
      <c r="BP49" s="22">
        <f t="shared" si="104"/>
        <v>48.3</v>
      </c>
      <c r="BQ49" s="21">
        <v>1365</v>
      </c>
      <c r="BR49" s="22">
        <f t="shared" si="105"/>
        <v>44.032258064516128</v>
      </c>
      <c r="BS49" s="21">
        <v>1514</v>
      </c>
      <c r="BT49" s="22">
        <f t="shared" si="106"/>
        <v>48.838709677419352</v>
      </c>
      <c r="BU49" s="21">
        <v>1334</v>
      </c>
      <c r="BV49" s="22">
        <f t="shared" si="107"/>
        <v>44.466666666666669</v>
      </c>
      <c r="BW49" s="21">
        <v>996</v>
      </c>
      <c r="BX49" s="22">
        <f t="shared" si="108"/>
        <v>32.12903225806452</v>
      </c>
      <c r="BY49" s="21">
        <v>1201</v>
      </c>
      <c r="BZ49" s="22">
        <f t="shared" si="109"/>
        <v>40.033333333333331</v>
      </c>
      <c r="CA49" s="21">
        <v>1193</v>
      </c>
      <c r="CB49" s="22">
        <f t="shared" si="110"/>
        <v>38.483870967741936</v>
      </c>
      <c r="CC49" s="23">
        <f t="shared" si="111"/>
        <v>15056.357296466973</v>
      </c>
      <c r="CD49" s="24">
        <f t="shared" si="112"/>
        <v>6.534664834332105</v>
      </c>
      <c r="CE49" s="21">
        <v>1185</v>
      </c>
      <c r="CF49" s="22">
        <f t="shared" si="113"/>
        <v>38.225806451612904</v>
      </c>
      <c r="CG49" s="21">
        <v>827</v>
      </c>
      <c r="CH49" s="22">
        <f t="shared" si="114"/>
        <v>29.535714285714285</v>
      </c>
      <c r="CI49" s="21">
        <v>637</v>
      </c>
      <c r="CJ49" s="22">
        <f t="shared" si="115"/>
        <v>20.548387096774192</v>
      </c>
      <c r="CK49" s="21">
        <v>1304</v>
      </c>
      <c r="CL49" s="22">
        <f t="shared" si="116"/>
        <v>43.466666666666669</v>
      </c>
      <c r="CM49" s="21">
        <v>1349</v>
      </c>
      <c r="CN49" s="22">
        <f t="shared" si="117"/>
        <v>43.516129032258064</v>
      </c>
      <c r="CO49" s="21">
        <v>985</v>
      </c>
      <c r="CP49" s="22">
        <f t="shared" si="118"/>
        <v>32.833333333333336</v>
      </c>
      <c r="CQ49" s="21">
        <v>683</v>
      </c>
      <c r="CR49" s="22">
        <f t="shared" si="119"/>
        <v>22.032258064516128</v>
      </c>
      <c r="CS49" s="21">
        <v>989</v>
      </c>
      <c r="CT49" s="22">
        <f t="shared" si="120"/>
        <v>31.903225806451612</v>
      </c>
      <c r="CU49" s="21">
        <v>1064</v>
      </c>
      <c r="CV49" s="22">
        <f t="shared" si="121"/>
        <v>35.466666666666669</v>
      </c>
      <c r="CW49" s="21">
        <v>1012</v>
      </c>
      <c r="CX49" s="22">
        <f t="shared" si="122"/>
        <v>32.645161290322584</v>
      </c>
      <c r="CY49" s="21">
        <v>1367</v>
      </c>
      <c r="CZ49" s="22">
        <f t="shared" si="123"/>
        <v>45.56666666666667</v>
      </c>
      <c r="DA49" s="21">
        <v>1374</v>
      </c>
      <c r="DB49" s="22">
        <f t="shared" si="124"/>
        <v>44.322580645161288</v>
      </c>
      <c r="DC49" s="23">
        <f t="shared" si="125"/>
        <v>13151.740015360983</v>
      </c>
      <c r="DD49" s="24">
        <f t="shared" si="126"/>
        <v>8.4212756319611213</v>
      </c>
      <c r="DE49" s="21">
        <v>1406</v>
      </c>
      <c r="DF49" s="22">
        <f t="shared" si="127"/>
        <v>45.354838709677416</v>
      </c>
      <c r="DG49" s="21">
        <v>737</v>
      </c>
      <c r="DH49" s="22">
        <f t="shared" si="128"/>
        <v>26.321428571428573</v>
      </c>
      <c r="DI49" s="21">
        <v>1345</v>
      </c>
      <c r="DJ49" s="22">
        <f t="shared" si="129"/>
        <v>43.387096774193552</v>
      </c>
      <c r="DK49" s="21">
        <v>1101</v>
      </c>
      <c r="DL49" s="22">
        <f t="shared" si="130"/>
        <v>36.700000000000003</v>
      </c>
      <c r="DM49" s="21">
        <v>932</v>
      </c>
      <c r="DN49" s="22">
        <f t="shared" si="131"/>
        <v>30.06451612903226</v>
      </c>
      <c r="DO49" s="21">
        <v>1197</v>
      </c>
      <c r="DP49" s="22">
        <f t="shared" si="132"/>
        <v>39.9</v>
      </c>
      <c r="DQ49" s="21">
        <v>1263</v>
      </c>
      <c r="DR49" s="22">
        <f t="shared" si="133"/>
        <v>40.741935483870968</v>
      </c>
      <c r="DS49" s="21">
        <v>1424</v>
      </c>
      <c r="DT49" s="22">
        <f t="shared" si="134"/>
        <v>45.935483870967744</v>
      </c>
      <c r="DU49" s="21">
        <v>1270</v>
      </c>
      <c r="DV49" s="22">
        <f t="shared" si="135"/>
        <v>42.333333333333336</v>
      </c>
      <c r="DW49" s="21">
        <v>640</v>
      </c>
      <c r="DX49" s="22">
        <f t="shared" si="136"/>
        <v>20.64516129032258</v>
      </c>
      <c r="DY49" s="21">
        <v>683</v>
      </c>
      <c r="DZ49" s="22">
        <f t="shared" si="137"/>
        <v>22.766666666666666</v>
      </c>
      <c r="EA49" s="21">
        <v>845</v>
      </c>
      <c r="EB49" s="22">
        <f t="shared" si="138"/>
        <v>27.258064516129032</v>
      </c>
      <c r="EC49" s="23">
        <f t="shared" si="139"/>
        <v>13237.150460829493</v>
      </c>
      <c r="ED49" s="24">
        <f t="shared" si="140"/>
        <v>9.1748825292441101</v>
      </c>
      <c r="EE49" s="25">
        <f t="shared" si="141"/>
        <v>580.00249457384143</v>
      </c>
    </row>
    <row r="50" spans="1:135" ht="15" customHeight="1" x14ac:dyDescent="0.35">
      <c r="A50" s="17">
        <v>45</v>
      </c>
      <c r="B50" s="18" t="s">
        <v>124</v>
      </c>
      <c r="C50" s="19" t="s">
        <v>125</v>
      </c>
      <c r="D50" s="20" t="s">
        <v>36</v>
      </c>
      <c r="E50" s="21">
        <v>1282</v>
      </c>
      <c r="F50" s="22">
        <f t="shared" si="71"/>
        <v>41.354838709677416</v>
      </c>
      <c r="G50" s="21">
        <v>1315</v>
      </c>
      <c r="H50" s="22">
        <f t="shared" si="72"/>
        <v>46.964285714285715</v>
      </c>
      <c r="I50" s="21">
        <v>2498</v>
      </c>
      <c r="J50" s="22">
        <f t="shared" si="73"/>
        <v>80.58064516129032</v>
      </c>
      <c r="K50" s="21">
        <v>2039</v>
      </c>
      <c r="L50" s="22">
        <f t="shared" si="74"/>
        <v>67.966666666666669</v>
      </c>
      <c r="M50" s="21">
        <v>2237</v>
      </c>
      <c r="N50" s="22">
        <f t="shared" si="75"/>
        <v>72.161290322580641</v>
      </c>
      <c r="O50" s="21">
        <v>2030</v>
      </c>
      <c r="P50" s="22">
        <f t="shared" si="76"/>
        <v>67.666666666666671</v>
      </c>
      <c r="Q50" s="21">
        <v>1891</v>
      </c>
      <c r="R50" s="22">
        <f t="shared" si="77"/>
        <v>61</v>
      </c>
      <c r="S50" s="21">
        <v>2356</v>
      </c>
      <c r="T50" s="22">
        <f t="shared" si="78"/>
        <v>76</v>
      </c>
      <c r="U50" s="21">
        <v>1351</v>
      </c>
      <c r="V50" s="22">
        <f t="shared" si="79"/>
        <v>45.033333333333331</v>
      </c>
      <c r="W50" s="21">
        <v>2088</v>
      </c>
      <c r="X50" s="22">
        <f t="shared" si="80"/>
        <v>67.354838709677423</v>
      </c>
      <c r="Y50" s="21">
        <v>2217</v>
      </c>
      <c r="Z50" s="22">
        <f t="shared" si="81"/>
        <v>73.900000000000006</v>
      </c>
      <c r="AA50" s="21">
        <v>1668</v>
      </c>
      <c r="AB50" s="22">
        <f t="shared" si="82"/>
        <v>53.806451612903224</v>
      </c>
      <c r="AC50" s="23">
        <f t="shared" si="83"/>
        <v>23671.982565284179</v>
      </c>
      <c r="AD50" s="24">
        <f t="shared" si="84"/>
        <v>13.082954604006209</v>
      </c>
      <c r="AE50" s="21">
        <v>2142</v>
      </c>
      <c r="AF50" s="22">
        <f t="shared" si="85"/>
        <v>69.096774193548384</v>
      </c>
      <c r="AG50" s="21">
        <v>2549</v>
      </c>
      <c r="AH50" s="22">
        <f t="shared" si="86"/>
        <v>91.035714285714292</v>
      </c>
      <c r="AI50" s="21">
        <v>1926</v>
      </c>
      <c r="AJ50" s="22">
        <f t="shared" si="87"/>
        <v>62.12903225806452</v>
      </c>
      <c r="AK50" s="21">
        <v>3148</v>
      </c>
      <c r="AL50" s="22">
        <f t="shared" si="88"/>
        <v>104.93333333333334</v>
      </c>
      <c r="AM50" s="21">
        <v>2599</v>
      </c>
      <c r="AN50" s="22">
        <f t="shared" si="89"/>
        <v>83.838709677419359</v>
      </c>
      <c r="AO50" s="21">
        <v>2305</v>
      </c>
      <c r="AP50" s="22">
        <f t="shared" si="90"/>
        <v>76.833333333333329</v>
      </c>
      <c r="AQ50" s="21">
        <v>2797</v>
      </c>
      <c r="AR50" s="22">
        <f t="shared" si="91"/>
        <v>90.225806451612897</v>
      </c>
      <c r="AS50" s="21">
        <v>3202</v>
      </c>
      <c r="AT50" s="22">
        <f t="shared" si="92"/>
        <v>103.29032258064517</v>
      </c>
      <c r="AU50" s="21">
        <v>2892</v>
      </c>
      <c r="AV50" s="22">
        <f t="shared" si="93"/>
        <v>96.4</v>
      </c>
      <c r="AW50" s="21">
        <v>1649</v>
      </c>
      <c r="AX50" s="22">
        <f t="shared" si="94"/>
        <v>53.193548387096776</v>
      </c>
      <c r="AY50" s="21">
        <v>2927</v>
      </c>
      <c r="AZ50" s="22">
        <f t="shared" si="95"/>
        <v>97.566666666666663</v>
      </c>
      <c r="BA50" s="21">
        <v>2990</v>
      </c>
      <c r="BB50" s="22">
        <f t="shared" si="96"/>
        <v>96.451612903225808</v>
      </c>
      <c r="BC50" s="23">
        <f t="shared" si="97"/>
        <v>32054.543241167434</v>
      </c>
      <c r="BD50" s="24">
        <f t="shared" si="98"/>
        <v>16.701228153496309</v>
      </c>
      <c r="BE50" s="21">
        <v>2828</v>
      </c>
      <c r="BF50" s="22">
        <f t="shared" si="99"/>
        <v>91.225806451612897</v>
      </c>
      <c r="BG50" s="21">
        <v>1431</v>
      </c>
      <c r="BH50" s="22">
        <f t="shared" si="100"/>
        <v>51.107142857142854</v>
      </c>
      <c r="BI50" s="21">
        <v>1481</v>
      </c>
      <c r="BJ50" s="22">
        <f t="shared" si="101"/>
        <v>47.774193548387096</v>
      </c>
      <c r="BK50" s="21">
        <v>2098</v>
      </c>
      <c r="BL50" s="22">
        <f t="shared" si="102"/>
        <v>69.933333333333337</v>
      </c>
      <c r="BM50" s="21">
        <v>2132</v>
      </c>
      <c r="BN50" s="22">
        <f t="shared" si="103"/>
        <v>68.774193548387103</v>
      </c>
      <c r="BO50" s="21">
        <v>2407</v>
      </c>
      <c r="BP50" s="22">
        <f t="shared" si="104"/>
        <v>80.233333333333334</v>
      </c>
      <c r="BQ50" s="21">
        <v>1876</v>
      </c>
      <c r="BR50" s="22">
        <f t="shared" si="105"/>
        <v>60.516129032258064</v>
      </c>
      <c r="BS50" s="21">
        <v>2642</v>
      </c>
      <c r="BT50" s="22">
        <f t="shared" si="106"/>
        <v>85.225806451612897</v>
      </c>
      <c r="BU50" s="21">
        <v>2640</v>
      </c>
      <c r="BV50" s="22">
        <f t="shared" si="107"/>
        <v>88</v>
      </c>
      <c r="BW50" s="21">
        <v>1540</v>
      </c>
      <c r="BX50" s="22">
        <f t="shared" si="108"/>
        <v>49.677419354838712</v>
      </c>
      <c r="BY50" s="21">
        <v>2582</v>
      </c>
      <c r="BZ50" s="22">
        <f t="shared" si="109"/>
        <v>86.066666666666663</v>
      </c>
      <c r="CA50" s="21">
        <v>2571</v>
      </c>
      <c r="CB50" s="22">
        <f t="shared" si="110"/>
        <v>82.935483870967744</v>
      </c>
      <c r="CC50" s="23">
        <f t="shared" si="111"/>
        <v>27006.53402457757</v>
      </c>
      <c r="CD50" s="24">
        <f t="shared" si="112"/>
        <v>16.106234495961409</v>
      </c>
      <c r="CE50" s="21">
        <v>1876</v>
      </c>
      <c r="CF50" s="22">
        <f t="shared" si="113"/>
        <v>60.516129032258064</v>
      </c>
      <c r="CG50" s="21">
        <v>3497</v>
      </c>
      <c r="CH50" s="22">
        <f t="shared" si="114"/>
        <v>124.89285714285714</v>
      </c>
      <c r="CI50" s="21">
        <v>2614</v>
      </c>
      <c r="CJ50" s="22">
        <f t="shared" si="115"/>
        <v>84.322580645161295</v>
      </c>
      <c r="CK50" s="21">
        <v>3148</v>
      </c>
      <c r="CL50" s="22">
        <f t="shared" si="116"/>
        <v>104.93333333333334</v>
      </c>
      <c r="CM50" s="21">
        <v>3020</v>
      </c>
      <c r="CN50" s="22">
        <f t="shared" si="117"/>
        <v>97.41935483870968</v>
      </c>
      <c r="CO50" s="21">
        <v>1883</v>
      </c>
      <c r="CP50" s="22">
        <f t="shared" si="118"/>
        <v>62.766666666666666</v>
      </c>
      <c r="CQ50" s="21">
        <v>1801</v>
      </c>
      <c r="CR50" s="22">
        <f t="shared" si="119"/>
        <v>58.096774193548384</v>
      </c>
      <c r="CS50" s="21">
        <v>3144</v>
      </c>
      <c r="CT50" s="22">
        <f t="shared" si="120"/>
        <v>101.41935483870968</v>
      </c>
      <c r="CU50" s="21">
        <v>2092</v>
      </c>
      <c r="CV50" s="22">
        <f t="shared" si="121"/>
        <v>69.733333333333334</v>
      </c>
      <c r="CW50" s="21">
        <v>3360</v>
      </c>
      <c r="CX50" s="22">
        <f t="shared" si="122"/>
        <v>108.38709677419355</v>
      </c>
      <c r="CY50" s="21">
        <v>3124</v>
      </c>
      <c r="CZ50" s="22">
        <f t="shared" si="123"/>
        <v>104.13333333333334</v>
      </c>
      <c r="DA50" s="21">
        <v>1600</v>
      </c>
      <c r="DB50" s="22">
        <f t="shared" si="124"/>
        <v>51.612903225806448</v>
      </c>
      <c r="DC50" s="23">
        <f t="shared" si="125"/>
        <v>32135.620814132104</v>
      </c>
      <c r="DD50" s="24">
        <f t="shared" si="126"/>
        <v>24.282050038526243</v>
      </c>
      <c r="DE50" s="21">
        <v>3109</v>
      </c>
      <c r="DF50" s="22">
        <f t="shared" si="127"/>
        <v>100.29032258064517</v>
      </c>
      <c r="DG50" s="21">
        <v>2040</v>
      </c>
      <c r="DH50" s="22">
        <f t="shared" si="128"/>
        <v>72.857142857142861</v>
      </c>
      <c r="DI50" s="21">
        <v>1625</v>
      </c>
      <c r="DJ50" s="22">
        <f t="shared" si="129"/>
        <v>52.41935483870968</v>
      </c>
      <c r="DK50" s="21">
        <v>2919</v>
      </c>
      <c r="DL50" s="22">
        <f t="shared" si="130"/>
        <v>97.3</v>
      </c>
      <c r="DM50" s="21">
        <v>2649</v>
      </c>
      <c r="DN50" s="22">
        <f t="shared" si="131"/>
        <v>85.451612903225808</v>
      </c>
      <c r="DO50" s="21">
        <v>1651</v>
      </c>
      <c r="DP50" s="22">
        <f t="shared" si="132"/>
        <v>55.033333333333331</v>
      </c>
      <c r="DQ50" s="21">
        <v>2406</v>
      </c>
      <c r="DR50" s="22">
        <f t="shared" si="133"/>
        <v>77.612903225806448</v>
      </c>
      <c r="DS50" s="21">
        <v>2216</v>
      </c>
      <c r="DT50" s="22">
        <f t="shared" si="134"/>
        <v>71.483870967741936</v>
      </c>
      <c r="DU50" s="21">
        <v>2495</v>
      </c>
      <c r="DV50" s="22">
        <f t="shared" si="135"/>
        <v>83.166666666666671</v>
      </c>
      <c r="DW50" s="21">
        <v>2629</v>
      </c>
      <c r="DX50" s="22">
        <f t="shared" si="136"/>
        <v>84.806451612903231</v>
      </c>
      <c r="DY50" s="21">
        <v>2231</v>
      </c>
      <c r="DZ50" s="22">
        <f t="shared" si="137"/>
        <v>74.36666666666666</v>
      </c>
      <c r="EA50" s="21">
        <v>2007</v>
      </c>
      <c r="EB50" s="22">
        <f t="shared" si="138"/>
        <v>64.741935483870961</v>
      </c>
      <c r="EC50" s="23">
        <f t="shared" si="139"/>
        <v>28831.78832565284</v>
      </c>
      <c r="ED50" s="24">
        <f t="shared" si="140"/>
        <v>14.817576224834612</v>
      </c>
      <c r="EE50" s="25">
        <f t="shared" si="141"/>
        <v>1195.227586256555</v>
      </c>
    </row>
    <row r="51" spans="1:135" ht="15" customHeight="1" x14ac:dyDescent="0.35">
      <c r="A51" s="17">
        <v>46</v>
      </c>
      <c r="B51" s="18" t="s">
        <v>126</v>
      </c>
      <c r="C51" s="19" t="s">
        <v>127</v>
      </c>
      <c r="D51" s="20" t="s">
        <v>36</v>
      </c>
      <c r="E51" s="21">
        <v>1497</v>
      </c>
      <c r="F51" s="22">
        <f t="shared" si="71"/>
        <v>48.29032258064516</v>
      </c>
      <c r="G51" s="21">
        <v>2324</v>
      </c>
      <c r="H51" s="22">
        <f t="shared" si="72"/>
        <v>83</v>
      </c>
      <c r="I51" s="21">
        <v>2585</v>
      </c>
      <c r="J51" s="22">
        <f t="shared" si="73"/>
        <v>83.387096774193552</v>
      </c>
      <c r="K51" s="21">
        <v>1717</v>
      </c>
      <c r="L51" s="22">
        <f t="shared" si="74"/>
        <v>57.233333333333334</v>
      </c>
      <c r="M51" s="21">
        <v>2210</v>
      </c>
      <c r="N51" s="22">
        <f t="shared" si="75"/>
        <v>71.290322580645167</v>
      </c>
      <c r="O51" s="21">
        <v>1394</v>
      </c>
      <c r="P51" s="22">
        <f t="shared" si="76"/>
        <v>46.466666666666669</v>
      </c>
      <c r="Q51" s="21">
        <v>2831</v>
      </c>
      <c r="R51" s="22">
        <f t="shared" si="77"/>
        <v>91.322580645161295</v>
      </c>
      <c r="S51" s="21">
        <v>1746</v>
      </c>
      <c r="T51" s="22">
        <f t="shared" si="78"/>
        <v>56.322580645161288</v>
      </c>
      <c r="U51" s="21">
        <v>2145</v>
      </c>
      <c r="V51" s="22">
        <f t="shared" si="79"/>
        <v>71.5</v>
      </c>
      <c r="W51" s="21">
        <v>1989</v>
      </c>
      <c r="X51" s="22">
        <f t="shared" si="80"/>
        <v>64.161290322580641</v>
      </c>
      <c r="Y51" s="21">
        <v>1580</v>
      </c>
      <c r="Z51" s="22">
        <f t="shared" si="81"/>
        <v>52.666666666666664</v>
      </c>
      <c r="AA51" s="21">
        <v>2951</v>
      </c>
      <c r="AB51" s="22">
        <f t="shared" si="82"/>
        <v>95.193548387096769</v>
      </c>
      <c r="AC51" s="23">
        <f t="shared" si="83"/>
        <v>25694.640860215055</v>
      </c>
      <c r="AD51" s="24">
        <f t="shared" si="84"/>
        <v>16.843150891596924</v>
      </c>
      <c r="AE51" s="21">
        <v>2766</v>
      </c>
      <c r="AF51" s="22">
        <f t="shared" si="85"/>
        <v>89.225806451612897</v>
      </c>
      <c r="AG51" s="21">
        <v>2242</v>
      </c>
      <c r="AH51" s="22">
        <f t="shared" si="86"/>
        <v>80.071428571428569</v>
      </c>
      <c r="AI51" s="21">
        <v>2863</v>
      </c>
      <c r="AJ51" s="22">
        <f t="shared" si="87"/>
        <v>92.354838709677423</v>
      </c>
      <c r="AK51" s="21">
        <v>2565</v>
      </c>
      <c r="AL51" s="22">
        <f t="shared" si="88"/>
        <v>85.5</v>
      </c>
      <c r="AM51" s="21">
        <v>2012</v>
      </c>
      <c r="AN51" s="22">
        <f t="shared" si="89"/>
        <v>64.903225806451616</v>
      </c>
      <c r="AO51" s="21">
        <v>1844</v>
      </c>
      <c r="AP51" s="22">
        <f t="shared" si="90"/>
        <v>61.466666666666669</v>
      </c>
      <c r="AQ51" s="21">
        <v>2007</v>
      </c>
      <c r="AR51" s="22">
        <f t="shared" si="91"/>
        <v>64.741935483870961</v>
      </c>
      <c r="AS51" s="21">
        <v>2530</v>
      </c>
      <c r="AT51" s="22">
        <f t="shared" si="92"/>
        <v>81.612903225806448</v>
      </c>
      <c r="AU51" s="21">
        <v>1757</v>
      </c>
      <c r="AV51" s="22">
        <f t="shared" si="93"/>
        <v>58.56666666666667</v>
      </c>
      <c r="AW51" s="21">
        <v>1425</v>
      </c>
      <c r="AX51" s="22">
        <f t="shared" si="94"/>
        <v>45.967741935483872</v>
      </c>
      <c r="AY51" s="21">
        <v>1932</v>
      </c>
      <c r="AZ51" s="22">
        <f t="shared" si="95"/>
        <v>64.400000000000006</v>
      </c>
      <c r="BA51" s="21">
        <v>2155</v>
      </c>
      <c r="BB51" s="22">
        <f t="shared" si="96"/>
        <v>69.516129032258064</v>
      </c>
      <c r="BC51" s="23">
        <f t="shared" si="97"/>
        <v>26886.811213517667</v>
      </c>
      <c r="BD51" s="24">
        <f t="shared" si="98"/>
        <v>14.091356094786955</v>
      </c>
      <c r="BE51" s="21">
        <v>2852</v>
      </c>
      <c r="BF51" s="22">
        <f t="shared" si="99"/>
        <v>92</v>
      </c>
      <c r="BG51" s="21">
        <v>1605</v>
      </c>
      <c r="BH51" s="22">
        <f t="shared" si="100"/>
        <v>57.321428571428569</v>
      </c>
      <c r="BI51" s="21">
        <v>2684</v>
      </c>
      <c r="BJ51" s="22">
        <f t="shared" si="101"/>
        <v>86.58064516129032</v>
      </c>
      <c r="BK51" s="21">
        <v>2990</v>
      </c>
      <c r="BL51" s="22">
        <f t="shared" si="102"/>
        <v>99.666666666666671</v>
      </c>
      <c r="BM51" s="21">
        <v>2942</v>
      </c>
      <c r="BN51" s="22">
        <f t="shared" si="103"/>
        <v>94.903225806451616</v>
      </c>
      <c r="BO51" s="21">
        <v>1414</v>
      </c>
      <c r="BP51" s="22">
        <f t="shared" si="104"/>
        <v>47.133333333333333</v>
      </c>
      <c r="BQ51" s="21">
        <v>2098</v>
      </c>
      <c r="BR51" s="22">
        <f t="shared" si="105"/>
        <v>67.677419354838705</v>
      </c>
      <c r="BS51" s="21">
        <v>1782</v>
      </c>
      <c r="BT51" s="22">
        <f t="shared" si="106"/>
        <v>57.483870967741936</v>
      </c>
      <c r="BU51" s="21">
        <v>2754</v>
      </c>
      <c r="BV51" s="22">
        <f t="shared" si="107"/>
        <v>91.8</v>
      </c>
      <c r="BW51" s="21">
        <v>1860</v>
      </c>
      <c r="BX51" s="22">
        <f t="shared" si="108"/>
        <v>60</v>
      </c>
      <c r="BY51" s="21">
        <v>2250</v>
      </c>
      <c r="BZ51" s="22">
        <f t="shared" si="109"/>
        <v>75</v>
      </c>
      <c r="CA51" s="21">
        <v>1309</v>
      </c>
      <c r="CB51" s="22">
        <f t="shared" si="110"/>
        <v>42.225806451612904</v>
      </c>
      <c r="CC51" s="23">
        <f t="shared" si="111"/>
        <v>27369.566589861748</v>
      </c>
      <c r="CD51" s="24">
        <f t="shared" si="112"/>
        <v>19.982479069394142</v>
      </c>
      <c r="CE51" s="21">
        <v>1889</v>
      </c>
      <c r="CF51" s="22">
        <f t="shared" si="113"/>
        <v>60.935483870967744</v>
      </c>
      <c r="CG51" s="21">
        <v>2610</v>
      </c>
      <c r="CH51" s="22">
        <f t="shared" si="114"/>
        <v>93.214285714285708</v>
      </c>
      <c r="CI51" s="21">
        <v>2094</v>
      </c>
      <c r="CJ51" s="22">
        <f t="shared" si="115"/>
        <v>67.548387096774192</v>
      </c>
      <c r="CK51" s="21">
        <v>2728</v>
      </c>
      <c r="CL51" s="22">
        <f t="shared" si="116"/>
        <v>90.933333333333337</v>
      </c>
      <c r="CM51" s="21">
        <v>2412</v>
      </c>
      <c r="CN51" s="22">
        <f t="shared" si="117"/>
        <v>77.806451612903231</v>
      </c>
      <c r="CO51" s="21">
        <v>2666</v>
      </c>
      <c r="CP51" s="22">
        <f t="shared" si="118"/>
        <v>88.86666666666666</v>
      </c>
      <c r="CQ51" s="21">
        <v>2470</v>
      </c>
      <c r="CR51" s="22">
        <f t="shared" si="119"/>
        <v>79.677419354838705</v>
      </c>
      <c r="CS51" s="21">
        <v>3025</v>
      </c>
      <c r="CT51" s="22">
        <f t="shared" si="120"/>
        <v>97.58064516129032</v>
      </c>
      <c r="CU51" s="21">
        <v>1879</v>
      </c>
      <c r="CV51" s="22">
        <f t="shared" si="121"/>
        <v>62.633333333333333</v>
      </c>
      <c r="CW51" s="21">
        <v>3279</v>
      </c>
      <c r="CX51" s="22">
        <f t="shared" si="122"/>
        <v>105.7741935483871</v>
      </c>
      <c r="CY51" s="21">
        <v>3001</v>
      </c>
      <c r="CZ51" s="22">
        <f t="shared" si="123"/>
        <v>100.03333333333333</v>
      </c>
      <c r="DA51" s="21">
        <v>1977</v>
      </c>
      <c r="DB51" s="22">
        <f t="shared" si="124"/>
        <v>63.774193548387096</v>
      </c>
      <c r="DC51" s="23">
        <f t="shared" si="125"/>
        <v>30955.003533026113</v>
      </c>
      <c r="DD51" s="24">
        <f t="shared" si="126"/>
        <v>15.859538034763938</v>
      </c>
      <c r="DE51" s="21">
        <v>1413</v>
      </c>
      <c r="DF51" s="22">
        <f t="shared" si="127"/>
        <v>45.58064516129032</v>
      </c>
      <c r="DG51" s="21">
        <v>2167</v>
      </c>
      <c r="DH51" s="22">
        <f t="shared" si="128"/>
        <v>77.392857142857139</v>
      </c>
      <c r="DI51" s="21">
        <v>1837</v>
      </c>
      <c r="DJ51" s="22">
        <f t="shared" si="129"/>
        <v>59.258064516129032</v>
      </c>
      <c r="DK51" s="21">
        <v>2049</v>
      </c>
      <c r="DL51" s="22">
        <f t="shared" si="130"/>
        <v>68.3</v>
      </c>
      <c r="DM51" s="21">
        <v>2970</v>
      </c>
      <c r="DN51" s="22">
        <f t="shared" si="131"/>
        <v>95.806451612903231</v>
      </c>
      <c r="DO51" s="21">
        <v>3040</v>
      </c>
      <c r="DP51" s="22">
        <f t="shared" si="132"/>
        <v>101.33333333333333</v>
      </c>
      <c r="DQ51" s="21">
        <v>3178</v>
      </c>
      <c r="DR51" s="22">
        <f t="shared" si="133"/>
        <v>102.51612903225806</v>
      </c>
      <c r="DS51" s="21">
        <v>1404</v>
      </c>
      <c r="DT51" s="22">
        <f t="shared" si="134"/>
        <v>45.29032258064516</v>
      </c>
      <c r="DU51" s="21">
        <v>2629</v>
      </c>
      <c r="DV51" s="22">
        <f t="shared" si="135"/>
        <v>87.63333333333334</v>
      </c>
      <c r="DW51" s="21">
        <v>2988</v>
      </c>
      <c r="DX51" s="22">
        <f t="shared" si="136"/>
        <v>96.387096774193552</v>
      </c>
      <c r="DY51" s="21">
        <v>2760</v>
      </c>
      <c r="DZ51" s="22">
        <f t="shared" si="137"/>
        <v>92</v>
      </c>
      <c r="EA51" s="21">
        <v>1596</v>
      </c>
      <c r="EB51" s="22">
        <f t="shared" si="138"/>
        <v>51.483870967741936</v>
      </c>
      <c r="EC51" s="23">
        <f t="shared" si="139"/>
        <v>28902.498233486942</v>
      </c>
      <c r="ED51" s="24">
        <f t="shared" si="140"/>
        <v>22.043511689029241</v>
      </c>
      <c r="EE51" s="25">
        <f t="shared" si="141"/>
        <v>1166.381095750012</v>
      </c>
    </row>
    <row r="52" spans="1:135" ht="15" customHeight="1" x14ac:dyDescent="0.35">
      <c r="A52" s="17">
        <v>47</v>
      </c>
      <c r="B52" s="18" t="s">
        <v>128</v>
      </c>
      <c r="C52" s="19" t="s">
        <v>129</v>
      </c>
      <c r="D52" s="20" t="s">
        <v>36</v>
      </c>
      <c r="E52" s="21">
        <v>3148</v>
      </c>
      <c r="F52" s="22">
        <f t="shared" si="71"/>
        <v>101.54838709677419</v>
      </c>
      <c r="G52" s="21">
        <v>2431</v>
      </c>
      <c r="H52" s="22">
        <f t="shared" si="72"/>
        <v>86.821428571428569</v>
      </c>
      <c r="I52" s="21">
        <v>3055</v>
      </c>
      <c r="J52" s="22">
        <f t="shared" si="73"/>
        <v>98.548387096774192</v>
      </c>
      <c r="K52" s="21">
        <v>1992</v>
      </c>
      <c r="L52" s="22">
        <f t="shared" si="74"/>
        <v>66.400000000000006</v>
      </c>
      <c r="M52" s="21">
        <v>4297</v>
      </c>
      <c r="N52" s="22">
        <f t="shared" si="75"/>
        <v>138.61290322580646</v>
      </c>
      <c r="O52" s="21">
        <v>3596</v>
      </c>
      <c r="P52" s="22">
        <f t="shared" si="76"/>
        <v>119.86666666666666</v>
      </c>
      <c r="Q52" s="21">
        <v>2074</v>
      </c>
      <c r="R52" s="22">
        <f t="shared" si="77"/>
        <v>66.903225806451616</v>
      </c>
      <c r="S52" s="21">
        <v>4111</v>
      </c>
      <c r="T52" s="22">
        <f t="shared" si="78"/>
        <v>132.61290322580646</v>
      </c>
      <c r="U52" s="21">
        <v>4052</v>
      </c>
      <c r="V52" s="22">
        <f t="shared" si="79"/>
        <v>135.06666666666666</v>
      </c>
      <c r="W52" s="21">
        <v>3124</v>
      </c>
      <c r="X52" s="22">
        <f t="shared" si="80"/>
        <v>100.7741935483871</v>
      </c>
      <c r="Y52" s="21">
        <v>3569</v>
      </c>
      <c r="Z52" s="22">
        <f t="shared" si="81"/>
        <v>118.96666666666667</v>
      </c>
      <c r="AA52" s="21">
        <v>2761</v>
      </c>
      <c r="AB52" s="22">
        <f t="shared" si="82"/>
        <v>89.064516129032256</v>
      </c>
      <c r="AC52" s="23">
        <f t="shared" si="83"/>
        <v>39376.121428571423</v>
      </c>
      <c r="AD52" s="24">
        <f t="shared" si="84"/>
        <v>24.877110905985919</v>
      </c>
      <c r="AE52" s="21">
        <v>5141</v>
      </c>
      <c r="AF52" s="22">
        <f t="shared" si="85"/>
        <v>165.83870967741936</v>
      </c>
      <c r="AG52" s="21">
        <v>2489</v>
      </c>
      <c r="AH52" s="22">
        <f t="shared" si="86"/>
        <v>88.892857142857139</v>
      </c>
      <c r="AI52" s="21">
        <v>2521</v>
      </c>
      <c r="AJ52" s="22">
        <f t="shared" si="87"/>
        <v>81.322580645161295</v>
      </c>
      <c r="AK52" s="21">
        <v>2634</v>
      </c>
      <c r="AL52" s="22">
        <f t="shared" si="88"/>
        <v>87.8</v>
      </c>
      <c r="AM52" s="21">
        <v>4680</v>
      </c>
      <c r="AN52" s="22">
        <f t="shared" si="89"/>
        <v>150.96774193548387</v>
      </c>
      <c r="AO52" s="21">
        <v>2459</v>
      </c>
      <c r="AP52" s="22">
        <f t="shared" si="90"/>
        <v>81.966666666666669</v>
      </c>
      <c r="AQ52" s="21">
        <v>3929</v>
      </c>
      <c r="AR52" s="22">
        <f t="shared" si="91"/>
        <v>126.74193548387096</v>
      </c>
      <c r="AS52" s="21">
        <v>3533</v>
      </c>
      <c r="AT52" s="22">
        <f t="shared" si="92"/>
        <v>113.96774193548387</v>
      </c>
      <c r="AU52" s="21">
        <v>5110</v>
      </c>
      <c r="AV52" s="22">
        <f t="shared" si="93"/>
        <v>170.33333333333334</v>
      </c>
      <c r="AW52" s="21">
        <v>2942</v>
      </c>
      <c r="AX52" s="22">
        <f t="shared" si="94"/>
        <v>94.903225806451616</v>
      </c>
      <c r="AY52" s="21">
        <v>3014</v>
      </c>
      <c r="AZ52" s="22">
        <f t="shared" si="95"/>
        <v>100.46666666666667</v>
      </c>
      <c r="BA52" s="21">
        <v>3175</v>
      </c>
      <c r="BB52" s="22">
        <f t="shared" si="96"/>
        <v>102.41935483870968</v>
      </c>
      <c r="BC52" s="23">
        <f t="shared" si="97"/>
        <v>42890.201459293399</v>
      </c>
      <c r="BD52" s="24">
        <f t="shared" si="98"/>
        <v>32.308037980900906</v>
      </c>
      <c r="BE52" s="21">
        <v>5514</v>
      </c>
      <c r="BF52" s="22">
        <f t="shared" si="99"/>
        <v>177.87096774193549</v>
      </c>
      <c r="BG52" s="21">
        <v>5158</v>
      </c>
      <c r="BH52" s="22">
        <f t="shared" si="100"/>
        <v>184.21428571428572</v>
      </c>
      <c r="BI52" s="21">
        <v>5281</v>
      </c>
      <c r="BJ52" s="22">
        <f t="shared" si="101"/>
        <v>170.35483870967741</v>
      </c>
      <c r="BK52" s="21">
        <v>3797</v>
      </c>
      <c r="BL52" s="22">
        <f t="shared" si="102"/>
        <v>126.56666666666666</v>
      </c>
      <c r="BM52" s="21">
        <v>3633</v>
      </c>
      <c r="BN52" s="22">
        <f t="shared" si="103"/>
        <v>117.19354838709677</v>
      </c>
      <c r="BO52" s="21">
        <v>2932</v>
      </c>
      <c r="BP52" s="22">
        <f t="shared" si="104"/>
        <v>97.733333333333334</v>
      </c>
      <c r="BQ52" s="21">
        <v>3387</v>
      </c>
      <c r="BR52" s="22">
        <f t="shared" si="105"/>
        <v>109.25806451612904</v>
      </c>
      <c r="BS52" s="21">
        <v>5440</v>
      </c>
      <c r="BT52" s="22">
        <f t="shared" si="106"/>
        <v>175.48387096774192</v>
      </c>
      <c r="BU52" s="21">
        <v>4745</v>
      </c>
      <c r="BV52" s="22">
        <f t="shared" si="107"/>
        <v>158.16666666666666</v>
      </c>
      <c r="BW52" s="21">
        <v>3219</v>
      </c>
      <c r="BX52" s="22">
        <f t="shared" si="108"/>
        <v>103.83870967741936</v>
      </c>
      <c r="BY52" s="21">
        <v>3251</v>
      </c>
      <c r="BZ52" s="22">
        <f t="shared" si="109"/>
        <v>108.36666666666666</v>
      </c>
      <c r="CA52" s="21">
        <v>4324</v>
      </c>
      <c r="CB52" s="22">
        <f t="shared" si="110"/>
        <v>139.48387096774192</v>
      </c>
      <c r="CC52" s="23">
        <f t="shared" si="111"/>
        <v>52210.047619047618</v>
      </c>
      <c r="CD52" s="24">
        <f t="shared" si="112"/>
        <v>32.514893484405547</v>
      </c>
      <c r="CE52" s="21">
        <v>3210</v>
      </c>
      <c r="CF52" s="22">
        <f t="shared" si="113"/>
        <v>103.54838709677419</v>
      </c>
      <c r="CG52" s="21">
        <v>3569</v>
      </c>
      <c r="CH52" s="22">
        <f t="shared" si="114"/>
        <v>127.46428571428571</v>
      </c>
      <c r="CI52" s="21">
        <v>4759</v>
      </c>
      <c r="CJ52" s="22">
        <f t="shared" si="115"/>
        <v>153.51612903225808</v>
      </c>
      <c r="CK52" s="21">
        <v>2658</v>
      </c>
      <c r="CL52" s="22">
        <f t="shared" si="116"/>
        <v>88.6</v>
      </c>
      <c r="CM52" s="21">
        <v>2937</v>
      </c>
      <c r="CN52" s="22">
        <f t="shared" si="117"/>
        <v>94.741935483870961</v>
      </c>
      <c r="CO52" s="21">
        <v>2817</v>
      </c>
      <c r="CP52" s="22">
        <f t="shared" si="118"/>
        <v>93.9</v>
      </c>
      <c r="CQ52" s="21">
        <v>2414</v>
      </c>
      <c r="CR52" s="22">
        <f t="shared" si="119"/>
        <v>77.870967741935488</v>
      </c>
      <c r="CS52" s="21">
        <v>2519</v>
      </c>
      <c r="CT52" s="22">
        <f t="shared" si="120"/>
        <v>81.258064516129039</v>
      </c>
      <c r="CU52" s="21">
        <v>3986</v>
      </c>
      <c r="CV52" s="22">
        <f t="shared" si="121"/>
        <v>132.86666666666667</v>
      </c>
      <c r="CW52" s="21">
        <v>4375</v>
      </c>
      <c r="CX52" s="22">
        <f t="shared" si="122"/>
        <v>141.12903225806451</v>
      </c>
      <c r="CY52" s="21">
        <v>4016</v>
      </c>
      <c r="CZ52" s="22">
        <f t="shared" si="123"/>
        <v>133.86666666666667</v>
      </c>
      <c r="DA52" s="21">
        <v>2193</v>
      </c>
      <c r="DB52" s="22">
        <f t="shared" si="124"/>
        <v>70.741935483870961</v>
      </c>
      <c r="DC52" s="23">
        <f t="shared" si="125"/>
        <v>40681.762135176657</v>
      </c>
      <c r="DD52" s="24">
        <f t="shared" si="126"/>
        <v>27.987558513425867</v>
      </c>
      <c r="DE52" s="21">
        <v>4612</v>
      </c>
      <c r="DF52" s="22">
        <f t="shared" si="127"/>
        <v>148.7741935483871</v>
      </c>
      <c r="DG52" s="21">
        <v>3135</v>
      </c>
      <c r="DH52" s="22">
        <f t="shared" si="128"/>
        <v>111.96428571428571</v>
      </c>
      <c r="DI52" s="21">
        <v>2446</v>
      </c>
      <c r="DJ52" s="22">
        <f t="shared" si="129"/>
        <v>78.903225806451616</v>
      </c>
      <c r="DK52" s="21">
        <v>2903</v>
      </c>
      <c r="DL52" s="22">
        <f t="shared" si="130"/>
        <v>96.766666666666666</v>
      </c>
      <c r="DM52" s="21">
        <v>3216</v>
      </c>
      <c r="DN52" s="22">
        <f t="shared" si="131"/>
        <v>103.74193548387096</v>
      </c>
      <c r="DO52" s="21">
        <v>3675</v>
      </c>
      <c r="DP52" s="22">
        <f t="shared" si="132"/>
        <v>122.5</v>
      </c>
      <c r="DQ52" s="21">
        <v>4151</v>
      </c>
      <c r="DR52" s="22">
        <f t="shared" si="133"/>
        <v>133.90322580645162</v>
      </c>
      <c r="DS52" s="21">
        <v>2938</v>
      </c>
      <c r="DT52" s="22">
        <f t="shared" si="134"/>
        <v>94.774193548387103</v>
      </c>
      <c r="DU52" s="21">
        <v>5062</v>
      </c>
      <c r="DV52" s="22">
        <f t="shared" si="135"/>
        <v>168.73333333333332</v>
      </c>
      <c r="DW52" s="21">
        <v>2272</v>
      </c>
      <c r="DX52" s="22">
        <f t="shared" si="136"/>
        <v>73.290322580645167</v>
      </c>
      <c r="DY52" s="21">
        <v>3357</v>
      </c>
      <c r="DZ52" s="22">
        <f t="shared" si="137"/>
        <v>111.9</v>
      </c>
      <c r="EA52" s="21">
        <v>3496</v>
      </c>
      <c r="EB52" s="22">
        <f t="shared" si="138"/>
        <v>112.7741935483871</v>
      </c>
      <c r="EC52" s="23">
        <f t="shared" si="139"/>
        <v>42508.251382488474</v>
      </c>
      <c r="ED52" s="24">
        <f t="shared" si="140"/>
        <v>27.528572559343047</v>
      </c>
      <c r="EE52" s="25">
        <f t="shared" si="141"/>
        <v>1781.5804185621773</v>
      </c>
    </row>
    <row r="53" spans="1:135" ht="15" customHeight="1" x14ac:dyDescent="0.35">
      <c r="A53" s="17">
        <v>48</v>
      </c>
      <c r="B53" s="18" t="s">
        <v>130</v>
      </c>
      <c r="C53" s="19" t="s">
        <v>131</v>
      </c>
      <c r="D53" s="20" t="s">
        <v>57</v>
      </c>
      <c r="E53" s="21">
        <v>2908</v>
      </c>
      <c r="F53" s="22">
        <f t="shared" si="71"/>
        <v>93.806451612903231</v>
      </c>
      <c r="G53" s="21">
        <v>1941</v>
      </c>
      <c r="H53" s="22">
        <f t="shared" si="72"/>
        <v>69.321428571428569</v>
      </c>
      <c r="I53" s="21">
        <v>2353</v>
      </c>
      <c r="J53" s="22">
        <f t="shared" si="73"/>
        <v>75.903225806451616</v>
      </c>
      <c r="K53" s="21">
        <v>3017</v>
      </c>
      <c r="L53" s="22">
        <f t="shared" si="74"/>
        <v>100.56666666666666</v>
      </c>
      <c r="M53" s="21">
        <v>1727</v>
      </c>
      <c r="N53" s="22">
        <f t="shared" si="75"/>
        <v>55.70967741935484</v>
      </c>
      <c r="O53" s="21">
        <v>1479</v>
      </c>
      <c r="P53" s="22">
        <f t="shared" si="76"/>
        <v>49.3</v>
      </c>
      <c r="Q53" s="21">
        <v>3068</v>
      </c>
      <c r="R53" s="22">
        <f t="shared" si="77"/>
        <v>98.967741935483872</v>
      </c>
      <c r="S53" s="21">
        <v>3364</v>
      </c>
      <c r="T53" s="22">
        <f t="shared" si="78"/>
        <v>108.51612903225806</v>
      </c>
      <c r="U53" s="21">
        <v>1710</v>
      </c>
      <c r="V53" s="22">
        <f t="shared" si="79"/>
        <v>57</v>
      </c>
      <c r="W53" s="21">
        <v>3055</v>
      </c>
      <c r="X53" s="22">
        <f t="shared" si="80"/>
        <v>98.548387096774192</v>
      </c>
      <c r="Y53" s="21">
        <v>2179</v>
      </c>
      <c r="Z53" s="22">
        <f t="shared" si="81"/>
        <v>72.63333333333334</v>
      </c>
      <c r="AA53" s="21">
        <v>2680</v>
      </c>
      <c r="AB53" s="22">
        <f t="shared" si="82"/>
        <v>86.451612903225808</v>
      </c>
      <c r="AC53" s="23">
        <f t="shared" si="83"/>
        <v>30361.273041474655</v>
      </c>
      <c r="AD53" s="24">
        <f t="shared" si="84"/>
        <v>20.03415557733771</v>
      </c>
      <c r="AE53" s="21">
        <v>2149</v>
      </c>
      <c r="AF53" s="22">
        <f t="shared" si="85"/>
        <v>69.322580645161295</v>
      </c>
      <c r="AG53" s="21">
        <v>2053</v>
      </c>
      <c r="AH53" s="22">
        <f t="shared" si="86"/>
        <v>73.321428571428569</v>
      </c>
      <c r="AI53" s="21">
        <v>1554</v>
      </c>
      <c r="AJ53" s="22">
        <f t="shared" si="87"/>
        <v>50.12903225806452</v>
      </c>
      <c r="AK53" s="21">
        <v>2408</v>
      </c>
      <c r="AL53" s="22">
        <f t="shared" si="88"/>
        <v>80.266666666666666</v>
      </c>
      <c r="AM53" s="21">
        <v>1189</v>
      </c>
      <c r="AN53" s="22">
        <f t="shared" si="89"/>
        <v>38.354838709677416</v>
      </c>
      <c r="AO53" s="21">
        <v>1255</v>
      </c>
      <c r="AP53" s="22">
        <f t="shared" si="90"/>
        <v>41.833333333333336</v>
      </c>
      <c r="AQ53" s="21">
        <v>2546</v>
      </c>
      <c r="AR53" s="22">
        <f t="shared" si="91"/>
        <v>82.129032258064512</v>
      </c>
      <c r="AS53" s="21">
        <v>1839</v>
      </c>
      <c r="AT53" s="22">
        <f t="shared" si="92"/>
        <v>59.322580645161288</v>
      </c>
      <c r="AU53" s="21">
        <v>1354</v>
      </c>
      <c r="AV53" s="22">
        <f t="shared" si="93"/>
        <v>45.133333333333333</v>
      </c>
      <c r="AW53" s="21">
        <v>2550</v>
      </c>
      <c r="AX53" s="22">
        <f t="shared" si="94"/>
        <v>82.258064516129039</v>
      </c>
      <c r="AY53" s="21">
        <v>2433</v>
      </c>
      <c r="AZ53" s="22">
        <f t="shared" si="95"/>
        <v>81.099999999999994</v>
      </c>
      <c r="BA53" s="21">
        <v>1666</v>
      </c>
      <c r="BB53" s="22">
        <f t="shared" si="96"/>
        <v>53.741935483870968</v>
      </c>
      <c r="BC53" s="23">
        <f t="shared" si="97"/>
        <v>23699.170890937021</v>
      </c>
      <c r="BD53" s="24">
        <f t="shared" si="98"/>
        <v>16.918265252796175</v>
      </c>
      <c r="BE53" s="21">
        <v>1314</v>
      </c>
      <c r="BF53" s="22">
        <f t="shared" si="99"/>
        <v>42.387096774193552</v>
      </c>
      <c r="BG53" s="21">
        <v>2008</v>
      </c>
      <c r="BH53" s="22">
        <f t="shared" si="100"/>
        <v>71.714285714285708</v>
      </c>
      <c r="BI53" s="21">
        <v>1522</v>
      </c>
      <c r="BJ53" s="22">
        <f t="shared" si="101"/>
        <v>49.096774193548384</v>
      </c>
      <c r="BK53" s="21">
        <v>2195</v>
      </c>
      <c r="BL53" s="22">
        <f t="shared" si="102"/>
        <v>73.166666666666671</v>
      </c>
      <c r="BM53" s="21">
        <v>2606</v>
      </c>
      <c r="BN53" s="22">
        <f t="shared" si="103"/>
        <v>84.064516129032256</v>
      </c>
      <c r="BO53" s="21">
        <v>1898</v>
      </c>
      <c r="BP53" s="22">
        <f t="shared" si="104"/>
        <v>63.266666666666666</v>
      </c>
      <c r="BQ53" s="21">
        <v>1292</v>
      </c>
      <c r="BR53" s="22">
        <f t="shared" si="105"/>
        <v>41.677419354838712</v>
      </c>
      <c r="BS53" s="21">
        <v>2376</v>
      </c>
      <c r="BT53" s="22">
        <f t="shared" si="106"/>
        <v>76.645161290322577</v>
      </c>
      <c r="BU53" s="21">
        <v>1530</v>
      </c>
      <c r="BV53" s="22">
        <f t="shared" si="107"/>
        <v>51</v>
      </c>
      <c r="BW53" s="21">
        <v>1600</v>
      </c>
      <c r="BX53" s="22">
        <f t="shared" si="108"/>
        <v>51.612903225806448</v>
      </c>
      <c r="BY53" s="21">
        <v>1554</v>
      </c>
      <c r="BZ53" s="22">
        <f t="shared" si="109"/>
        <v>51.8</v>
      </c>
      <c r="CA53" s="21">
        <v>1708</v>
      </c>
      <c r="CB53" s="22">
        <f t="shared" si="110"/>
        <v>55.096774193548384</v>
      </c>
      <c r="CC53" s="23">
        <f t="shared" si="111"/>
        <v>22259.431490015362</v>
      </c>
      <c r="CD53" s="24">
        <f t="shared" si="112"/>
        <v>14.074073049133784</v>
      </c>
      <c r="CE53" s="21">
        <v>2631</v>
      </c>
      <c r="CF53" s="22">
        <f t="shared" si="113"/>
        <v>84.870967741935488</v>
      </c>
      <c r="CG53" s="21">
        <v>1264</v>
      </c>
      <c r="CH53" s="22">
        <f t="shared" si="114"/>
        <v>45.142857142857146</v>
      </c>
      <c r="CI53" s="21">
        <v>2205</v>
      </c>
      <c r="CJ53" s="22">
        <f t="shared" si="115"/>
        <v>71.129032258064512</v>
      </c>
      <c r="CK53" s="21">
        <v>1604</v>
      </c>
      <c r="CL53" s="22">
        <f t="shared" si="116"/>
        <v>53.466666666666669</v>
      </c>
      <c r="CM53" s="21">
        <v>1683</v>
      </c>
      <c r="CN53" s="22">
        <f t="shared" si="117"/>
        <v>54.29032258064516</v>
      </c>
      <c r="CO53" s="21">
        <v>1871</v>
      </c>
      <c r="CP53" s="22">
        <f t="shared" si="118"/>
        <v>62.366666666666667</v>
      </c>
      <c r="CQ53" s="21">
        <v>2095</v>
      </c>
      <c r="CR53" s="22">
        <f t="shared" si="119"/>
        <v>67.58064516129032</v>
      </c>
      <c r="CS53" s="21">
        <v>1306</v>
      </c>
      <c r="CT53" s="22">
        <f t="shared" si="120"/>
        <v>42.12903225806452</v>
      </c>
      <c r="CU53" s="21">
        <v>1658</v>
      </c>
      <c r="CV53" s="22">
        <f t="shared" si="121"/>
        <v>55.266666666666666</v>
      </c>
      <c r="CW53" s="21">
        <v>1429</v>
      </c>
      <c r="CX53" s="22">
        <f t="shared" si="122"/>
        <v>46.096774193548384</v>
      </c>
      <c r="CY53" s="21">
        <v>1529</v>
      </c>
      <c r="CZ53" s="22">
        <f t="shared" si="123"/>
        <v>50.966666666666669</v>
      </c>
      <c r="DA53" s="21">
        <v>2633</v>
      </c>
      <c r="DB53" s="22">
        <f t="shared" si="124"/>
        <v>84.935483870967744</v>
      </c>
      <c r="DC53" s="23">
        <f t="shared" si="125"/>
        <v>22541.306298003074</v>
      </c>
      <c r="DD53" s="24">
        <f t="shared" si="126"/>
        <v>14.584252773352619</v>
      </c>
      <c r="DE53" s="21">
        <v>2234</v>
      </c>
      <c r="DF53" s="22">
        <f t="shared" si="127"/>
        <v>72.064516129032256</v>
      </c>
      <c r="DG53" s="21">
        <v>2418</v>
      </c>
      <c r="DH53" s="22">
        <f t="shared" si="128"/>
        <v>86.357142857142861</v>
      </c>
      <c r="DI53" s="21">
        <v>2718</v>
      </c>
      <c r="DJ53" s="22">
        <f t="shared" si="129"/>
        <v>87.677419354838705</v>
      </c>
      <c r="DK53" s="21">
        <v>2705</v>
      </c>
      <c r="DL53" s="22">
        <f t="shared" si="130"/>
        <v>90.166666666666671</v>
      </c>
      <c r="DM53" s="21">
        <v>3046</v>
      </c>
      <c r="DN53" s="22">
        <f t="shared" si="131"/>
        <v>98.258064516129039</v>
      </c>
      <c r="DO53" s="21">
        <v>2683</v>
      </c>
      <c r="DP53" s="22">
        <f t="shared" si="132"/>
        <v>89.433333333333337</v>
      </c>
      <c r="DQ53" s="21">
        <v>1942</v>
      </c>
      <c r="DR53" s="22">
        <f t="shared" si="133"/>
        <v>62.645161290322584</v>
      </c>
      <c r="DS53" s="21">
        <v>2267</v>
      </c>
      <c r="DT53" s="22">
        <f t="shared" si="134"/>
        <v>73.129032258064512</v>
      </c>
      <c r="DU53" s="21">
        <v>2162</v>
      </c>
      <c r="DV53" s="22">
        <f t="shared" si="135"/>
        <v>72.066666666666663</v>
      </c>
      <c r="DW53" s="21">
        <v>2912</v>
      </c>
      <c r="DX53" s="22">
        <f t="shared" si="136"/>
        <v>93.935483870967744</v>
      </c>
      <c r="DY53" s="21">
        <v>2193</v>
      </c>
      <c r="DZ53" s="22">
        <f t="shared" si="137"/>
        <v>73.099999999999994</v>
      </c>
      <c r="EA53" s="21">
        <v>1993</v>
      </c>
      <c r="EB53" s="22">
        <f t="shared" si="138"/>
        <v>64.290322580645167</v>
      </c>
      <c r="EC53" s="23">
        <f t="shared" si="139"/>
        <v>30171.83348694316</v>
      </c>
      <c r="ED53" s="24">
        <f t="shared" si="140"/>
        <v>12.011966161027827</v>
      </c>
      <c r="EE53" s="25">
        <f t="shared" si="141"/>
        <v>1077.0385419723987</v>
      </c>
    </row>
    <row r="54" spans="1:135" ht="15" customHeight="1" x14ac:dyDescent="0.35">
      <c r="A54" s="17">
        <v>49</v>
      </c>
      <c r="B54" s="18" t="s">
        <v>132</v>
      </c>
      <c r="C54" s="19" t="s">
        <v>133</v>
      </c>
      <c r="D54" s="20" t="s">
        <v>57</v>
      </c>
      <c r="E54" s="21">
        <v>895</v>
      </c>
      <c r="F54" s="22">
        <f t="shared" si="71"/>
        <v>28.870967741935484</v>
      </c>
      <c r="G54" s="21">
        <v>1029</v>
      </c>
      <c r="H54" s="22">
        <f t="shared" si="72"/>
        <v>36.75</v>
      </c>
      <c r="I54" s="21">
        <v>932</v>
      </c>
      <c r="J54" s="22">
        <f t="shared" si="73"/>
        <v>30.06451612903226</v>
      </c>
      <c r="K54" s="21">
        <v>1584</v>
      </c>
      <c r="L54" s="22">
        <f t="shared" si="74"/>
        <v>52.8</v>
      </c>
      <c r="M54" s="21">
        <v>1471</v>
      </c>
      <c r="N54" s="22">
        <f t="shared" si="75"/>
        <v>47.451612903225808</v>
      </c>
      <c r="O54" s="21">
        <v>778</v>
      </c>
      <c r="P54" s="22">
        <f t="shared" si="76"/>
        <v>25.933333333333334</v>
      </c>
      <c r="Q54" s="21">
        <v>1676</v>
      </c>
      <c r="R54" s="22">
        <f t="shared" si="77"/>
        <v>54.064516129032256</v>
      </c>
      <c r="S54" s="21">
        <v>1231</v>
      </c>
      <c r="T54" s="22">
        <f t="shared" si="78"/>
        <v>39.70967741935484</v>
      </c>
      <c r="U54" s="21">
        <v>1460</v>
      </c>
      <c r="V54" s="22">
        <f t="shared" si="79"/>
        <v>48.666666666666664</v>
      </c>
      <c r="W54" s="21">
        <v>1684</v>
      </c>
      <c r="X54" s="22">
        <f t="shared" si="80"/>
        <v>54.322580645161288</v>
      </c>
      <c r="Y54" s="21">
        <v>1659</v>
      </c>
      <c r="Z54" s="22">
        <f t="shared" si="81"/>
        <v>55.3</v>
      </c>
      <c r="AA54" s="21">
        <v>818</v>
      </c>
      <c r="AB54" s="22">
        <f t="shared" si="82"/>
        <v>26.387096774193548</v>
      </c>
      <c r="AC54" s="23">
        <f t="shared" si="83"/>
        <v>15690.933870967739</v>
      </c>
      <c r="AD54" s="24">
        <f t="shared" si="84"/>
        <v>11.729918998089966</v>
      </c>
      <c r="AE54" s="21">
        <v>1110</v>
      </c>
      <c r="AF54" s="22">
        <f t="shared" si="85"/>
        <v>35.806451612903224</v>
      </c>
      <c r="AG54" s="21">
        <v>802</v>
      </c>
      <c r="AH54" s="22">
        <f t="shared" si="86"/>
        <v>28.642857142857142</v>
      </c>
      <c r="AI54" s="21">
        <v>1236</v>
      </c>
      <c r="AJ54" s="22">
        <f t="shared" si="87"/>
        <v>39.87096774193548</v>
      </c>
      <c r="AK54" s="21">
        <v>1316</v>
      </c>
      <c r="AL54" s="22">
        <f t="shared" si="88"/>
        <v>43.866666666666667</v>
      </c>
      <c r="AM54" s="21">
        <v>636</v>
      </c>
      <c r="AN54" s="22">
        <f t="shared" si="89"/>
        <v>20.516129032258064</v>
      </c>
      <c r="AO54" s="21">
        <v>1378</v>
      </c>
      <c r="AP54" s="22">
        <f t="shared" si="90"/>
        <v>45.93333333333333</v>
      </c>
      <c r="AQ54" s="21">
        <v>765</v>
      </c>
      <c r="AR54" s="22">
        <f t="shared" si="91"/>
        <v>24.677419354838708</v>
      </c>
      <c r="AS54" s="21">
        <v>1260</v>
      </c>
      <c r="AT54" s="22">
        <f t="shared" si="92"/>
        <v>40.645161290322584</v>
      </c>
      <c r="AU54" s="21">
        <v>1221</v>
      </c>
      <c r="AV54" s="22">
        <f t="shared" si="93"/>
        <v>40.700000000000003</v>
      </c>
      <c r="AW54" s="21">
        <v>872</v>
      </c>
      <c r="AX54" s="22">
        <f t="shared" si="94"/>
        <v>28.129032258064516</v>
      </c>
      <c r="AY54" s="21">
        <v>1254</v>
      </c>
      <c r="AZ54" s="22">
        <f t="shared" si="95"/>
        <v>41.8</v>
      </c>
      <c r="BA54" s="21">
        <v>1259</v>
      </c>
      <c r="BB54" s="22">
        <f t="shared" si="96"/>
        <v>40.612903225806448</v>
      </c>
      <c r="BC54" s="23">
        <f t="shared" si="97"/>
        <v>13499.58801843318</v>
      </c>
      <c r="BD54" s="24">
        <f t="shared" si="98"/>
        <v>8.3019240578597646</v>
      </c>
      <c r="BE54" s="21">
        <v>829</v>
      </c>
      <c r="BF54" s="22">
        <f t="shared" si="99"/>
        <v>26.741935483870968</v>
      </c>
      <c r="BG54" s="21">
        <v>1201</v>
      </c>
      <c r="BH54" s="22">
        <f t="shared" si="100"/>
        <v>42.892857142857146</v>
      </c>
      <c r="BI54" s="21">
        <v>1392</v>
      </c>
      <c r="BJ54" s="22">
        <f t="shared" si="101"/>
        <v>44.903225806451616</v>
      </c>
      <c r="BK54" s="21">
        <v>1295</v>
      </c>
      <c r="BL54" s="22">
        <f t="shared" si="102"/>
        <v>43.166666666666664</v>
      </c>
      <c r="BM54" s="21">
        <v>1489</v>
      </c>
      <c r="BN54" s="22">
        <f t="shared" si="103"/>
        <v>48.032258064516128</v>
      </c>
      <c r="BO54" s="21">
        <v>696</v>
      </c>
      <c r="BP54" s="22">
        <f t="shared" si="104"/>
        <v>23.2</v>
      </c>
      <c r="BQ54" s="21">
        <v>1298</v>
      </c>
      <c r="BR54" s="22">
        <f t="shared" si="105"/>
        <v>41.87096774193548</v>
      </c>
      <c r="BS54" s="21">
        <v>1519</v>
      </c>
      <c r="BT54" s="22">
        <f t="shared" si="106"/>
        <v>49</v>
      </c>
      <c r="BU54" s="21">
        <v>1175</v>
      </c>
      <c r="BV54" s="22">
        <f t="shared" si="107"/>
        <v>39.166666666666664</v>
      </c>
      <c r="BW54" s="21">
        <v>1175</v>
      </c>
      <c r="BX54" s="22">
        <f t="shared" si="108"/>
        <v>37.903225806451616</v>
      </c>
      <c r="BY54" s="21">
        <v>839</v>
      </c>
      <c r="BZ54" s="22">
        <f t="shared" si="109"/>
        <v>27.966666666666665</v>
      </c>
      <c r="CA54" s="21">
        <v>1555</v>
      </c>
      <c r="CB54" s="22">
        <f t="shared" si="110"/>
        <v>50.161290322580648</v>
      </c>
      <c r="CC54" s="23">
        <f t="shared" si="111"/>
        <v>14887.844470046084</v>
      </c>
      <c r="CD54" s="24">
        <f t="shared" si="112"/>
        <v>9.0480399231435413</v>
      </c>
      <c r="CE54" s="21">
        <v>1491</v>
      </c>
      <c r="CF54" s="22">
        <f t="shared" si="113"/>
        <v>48.096774193548384</v>
      </c>
      <c r="CG54" s="21">
        <v>1135</v>
      </c>
      <c r="CH54" s="22">
        <f t="shared" si="114"/>
        <v>40.535714285714285</v>
      </c>
      <c r="CI54" s="21">
        <v>968</v>
      </c>
      <c r="CJ54" s="22">
        <f t="shared" si="115"/>
        <v>31.225806451612904</v>
      </c>
      <c r="CK54" s="21">
        <v>1133</v>
      </c>
      <c r="CL54" s="22">
        <f t="shared" si="116"/>
        <v>37.766666666666666</v>
      </c>
      <c r="CM54" s="21">
        <v>768</v>
      </c>
      <c r="CN54" s="22">
        <f t="shared" si="117"/>
        <v>24.774193548387096</v>
      </c>
      <c r="CO54" s="21">
        <v>898</v>
      </c>
      <c r="CP54" s="22">
        <f t="shared" si="118"/>
        <v>29.933333333333334</v>
      </c>
      <c r="CQ54" s="21">
        <v>885</v>
      </c>
      <c r="CR54" s="22">
        <f t="shared" si="119"/>
        <v>28.548387096774192</v>
      </c>
      <c r="CS54" s="21">
        <v>1166</v>
      </c>
      <c r="CT54" s="22">
        <f t="shared" si="120"/>
        <v>37.612903225806448</v>
      </c>
      <c r="CU54" s="21">
        <v>686</v>
      </c>
      <c r="CV54" s="22">
        <f t="shared" si="121"/>
        <v>22.866666666666667</v>
      </c>
      <c r="CW54" s="21">
        <v>1524</v>
      </c>
      <c r="CX54" s="22">
        <f t="shared" si="122"/>
        <v>49.161290322580648</v>
      </c>
      <c r="CY54" s="21">
        <v>869</v>
      </c>
      <c r="CZ54" s="22">
        <f t="shared" si="123"/>
        <v>28.966666666666665</v>
      </c>
      <c r="DA54" s="21">
        <v>804</v>
      </c>
      <c r="DB54" s="22">
        <f t="shared" si="124"/>
        <v>25.93548387096774</v>
      </c>
      <c r="DC54" s="23">
        <f t="shared" si="125"/>
        <v>12706.488402457759</v>
      </c>
      <c r="DD54" s="24">
        <f t="shared" si="126"/>
        <v>8.7976166038691233</v>
      </c>
      <c r="DE54" s="21">
        <v>1071</v>
      </c>
      <c r="DF54" s="22">
        <f t="shared" si="127"/>
        <v>34.548387096774192</v>
      </c>
      <c r="DG54" s="21">
        <v>1218</v>
      </c>
      <c r="DH54" s="22">
        <f t="shared" si="128"/>
        <v>43.5</v>
      </c>
      <c r="DI54" s="21">
        <v>1164</v>
      </c>
      <c r="DJ54" s="22">
        <f t="shared" si="129"/>
        <v>37.548387096774192</v>
      </c>
      <c r="DK54" s="21">
        <v>784</v>
      </c>
      <c r="DL54" s="22">
        <f t="shared" si="130"/>
        <v>26.133333333333333</v>
      </c>
      <c r="DM54" s="21">
        <v>563</v>
      </c>
      <c r="DN54" s="22">
        <f t="shared" si="131"/>
        <v>18.161290322580644</v>
      </c>
      <c r="DO54" s="21">
        <v>976</v>
      </c>
      <c r="DP54" s="22">
        <f t="shared" si="132"/>
        <v>32.533333333333331</v>
      </c>
      <c r="DQ54" s="21">
        <v>1217</v>
      </c>
      <c r="DR54" s="22">
        <f t="shared" si="133"/>
        <v>39.258064516129032</v>
      </c>
      <c r="DS54" s="21">
        <v>1113</v>
      </c>
      <c r="DT54" s="22">
        <f t="shared" si="134"/>
        <v>35.903225806451616</v>
      </c>
      <c r="DU54" s="21">
        <v>1165</v>
      </c>
      <c r="DV54" s="22">
        <f t="shared" si="135"/>
        <v>38.833333333333336</v>
      </c>
      <c r="DW54" s="21">
        <v>1176</v>
      </c>
      <c r="DX54" s="22">
        <f t="shared" si="136"/>
        <v>37.935483870967744</v>
      </c>
      <c r="DY54" s="21">
        <v>1249</v>
      </c>
      <c r="DZ54" s="22">
        <f t="shared" si="137"/>
        <v>41.633333333333333</v>
      </c>
      <c r="EA54" s="21">
        <v>820</v>
      </c>
      <c r="EB54" s="22">
        <f t="shared" si="138"/>
        <v>26.451612903225808</v>
      </c>
      <c r="EC54" s="23">
        <f t="shared" si="139"/>
        <v>12901.988172043011</v>
      </c>
      <c r="ED54" s="24">
        <f t="shared" si="140"/>
        <v>7.3963381554654228</v>
      </c>
      <c r="EE54" s="25">
        <f t="shared" si="141"/>
        <v>584.55544213662677</v>
      </c>
    </row>
    <row r="55" spans="1:135" ht="15" customHeight="1" x14ac:dyDescent="0.35">
      <c r="A55" s="17">
        <v>50</v>
      </c>
      <c r="B55" s="18" t="s">
        <v>134</v>
      </c>
      <c r="C55" s="19" t="s">
        <v>135</v>
      </c>
      <c r="D55" s="20" t="s">
        <v>57</v>
      </c>
      <c r="E55" s="21">
        <v>109</v>
      </c>
      <c r="F55" s="22">
        <f t="shared" si="71"/>
        <v>3.5161290322580645</v>
      </c>
      <c r="G55" s="21">
        <v>74</v>
      </c>
      <c r="H55" s="22">
        <f t="shared" si="72"/>
        <v>2.6428571428571428</v>
      </c>
      <c r="I55" s="21">
        <v>55</v>
      </c>
      <c r="J55" s="22">
        <f t="shared" si="73"/>
        <v>1.7741935483870968</v>
      </c>
      <c r="K55" s="21">
        <v>68</v>
      </c>
      <c r="L55" s="22">
        <f t="shared" si="74"/>
        <v>2.2666666666666666</v>
      </c>
      <c r="M55" s="21">
        <v>57</v>
      </c>
      <c r="N55" s="22">
        <f t="shared" si="75"/>
        <v>1.8387096774193548</v>
      </c>
      <c r="O55" s="21">
        <v>58</v>
      </c>
      <c r="P55" s="22">
        <f t="shared" si="76"/>
        <v>1.9333333333333333</v>
      </c>
      <c r="Q55" s="21">
        <v>109</v>
      </c>
      <c r="R55" s="22">
        <f t="shared" si="77"/>
        <v>3.5161290322580645</v>
      </c>
      <c r="S55" s="21">
        <v>99</v>
      </c>
      <c r="T55" s="22">
        <f t="shared" si="78"/>
        <v>3.193548387096774</v>
      </c>
      <c r="U55" s="21">
        <v>110</v>
      </c>
      <c r="V55" s="22">
        <f t="shared" si="79"/>
        <v>3.6666666666666665</v>
      </c>
      <c r="W55" s="21">
        <v>90</v>
      </c>
      <c r="X55" s="22">
        <f t="shared" si="80"/>
        <v>2.903225806451613</v>
      </c>
      <c r="Y55" s="21">
        <v>60</v>
      </c>
      <c r="Z55" s="22">
        <f t="shared" si="81"/>
        <v>2</v>
      </c>
      <c r="AA55" s="21">
        <v>111</v>
      </c>
      <c r="AB55" s="22">
        <f t="shared" si="82"/>
        <v>3.5806451612903225</v>
      </c>
      <c r="AC55" s="23">
        <f t="shared" si="83"/>
        <v>1029.2514592933946</v>
      </c>
      <c r="AD55" s="24">
        <f t="shared" si="84"/>
        <v>0.74949705703842051</v>
      </c>
      <c r="AE55" s="21">
        <v>89</v>
      </c>
      <c r="AF55" s="22">
        <f t="shared" si="85"/>
        <v>2.870967741935484</v>
      </c>
      <c r="AG55" s="21">
        <v>104</v>
      </c>
      <c r="AH55" s="22">
        <f t="shared" si="86"/>
        <v>3.7142857142857144</v>
      </c>
      <c r="AI55" s="21">
        <v>95</v>
      </c>
      <c r="AJ55" s="22">
        <f t="shared" si="87"/>
        <v>3.064516129032258</v>
      </c>
      <c r="AK55" s="21">
        <v>60</v>
      </c>
      <c r="AL55" s="22">
        <f t="shared" si="88"/>
        <v>2</v>
      </c>
      <c r="AM55" s="21">
        <v>83</v>
      </c>
      <c r="AN55" s="22">
        <f t="shared" si="89"/>
        <v>2.6774193548387095</v>
      </c>
      <c r="AO55" s="21">
        <v>57</v>
      </c>
      <c r="AP55" s="22">
        <f t="shared" si="90"/>
        <v>1.9</v>
      </c>
      <c r="AQ55" s="21">
        <v>65</v>
      </c>
      <c r="AR55" s="22">
        <f t="shared" si="91"/>
        <v>2.096774193548387</v>
      </c>
      <c r="AS55" s="21">
        <v>89</v>
      </c>
      <c r="AT55" s="22">
        <f t="shared" si="92"/>
        <v>2.870967741935484</v>
      </c>
      <c r="AU55" s="21">
        <v>54</v>
      </c>
      <c r="AV55" s="22">
        <f t="shared" si="93"/>
        <v>1.8</v>
      </c>
      <c r="AW55" s="21">
        <v>92</v>
      </c>
      <c r="AX55" s="22">
        <f t="shared" si="94"/>
        <v>2.967741935483871</v>
      </c>
      <c r="AY55" s="21">
        <v>105</v>
      </c>
      <c r="AZ55" s="22">
        <f t="shared" si="95"/>
        <v>3.5</v>
      </c>
      <c r="BA55" s="21">
        <v>105</v>
      </c>
      <c r="BB55" s="22">
        <f t="shared" si="96"/>
        <v>3.3870967741935485</v>
      </c>
      <c r="BC55" s="23">
        <f t="shared" si="97"/>
        <v>1027.46267281106</v>
      </c>
      <c r="BD55" s="24">
        <f t="shared" si="98"/>
        <v>0.65306471299867275</v>
      </c>
      <c r="BE55" s="21">
        <v>69</v>
      </c>
      <c r="BF55" s="22">
        <f t="shared" si="99"/>
        <v>2.225806451612903</v>
      </c>
      <c r="BG55" s="21">
        <v>106</v>
      </c>
      <c r="BH55" s="22">
        <f t="shared" si="100"/>
        <v>3.7857142857142856</v>
      </c>
      <c r="BI55" s="21">
        <v>104</v>
      </c>
      <c r="BJ55" s="22">
        <f t="shared" si="101"/>
        <v>3.3548387096774195</v>
      </c>
      <c r="BK55" s="21">
        <v>47</v>
      </c>
      <c r="BL55" s="22">
        <f t="shared" si="102"/>
        <v>1.5666666666666667</v>
      </c>
      <c r="BM55" s="21">
        <v>82</v>
      </c>
      <c r="BN55" s="22">
        <f t="shared" si="103"/>
        <v>2.6451612903225805</v>
      </c>
      <c r="BO55" s="21">
        <v>101</v>
      </c>
      <c r="BP55" s="22">
        <f t="shared" si="104"/>
        <v>3.3666666666666667</v>
      </c>
      <c r="BQ55" s="21">
        <v>104</v>
      </c>
      <c r="BR55" s="22">
        <f t="shared" si="105"/>
        <v>3.3548387096774195</v>
      </c>
      <c r="BS55" s="21">
        <v>59</v>
      </c>
      <c r="BT55" s="22">
        <f t="shared" si="106"/>
        <v>1.903225806451613</v>
      </c>
      <c r="BU55" s="21">
        <v>80</v>
      </c>
      <c r="BV55" s="22">
        <f t="shared" si="107"/>
        <v>2.6666666666666665</v>
      </c>
      <c r="BW55" s="21">
        <v>102</v>
      </c>
      <c r="BX55" s="22">
        <f t="shared" si="108"/>
        <v>3.2903225806451615</v>
      </c>
      <c r="BY55" s="21">
        <v>54</v>
      </c>
      <c r="BZ55" s="22">
        <f t="shared" si="109"/>
        <v>1.8</v>
      </c>
      <c r="CA55" s="21">
        <v>91</v>
      </c>
      <c r="CB55" s="22">
        <f t="shared" si="110"/>
        <v>2.935483870967742</v>
      </c>
      <c r="CC55" s="23">
        <f t="shared" si="111"/>
        <v>1028.9599078341012</v>
      </c>
      <c r="CD55" s="24">
        <f t="shared" si="112"/>
        <v>0.72754888787658589</v>
      </c>
      <c r="CE55" s="21">
        <v>68</v>
      </c>
      <c r="CF55" s="22">
        <f t="shared" si="113"/>
        <v>2.193548387096774</v>
      </c>
      <c r="CG55" s="21">
        <v>118</v>
      </c>
      <c r="CH55" s="22">
        <f t="shared" si="114"/>
        <v>4.2142857142857144</v>
      </c>
      <c r="CI55" s="21">
        <v>63</v>
      </c>
      <c r="CJ55" s="22">
        <f t="shared" si="115"/>
        <v>2.032258064516129</v>
      </c>
      <c r="CK55" s="21">
        <v>112</v>
      </c>
      <c r="CL55" s="22">
        <f t="shared" si="116"/>
        <v>3.7333333333333334</v>
      </c>
      <c r="CM55" s="21">
        <v>57</v>
      </c>
      <c r="CN55" s="22">
        <f t="shared" si="117"/>
        <v>1.8387096774193548</v>
      </c>
      <c r="CO55" s="21">
        <v>100</v>
      </c>
      <c r="CP55" s="22">
        <f t="shared" si="118"/>
        <v>3.3333333333333335</v>
      </c>
      <c r="CQ55" s="21">
        <v>95</v>
      </c>
      <c r="CR55" s="22">
        <f t="shared" si="119"/>
        <v>3.064516129032258</v>
      </c>
      <c r="CS55" s="21">
        <v>112</v>
      </c>
      <c r="CT55" s="22">
        <f t="shared" si="120"/>
        <v>3.6129032258064515</v>
      </c>
      <c r="CU55" s="21">
        <v>82</v>
      </c>
      <c r="CV55" s="22">
        <f t="shared" si="121"/>
        <v>2.7333333333333334</v>
      </c>
      <c r="CW55" s="21">
        <v>69</v>
      </c>
      <c r="CX55" s="22">
        <f t="shared" si="122"/>
        <v>2.225806451612903</v>
      </c>
      <c r="CY55" s="21">
        <v>68</v>
      </c>
      <c r="CZ55" s="22">
        <f t="shared" si="123"/>
        <v>2.2666666666666666</v>
      </c>
      <c r="DA55" s="21">
        <v>56</v>
      </c>
      <c r="DB55" s="22">
        <f t="shared" si="124"/>
        <v>1.8064516129032258</v>
      </c>
      <c r="DC55" s="23">
        <f t="shared" si="125"/>
        <v>1031.2486943164363</v>
      </c>
      <c r="DD55" s="24">
        <f t="shared" si="126"/>
        <v>0.81735811025271621</v>
      </c>
      <c r="DE55" s="21">
        <v>70</v>
      </c>
      <c r="DF55" s="22">
        <f t="shared" si="127"/>
        <v>2.2580645161290325</v>
      </c>
      <c r="DG55" s="21">
        <v>60</v>
      </c>
      <c r="DH55" s="22">
        <f t="shared" si="128"/>
        <v>2.1428571428571428</v>
      </c>
      <c r="DI55" s="21">
        <v>52</v>
      </c>
      <c r="DJ55" s="22">
        <f t="shared" si="129"/>
        <v>1.6774193548387097</v>
      </c>
      <c r="DK55" s="21">
        <v>79</v>
      </c>
      <c r="DL55" s="22">
        <f t="shared" si="130"/>
        <v>2.6333333333333333</v>
      </c>
      <c r="DM55" s="21">
        <v>103</v>
      </c>
      <c r="DN55" s="22">
        <f t="shared" si="131"/>
        <v>3.3225806451612905</v>
      </c>
      <c r="DO55" s="21">
        <v>120</v>
      </c>
      <c r="DP55" s="22">
        <f t="shared" si="132"/>
        <v>4</v>
      </c>
      <c r="DQ55" s="21">
        <v>114</v>
      </c>
      <c r="DR55" s="22">
        <f t="shared" si="133"/>
        <v>3.6774193548387095</v>
      </c>
      <c r="DS55" s="21">
        <v>87</v>
      </c>
      <c r="DT55" s="22">
        <f t="shared" si="134"/>
        <v>2.806451612903226</v>
      </c>
      <c r="DU55" s="21">
        <v>79</v>
      </c>
      <c r="DV55" s="22">
        <f t="shared" si="135"/>
        <v>2.6333333333333333</v>
      </c>
      <c r="DW55" s="21">
        <v>90</v>
      </c>
      <c r="DX55" s="22">
        <f t="shared" si="136"/>
        <v>2.903225806451613</v>
      </c>
      <c r="DY55" s="21">
        <v>59</v>
      </c>
      <c r="DZ55" s="22">
        <f t="shared" si="137"/>
        <v>1.9666666666666666</v>
      </c>
      <c r="EA55" s="21">
        <v>86</v>
      </c>
      <c r="EB55" s="22">
        <f t="shared" si="138"/>
        <v>2.774193548387097</v>
      </c>
      <c r="EC55" s="23">
        <f t="shared" si="139"/>
        <v>1029.0213517665129</v>
      </c>
      <c r="ED55" s="24">
        <f t="shared" si="140"/>
        <v>0.68597028702850971</v>
      </c>
      <c r="EE55" s="25">
        <f t="shared" si="141"/>
        <v>43.108647520825862</v>
      </c>
    </row>
    <row r="56" spans="1:135" ht="15" customHeight="1" x14ac:dyDescent="0.35">
      <c r="A56" s="17">
        <v>51</v>
      </c>
      <c r="B56" s="18" t="s">
        <v>136</v>
      </c>
      <c r="C56" s="19" t="s">
        <v>137</v>
      </c>
      <c r="D56" s="20" t="s">
        <v>36</v>
      </c>
      <c r="E56" s="21">
        <v>1348</v>
      </c>
      <c r="F56" s="22">
        <f t="shared" si="71"/>
        <v>43.483870967741936</v>
      </c>
      <c r="G56" s="21">
        <v>1170</v>
      </c>
      <c r="H56" s="22">
        <f t="shared" si="72"/>
        <v>41.785714285714285</v>
      </c>
      <c r="I56" s="21">
        <v>1201</v>
      </c>
      <c r="J56" s="22">
        <f t="shared" si="73"/>
        <v>38.741935483870968</v>
      </c>
      <c r="K56" s="21">
        <v>762</v>
      </c>
      <c r="L56" s="22">
        <f t="shared" si="74"/>
        <v>25.4</v>
      </c>
      <c r="M56" s="21">
        <v>688</v>
      </c>
      <c r="N56" s="22">
        <f t="shared" si="75"/>
        <v>22.193548387096776</v>
      </c>
      <c r="O56" s="21">
        <v>1333</v>
      </c>
      <c r="P56" s="22">
        <f t="shared" si="76"/>
        <v>44.43333333333333</v>
      </c>
      <c r="Q56" s="21">
        <v>873</v>
      </c>
      <c r="R56" s="22">
        <f t="shared" si="77"/>
        <v>28.161290322580644</v>
      </c>
      <c r="S56" s="21">
        <v>893</v>
      </c>
      <c r="T56" s="22">
        <f t="shared" si="78"/>
        <v>28.806451612903224</v>
      </c>
      <c r="U56" s="21">
        <v>1422</v>
      </c>
      <c r="V56" s="22">
        <f t="shared" si="79"/>
        <v>47.4</v>
      </c>
      <c r="W56" s="21">
        <v>689</v>
      </c>
      <c r="X56" s="22">
        <f t="shared" si="80"/>
        <v>22.225806451612904</v>
      </c>
      <c r="Y56" s="21">
        <v>769</v>
      </c>
      <c r="Z56" s="22">
        <f t="shared" si="81"/>
        <v>25.633333333333333</v>
      </c>
      <c r="AA56" s="21">
        <v>940</v>
      </c>
      <c r="AB56" s="22">
        <f t="shared" si="82"/>
        <v>30.322580645161292</v>
      </c>
      <c r="AC56" s="23">
        <f t="shared" si="83"/>
        <v>12456.265284178187</v>
      </c>
      <c r="AD56" s="24">
        <f t="shared" si="84"/>
        <v>9.296387997685871</v>
      </c>
      <c r="AE56" s="21">
        <v>1101</v>
      </c>
      <c r="AF56" s="22">
        <f t="shared" si="85"/>
        <v>35.516129032258064</v>
      </c>
      <c r="AG56" s="21">
        <v>964</v>
      </c>
      <c r="AH56" s="22">
        <f t="shared" si="86"/>
        <v>34.428571428571431</v>
      </c>
      <c r="AI56" s="21">
        <v>1225</v>
      </c>
      <c r="AJ56" s="22">
        <f t="shared" si="87"/>
        <v>39.516129032258064</v>
      </c>
      <c r="AK56" s="21">
        <v>626</v>
      </c>
      <c r="AL56" s="22">
        <f t="shared" si="88"/>
        <v>20.866666666666667</v>
      </c>
      <c r="AM56" s="21">
        <v>999</v>
      </c>
      <c r="AN56" s="22">
        <f t="shared" si="89"/>
        <v>32.225806451612904</v>
      </c>
      <c r="AO56" s="21">
        <v>1013</v>
      </c>
      <c r="AP56" s="22">
        <f t="shared" si="90"/>
        <v>33.766666666666666</v>
      </c>
      <c r="AQ56" s="21">
        <v>916</v>
      </c>
      <c r="AR56" s="22">
        <f t="shared" si="91"/>
        <v>29.548387096774192</v>
      </c>
      <c r="AS56" s="21">
        <v>580</v>
      </c>
      <c r="AT56" s="22">
        <f t="shared" si="92"/>
        <v>18.70967741935484</v>
      </c>
      <c r="AU56" s="21">
        <v>1258</v>
      </c>
      <c r="AV56" s="22">
        <f t="shared" si="93"/>
        <v>41.93333333333333</v>
      </c>
      <c r="AW56" s="21">
        <v>680</v>
      </c>
      <c r="AX56" s="22">
        <f t="shared" si="94"/>
        <v>21.93548387096774</v>
      </c>
      <c r="AY56" s="21">
        <v>1218</v>
      </c>
      <c r="AZ56" s="22">
        <f t="shared" si="95"/>
        <v>40.6</v>
      </c>
      <c r="BA56" s="21">
        <v>674</v>
      </c>
      <c r="BB56" s="22">
        <f t="shared" si="96"/>
        <v>21.741935483870968</v>
      </c>
      <c r="BC56" s="23">
        <f t="shared" si="97"/>
        <v>11603.046850998464</v>
      </c>
      <c r="BD56" s="24">
        <f t="shared" si="98"/>
        <v>8.2524289124622765</v>
      </c>
      <c r="BE56" s="21">
        <v>818</v>
      </c>
      <c r="BF56" s="22">
        <f t="shared" si="99"/>
        <v>26.387096774193548</v>
      </c>
      <c r="BG56" s="21">
        <v>918</v>
      </c>
      <c r="BH56" s="22">
        <f t="shared" si="100"/>
        <v>32.785714285714285</v>
      </c>
      <c r="BI56" s="21">
        <v>903</v>
      </c>
      <c r="BJ56" s="22">
        <f t="shared" si="101"/>
        <v>29.129032258064516</v>
      </c>
      <c r="BK56" s="21">
        <v>1390</v>
      </c>
      <c r="BL56" s="22">
        <f t="shared" si="102"/>
        <v>46.333333333333336</v>
      </c>
      <c r="BM56" s="21">
        <v>1414</v>
      </c>
      <c r="BN56" s="22">
        <f t="shared" si="103"/>
        <v>45.612903225806448</v>
      </c>
      <c r="BO56" s="21">
        <v>1422</v>
      </c>
      <c r="BP56" s="22">
        <f t="shared" si="104"/>
        <v>47.4</v>
      </c>
      <c r="BQ56" s="21">
        <v>975</v>
      </c>
      <c r="BR56" s="22">
        <f t="shared" si="105"/>
        <v>31.451612903225808</v>
      </c>
      <c r="BS56" s="21">
        <v>991</v>
      </c>
      <c r="BT56" s="22">
        <f t="shared" si="106"/>
        <v>31.967741935483872</v>
      </c>
      <c r="BU56" s="21">
        <v>949</v>
      </c>
      <c r="BV56" s="22">
        <f t="shared" si="107"/>
        <v>31.633333333333333</v>
      </c>
      <c r="BW56" s="21">
        <v>768</v>
      </c>
      <c r="BX56" s="22">
        <f t="shared" si="108"/>
        <v>24.774193548387096</v>
      </c>
      <c r="BY56" s="21">
        <v>1270</v>
      </c>
      <c r="BZ56" s="22">
        <f t="shared" si="109"/>
        <v>42.333333333333336</v>
      </c>
      <c r="CA56" s="21">
        <v>1527</v>
      </c>
      <c r="CB56" s="22">
        <f t="shared" si="110"/>
        <v>49.258064516129032</v>
      </c>
      <c r="CC56" s="23">
        <f t="shared" si="111"/>
        <v>13734.808294930874</v>
      </c>
      <c r="CD56" s="24">
        <f t="shared" si="112"/>
        <v>8.9078878718853556</v>
      </c>
      <c r="CE56" s="21">
        <v>886</v>
      </c>
      <c r="CF56" s="22">
        <f t="shared" si="113"/>
        <v>28.580645161290324</v>
      </c>
      <c r="CG56" s="21">
        <v>1090</v>
      </c>
      <c r="CH56" s="22">
        <f t="shared" si="114"/>
        <v>38.928571428571431</v>
      </c>
      <c r="CI56" s="21">
        <v>1155</v>
      </c>
      <c r="CJ56" s="22">
        <f t="shared" si="115"/>
        <v>37.258064516129032</v>
      </c>
      <c r="CK56" s="21">
        <v>1025</v>
      </c>
      <c r="CL56" s="22">
        <f t="shared" si="116"/>
        <v>34.166666666666664</v>
      </c>
      <c r="CM56" s="21">
        <v>1385</v>
      </c>
      <c r="CN56" s="22">
        <f t="shared" si="117"/>
        <v>44.677419354838712</v>
      </c>
      <c r="CO56" s="21">
        <v>1325</v>
      </c>
      <c r="CP56" s="22">
        <f t="shared" si="118"/>
        <v>44.166666666666664</v>
      </c>
      <c r="CQ56" s="21">
        <v>932</v>
      </c>
      <c r="CR56" s="22">
        <f t="shared" si="119"/>
        <v>30.06451612903226</v>
      </c>
      <c r="CS56" s="21">
        <v>761</v>
      </c>
      <c r="CT56" s="22">
        <f t="shared" si="120"/>
        <v>24.548387096774192</v>
      </c>
      <c r="CU56" s="21">
        <v>903</v>
      </c>
      <c r="CV56" s="22">
        <f t="shared" si="121"/>
        <v>30.1</v>
      </c>
      <c r="CW56" s="21">
        <v>1022</v>
      </c>
      <c r="CX56" s="22">
        <f t="shared" si="122"/>
        <v>32.967741935483872</v>
      </c>
      <c r="CY56" s="21">
        <v>816</v>
      </c>
      <c r="CZ56" s="22">
        <f t="shared" si="123"/>
        <v>27.2</v>
      </c>
      <c r="DA56" s="21">
        <v>1564</v>
      </c>
      <c r="DB56" s="22">
        <f t="shared" si="124"/>
        <v>50.451612903225808</v>
      </c>
      <c r="DC56" s="23">
        <f t="shared" si="125"/>
        <v>13236.658678955455</v>
      </c>
      <c r="DD56" s="24">
        <f t="shared" si="126"/>
        <v>7.9808679228182138</v>
      </c>
      <c r="DE56" s="21">
        <v>820</v>
      </c>
      <c r="DF56" s="22">
        <f t="shared" si="127"/>
        <v>26.451612903225808</v>
      </c>
      <c r="DG56" s="21">
        <v>889</v>
      </c>
      <c r="DH56" s="22">
        <f t="shared" si="128"/>
        <v>31.75</v>
      </c>
      <c r="DI56" s="21">
        <v>960</v>
      </c>
      <c r="DJ56" s="22">
        <f t="shared" si="129"/>
        <v>30.967741935483872</v>
      </c>
      <c r="DK56" s="21">
        <v>1094</v>
      </c>
      <c r="DL56" s="22">
        <f t="shared" si="130"/>
        <v>36.466666666666669</v>
      </c>
      <c r="DM56" s="21">
        <v>652</v>
      </c>
      <c r="DN56" s="22">
        <f t="shared" si="131"/>
        <v>21.032258064516128</v>
      </c>
      <c r="DO56" s="21">
        <v>1003</v>
      </c>
      <c r="DP56" s="22">
        <f t="shared" si="132"/>
        <v>33.43333333333333</v>
      </c>
      <c r="DQ56" s="21">
        <v>725</v>
      </c>
      <c r="DR56" s="22">
        <f t="shared" si="133"/>
        <v>23.387096774193548</v>
      </c>
      <c r="DS56" s="21">
        <v>1267</v>
      </c>
      <c r="DT56" s="22">
        <f t="shared" si="134"/>
        <v>40.87096774193548</v>
      </c>
      <c r="DU56" s="21">
        <v>867</v>
      </c>
      <c r="DV56" s="22">
        <f t="shared" si="135"/>
        <v>28.9</v>
      </c>
      <c r="DW56" s="21">
        <v>927</v>
      </c>
      <c r="DX56" s="22">
        <f t="shared" si="136"/>
        <v>29.903225806451612</v>
      </c>
      <c r="DY56" s="21">
        <v>785</v>
      </c>
      <c r="DZ56" s="22">
        <f t="shared" si="137"/>
        <v>26.166666666666668</v>
      </c>
      <c r="EA56" s="21">
        <v>942</v>
      </c>
      <c r="EB56" s="22">
        <f t="shared" si="138"/>
        <v>30.387096774193548</v>
      </c>
      <c r="EC56" s="23">
        <f t="shared" si="139"/>
        <v>11260.32956989247</v>
      </c>
      <c r="ED56" s="24">
        <f t="shared" si="140"/>
        <v>5.4654403376296612</v>
      </c>
      <c r="EE56" s="25">
        <f t="shared" si="141"/>
        <v>519.18084720081572</v>
      </c>
    </row>
    <row r="57" spans="1:135" ht="15" customHeight="1" x14ac:dyDescent="0.35">
      <c r="A57" s="17">
        <v>52</v>
      </c>
      <c r="B57" s="18" t="s">
        <v>138</v>
      </c>
      <c r="C57" s="19" t="s">
        <v>139</v>
      </c>
      <c r="D57" s="20" t="s">
        <v>36</v>
      </c>
      <c r="E57" s="21">
        <v>1877</v>
      </c>
      <c r="F57" s="22">
        <f t="shared" si="71"/>
        <v>60.548387096774192</v>
      </c>
      <c r="G57" s="21">
        <v>1958</v>
      </c>
      <c r="H57" s="22">
        <f t="shared" si="72"/>
        <v>69.928571428571431</v>
      </c>
      <c r="I57" s="21">
        <v>1561</v>
      </c>
      <c r="J57" s="22">
        <f t="shared" si="73"/>
        <v>50.354838709677416</v>
      </c>
      <c r="K57" s="21">
        <v>2888</v>
      </c>
      <c r="L57" s="22">
        <f t="shared" si="74"/>
        <v>96.266666666666666</v>
      </c>
      <c r="M57" s="21">
        <v>2725</v>
      </c>
      <c r="N57" s="22">
        <f t="shared" si="75"/>
        <v>87.903225806451616</v>
      </c>
      <c r="O57" s="21">
        <v>1607</v>
      </c>
      <c r="P57" s="22">
        <f t="shared" si="76"/>
        <v>53.56666666666667</v>
      </c>
      <c r="Q57" s="21">
        <v>2103</v>
      </c>
      <c r="R57" s="22">
        <f t="shared" si="77"/>
        <v>67.838709677419359</v>
      </c>
      <c r="S57" s="21">
        <v>2483</v>
      </c>
      <c r="T57" s="22">
        <f t="shared" si="78"/>
        <v>80.096774193548384</v>
      </c>
      <c r="U57" s="21">
        <v>3308</v>
      </c>
      <c r="V57" s="22">
        <f t="shared" si="79"/>
        <v>110.26666666666667</v>
      </c>
      <c r="W57" s="21">
        <v>2576</v>
      </c>
      <c r="X57" s="22">
        <f t="shared" si="80"/>
        <v>83.096774193548384</v>
      </c>
      <c r="Y57" s="21">
        <v>2506</v>
      </c>
      <c r="Z57" s="22">
        <f t="shared" si="81"/>
        <v>83.533333333333331</v>
      </c>
      <c r="AA57" s="21">
        <v>3059</v>
      </c>
      <c r="AB57" s="22">
        <f t="shared" si="82"/>
        <v>98.677419354838705</v>
      </c>
      <c r="AC57" s="23">
        <f t="shared" si="83"/>
        <v>29494.400614439324</v>
      </c>
      <c r="AD57" s="24">
        <f t="shared" si="84"/>
        <v>18.568185256347647</v>
      </c>
      <c r="AE57" s="21">
        <v>3190</v>
      </c>
      <c r="AF57" s="22">
        <f t="shared" si="85"/>
        <v>102.90322580645162</v>
      </c>
      <c r="AG57" s="21">
        <v>2377</v>
      </c>
      <c r="AH57" s="22">
        <f t="shared" si="86"/>
        <v>84.892857142857139</v>
      </c>
      <c r="AI57" s="21">
        <v>2615</v>
      </c>
      <c r="AJ57" s="22">
        <f t="shared" si="87"/>
        <v>84.354838709677423</v>
      </c>
      <c r="AK57" s="21">
        <v>3289</v>
      </c>
      <c r="AL57" s="22">
        <f t="shared" si="88"/>
        <v>109.63333333333334</v>
      </c>
      <c r="AM57" s="21">
        <v>2491</v>
      </c>
      <c r="AN57" s="22">
        <f t="shared" si="89"/>
        <v>80.354838709677423</v>
      </c>
      <c r="AO57" s="21">
        <v>3319</v>
      </c>
      <c r="AP57" s="22">
        <f t="shared" si="90"/>
        <v>110.63333333333334</v>
      </c>
      <c r="AQ57" s="21">
        <v>2494</v>
      </c>
      <c r="AR57" s="22">
        <f t="shared" si="91"/>
        <v>80.451612903225808</v>
      </c>
      <c r="AS57" s="21">
        <v>1686</v>
      </c>
      <c r="AT57" s="22">
        <f t="shared" si="92"/>
        <v>54.387096774193552</v>
      </c>
      <c r="AU57" s="21">
        <v>3362</v>
      </c>
      <c r="AV57" s="22">
        <f t="shared" si="93"/>
        <v>112.06666666666666</v>
      </c>
      <c r="AW57" s="21">
        <v>2978</v>
      </c>
      <c r="AX57" s="22">
        <f t="shared" si="94"/>
        <v>96.064516129032256</v>
      </c>
      <c r="AY57" s="21">
        <v>2547</v>
      </c>
      <c r="AZ57" s="22">
        <f t="shared" si="95"/>
        <v>84.9</v>
      </c>
      <c r="BA57" s="21">
        <v>3357</v>
      </c>
      <c r="BB57" s="22">
        <f t="shared" si="96"/>
        <v>108.29032258064517</v>
      </c>
      <c r="BC57" s="23">
        <f t="shared" si="97"/>
        <v>34705.64231950845</v>
      </c>
      <c r="BD57" s="24">
        <f t="shared" si="98"/>
        <v>17.327408154296759</v>
      </c>
      <c r="BE57" s="21">
        <v>2451</v>
      </c>
      <c r="BF57" s="22">
        <f t="shared" si="99"/>
        <v>79.064516129032256</v>
      </c>
      <c r="BG57" s="21">
        <v>2257</v>
      </c>
      <c r="BH57" s="22">
        <f t="shared" si="100"/>
        <v>80.607142857142861</v>
      </c>
      <c r="BI57" s="21">
        <v>2167</v>
      </c>
      <c r="BJ57" s="22">
        <f t="shared" si="101"/>
        <v>69.903225806451616</v>
      </c>
      <c r="BK57" s="21">
        <v>1376</v>
      </c>
      <c r="BL57" s="22">
        <f t="shared" si="102"/>
        <v>45.866666666666667</v>
      </c>
      <c r="BM57" s="21">
        <v>2383</v>
      </c>
      <c r="BN57" s="22">
        <f t="shared" si="103"/>
        <v>76.870967741935488</v>
      </c>
      <c r="BO57" s="21">
        <v>1459</v>
      </c>
      <c r="BP57" s="22">
        <f t="shared" si="104"/>
        <v>48.633333333333333</v>
      </c>
      <c r="BQ57" s="21">
        <v>2742</v>
      </c>
      <c r="BR57" s="22">
        <f t="shared" si="105"/>
        <v>88.451612903225808</v>
      </c>
      <c r="BS57" s="21">
        <v>2723</v>
      </c>
      <c r="BT57" s="22">
        <f t="shared" si="106"/>
        <v>87.838709677419359</v>
      </c>
      <c r="BU57" s="21">
        <v>2464</v>
      </c>
      <c r="BV57" s="22">
        <f t="shared" si="107"/>
        <v>82.13333333333334</v>
      </c>
      <c r="BW57" s="21">
        <v>1385</v>
      </c>
      <c r="BX57" s="22">
        <f t="shared" si="108"/>
        <v>44.677419354838712</v>
      </c>
      <c r="BY57" s="21">
        <v>1855</v>
      </c>
      <c r="BZ57" s="22">
        <f t="shared" si="109"/>
        <v>61.833333333333336</v>
      </c>
      <c r="CA57" s="21">
        <v>2748</v>
      </c>
      <c r="CB57" s="22">
        <f t="shared" si="110"/>
        <v>88.645161290322577</v>
      </c>
      <c r="CC57" s="23">
        <f t="shared" si="111"/>
        <v>26775.880261136714</v>
      </c>
      <c r="CD57" s="24">
        <f t="shared" si="112"/>
        <v>16.854282775603256</v>
      </c>
      <c r="CE57" s="21">
        <v>1943</v>
      </c>
      <c r="CF57" s="22">
        <f t="shared" si="113"/>
        <v>62.677419354838712</v>
      </c>
      <c r="CG57" s="21">
        <v>2863</v>
      </c>
      <c r="CH57" s="22">
        <f t="shared" si="114"/>
        <v>102.25</v>
      </c>
      <c r="CI57" s="21">
        <v>2257</v>
      </c>
      <c r="CJ57" s="22">
        <f t="shared" si="115"/>
        <v>72.806451612903231</v>
      </c>
      <c r="CK57" s="21">
        <v>2596</v>
      </c>
      <c r="CL57" s="22">
        <f t="shared" si="116"/>
        <v>86.533333333333331</v>
      </c>
      <c r="CM57" s="21">
        <v>1652</v>
      </c>
      <c r="CN57" s="22">
        <f t="shared" si="117"/>
        <v>53.29032258064516</v>
      </c>
      <c r="CO57" s="21">
        <v>2722</v>
      </c>
      <c r="CP57" s="22">
        <f t="shared" si="118"/>
        <v>90.733333333333334</v>
      </c>
      <c r="CQ57" s="21">
        <v>2727</v>
      </c>
      <c r="CR57" s="22">
        <f t="shared" si="119"/>
        <v>87.967741935483872</v>
      </c>
      <c r="CS57" s="21">
        <v>1339</v>
      </c>
      <c r="CT57" s="22">
        <f t="shared" si="120"/>
        <v>43.193548387096776</v>
      </c>
      <c r="CU57" s="21">
        <v>1865</v>
      </c>
      <c r="CV57" s="22">
        <f t="shared" si="121"/>
        <v>62.166666666666664</v>
      </c>
      <c r="CW57" s="21">
        <v>1880</v>
      </c>
      <c r="CX57" s="22">
        <f t="shared" si="122"/>
        <v>60.645161290322584</v>
      </c>
      <c r="CY57" s="21">
        <v>1764</v>
      </c>
      <c r="CZ57" s="22">
        <f t="shared" si="123"/>
        <v>58.8</v>
      </c>
      <c r="DA57" s="21">
        <v>1682</v>
      </c>
      <c r="DB57" s="22">
        <f t="shared" si="124"/>
        <v>54.258064516129032</v>
      </c>
      <c r="DC57" s="23">
        <f t="shared" si="125"/>
        <v>26071.063978494629</v>
      </c>
      <c r="DD57" s="24">
        <f t="shared" si="126"/>
        <v>18.205191672983563</v>
      </c>
      <c r="DE57" s="21">
        <v>2515</v>
      </c>
      <c r="DF57" s="22">
        <f t="shared" si="127"/>
        <v>81.129032258064512</v>
      </c>
      <c r="DG57" s="21">
        <v>3380</v>
      </c>
      <c r="DH57" s="22">
        <f t="shared" si="128"/>
        <v>120.71428571428571</v>
      </c>
      <c r="DI57" s="21">
        <v>3199</v>
      </c>
      <c r="DJ57" s="22">
        <f t="shared" si="129"/>
        <v>103.19354838709677</v>
      </c>
      <c r="DK57" s="21">
        <v>2858</v>
      </c>
      <c r="DL57" s="22">
        <f t="shared" si="130"/>
        <v>95.266666666666666</v>
      </c>
      <c r="DM57" s="21">
        <v>2649</v>
      </c>
      <c r="DN57" s="22">
        <f t="shared" si="131"/>
        <v>85.451612903225808</v>
      </c>
      <c r="DO57" s="21">
        <v>2435</v>
      </c>
      <c r="DP57" s="22">
        <f t="shared" si="132"/>
        <v>81.166666666666671</v>
      </c>
      <c r="DQ57" s="21">
        <v>2424</v>
      </c>
      <c r="DR57" s="22">
        <f t="shared" si="133"/>
        <v>78.193548387096769</v>
      </c>
      <c r="DS57" s="21">
        <v>1870</v>
      </c>
      <c r="DT57" s="22">
        <f t="shared" si="134"/>
        <v>60.322580645161288</v>
      </c>
      <c r="DU57" s="21">
        <v>2785</v>
      </c>
      <c r="DV57" s="22">
        <f t="shared" si="135"/>
        <v>92.833333333333329</v>
      </c>
      <c r="DW57" s="21">
        <v>3140</v>
      </c>
      <c r="DX57" s="22">
        <f t="shared" si="136"/>
        <v>101.29032258064517</v>
      </c>
      <c r="DY57" s="21">
        <v>3518</v>
      </c>
      <c r="DZ57" s="22">
        <f t="shared" si="137"/>
        <v>117.26666666666667</v>
      </c>
      <c r="EA57" s="21">
        <v>3487</v>
      </c>
      <c r="EB57" s="22">
        <f t="shared" si="138"/>
        <v>112.48387096774194</v>
      </c>
      <c r="EC57" s="23">
        <f t="shared" si="139"/>
        <v>35276.828264208911</v>
      </c>
      <c r="ED57" s="24">
        <f t="shared" si="140"/>
        <v>17.900178274631859</v>
      </c>
      <c r="EE57" s="25">
        <f t="shared" si="141"/>
        <v>1270.4490408462107</v>
      </c>
    </row>
    <row r="58" spans="1:135" ht="15" customHeight="1" x14ac:dyDescent="0.35">
      <c r="A58" s="17">
        <v>53</v>
      </c>
      <c r="B58" s="18" t="s">
        <v>140</v>
      </c>
      <c r="C58" s="19" t="s">
        <v>141</v>
      </c>
      <c r="D58" s="20" t="s">
        <v>36</v>
      </c>
      <c r="E58" s="21">
        <v>3380</v>
      </c>
      <c r="F58" s="22">
        <f t="shared" si="71"/>
        <v>109.03225806451613</v>
      </c>
      <c r="G58" s="21">
        <v>2191</v>
      </c>
      <c r="H58" s="22">
        <f t="shared" si="72"/>
        <v>78.25</v>
      </c>
      <c r="I58" s="21">
        <v>2668</v>
      </c>
      <c r="J58" s="22">
        <f t="shared" si="73"/>
        <v>86.064516129032256</v>
      </c>
      <c r="K58" s="21">
        <v>3310</v>
      </c>
      <c r="L58" s="22">
        <f t="shared" si="74"/>
        <v>110.33333333333333</v>
      </c>
      <c r="M58" s="21">
        <v>2817</v>
      </c>
      <c r="N58" s="22">
        <f t="shared" si="75"/>
        <v>90.870967741935488</v>
      </c>
      <c r="O58" s="21">
        <v>2989</v>
      </c>
      <c r="P58" s="22">
        <f t="shared" si="76"/>
        <v>99.63333333333334</v>
      </c>
      <c r="Q58" s="21">
        <v>2917</v>
      </c>
      <c r="R58" s="22">
        <f t="shared" si="77"/>
        <v>94.096774193548384</v>
      </c>
      <c r="S58" s="21">
        <v>3182</v>
      </c>
      <c r="T58" s="22">
        <f t="shared" si="78"/>
        <v>102.64516129032258</v>
      </c>
      <c r="U58" s="21">
        <v>3499</v>
      </c>
      <c r="V58" s="22">
        <f t="shared" si="79"/>
        <v>116.63333333333334</v>
      </c>
      <c r="W58" s="21">
        <v>2028</v>
      </c>
      <c r="X58" s="22">
        <f t="shared" si="80"/>
        <v>65.41935483870968</v>
      </c>
      <c r="Y58" s="21">
        <v>2640</v>
      </c>
      <c r="Z58" s="22">
        <f t="shared" si="81"/>
        <v>88</v>
      </c>
      <c r="AA58" s="21">
        <v>2302</v>
      </c>
      <c r="AB58" s="22">
        <f t="shared" si="82"/>
        <v>74.258064516129039</v>
      </c>
      <c r="AC58" s="23">
        <f t="shared" si="83"/>
        <v>34963.979032258067</v>
      </c>
      <c r="AD58" s="24">
        <f t="shared" si="84"/>
        <v>15.554435774497056</v>
      </c>
      <c r="AE58" s="21">
        <v>2949</v>
      </c>
      <c r="AF58" s="22">
        <f t="shared" si="85"/>
        <v>95.129032258064512</v>
      </c>
      <c r="AG58" s="21">
        <v>3134</v>
      </c>
      <c r="AH58" s="22">
        <f t="shared" si="86"/>
        <v>111.92857142857143</v>
      </c>
      <c r="AI58" s="21">
        <v>1712</v>
      </c>
      <c r="AJ58" s="22">
        <f t="shared" si="87"/>
        <v>55.225806451612904</v>
      </c>
      <c r="AK58" s="21">
        <v>3559</v>
      </c>
      <c r="AL58" s="22">
        <f t="shared" si="88"/>
        <v>118.63333333333334</v>
      </c>
      <c r="AM58" s="21">
        <v>2348</v>
      </c>
      <c r="AN58" s="22">
        <f t="shared" si="89"/>
        <v>75.741935483870961</v>
      </c>
      <c r="AO58" s="21">
        <v>2144</v>
      </c>
      <c r="AP58" s="22">
        <f t="shared" si="90"/>
        <v>71.466666666666669</v>
      </c>
      <c r="AQ58" s="21">
        <v>3247</v>
      </c>
      <c r="AR58" s="22">
        <f t="shared" si="91"/>
        <v>104.74193548387096</v>
      </c>
      <c r="AS58" s="21">
        <v>3627</v>
      </c>
      <c r="AT58" s="22">
        <f t="shared" si="92"/>
        <v>117</v>
      </c>
      <c r="AU58" s="21">
        <v>3575</v>
      </c>
      <c r="AV58" s="22">
        <f t="shared" si="93"/>
        <v>119.16666666666667</v>
      </c>
      <c r="AW58" s="21">
        <v>1672</v>
      </c>
      <c r="AX58" s="22">
        <f t="shared" si="94"/>
        <v>53.935483870967744</v>
      </c>
      <c r="AY58" s="21">
        <v>3402</v>
      </c>
      <c r="AZ58" s="22">
        <f t="shared" si="95"/>
        <v>113.4</v>
      </c>
      <c r="BA58" s="21">
        <v>2286</v>
      </c>
      <c r="BB58" s="22">
        <f t="shared" si="96"/>
        <v>73.741935483870961</v>
      </c>
      <c r="BC58" s="23">
        <f t="shared" si="97"/>
        <v>34691.36943164363</v>
      </c>
      <c r="BD58" s="24">
        <f t="shared" si="98"/>
        <v>25.076344525192237</v>
      </c>
      <c r="BE58" s="21">
        <v>2251</v>
      </c>
      <c r="BF58" s="22">
        <f t="shared" si="99"/>
        <v>72.612903225806448</v>
      </c>
      <c r="BG58" s="21">
        <v>2713</v>
      </c>
      <c r="BH58" s="22">
        <f t="shared" si="100"/>
        <v>96.892857142857139</v>
      </c>
      <c r="BI58" s="21">
        <v>3160</v>
      </c>
      <c r="BJ58" s="22">
        <f t="shared" si="101"/>
        <v>101.93548387096774</v>
      </c>
      <c r="BK58" s="21">
        <v>1853</v>
      </c>
      <c r="BL58" s="22">
        <f t="shared" si="102"/>
        <v>61.766666666666666</v>
      </c>
      <c r="BM58" s="21">
        <v>3537</v>
      </c>
      <c r="BN58" s="22">
        <f t="shared" si="103"/>
        <v>114.09677419354838</v>
      </c>
      <c r="BO58" s="21">
        <v>1932</v>
      </c>
      <c r="BP58" s="22">
        <f t="shared" si="104"/>
        <v>64.400000000000006</v>
      </c>
      <c r="BQ58" s="21">
        <v>3767</v>
      </c>
      <c r="BR58" s="22">
        <f t="shared" si="105"/>
        <v>121.51612903225806</v>
      </c>
      <c r="BS58" s="21">
        <v>2607</v>
      </c>
      <c r="BT58" s="22">
        <f t="shared" si="106"/>
        <v>84.096774193548384</v>
      </c>
      <c r="BU58" s="21">
        <v>3443</v>
      </c>
      <c r="BV58" s="22">
        <f t="shared" si="107"/>
        <v>114.76666666666667</v>
      </c>
      <c r="BW58" s="21">
        <v>2227</v>
      </c>
      <c r="BX58" s="22">
        <f t="shared" si="108"/>
        <v>71.838709677419359</v>
      </c>
      <c r="BY58" s="21">
        <v>2549</v>
      </c>
      <c r="BZ58" s="22">
        <f t="shared" si="109"/>
        <v>84.966666666666669</v>
      </c>
      <c r="CA58" s="21">
        <v>3049</v>
      </c>
      <c r="CB58" s="22">
        <f t="shared" si="110"/>
        <v>98.354838709677423</v>
      </c>
      <c r="CC58" s="23">
        <f t="shared" si="111"/>
        <v>34076.889631336409</v>
      </c>
      <c r="CD58" s="24">
        <f t="shared" si="112"/>
        <v>20.421719676989628</v>
      </c>
      <c r="CE58" s="21">
        <v>2433</v>
      </c>
      <c r="CF58" s="22">
        <f t="shared" si="113"/>
        <v>78.483870967741936</v>
      </c>
      <c r="CG58" s="21">
        <v>2493</v>
      </c>
      <c r="CH58" s="22">
        <f t="shared" si="114"/>
        <v>89.035714285714292</v>
      </c>
      <c r="CI58" s="21">
        <v>4082</v>
      </c>
      <c r="CJ58" s="22">
        <f t="shared" si="115"/>
        <v>131.67741935483872</v>
      </c>
      <c r="CK58" s="21">
        <v>3867</v>
      </c>
      <c r="CL58" s="22">
        <f t="shared" si="116"/>
        <v>128.9</v>
      </c>
      <c r="CM58" s="21">
        <v>3915</v>
      </c>
      <c r="CN58" s="22">
        <f t="shared" si="117"/>
        <v>126.29032258064517</v>
      </c>
      <c r="CO58" s="21">
        <v>4194</v>
      </c>
      <c r="CP58" s="22">
        <f t="shared" si="118"/>
        <v>139.80000000000001</v>
      </c>
      <c r="CQ58" s="21">
        <v>4074</v>
      </c>
      <c r="CR58" s="22">
        <f t="shared" si="119"/>
        <v>131.41935483870967</v>
      </c>
      <c r="CS58" s="21">
        <v>3282</v>
      </c>
      <c r="CT58" s="22">
        <f t="shared" si="120"/>
        <v>105.87096774193549</v>
      </c>
      <c r="CU58" s="21">
        <v>2357</v>
      </c>
      <c r="CV58" s="22">
        <f t="shared" si="121"/>
        <v>78.566666666666663</v>
      </c>
      <c r="CW58" s="21">
        <v>2752</v>
      </c>
      <c r="CX58" s="22">
        <f t="shared" si="122"/>
        <v>88.774193548387103</v>
      </c>
      <c r="CY58" s="21">
        <v>3260</v>
      </c>
      <c r="CZ58" s="22">
        <f t="shared" si="123"/>
        <v>108.66666666666667</v>
      </c>
      <c r="DA58" s="21">
        <v>2297</v>
      </c>
      <c r="DB58" s="22">
        <f t="shared" si="124"/>
        <v>74.096774193548384</v>
      </c>
      <c r="DC58" s="23">
        <f t="shared" si="125"/>
        <v>40213.485176651302</v>
      </c>
      <c r="DD58" s="24">
        <f t="shared" si="126"/>
        <v>24.300306052621679</v>
      </c>
      <c r="DE58" s="21">
        <v>3616</v>
      </c>
      <c r="DF58" s="22">
        <f t="shared" si="127"/>
        <v>116.64516129032258</v>
      </c>
      <c r="DG58" s="21">
        <v>3679</v>
      </c>
      <c r="DH58" s="22">
        <f t="shared" si="128"/>
        <v>131.39285714285714</v>
      </c>
      <c r="DI58" s="21">
        <v>1759</v>
      </c>
      <c r="DJ58" s="22">
        <f t="shared" si="129"/>
        <v>56.741935483870968</v>
      </c>
      <c r="DK58" s="21">
        <v>2129</v>
      </c>
      <c r="DL58" s="22">
        <f t="shared" si="130"/>
        <v>70.966666666666669</v>
      </c>
      <c r="DM58" s="21">
        <v>3574</v>
      </c>
      <c r="DN58" s="22">
        <f t="shared" si="131"/>
        <v>115.29032258064517</v>
      </c>
      <c r="DO58" s="21">
        <v>3583</v>
      </c>
      <c r="DP58" s="22">
        <f t="shared" si="132"/>
        <v>119.43333333333334</v>
      </c>
      <c r="DQ58" s="21">
        <v>2257</v>
      </c>
      <c r="DR58" s="22">
        <f t="shared" si="133"/>
        <v>72.806451612903231</v>
      </c>
      <c r="DS58" s="21">
        <v>2724</v>
      </c>
      <c r="DT58" s="22">
        <f t="shared" si="134"/>
        <v>87.870967741935488</v>
      </c>
      <c r="DU58" s="21">
        <v>3766</v>
      </c>
      <c r="DV58" s="22">
        <f t="shared" si="135"/>
        <v>125.53333333333333</v>
      </c>
      <c r="DW58" s="21">
        <v>3285</v>
      </c>
      <c r="DX58" s="22">
        <f t="shared" si="136"/>
        <v>105.96774193548387</v>
      </c>
      <c r="DY58" s="21">
        <v>2312</v>
      </c>
      <c r="DZ58" s="22">
        <f t="shared" si="137"/>
        <v>77.066666666666663</v>
      </c>
      <c r="EA58" s="21">
        <v>3553</v>
      </c>
      <c r="EB58" s="22">
        <f t="shared" si="138"/>
        <v>114.61290322580645</v>
      </c>
      <c r="EC58" s="23">
        <f t="shared" si="139"/>
        <v>37316.715437788022</v>
      </c>
      <c r="ED58" s="24">
        <f t="shared" si="140"/>
        <v>25.043920512453159</v>
      </c>
      <c r="EE58" s="25">
        <f t="shared" si="141"/>
        <v>1499.9402171356603</v>
      </c>
    </row>
    <row r="59" spans="1:135" ht="15" customHeight="1" x14ac:dyDescent="0.35">
      <c r="A59" s="17">
        <v>54</v>
      </c>
      <c r="B59" s="18" t="s">
        <v>142</v>
      </c>
      <c r="C59" s="19" t="s">
        <v>143</v>
      </c>
      <c r="D59" s="20" t="s">
        <v>36</v>
      </c>
      <c r="E59" s="21">
        <v>933</v>
      </c>
      <c r="F59" s="22">
        <f t="shared" si="71"/>
        <v>30.096774193548388</v>
      </c>
      <c r="G59" s="21">
        <v>1030</v>
      </c>
      <c r="H59" s="22">
        <f t="shared" si="72"/>
        <v>36.785714285714285</v>
      </c>
      <c r="I59" s="21">
        <v>650</v>
      </c>
      <c r="J59" s="22">
        <f t="shared" si="73"/>
        <v>20.967741935483872</v>
      </c>
      <c r="K59" s="21">
        <v>580</v>
      </c>
      <c r="L59" s="22">
        <f t="shared" si="74"/>
        <v>19.333333333333332</v>
      </c>
      <c r="M59" s="21">
        <v>835</v>
      </c>
      <c r="N59" s="22">
        <f t="shared" si="75"/>
        <v>26.93548387096774</v>
      </c>
      <c r="O59" s="21">
        <v>999</v>
      </c>
      <c r="P59" s="22">
        <f t="shared" si="76"/>
        <v>33.299999999999997</v>
      </c>
      <c r="Q59" s="21">
        <v>690</v>
      </c>
      <c r="R59" s="22">
        <f t="shared" si="77"/>
        <v>22.258064516129032</v>
      </c>
      <c r="S59" s="21">
        <v>1205</v>
      </c>
      <c r="T59" s="22">
        <f t="shared" si="78"/>
        <v>38.87096774193548</v>
      </c>
      <c r="U59" s="21">
        <v>994</v>
      </c>
      <c r="V59" s="22">
        <f t="shared" si="79"/>
        <v>33.133333333333333</v>
      </c>
      <c r="W59" s="21">
        <v>818</v>
      </c>
      <c r="X59" s="22">
        <f t="shared" si="80"/>
        <v>26.387096774193548</v>
      </c>
      <c r="Y59" s="21">
        <v>679</v>
      </c>
      <c r="Z59" s="22">
        <f t="shared" si="81"/>
        <v>22.633333333333333</v>
      </c>
      <c r="AA59" s="21">
        <v>1223</v>
      </c>
      <c r="AB59" s="22">
        <f t="shared" si="82"/>
        <v>39.451612903225808</v>
      </c>
      <c r="AC59" s="23">
        <f t="shared" si="83"/>
        <v>10946.701843317971</v>
      </c>
      <c r="AD59" s="24">
        <f t="shared" si="84"/>
        <v>7.1268998509171277</v>
      </c>
      <c r="AE59" s="21">
        <v>1205</v>
      </c>
      <c r="AF59" s="22">
        <f t="shared" si="85"/>
        <v>38.87096774193548</v>
      </c>
      <c r="AG59" s="21">
        <v>1157</v>
      </c>
      <c r="AH59" s="22">
        <f t="shared" si="86"/>
        <v>41.321428571428569</v>
      </c>
      <c r="AI59" s="21">
        <v>832</v>
      </c>
      <c r="AJ59" s="22">
        <f t="shared" si="87"/>
        <v>26.838709677419356</v>
      </c>
      <c r="AK59" s="21">
        <v>914</v>
      </c>
      <c r="AL59" s="22">
        <f t="shared" si="88"/>
        <v>30.466666666666665</v>
      </c>
      <c r="AM59" s="21">
        <v>734</v>
      </c>
      <c r="AN59" s="22">
        <f t="shared" si="89"/>
        <v>23.677419354838708</v>
      </c>
      <c r="AO59" s="21">
        <v>1063</v>
      </c>
      <c r="AP59" s="22">
        <f t="shared" si="90"/>
        <v>35.43333333333333</v>
      </c>
      <c r="AQ59" s="21">
        <v>1379</v>
      </c>
      <c r="AR59" s="22">
        <f t="shared" si="91"/>
        <v>44.483870967741936</v>
      </c>
      <c r="AS59" s="21">
        <v>1292</v>
      </c>
      <c r="AT59" s="22">
        <f t="shared" si="92"/>
        <v>41.677419354838712</v>
      </c>
      <c r="AU59" s="21">
        <v>1124</v>
      </c>
      <c r="AV59" s="22">
        <f t="shared" si="93"/>
        <v>37.466666666666669</v>
      </c>
      <c r="AW59" s="21">
        <v>1148</v>
      </c>
      <c r="AX59" s="22">
        <f t="shared" si="94"/>
        <v>37.032258064516128</v>
      </c>
      <c r="AY59" s="21">
        <v>820</v>
      </c>
      <c r="AZ59" s="22">
        <f t="shared" si="95"/>
        <v>27.333333333333332</v>
      </c>
      <c r="BA59" s="21">
        <v>932</v>
      </c>
      <c r="BB59" s="22">
        <f t="shared" si="96"/>
        <v>30.06451612903226</v>
      </c>
      <c r="BC59" s="23">
        <f t="shared" si="97"/>
        <v>12984.602073732722</v>
      </c>
      <c r="BD59" s="24">
        <f t="shared" si="98"/>
        <v>6.7150023811147719</v>
      </c>
      <c r="BE59" s="21">
        <v>706</v>
      </c>
      <c r="BF59" s="22">
        <f t="shared" si="99"/>
        <v>22.774193548387096</v>
      </c>
      <c r="BG59" s="21">
        <v>1403</v>
      </c>
      <c r="BH59" s="22">
        <f t="shared" si="100"/>
        <v>50.107142857142854</v>
      </c>
      <c r="BI59" s="21">
        <v>1391</v>
      </c>
      <c r="BJ59" s="22">
        <f t="shared" si="101"/>
        <v>44.87096774193548</v>
      </c>
      <c r="BK59" s="21">
        <v>696</v>
      </c>
      <c r="BL59" s="22">
        <f t="shared" si="102"/>
        <v>23.2</v>
      </c>
      <c r="BM59" s="21">
        <v>1523</v>
      </c>
      <c r="BN59" s="22">
        <f t="shared" si="103"/>
        <v>49.12903225806452</v>
      </c>
      <c r="BO59" s="21">
        <v>1281</v>
      </c>
      <c r="BP59" s="22">
        <f t="shared" si="104"/>
        <v>42.7</v>
      </c>
      <c r="BQ59" s="21">
        <v>1239</v>
      </c>
      <c r="BR59" s="22">
        <f t="shared" si="105"/>
        <v>39.967741935483872</v>
      </c>
      <c r="BS59" s="21">
        <v>695</v>
      </c>
      <c r="BT59" s="22">
        <f t="shared" si="106"/>
        <v>22.419354838709676</v>
      </c>
      <c r="BU59" s="21">
        <v>919</v>
      </c>
      <c r="BV59" s="22">
        <f t="shared" si="107"/>
        <v>30.633333333333333</v>
      </c>
      <c r="BW59" s="21">
        <v>1426</v>
      </c>
      <c r="BX59" s="22">
        <f t="shared" si="108"/>
        <v>46</v>
      </c>
      <c r="BY59" s="21">
        <v>968</v>
      </c>
      <c r="BZ59" s="22">
        <f t="shared" si="109"/>
        <v>32.266666666666666</v>
      </c>
      <c r="CA59" s="21">
        <v>1574</v>
      </c>
      <c r="CB59" s="22">
        <f t="shared" si="110"/>
        <v>50.774193548387096</v>
      </c>
      <c r="CC59" s="23">
        <f t="shared" si="111"/>
        <v>14225.068433179722</v>
      </c>
      <c r="CD59" s="24">
        <f t="shared" si="112"/>
        <v>11.084138719031383</v>
      </c>
      <c r="CE59" s="21">
        <v>1126</v>
      </c>
      <c r="CF59" s="22">
        <f t="shared" si="113"/>
        <v>36.322580645161288</v>
      </c>
      <c r="CG59" s="21">
        <v>949</v>
      </c>
      <c r="CH59" s="22">
        <f t="shared" si="114"/>
        <v>33.892857142857146</v>
      </c>
      <c r="CI59" s="21">
        <v>911</v>
      </c>
      <c r="CJ59" s="22">
        <f t="shared" si="115"/>
        <v>29.387096774193548</v>
      </c>
      <c r="CK59" s="21">
        <v>888</v>
      </c>
      <c r="CL59" s="22">
        <f t="shared" si="116"/>
        <v>29.6</v>
      </c>
      <c r="CM59" s="21">
        <v>810</v>
      </c>
      <c r="CN59" s="22">
        <f t="shared" si="117"/>
        <v>26.129032258064516</v>
      </c>
      <c r="CO59" s="21">
        <v>984</v>
      </c>
      <c r="CP59" s="22">
        <f t="shared" si="118"/>
        <v>32.799999999999997</v>
      </c>
      <c r="CQ59" s="21">
        <v>1154</v>
      </c>
      <c r="CR59" s="22">
        <f t="shared" si="119"/>
        <v>37.225806451612904</v>
      </c>
      <c r="CS59" s="21">
        <v>1273</v>
      </c>
      <c r="CT59" s="22">
        <f t="shared" si="120"/>
        <v>41.064516129032256</v>
      </c>
      <c r="CU59" s="21">
        <v>927</v>
      </c>
      <c r="CV59" s="22">
        <f t="shared" si="121"/>
        <v>30.9</v>
      </c>
      <c r="CW59" s="21">
        <v>689</v>
      </c>
      <c r="CX59" s="22">
        <f t="shared" si="122"/>
        <v>22.225806451612904</v>
      </c>
      <c r="CY59" s="21">
        <v>1020</v>
      </c>
      <c r="CZ59" s="22">
        <f t="shared" si="123"/>
        <v>34</v>
      </c>
      <c r="DA59" s="21">
        <v>1142</v>
      </c>
      <c r="DB59" s="22">
        <f t="shared" si="124"/>
        <v>36.838709677419352</v>
      </c>
      <c r="DC59" s="23">
        <f t="shared" si="125"/>
        <v>12226.547695852534</v>
      </c>
      <c r="DD59" s="24">
        <f t="shared" si="126"/>
        <v>5.2240420236395595</v>
      </c>
      <c r="DE59" s="21">
        <v>1144</v>
      </c>
      <c r="DF59" s="22">
        <f t="shared" si="127"/>
        <v>36.903225806451616</v>
      </c>
      <c r="DG59" s="21">
        <v>808</v>
      </c>
      <c r="DH59" s="22">
        <f t="shared" si="128"/>
        <v>28.857142857142858</v>
      </c>
      <c r="DI59" s="21">
        <v>1004</v>
      </c>
      <c r="DJ59" s="22">
        <f t="shared" si="129"/>
        <v>32.387096774193552</v>
      </c>
      <c r="DK59" s="21">
        <v>976</v>
      </c>
      <c r="DL59" s="22">
        <f t="shared" si="130"/>
        <v>32.533333333333331</v>
      </c>
      <c r="DM59" s="21">
        <v>753</v>
      </c>
      <c r="DN59" s="22">
        <f t="shared" si="131"/>
        <v>24.29032258064516</v>
      </c>
      <c r="DO59" s="21">
        <v>616</v>
      </c>
      <c r="DP59" s="22">
        <f t="shared" si="132"/>
        <v>20.533333333333335</v>
      </c>
      <c r="DQ59" s="21">
        <v>585</v>
      </c>
      <c r="DR59" s="22">
        <f t="shared" si="133"/>
        <v>18.870967741935484</v>
      </c>
      <c r="DS59" s="21">
        <v>1249</v>
      </c>
      <c r="DT59" s="22">
        <f t="shared" si="134"/>
        <v>40.29032258064516</v>
      </c>
      <c r="DU59" s="21">
        <v>999</v>
      </c>
      <c r="DV59" s="22">
        <f t="shared" si="135"/>
        <v>33.299999999999997</v>
      </c>
      <c r="DW59" s="21">
        <v>1158</v>
      </c>
      <c r="DX59" s="22">
        <f t="shared" si="136"/>
        <v>37.354838709677416</v>
      </c>
      <c r="DY59" s="21">
        <v>726</v>
      </c>
      <c r="DZ59" s="22">
        <f t="shared" si="137"/>
        <v>24.2</v>
      </c>
      <c r="EA59" s="21">
        <v>1050</v>
      </c>
      <c r="EB59" s="22">
        <f t="shared" si="138"/>
        <v>33.87096774193548</v>
      </c>
      <c r="EC59" s="23">
        <f t="shared" si="139"/>
        <v>11397.52058371736</v>
      </c>
      <c r="ED59" s="24">
        <f t="shared" si="140"/>
        <v>6.9130340762018809</v>
      </c>
      <c r="EE59" s="25">
        <f t="shared" si="141"/>
        <v>513.90169197544378</v>
      </c>
    </row>
    <row r="60" spans="1:135" ht="15" customHeight="1" x14ac:dyDescent="0.35">
      <c r="A60" s="17">
        <v>55</v>
      </c>
      <c r="B60" s="18" t="s">
        <v>144</v>
      </c>
      <c r="C60" s="19" t="s">
        <v>145</v>
      </c>
      <c r="D60" s="20" t="s">
        <v>36</v>
      </c>
      <c r="E60" s="21">
        <v>5527</v>
      </c>
      <c r="F60" s="22">
        <f t="shared" si="71"/>
        <v>178.29032258064515</v>
      </c>
      <c r="G60" s="21">
        <v>3530</v>
      </c>
      <c r="H60" s="22">
        <f t="shared" si="72"/>
        <v>126.07142857142857</v>
      </c>
      <c r="I60" s="21">
        <v>3029</v>
      </c>
      <c r="J60" s="22">
        <f t="shared" si="73"/>
        <v>97.709677419354833</v>
      </c>
      <c r="K60" s="21">
        <v>5100</v>
      </c>
      <c r="L60" s="22">
        <f t="shared" si="74"/>
        <v>170</v>
      </c>
      <c r="M60" s="21">
        <v>5552</v>
      </c>
      <c r="N60" s="22">
        <f t="shared" si="75"/>
        <v>179.09677419354838</v>
      </c>
      <c r="O60" s="21">
        <v>5235</v>
      </c>
      <c r="P60" s="22">
        <f t="shared" si="76"/>
        <v>174.5</v>
      </c>
      <c r="Q60" s="21">
        <v>5224</v>
      </c>
      <c r="R60" s="22">
        <f t="shared" si="77"/>
        <v>168.51612903225808</v>
      </c>
      <c r="S60" s="21">
        <v>4543</v>
      </c>
      <c r="T60" s="22">
        <f t="shared" si="78"/>
        <v>146.54838709677421</v>
      </c>
      <c r="U60" s="21">
        <v>4747</v>
      </c>
      <c r="V60" s="22">
        <f t="shared" si="79"/>
        <v>158.23333333333332</v>
      </c>
      <c r="W60" s="21">
        <v>4815</v>
      </c>
      <c r="X60" s="22">
        <f t="shared" si="80"/>
        <v>155.32258064516128</v>
      </c>
      <c r="Y60" s="21">
        <v>4951</v>
      </c>
      <c r="Z60" s="22">
        <f t="shared" si="81"/>
        <v>165.03333333333333</v>
      </c>
      <c r="AA60" s="21">
        <v>4730</v>
      </c>
      <c r="AB60" s="22">
        <f t="shared" si="82"/>
        <v>152.58064516129033</v>
      </c>
      <c r="AC60" s="23">
        <f t="shared" si="83"/>
        <v>58702.321966205833</v>
      </c>
      <c r="AD60" s="24">
        <f t="shared" si="84"/>
        <v>23.753996809413316</v>
      </c>
      <c r="AE60" s="21">
        <v>6235</v>
      </c>
      <c r="AF60" s="22">
        <f t="shared" si="85"/>
        <v>201.12903225806451</v>
      </c>
      <c r="AG60" s="21">
        <v>3601</v>
      </c>
      <c r="AH60" s="22">
        <f t="shared" si="86"/>
        <v>128.60714285714286</v>
      </c>
      <c r="AI60" s="21">
        <v>4169</v>
      </c>
      <c r="AJ60" s="22">
        <f t="shared" si="87"/>
        <v>134.48387096774192</v>
      </c>
      <c r="AK60" s="21">
        <v>4061</v>
      </c>
      <c r="AL60" s="22">
        <f t="shared" si="88"/>
        <v>135.36666666666667</v>
      </c>
      <c r="AM60" s="21">
        <v>2802</v>
      </c>
      <c r="AN60" s="22">
        <f t="shared" si="89"/>
        <v>90.387096774193552</v>
      </c>
      <c r="AO60" s="21">
        <v>5202</v>
      </c>
      <c r="AP60" s="22">
        <f t="shared" si="90"/>
        <v>173.4</v>
      </c>
      <c r="AQ60" s="21">
        <v>4717</v>
      </c>
      <c r="AR60" s="22">
        <f t="shared" si="91"/>
        <v>152.16129032258064</v>
      </c>
      <c r="AS60" s="21">
        <v>3353</v>
      </c>
      <c r="AT60" s="22">
        <f t="shared" si="92"/>
        <v>108.16129032258064</v>
      </c>
      <c r="AU60" s="21">
        <v>5268</v>
      </c>
      <c r="AV60" s="22">
        <f t="shared" si="93"/>
        <v>175.6</v>
      </c>
      <c r="AW60" s="21">
        <v>3469</v>
      </c>
      <c r="AX60" s="22">
        <f t="shared" si="94"/>
        <v>111.90322580645162</v>
      </c>
      <c r="AY60" s="21">
        <v>4583</v>
      </c>
      <c r="AZ60" s="22">
        <f t="shared" si="95"/>
        <v>152.76666666666668</v>
      </c>
      <c r="BA60" s="21">
        <v>5476</v>
      </c>
      <c r="BB60" s="22">
        <f t="shared" si="96"/>
        <v>176.64516129032259</v>
      </c>
      <c r="BC60" s="23">
        <f t="shared" si="97"/>
        <v>54499.96628264209</v>
      </c>
      <c r="BD60" s="24">
        <f t="shared" si="98"/>
        <v>32.909725790843282</v>
      </c>
      <c r="BE60" s="21">
        <v>5242</v>
      </c>
      <c r="BF60" s="22">
        <f t="shared" si="99"/>
        <v>169.09677419354838</v>
      </c>
      <c r="BG60" s="21">
        <v>4499</v>
      </c>
      <c r="BH60" s="22">
        <f t="shared" si="100"/>
        <v>160.67857142857142</v>
      </c>
      <c r="BI60" s="21">
        <v>3978</v>
      </c>
      <c r="BJ60" s="22">
        <f t="shared" si="101"/>
        <v>128.32258064516128</v>
      </c>
      <c r="BK60" s="21">
        <v>5048</v>
      </c>
      <c r="BL60" s="22">
        <f t="shared" si="102"/>
        <v>168.26666666666668</v>
      </c>
      <c r="BM60" s="21">
        <v>5033</v>
      </c>
      <c r="BN60" s="22">
        <f t="shared" si="103"/>
        <v>162.35483870967741</v>
      </c>
      <c r="BO60" s="21">
        <v>5147</v>
      </c>
      <c r="BP60" s="22">
        <f t="shared" si="104"/>
        <v>171.56666666666666</v>
      </c>
      <c r="BQ60" s="21">
        <v>2946</v>
      </c>
      <c r="BR60" s="22">
        <f t="shared" si="105"/>
        <v>95.032258064516128</v>
      </c>
      <c r="BS60" s="21">
        <v>2682</v>
      </c>
      <c r="BT60" s="22">
        <f t="shared" si="106"/>
        <v>86.516129032258064</v>
      </c>
      <c r="BU60" s="21">
        <v>2778</v>
      </c>
      <c r="BV60" s="22">
        <f t="shared" si="107"/>
        <v>92.6</v>
      </c>
      <c r="BW60" s="21">
        <v>3192</v>
      </c>
      <c r="BX60" s="22">
        <f t="shared" si="108"/>
        <v>102.96774193548387</v>
      </c>
      <c r="BY60" s="21">
        <v>4931</v>
      </c>
      <c r="BZ60" s="22">
        <f t="shared" si="109"/>
        <v>164.36666666666667</v>
      </c>
      <c r="CA60" s="21">
        <v>4787</v>
      </c>
      <c r="CB60" s="22">
        <f t="shared" si="110"/>
        <v>154.41935483870967</v>
      </c>
      <c r="CC60" s="23">
        <f t="shared" si="111"/>
        <v>51764.768894009212</v>
      </c>
      <c r="CD60" s="24">
        <f t="shared" si="112"/>
        <v>34.325921952396847</v>
      </c>
      <c r="CE60" s="21">
        <v>3221</v>
      </c>
      <c r="CF60" s="22">
        <f t="shared" si="113"/>
        <v>103.90322580645162</v>
      </c>
      <c r="CG60" s="21">
        <v>4935</v>
      </c>
      <c r="CH60" s="22">
        <f t="shared" si="114"/>
        <v>176.25</v>
      </c>
      <c r="CI60" s="21">
        <v>3747</v>
      </c>
      <c r="CJ60" s="22">
        <f t="shared" si="115"/>
        <v>120.87096774193549</v>
      </c>
      <c r="CK60" s="21">
        <v>2897</v>
      </c>
      <c r="CL60" s="22">
        <f t="shared" si="116"/>
        <v>96.566666666666663</v>
      </c>
      <c r="CM60" s="21">
        <v>3815</v>
      </c>
      <c r="CN60" s="22">
        <f t="shared" si="117"/>
        <v>123.06451612903226</v>
      </c>
      <c r="CO60" s="21">
        <v>5158</v>
      </c>
      <c r="CP60" s="22">
        <f t="shared" si="118"/>
        <v>171.93333333333334</v>
      </c>
      <c r="CQ60" s="21">
        <v>3649</v>
      </c>
      <c r="CR60" s="22">
        <f t="shared" si="119"/>
        <v>117.70967741935483</v>
      </c>
      <c r="CS60" s="21">
        <v>5309</v>
      </c>
      <c r="CT60" s="22">
        <f t="shared" si="120"/>
        <v>171.25806451612902</v>
      </c>
      <c r="CU60" s="21">
        <v>3732</v>
      </c>
      <c r="CV60" s="22">
        <f t="shared" si="121"/>
        <v>124.4</v>
      </c>
      <c r="CW60" s="21">
        <v>3488</v>
      </c>
      <c r="CX60" s="22">
        <f t="shared" si="122"/>
        <v>112.51612903225806</v>
      </c>
      <c r="CY60" s="21">
        <v>3604</v>
      </c>
      <c r="CZ60" s="22">
        <f t="shared" si="123"/>
        <v>120.13333333333334</v>
      </c>
      <c r="DA60" s="21">
        <v>5527</v>
      </c>
      <c r="DB60" s="22">
        <f t="shared" si="124"/>
        <v>178.29032258064515</v>
      </c>
      <c r="DC60" s="23">
        <f t="shared" si="125"/>
        <v>50520.605913978492</v>
      </c>
      <c r="DD60" s="24">
        <f t="shared" si="126"/>
        <v>30.417703269790007</v>
      </c>
      <c r="DE60" s="21">
        <v>3862</v>
      </c>
      <c r="DF60" s="22">
        <f t="shared" si="127"/>
        <v>124.58064516129032</v>
      </c>
      <c r="DG60" s="21">
        <v>5115</v>
      </c>
      <c r="DH60" s="22">
        <f t="shared" si="128"/>
        <v>182.67857142857142</v>
      </c>
      <c r="DI60" s="21">
        <v>4220</v>
      </c>
      <c r="DJ60" s="22">
        <f t="shared" si="129"/>
        <v>136.12903225806451</v>
      </c>
      <c r="DK60" s="21">
        <v>5361</v>
      </c>
      <c r="DL60" s="22">
        <f t="shared" si="130"/>
        <v>178.7</v>
      </c>
      <c r="DM60" s="21">
        <v>2599</v>
      </c>
      <c r="DN60" s="22">
        <f t="shared" si="131"/>
        <v>83.838709677419359</v>
      </c>
      <c r="DO60" s="21">
        <v>5188</v>
      </c>
      <c r="DP60" s="22">
        <f t="shared" si="132"/>
        <v>172.93333333333334</v>
      </c>
      <c r="DQ60" s="21">
        <v>3957</v>
      </c>
      <c r="DR60" s="22">
        <f t="shared" si="133"/>
        <v>127.64516129032258</v>
      </c>
      <c r="DS60" s="21">
        <v>5118</v>
      </c>
      <c r="DT60" s="22">
        <f t="shared" si="134"/>
        <v>165.09677419354838</v>
      </c>
      <c r="DU60" s="21">
        <v>3581</v>
      </c>
      <c r="DV60" s="22">
        <f t="shared" si="135"/>
        <v>119.36666666666666</v>
      </c>
      <c r="DW60" s="21">
        <v>3317</v>
      </c>
      <c r="DX60" s="22">
        <f t="shared" si="136"/>
        <v>107</v>
      </c>
      <c r="DY60" s="21">
        <v>2544</v>
      </c>
      <c r="DZ60" s="22">
        <f t="shared" si="137"/>
        <v>84.8</v>
      </c>
      <c r="EA60" s="21">
        <v>5076</v>
      </c>
      <c r="EB60" s="22">
        <f t="shared" si="138"/>
        <v>163.74193548387098</v>
      </c>
      <c r="EC60" s="23">
        <f t="shared" si="139"/>
        <v>51420.768894009219</v>
      </c>
      <c r="ED60" s="24">
        <f t="shared" si="140"/>
        <v>35.194356482278387</v>
      </c>
      <c r="EE60" s="25">
        <f t="shared" si="141"/>
        <v>2166.8274613084723</v>
      </c>
    </row>
    <row r="61" spans="1:135" ht="15" customHeight="1" x14ac:dyDescent="0.35">
      <c r="A61" s="17">
        <v>56</v>
      </c>
      <c r="B61" s="18" t="s">
        <v>146</v>
      </c>
      <c r="C61" s="19" t="s">
        <v>147</v>
      </c>
      <c r="D61" s="20" t="s">
        <v>36</v>
      </c>
      <c r="E61" s="21">
        <v>1717</v>
      </c>
      <c r="F61" s="22">
        <f t="shared" si="71"/>
        <v>55.387096774193552</v>
      </c>
      <c r="G61" s="21">
        <v>1839</v>
      </c>
      <c r="H61" s="22">
        <f t="shared" si="72"/>
        <v>65.678571428571431</v>
      </c>
      <c r="I61" s="21">
        <v>2243</v>
      </c>
      <c r="J61" s="22">
        <f t="shared" si="73"/>
        <v>72.354838709677423</v>
      </c>
      <c r="K61" s="21">
        <v>2553</v>
      </c>
      <c r="L61" s="22">
        <f t="shared" si="74"/>
        <v>85.1</v>
      </c>
      <c r="M61" s="21">
        <v>3206</v>
      </c>
      <c r="N61" s="22">
        <f t="shared" si="75"/>
        <v>103.41935483870968</v>
      </c>
      <c r="O61" s="21">
        <v>2337</v>
      </c>
      <c r="P61" s="22">
        <f t="shared" si="76"/>
        <v>77.900000000000006</v>
      </c>
      <c r="Q61" s="21">
        <v>2064</v>
      </c>
      <c r="R61" s="22">
        <f t="shared" si="77"/>
        <v>66.58064516129032</v>
      </c>
      <c r="S61" s="21">
        <v>2836</v>
      </c>
      <c r="T61" s="22">
        <f t="shared" si="78"/>
        <v>91.483870967741936</v>
      </c>
      <c r="U61" s="21">
        <v>2959</v>
      </c>
      <c r="V61" s="22">
        <f t="shared" si="79"/>
        <v>98.63333333333334</v>
      </c>
      <c r="W61" s="21">
        <v>2395</v>
      </c>
      <c r="X61" s="22">
        <f t="shared" si="80"/>
        <v>77.258064516129039</v>
      </c>
      <c r="Y61" s="21">
        <v>2672</v>
      </c>
      <c r="Z61" s="22">
        <f t="shared" si="81"/>
        <v>89.066666666666663</v>
      </c>
      <c r="AA61" s="21">
        <v>1793</v>
      </c>
      <c r="AB61" s="22">
        <f t="shared" si="82"/>
        <v>57.838709677419352</v>
      </c>
      <c r="AC61" s="23">
        <f t="shared" si="83"/>
        <v>29496.862442396319</v>
      </c>
      <c r="AD61" s="24">
        <f t="shared" si="84"/>
        <v>15.542319931385649</v>
      </c>
      <c r="AE61" s="21">
        <v>2786</v>
      </c>
      <c r="AF61" s="22">
        <f t="shared" si="85"/>
        <v>89.870967741935488</v>
      </c>
      <c r="AG61" s="21">
        <v>1519</v>
      </c>
      <c r="AH61" s="22">
        <f t="shared" si="86"/>
        <v>54.25</v>
      </c>
      <c r="AI61" s="21">
        <v>2060</v>
      </c>
      <c r="AJ61" s="22">
        <f t="shared" si="87"/>
        <v>66.451612903225808</v>
      </c>
      <c r="AK61" s="21">
        <v>3041</v>
      </c>
      <c r="AL61" s="22">
        <f t="shared" si="88"/>
        <v>101.36666666666666</v>
      </c>
      <c r="AM61" s="21">
        <v>1849</v>
      </c>
      <c r="AN61" s="22">
        <f t="shared" si="89"/>
        <v>59.645161290322584</v>
      </c>
      <c r="AO61" s="21">
        <v>3048</v>
      </c>
      <c r="AP61" s="22">
        <f t="shared" si="90"/>
        <v>101.6</v>
      </c>
      <c r="AQ61" s="21">
        <v>2495</v>
      </c>
      <c r="AR61" s="22">
        <f t="shared" si="91"/>
        <v>80.483870967741936</v>
      </c>
      <c r="AS61" s="21">
        <v>3046</v>
      </c>
      <c r="AT61" s="22">
        <f t="shared" si="92"/>
        <v>98.258064516129039</v>
      </c>
      <c r="AU61" s="21">
        <v>1687</v>
      </c>
      <c r="AV61" s="22">
        <f t="shared" si="93"/>
        <v>56.233333333333334</v>
      </c>
      <c r="AW61" s="21">
        <v>2746</v>
      </c>
      <c r="AX61" s="22">
        <f t="shared" si="94"/>
        <v>88.58064516129032</v>
      </c>
      <c r="AY61" s="21">
        <v>2784</v>
      </c>
      <c r="AZ61" s="22">
        <f t="shared" si="95"/>
        <v>92.8</v>
      </c>
      <c r="BA61" s="21">
        <v>2321</v>
      </c>
      <c r="BB61" s="22">
        <f t="shared" si="96"/>
        <v>74.870967741935488</v>
      </c>
      <c r="BC61" s="23">
        <f t="shared" si="97"/>
        <v>30271.540322580648</v>
      </c>
      <c r="BD61" s="24">
        <f t="shared" si="98"/>
        <v>17.689415211114234</v>
      </c>
      <c r="BE61" s="21">
        <v>3657</v>
      </c>
      <c r="BF61" s="22">
        <f t="shared" si="99"/>
        <v>117.96774193548387</v>
      </c>
      <c r="BG61" s="21">
        <v>2416</v>
      </c>
      <c r="BH61" s="22">
        <f t="shared" si="100"/>
        <v>86.285714285714292</v>
      </c>
      <c r="BI61" s="21">
        <v>1680</v>
      </c>
      <c r="BJ61" s="22">
        <f t="shared" si="101"/>
        <v>54.193548387096776</v>
      </c>
      <c r="BK61" s="21">
        <v>2024</v>
      </c>
      <c r="BL61" s="22">
        <f t="shared" si="102"/>
        <v>67.466666666666669</v>
      </c>
      <c r="BM61" s="21">
        <v>2395</v>
      </c>
      <c r="BN61" s="22">
        <f t="shared" si="103"/>
        <v>77.258064516129039</v>
      </c>
      <c r="BO61" s="21">
        <v>1629</v>
      </c>
      <c r="BP61" s="22">
        <f t="shared" si="104"/>
        <v>54.3</v>
      </c>
      <c r="BQ61" s="21">
        <v>2286</v>
      </c>
      <c r="BR61" s="22">
        <f t="shared" si="105"/>
        <v>73.741935483870961</v>
      </c>
      <c r="BS61" s="21">
        <v>3376</v>
      </c>
      <c r="BT61" s="22">
        <f t="shared" si="106"/>
        <v>108.90322580645162</v>
      </c>
      <c r="BU61" s="21">
        <v>2005</v>
      </c>
      <c r="BV61" s="22">
        <f t="shared" si="107"/>
        <v>66.833333333333329</v>
      </c>
      <c r="BW61" s="21">
        <v>3042</v>
      </c>
      <c r="BX61" s="22">
        <f t="shared" si="108"/>
        <v>98.129032258064512</v>
      </c>
      <c r="BY61" s="21">
        <v>2935</v>
      </c>
      <c r="BZ61" s="22">
        <f t="shared" si="109"/>
        <v>97.833333333333329</v>
      </c>
      <c r="CA61" s="21">
        <v>2130</v>
      </c>
      <c r="CB61" s="22">
        <f t="shared" si="110"/>
        <v>68.709677419354833</v>
      </c>
      <c r="CC61" s="23">
        <f t="shared" si="111"/>
        <v>30477.912596006143</v>
      </c>
      <c r="CD61" s="24">
        <f t="shared" si="112"/>
        <v>20.85218696096539</v>
      </c>
      <c r="CE61" s="21">
        <v>2839</v>
      </c>
      <c r="CF61" s="22">
        <f t="shared" si="113"/>
        <v>91.58064516129032</v>
      </c>
      <c r="CG61" s="21">
        <v>2152</v>
      </c>
      <c r="CH61" s="22">
        <f t="shared" si="114"/>
        <v>76.857142857142861</v>
      </c>
      <c r="CI61" s="21">
        <v>1728</v>
      </c>
      <c r="CJ61" s="22">
        <f t="shared" si="115"/>
        <v>55.741935483870968</v>
      </c>
      <c r="CK61" s="21">
        <v>2229</v>
      </c>
      <c r="CL61" s="22">
        <f t="shared" si="116"/>
        <v>74.3</v>
      </c>
      <c r="CM61" s="21">
        <v>2632</v>
      </c>
      <c r="CN61" s="22">
        <f t="shared" si="117"/>
        <v>84.903225806451616</v>
      </c>
      <c r="CO61" s="21">
        <v>1803</v>
      </c>
      <c r="CP61" s="22">
        <f t="shared" si="118"/>
        <v>60.1</v>
      </c>
      <c r="CQ61" s="21">
        <v>3095</v>
      </c>
      <c r="CR61" s="22">
        <f t="shared" si="119"/>
        <v>99.838709677419359</v>
      </c>
      <c r="CS61" s="21">
        <v>2061</v>
      </c>
      <c r="CT61" s="22">
        <f t="shared" si="120"/>
        <v>66.483870967741936</v>
      </c>
      <c r="CU61" s="21">
        <v>2047</v>
      </c>
      <c r="CV61" s="22">
        <f t="shared" si="121"/>
        <v>68.233333333333334</v>
      </c>
      <c r="CW61" s="21">
        <v>2906</v>
      </c>
      <c r="CX61" s="22">
        <f t="shared" si="122"/>
        <v>93.741935483870961</v>
      </c>
      <c r="CY61" s="21">
        <v>2648</v>
      </c>
      <c r="CZ61" s="22">
        <f t="shared" si="123"/>
        <v>88.266666666666666</v>
      </c>
      <c r="DA61" s="21">
        <v>2139</v>
      </c>
      <c r="DB61" s="22">
        <f t="shared" si="124"/>
        <v>69</v>
      </c>
      <c r="DC61" s="23">
        <f t="shared" si="125"/>
        <v>29139.047465437787</v>
      </c>
      <c r="DD61" s="24">
        <f t="shared" si="126"/>
        <v>14.135831604025769</v>
      </c>
      <c r="DE61" s="21">
        <v>2999</v>
      </c>
      <c r="DF61" s="22">
        <f t="shared" si="127"/>
        <v>96.741935483870961</v>
      </c>
      <c r="DG61" s="21">
        <v>3196</v>
      </c>
      <c r="DH61" s="22">
        <f t="shared" si="128"/>
        <v>114.14285714285714</v>
      </c>
      <c r="DI61" s="21">
        <v>2001</v>
      </c>
      <c r="DJ61" s="22">
        <f t="shared" si="129"/>
        <v>64.548387096774192</v>
      </c>
      <c r="DK61" s="21">
        <v>3023</v>
      </c>
      <c r="DL61" s="22">
        <f t="shared" si="130"/>
        <v>100.76666666666667</v>
      </c>
      <c r="DM61" s="21">
        <v>2031</v>
      </c>
      <c r="DN61" s="22">
        <f t="shared" si="131"/>
        <v>65.516129032258064</v>
      </c>
      <c r="DO61" s="21">
        <v>1718</v>
      </c>
      <c r="DP61" s="22">
        <f t="shared" si="132"/>
        <v>57.266666666666666</v>
      </c>
      <c r="DQ61" s="21">
        <v>3109</v>
      </c>
      <c r="DR61" s="22">
        <f t="shared" si="133"/>
        <v>100.29032258064517</v>
      </c>
      <c r="DS61" s="21">
        <v>3054</v>
      </c>
      <c r="DT61" s="22">
        <f t="shared" si="134"/>
        <v>98.516129032258064</v>
      </c>
      <c r="DU61" s="21">
        <v>2112</v>
      </c>
      <c r="DV61" s="22">
        <f t="shared" si="135"/>
        <v>70.400000000000006</v>
      </c>
      <c r="DW61" s="21">
        <v>1791</v>
      </c>
      <c r="DX61" s="22">
        <f t="shared" si="136"/>
        <v>57.774193548387096</v>
      </c>
      <c r="DY61" s="21">
        <v>2704</v>
      </c>
      <c r="DZ61" s="22">
        <f t="shared" si="137"/>
        <v>90.13333333333334</v>
      </c>
      <c r="EA61" s="21">
        <v>1613</v>
      </c>
      <c r="EB61" s="22">
        <f t="shared" si="138"/>
        <v>52.032258064516128</v>
      </c>
      <c r="EC61" s="23">
        <f t="shared" si="139"/>
        <v>30267.096620583718</v>
      </c>
      <c r="ED61" s="24">
        <f t="shared" si="140"/>
        <v>21.453298159163104</v>
      </c>
      <c r="EE61" s="25">
        <f t="shared" si="141"/>
        <v>1210.2896060993303</v>
      </c>
    </row>
    <row r="62" spans="1:135" ht="15" customHeight="1" x14ac:dyDescent="0.35">
      <c r="A62" s="17">
        <v>57</v>
      </c>
      <c r="B62" s="18" t="s">
        <v>148</v>
      </c>
      <c r="C62" s="19" t="s">
        <v>149</v>
      </c>
      <c r="D62" s="20" t="s">
        <v>36</v>
      </c>
      <c r="E62" s="21">
        <v>2770</v>
      </c>
      <c r="F62" s="22">
        <f t="shared" si="71"/>
        <v>89.354838709677423</v>
      </c>
      <c r="G62" s="21">
        <v>2500</v>
      </c>
      <c r="H62" s="22">
        <f t="shared" si="72"/>
        <v>89.285714285714292</v>
      </c>
      <c r="I62" s="21">
        <v>1715</v>
      </c>
      <c r="J62" s="22">
        <f t="shared" si="73"/>
        <v>55.322580645161288</v>
      </c>
      <c r="K62" s="21">
        <v>2084</v>
      </c>
      <c r="L62" s="22">
        <f t="shared" si="74"/>
        <v>69.466666666666669</v>
      </c>
      <c r="M62" s="21">
        <v>2614</v>
      </c>
      <c r="N62" s="22">
        <f t="shared" si="75"/>
        <v>84.322580645161295</v>
      </c>
      <c r="O62" s="21">
        <v>1469</v>
      </c>
      <c r="P62" s="22">
        <f t="shared" si="76"/>
        <v>48.966666666666669</v>
      </c>
      <c r="Q62" s="21">
        <v>3036</v>
      </c>
      <c r="R62" s="22">
        <f t="shared" si="77"/>
        <v>97.935483870967744</v>
      </c>
      <c r="S62" s="21">
        <v>1877</v>
      </c>
      <c r="T62" s="22">
        <f t="shared" si="78"/>
        <v>60.548387096774192</v>
      </c>
      <c r="U62" s="21">
        <v>2398</v>
      </c>
      <c r="V62" s="22">
        <f t="shared" si="79"/>
        <v>79.933333333333337</v>
      </c>
      <c r="W62" s="21">
        <v>1490</v>
      </c>
      <c r="X62" s="22">
        <f t="shared" si="80"/>
        <v>48.064516129032256</v>
      </c>
      <c r="Y62" s="21">
        <v>3256</v>
      </c>
      <c r="Z62" s="22">
        <f t="shared" si="81"/>
        <v>108.53333333333333</v>
      </c>
      <c r="AA62" s="21">
        <v>2635</v>
      </c>
      <c r="AB62" s="22">
        <f t="shared" si="82"/>
        <v>85</v>
      </c>
      <c r="AC62" s="23">
        <f t="shared" si="83"/>
        <v>28675.734101382492</v>
      </c>
      <c r="AD62" s="24">
        <f t="shared" si="84"/>
        <v>19.721927794708662</v>
      </c>
      <c r="AE62" s="21">
        <v>2772</v>
      </c>
      <c r="AF62" s="22">
        <f t="shared" si="85"/>
        <v>89.41935483870968</v>
      </c>
      <c r="AG62" s="21">
        <v>1520</v>
      </c>
      <c r="AH62" s="22">
        <f t="shared" si="86"/>
        <v>54.285714285714285</v>
      </c>
      <c r="AI62" s="21">
        <v>2844</v>
      </c>
      <c r="AJ62" s="22">
        <f t="shared" si="87"/>
        <v>91.741935483870961</v>
      </c>
      <c r="AK62" s="21">
        <v>2304</v>
      </c>
      <c r="AL62" s="22">
        <f t="shared" si="88"/>
        <v>76.8</v>
      </c>
      <c r="AM62" s="21">
        <v>2232</v>
      </c>
      <c r="AN62" s="22">
        <f t="shared" si="89"/>
        <v>72</v>
      </c>
      <c r="AO62" s="21">
        <v>2562</v>
      </c>
      <c r="AP62" s="22">
        <f t="shared" si="90"/>
        <v>85.4</v>
      </c>
      <c r="AQ62" s="21">
        <v>2418</v>
      </c>
      <c r="AR62" s="22">
        <f t="shared" si="91"/>
        <v>78</v>
      </c>
      <c r="AS62" s="21">
        <v>1784</v>
      </c>
      <c r="AT62" s="22">
        <f t="shared" si="92"/>
        <v>57.548387096774192</v>
      </c>
      <c r="AU62" s="21">
        <v>2854</v>
      </c>
      <c r="AV62" s="22">
        <f t="shared" si="93"/>
        <v>95.13333333333334</v>
      </c>
      <c r="AW62" s="21">
        <v>2726</v>
      </c>
      <c r="AX62" s="22">
        <f t="shared" si="94"/>
        <v>87.935483870967744</v>
      </c>
      <c r="AY62" s="21">
        <v>2076</v>
      </c>
      <c r="AZ62" s="22">
        <f t="shared" si="95"/>
        <v>69.2</v>
      </c>
      <c r="BA62" s="21">
        <v>2788</v>
      </c>
      <c r="BB62" s="22">
        <f t="shared" si="96"/>
        <v>89.935483870967744</v>
      </c>
      <c r="BC62" s="23">
        <f t="shared" si="97"/>
        <v>29737.464208909372</v>
      </c>
      <c r="BD62" s="24">
        <f t="shared" si="98"/>
        <v>13.461762625581095</v>
      </c>
      <c r="BE62" s="21">
        <v>2378</v>
      </c>
      <c r="BF62" s="22">
        <f t="shared" si="99"/>
        <v>76.709677419354833</v>
      </c>
      <c r="BG62" s="21">
        <v>1718</v>
      </c>
      <c r="BH62" s="22">
        <f t="shared" si="100"/>
        <v>61.357142857142854</v>
      </c>
      <c r="BI62" s="21">
        <v>2283</v>
      </c>
      <c r="BJ62" s="22">
        <f t="shared" si="101"/>
        <v>73.645161290322577</v>
      </c>
      <c r="BK62" s="21">
        <v>1494</v>
      </c>
      <c r="BL62" s="22">
        <f t="shared" si="102"/>
        <v>49.8</v>
      </c>
      <c r="BM62" s="21">
        <v>2662</v>
      </c>
      <c r="BN62" s="22">
        <f t="shared" si="103"/>
        <v>85.870967741935488</v>
      </c>
      <c r="BO62" s="21">
        <v>1440</v>
      </c>
      <c r="BP62" s="22">
        <f t="shared" si="104"/>
        <v>48</v>
      </c>
      <c r="BQ62" s="21">
        <v>2473</v>
      </c>
      <c r="BR62" s="22">
        <f t="shared" si="105"/>
        <v>79.774193548387103</v>
      </c>
      <c r="BS62" s="21">
        <v>1461</v>
      </c>
      <c r="BT62" s="22">
        <f t="shared" si="106"/>
        <v>47.12903225806452</v>
      </c>
      <c r="BU62" s="21">
        <v>1455</v>
      </c>
      <c r="BV62" s="22">
        <f t="shared" si="107"/>
        <v>48.5</v>
      </c>
      <c r="BW62" s="21">
        <v>1442</v>
      </c>
      <c r="BX62" s="22">
        <f t="shared" si="108"/>
        <v>46.516129032258064</v>
      </c>
      <c r="BY62" s="21">
        <v>1597</v>
      </c>
      <c r="BZ62" s="22">
        <f t="shared" si="109"/>
        <v>53.233333333333334</v>
      </c>
      <c r="CA62" s="21">
        <v>1599</v>
      </c>
      <c r="CB62" s="22">
        <f t="shared" si="110"/>
        <v>51.58064516129032</v>
      </c>
      <c r="CC62" s="23">
        <f t="shared" si="111"/>
        <v>22672.535637480796</v>
      </c>
      <c r="CD62" s="24">
        <f t="shared" si="112"/>
        <v>14.683441399858772</v>
      </c>
      <c r="CE62" s="21">
        <v>1856</v>
      </c>
      <c r="CF62" s="22">
        <f t="shared" si="113"/>
        <v>59.87096774193548</v>
      </c>
      <c r="CG62" s="21">
        <v>2332</v>
      </c>
      <c r="CH62" s="22">
        <f t="shared" si="114"/>
        <v>83.285714285714292</v>
      </c>
      <c r="CI62" s="21">
        <v>1743</v>
      </c>
      <c r="CJ62" s="22">
        <f t="shared" si="115"/>
        <v>56.225806451612904</v>
      </c>
      <c r="CK62" s="21">
        <v>2662</v>
      </c>
      <c r="CL62" s="22">
        <f t="shared" si="116"/>
        <v>88.733333333333334</v>
      </c>
      <c r="CM62" s="21">
        <v>1915</v>
      </c>
      <c r="CN62" s="22">
        <f t="shared" si="117"/>
        <v>61.774193548387096</v>
      </c>
      <c r="CO62" s="21">
        <v>1446</v>
      </c>
      <c r="CP62" s="22">
        <f t="shared" si="118"/>
        <v>48.2</v>
      </c>
      <c r="CQ62" s="21">
        <v>2283</v>
      </c>
      <c r="CR62" s="22">
        <f t="shared" si="119"/>
        <v>73.645161290322577</v>
      </c>
      <c r="CS62" s="21">
        <v>1754</v>
      </c>
      <c r="CT62" s="22">
        <f t="shared" si="120"/>
        <v>56.58064516129032</v>
      </c>
      <c r="CU62" s="21">
        <v>3083</v>
      </c>
      <c r="CV62" s="22">
        <f t="shared" si="121"/>
        <v>102.76666666666667</v>
      </c>
      <c r="CW62" s="21">
        <v>1979</v>
      </c>
      <c r="CX62" s="22">
        <f t="shared" si="122"/>
        <v>63.838709677419352</v>
      </c>
      <c r="CY62" s="21">
        <v>1379</v>
      </c>
      <c r="CZ62" s="22">
        <f t="shared" si="123"/>
        <v>45.966666666666669</v>
      </c>
      <c r="DA62" s="21">
        <v>2604</v>
      </c>
      <c r="DB62" s="22">
        <f t="shared" si="124"/>
        <v>84</v>
      </c>
      <c r="DC62" s="23">
        <f t="shared" si="125"/>
        <v>25776.887864823351</v>
      </c>
      <c r="DD62" s="24">
        <f t="shared" si="126"/>
        <v>17.638360904436581</v>
      </c>
      <c r="DE62" s="21">
        <v>3071</v>
      </c>
      <c r="DF62" s="22">
        <f t="shared" si="127"/>
        <v>99.064516129032256</v>
      </c>
      <c r="DG62" s="21">
        <v>2938</v>
      </c>
      <c r="DH62" s="22">
        <f t="shared" si="128"/>
        <v>104.92857142857143</v>
      </c>
      <c r="DI62" s="21">
        <v>2630</v>
      </c>
      <c r="DJ62" s="22">
        <f t="shared" si="129"/>
        <v>84.838709677419359</v>
      </c>
      <c r="DK62" s="21">
        <v>1666</v>
      </c>
      <c r="DL62" s="22">
        <f t="shared" si="130"/>
        <v>55.533333333333331</v>
      </c>
      <c r="DM62" s="21">
        <v>1557</v>
      </c>
      <c r="DN62" s="22">
        <f t="shared" si="131"/>
        <v>50.225806451612904</v>
      </c>
      <c r="DO62" s="21">
        <v>2338</v>
      </c>
      <c r="DP62" s="22">
        <f t="shared" si="132"/>
        <v>77.933333333333337</v>
      </c>
      <c r="DQ62" s="21">
        <v>2731</v>
      </c>
      <c r="DR62" s="22">
        <f t="shared" si="133"/>
        <v>88.096774193548384</v>
      </c>
      <c r="DS62" s="21">
        <v>1578</v>
      </c>
      <c r="DT62" s="22">
        <f t="shared" si="134"/>
        <v>50.903225806451616</v>
      </c>
      <c r="DU62" s="21">
        <v>1864</v>
      </c>
      <c r="DV62" s="22">
        <f t="shared" si="135"/>
        <v>62.133333333333333</v>
      </c>
      <c r="DW62" s="21">
        <v>1818</v>
      </c>
      <c r="DX62" s="22">
        <f t="shared" si="136"/>
        <v>58.645161290322584</v>
      </c>
      <c r="DY62" s="21">
        <v>3222</v>
      </c>
      <c r="DZ62" s="22">
        <f t="shared" si="137"/>
        <v>107.4</v>
      </c>
      <c r="EA62" s="21">
        <v>1939</v>
      </c>
      <c r="EB62" s="22">
        <f t="shared" si="138"/>
        <v>62.548387096774192</v>
      </c>
      <c r="EC62" s="23">
        <f t="shared" si="139"/>
        <v>28191.702764976959</v>
      </c>
      <c r="ED62" s="24">
        <f t="shared" si="140"/>
        <v>21.240032939155419</v>
      </c>
      <c r="EE62" s="25">
        <f t="shared" si="141"/>
        <v>1109.3616757189013</v>
      </c>
    </row>
    <row r="63" spans="1:135" ht="15" customHeight="1" x14ac:dyDescent="0.35">
      <c r="A63" s="17">
        <v>58</v>
      </c>
      <c r="B63" s="18" t="s">
        <v>150</v>
      </c>
      <c r="C63" s="19" t="s">
        <v>151</v>
      </c>
      <c r="D63" s="20" t="s">
        <v>36</v>
      </c>
      <c r="E63" s="21">
        <v>4306</v>
      </c>
      <c r="F63" s="22">
        <f t="shared" si="71"/>
        <v>138.90322580645162</v>
      </c>
      <c r="G63" s="21">
        <v>3013</v>
      </c>
      <c r="H63" s="22">
        <f t="shared" si="72"/>
        <v>107.60714285714286</v>
      </c>
      <c r="I63" s="21">
        <v>3279</v>
      </c>
      <c r="J63" s="22">
        <f t="shared" si="73"/>
        <v>105.7741935483871</v>
      </c>
      <c r="K63" s="21">
        <v>2799</v>
      </c>
      <c r="L63" s="22">
        <f t="shared" si="74"/>
        <v>93.3</v>
      </c>
      <c r="M63" s="21">
        <v>3690</v>
      </c>
      <c r="N63" s="22">
        <f t="shared" si="75"/>
        <v>119.03225806451613</v>
      </c>
      <c r="O63" s="21">
        <v>5502</v>
      </c>
      <c r="P63" s="22">
        <f t="shared" si="76"/>
        <v>183.4</v>
      </c>
      <c r="Q63" s="21">
        <v>3768</v>
      </c>
      <c r="R63" s="22">
        <f t="shared" si="77"/>
        <v>121.54838709677419</v>
      </c>
      <c r="S63" s="21">
        <v>5278</v>
      </c>
      <c r="T63" s="22">
        <f t="shared" si="78"/>
        <v>170.25806451612902</v>
      </c>
      <c r="U63" s="21">
        <v>2996</v>
      </c>
      <c r="V63" s="22">
        <f t="shared" si="79"/>
        <v>99.86666666666666</v>
      </c>
      <c r="W63" s="21">
        <v>5348</v>
      </c>
      <c r="X63" s="22">
        <f t="shared" si="80"/>
        <v>172.51612903225808</v>
      </c>
      <c r="Y63" s="21">
        <v>2822</v>
      </c>
      <c r="Z63" s="22">
        <f t="shared" si="81"/>
        <v>94.066666666666663</v>
      </c>
      <c r="AA63" s="21">
        <v>5680</v>
      </c>
      <c r="AB63" s="22">
        <f t="shared" si="82"/>
        <v>183.2258064516129</v>
      </c>
      <c r="AC63" s="23">
        <f t="shared" si="83"/>
        <v>49887.272734254992</v>
      </c>
      <c r="AD63" s="24">
        <f t="shared" si="84"/>
        <v>35.606174547923381</v>
      </c>
      <c r="AE63" s="21">
        <v>4575</v>
      </c>
      <c r="AF63" s="22">
        <f t="shared" si="85"/>
        <v>147.58064516129033</v>
      </c>
      <c r="AG63" s="21">
        <v>2980</v>
      </c>
      <c r="AH63" s="22">
        <f t="shared" si="86"/>
        <v>106.42857142857143</v>
      </c>
      <c r="AI63" s="21">
        <v>3585</v>
      </c>
      <c r="AJ63" s="22">
        <f t="shared" si="87"/>
        <v>115.64516129032258</v>
      </c>
      <c r="AK63" s="21">
        <v>3845</v>
      </c>
      <c r="AL63" s="22">
        <f t="shared" si="88"/>
        <v>128.16666666666666</v>
      </c>
      <c r="AM63" s="21">
        <v>4441</v>
      </c>
      <c r="AN63" s="22">
        <f t="shared" si="89"/>
        <v>143.25806451612902</v>
      </c>
      <c r="AO63" s="21">
        <v>5272</v>
      </c>
      <c r="AP63" s="22">
        <f t="shared" si="90"/>
        <v>175.73333333333332</v>
      </c>
      <c r="AQ63" s="21">
        <v>2729</v>
      </c>
      <c r="AR63" s="22">
        <f t="shared" si="91"/>
        <v>88.032258064516128</v>
      </c>
      <c r="AS63" s="21">
        <v>5066</v>
      </c>
      <c r="AT63" s="22">
        <f t="shared" si="92"/>
        <v>163.41935483870967</v>
      </c>
      <c r="AU63" s="21">
        <v>3020</v>
      </c>
      <c r="AV63" s="22">
        <f t="shared" si="93"/>
        <v>100.66666666666667</v>
      </c>
      <c r="AW63" s="21">
        <v>3725</v>
      </c>
      <c r="AX63" s="22">
        <f t="shared" si="94"/>
        <v>120.16129032258064</v>
      </c>
      <c r="AY63" s="21">
        <v>5543</v>
      </c>
      <c r="AZ63" s="22">
        <f t="shared" si="95"/>
        <v>184.76666666666668</v>
      </c>
      <c r="BA63" s="21">
        <v>3308</v>
      </c>
      <c r="BB63" s="22">
        <f t="shared" si="96"/>
        <v>106.70967741935483</v>
      </c>
      <c r="BC63" s="23">
        <f t="shared" si="97"/>
        <v>49562.858678955461</v>
      </c>
      <c r="BD63" s="24">
        <f t="shared" si="98"/>
        <v>31.164358008284029</v>
      </c>
      <c r="BE63" s="21">
        <v>3676</v>
      </c>
      <c r="BF63" s="22">
        <f t="shared" si="99"/>
        <v>118.58064516129032</v>
      </c>
      <c r="BG63" s="21">
        <v>5180</v>
      </c>
      <c r="BH63" s="22">
        <f t="shared" si="100"/>
        <v>185</v>
      </c>
      <c r="BI63" s="21">
        <v>5016</v>
      </c>
      <c r="BJ63" s="22">
        <f t="shared" si="101"/>
        <v>161.80645161290323</v>
      </c>
      <c r="BK63" s="21">
        <v>4527</v>
      </c>
      <c r="BL63" s="22">
        <f t="shared" si="102"/>
        <v>150.9</v>
      </c>
      <c r="BM63" s="21">
        <v>5006</v>
      </c>
      <c r="BN63" s="22">
        <f t="shared" si="103"/>
        <v>161.48387096774192</v>
      </c>
      <c r="BO63" s="21">
        <v>2793</v>
      </c>
      <c r="BP63" s="22">
        <f t="shared" si="104"/>
        <v>93.1</v>
      </c>
      <c r="BQ63" s="21">
        <v>4680</v>
      </c>
      <c r="BR63" s="22">
        <f t="shared" si="105"/>
        <v>150.96774193548387</v>
      </c>
      <c r="BS63" s="21">
        <v>2617</v>
      </c>
      <c r="BT63" s="22">
        <f t="shared" si="106"/>
        <v>84.41935483870968</v>
      </c>
      <c r="BU63" s="21">
        <v>5477</v>
      </c>
      <c r="BV63" s="22">
        <f t="shared" si="107"/>
        <v>182.56666666666666</v>
      </c>
      <c r="BW63" s="21">
        <v>2943</v>
      </c>
      <c r="BX63" s="22">
        <f t="shared" si="108"/>
        <v>94.935483870967744</v>
      </c>
      <c r="BY63" s="21">
        <v>3774</v>
      </c>
      <c r="BZ63" s="22">
        <f t="shared" si="109"/>
        <v>125.8</v>
      </c>
      <c r="CA63" s="21">
        <v>4339</v>
      </c>
      <c r="CB63" s="22">
        <f t="shared" si="110"/>
        <v>139.96774193548387</v>
      </c>
      <c r="CC63" s="23">
        <f t="shared" si="111"/>
        <v>51537.560215053774</v>
      </c>
      <c r="CD63" s="24">
        <f t="shared" si="112"/>
        <v>34.266045036644115</v>
      </c>
      <c r="CE63" s="21">
        <v>4992</v>
      </c>
      <c r="CF63" s="22">
        <f t="shared" si="113"/>
        <v>161.03225806451613</v>
      </c>
      <c r="CG63" s="21">
        <v>4593</v>
      </c>
      <c r="CH63" s="22">
        <f t="shared" si="114"/>
        <v>164.03571428571428</v>
      </c>
      <c r="CI63" s="21">
        <v>2995</v>
      </c>
      <c r="CJ63" s="22">
        <f t="shared" si="115"/>
        <v>96.612903225806448</v>
      </c>
      <c r="CK63" s="21">
        <v>3633</v>
      </c>
      <c r="CL63" s="22">
        <f t="shared" si="116"/>
        <v>121.1</v>
      </c>
      <c r="CM63" s="21">
        <v>3565</v>
      </c>
      <c r="CN63" s="22">
        <f t="shared" si="117"/>
        <v>115</v>
      </c>
      <c r="CO63" s="21">
        <v>2504</v>
      </c>
      <c r="CP63" s="22">
        <f t="shared" si="118"/>
        <v>83.466666666666669</v>
      </c>
      <c r="CQ63" s="21">
        <v>4613</v>
      </c>
      <c r="CR63" s="22">
        <f t="shared" si="119"/>
        <v>148.80645161290323</v>
      </c>
      <c r="CS63" s="21">
        <v>5108</v>
      </c>
      <c r="CT63" s="22">
        <f t="shared" si="120"/>
        <v>164.7741935483871</v>
      </c>
      <c r="CU63" s="21">
        <v>5542</v>
      </c>
      <c r="CV63" s="22">
        <f t="shared" si="121"/>
        <v>184.73333333333332</v>
      </c>
      <c r="CW63" s="21">
        <v>2832</v>
      </c>
      <c r="CX63" s="22">
        <f t="shared" si="122"/>
        <v>91.354838709677423</v>
      </c>
      <c r="CY63" s="21">
        <v>5372</v>
      </c>
      <c r="CZ63" s="22">
        <f t="shared" si="123"/>
        <v>179.06666666666666</v>
      </c>
      <c r="DA63" s="21">
        <v>2775</v>
      </c>
      <c r="DB63" s="22">
        <f t="shared" si="124"/>
        <v>89.516129032258064</v>
      </c>
      <c r="DC63" s="23">
        <f t="shared" si="125"/>
        <v>50033.983026113659</v>
      </c>
      <c r="DD63" s="24">
        <f t="shared" si="126"/>
        <v>37.748293125358224</v>
      </c>
      <c r="DE63" s="21">
        <v>2892</v>
      </c>
      <c r="DF63" s="22">
        <f t="shared" si="127"/>
        <v>93.290322580645167</v>
      </c>
      <c r="DG63" s="21">
        <v>1982</v>
      </c>
      <c r="DH63" s="22">
        <f t="shared" si="128"/>
        <v>70.785714285714292</v>
      </c>
      <c r="DI63" s="21">
        <v>2519</v>
      </c>
      <c r="DJ63" s="22">
        <f t="shared" si="129"/>
        <v>81.258064516129039</v>
      </c>
      <c r="DK63" s="21">
        <v>2650</v>
      </c>
      <c r="DL63" s="22">
        <f t="shared" si="130"/>
        <v>88.333333333333329</v>
      </c>
      <c r="DM63" s="21">
        <v>3622</v>
      </c>
      <c r="DN63" s="22">
        <f t="shared" si="131"/>
        <v>116.83870967741936</v>
      </c>
      <c r="DO63" s="21">
        <v>3556</v>
      </c>
      <c r="DP63" s="22">
        <f t="shared" si="132"/>
        <v>118.53333333333333</v>
      </c>
      <c r="DQ63" s="21">
        <v>3779</v>
      </c>
      <c r="DR63" s="22">
        <f t="shared" si="133"/>
        <v>121.90322580645162</v>
      </c>
      <c r="DS63" s="21">
        <v>3304</v>
      </c>
      <c r="DT63" s="22">
        <f t="shared" si="134"/>
        <v>106.58064516129032</v>
      </c>
      <c r="DU63" s="21">
        <v>3275</v>
      </c>
      <c r="DV63" s="22">
        <f t="shared" si="135"/>
        <v>109.16666666666667</v>
      </c>
      <c r="DW63" s="21">
        <v>4303</v>
      </c>
      <c r="DX63" s="22">
        <f t="shared" si="136"/>
        <v>138.80645161290323</v>
      </c>
      <c r="DY63" s="21">
        <v>3536</v>
      </c>
      <c r="DZ63" s="22">
        <f t="shared" si="137"/>
        <v>117.86666666666666</v>
      </c>
      <c r="EA63" s="21">
        <v>2710</v>
      </c>
      <c r="EB63" s="22">
        <f t="shared" si="138"/>
        <v>87.41935483870968</v>
      </c>
      <c r="EC63" s="23">
        <f t="shared" si="139"/>
        <v>39291.36313364056</v>
      </c>
      <c r="ED63" s="24">
        <f t="shared" si="140"/>
        <v>19.973851264063125</v>
      </c>
      <c r="EE63" s="25">
        <f t="shared" si="141"/>
        <v>2007.9748981780999</v>
      </c>
    </row>
    <row r="64" spans="1:135" ht="15" customHeight="1" x14ac:dyDescent="0.35">
      <c r="A64" s="17">
        <v>59</v>
      </c>
      <c r="B64" s="18" t="s">
        <v>152</v>
      </c>
      <c r="C64" s="19" t="s">
        <v>153</v>
      </c>
      <c r="D64" s="20" t="s">
        <v>36</v>
      </c>
      <c r="E64" s="21">
        <v>3198</v>
      </c>
      <c r="F64" s="22">
        <f t="shared" si="71"/>
        <v>103.16129032258064</v>
      </c>
      <c r="G64" s="21">
        <v>3644</v>
      </c>
      <c r="H64" s="22">
        <f t="shared" si="72"/>
        <v>130.14285714285714</v>
      </c>
      <c r="I64" s="21">
        <v>2123</v>
      </c>
      <c r="J64" s="22">
        <f t="shared" si="73"/>
        <v>68.483870967741936</v>
      </c>
      <c r="K64" s="21">
        <v>3546</v>
      </c>
      <c r="L64" s="22">
        <f t="shared" si="74"/>
        <v>118.2</v>
      </c>
      <c r="M64" s="21">
        <v>2508</v>
      </c>
      <c r="N64" s="22">
        <f t="shared" si="75"/>
        <v>80.903225806451616</v>
      </c>
      <c r="O64" s="21">
        <v>2752</v>
      </c>
      <c r="P64" s="22">
        <f t="shared" si="76"/>
        <v>91.733333333333334</v>
      </c>
      <c r="Q64" s="21">
        <v>3583</v>
      </c>
      <c r="R64" s="22">
        <f t="shared" si="77"/>
        <v>115.58064516129032</v>
      </c>
      <c r="S64" s="21">
        <v>2851</v>
      </c>
      <c r="T64" s="22">
        <f t="shared" si="78"/>
        <v>91.967741935483872</v>
      </c>
      <c r="U64" s="21">
        <v>3991</v>
      </c>
      <c r="V64" s="22">
        <f t="shared" si="79"/>
        <v>133.03333333333333</v>
      </c>
      <c r="W64" s="21">
        <v>3286</v>
      </c>
      <c r="X64" s="22">
        <f t="shared" si="80"/>
        <v>106</v>
      </c>
      <c r="Y64" s="21">
        <v>4365</v>
      </c>
      <c r="Z64" s="22">
        <f t="shared" si="81"/>
        <v>145.5</v>
      </c>
      <c r="AA64" s="21">
        <v>2021</v>
      </c>
      <c r="AB64" s="22">
        <f t="shared" si="82"/>
        <v>65.193548387096769</v>
      </c>
      <c r="AC64" s="23">
        <f t="shared" si="83"/>
        <v>39052.706298003075</v>
      </c>
      <c r="AD64" s="24">
        <f t="shared" si="84"/>
        <v>25.557121133985643</v>
      </c>
      <c r="AE64" s="21">
        <v>3065</v>
      </c>
      <c r="AF64" s="22">
        <f t="shared" si="85"/>
        <v>98.870967741935488</v>
      </c>
      <c r="AG64" s="21">
        <v>1995</v>
      </c>
      <c r="AH64" s="22">
        <f t="shared" si="86"/>
        <v>71.25</v>
      </c>
      <c r="AI64" s="21">
        <v>3517</v>
      </c>
      <c r="AJ64" s="22">
        <f t="shared" si="87"/>
        <v>113.45161290322581</v>
      </c>
      <c r="AK64" s="21">
        <v>3523</v>
      </c>
      <c r="AL64" s="22">
        <f t="shared" si="88"/>
        <v>117.43333333333334</v>
      </c>
      <c r="AM64" s="21">
        <v>3562</v>
      </c>
      <c r="AN64" s="22">
        <f t="shared" si="89"/>
        <v>114.90322580645162</v>
      </c>
      <c r="AO64" s="21">
        <v>1814</v>
      </c>
      <c r="AP64" s="22">
        <f t="shared" si="90"/>
        <v>60.466666666666669</v>
      </c>
      <c r="AQ64" s="21">
        <v>2731</v>
      </c>
      <c r="AR64" s="22">
        <f t="shared" si="91"/>
        <v>88.096774193548384</v>
      </c>
      <c r="AS64" s="21">
        <v>2180</v>
      </c>
      <c r="AT64" s="22">
        <f t="shared" si="92"/>
        <v>70.322580645161295</v>
      </c>
      <c r="AU64" s="21">
        <v>3784</v>
      </c>
      <c r="AV64" s="22">
        <f t="shared" si="93"/>
        <v>126.13333333333334</v>
      </c>
      <c r="AW64" s="21">
        <v>1760</v>
      </c>
      <c r="AX64" s="22">
        <f t="shared" si="94"/>
        <v>56.774193548387096</v>
      </c>
      <c r="AY64" s="21">
        <v>2140</v>
      </c>
      <c r="AZ64" s="22">
        <f t="shared" si="95"/>
        <v>71.333333333333329</v>
      </c>
      <c r="BA64" s="21">
        <v>3065</v>
      </c>
      <c r="BB64" s="22">
        <f t="shared" si="96"/>
        <v>98.870967741935488</v>
      </c>
      <c r="BC64" s="23">
        <f t="shared" si="97"/>
        <v>34125.036021505381</v>
      </c>
      <c r="BD64" s="24">
        <f t="shared" si="98"/>
        <v>24.210318036753041</v>
      </c>
      <c r="BE64" s="21">
        <v>2986</v>
      </c>
      <c r="BF64" s="22">
        <f t="shared" si="99"/>
        <v>96.322580645161295</v>
      </c>
      <c r="BG64" s="21">
        <v>2551</v>
      </c>
      <c r="BH64" s="22">
        <f t="shared" si="100"/>
        <v>91.107142857142861</v>
      </c>
      <c r="BI64" s="21">
        <v>3131</v>
      </c>
      <c r="BJ64" s="22">
        <f t="shared" si="101"/>
        <v>101</v>
      </c>
      <c r="BK64" s="21">
        <v>4017</v>
      </c>
      <c r="BL64" s="22">
        <f t="shared" si="102"/>
        <v>133.9</v>
      </c>
      <c r="BM64" s="21">
        <v>3103</v>
      </c>
      <c r="BN64" s="22">
        <f t="shared" si="103"/>
        <v>100.09677419354838</v>
      </c>
      <c r="BO64" s="21">
        <v>4160</v>
      </c>
      <c r="BP64" s="22">
        <f t="shared" si="104"/>
        <v>138.66666666666666</v>
      </c>
      <c r="BQ64" s="21">
        <v>3100</v>
      </c>
      <c r="BR64" s="22">
        <f t="shared" si="105"/>
        <v>100</v>
      </c>
      <c r="BS64" s="21">
        <v>2250</v>
      </c>
      <c r="BT64" s="22">
        <f t="shared" si="106"/>
        <v>72.58064516129032</v>
      </c>
      <c r="BU64" s="21">
        <v>3230</v>
      </c>
      <c r="BV64" s="22">
        <f t="shared" si="107"/>
        <v>107.66666666666667</v>
      </c>
      <c r="BW64" s="21">
        <v>3634</v>
      </c>
      <c r="BX64" s="22">
        <f t="shared" si="108"/>
        <v>117.2258064516129</v>
      </c>
      <c r="BY64" s="21">
        <v>2208</v>
      </c>
      <c r="BZ64" s="22">
        <f t="shared" si="109"/>
        <v>73.599999999999994</v>
      </c>
      <c r="CA64" s="21">
        <v>3010</v>
      </c>
      <c r="CB64" s="22">
        <f t="shared" si="110"/>
        <v>97.096774193548384</v>
      </c>
      <c r="CC64" s="23">
        <f t="shared" si="111"/>
        <v>38512.166282642094</v>
      </c>
      <c r="CD64" s="24">
        <f t="shared" si="112"/>
        <v>20.179404851775185</v>
      </c>
      <c r="CE64" s="21">
        <v>2850</v>
      </c>
      <c r="CF64" s="22">
        <f t="shared" si="113"/>
        <v>91.935483870967744</v>
      </c>
      <c r="CG64" s="21">
        <v>1635</v>
      </c>
      <c r="CH64" s="22">
        <f t="shared" si="114"/>
        <v>58.392857142857146</v>
      </c>
      <c r="CI64" s="21">
        <v>1833</v>
      </c>
      <c r="CJ64" s="22">
        <f t="shared" si="115"/>
        <v>59.12903225806452</v>
      </c>
      <c r="CK64" s="21">
        <v>2952</v>
      </c>
      <c r="CL64" s="22">
        <f t="shared" si="116"/>
        <v>98.4</v>
      </c>
      <c r="CM64" s="21">
        <v>2985</v>
      </c>
      <c r="CN64" s="22">
        <f t="shared" si="117"/>
        <v>96.290322580645167</v>
      </c>
      <c r="CO64" s="21">
        <v>2299</v>
      </c>
      <c r="CP64" s="22">
        <f t="shared" si="118"/>
        <v>76.63333333333334</v>
      </c>
      <c r="CQ64" s="21">
        <v>2743</v>
      </c>
      <c r="CR64" s="22">
        <f t="shared" si="119"/>
        <v>88.483870967741936</v>
      </c>
      <c r="CS64" s="21">
        <v>2086</v>
      </c>
      <c r="CT64" s="22">
        <f t="shared" si="120"/>
        <v>67.290322580645167</v>
      </c>
      <c r="CU64" s="21">
        <v>3099</v>
      </c>
      <c r="CV64" s="22">
        <f t="shared" si="121"/>
        <v>103.3</v>
      </c>
      <c r="CW64" s="21">
        <v>3707</v>
      </c>
      <c r="CX64" s="22">
        <f t="shared" si="122"/>
        <v>119.58064516129032</v>
      </c>
      <c r="CY64" s="21">
        <v>2427</v>
      </c>
      <c r="CZ64" s="22">
        <f t="shared" si="123"/>
        <v>80.900000000000006</v>
      </c>
      <c r="DA64" s="21">
        <v>1753</v>
      </c>
      <c r="DB64" s="22">
        <f t="shared" si="124"/>
        <v>56.548387096774192</v>
      </c>
      <c r="DC64" s="23">
        <f t="shared" si="125"/>
        <v>31309.335867895548</v>
      </c>
      <c r="DD64" s="24">
        <f t="shared" si="126"/>
        <v>20.092146008239361</v>
      </c>
      <c r="DE64" s="21">
        <v>1935</v>
      </c>
      <c r="DF64" s="22">
        <f t="shared" si="127"/>
        <v>62.41935483870968</v>
      </c>
      <c r="DG64" s="21">
        <v>2395</v>
      </c>
      <c r="DH64" s="22">
        <f t="shared" si="128"/>
        <v>85.535714285714292</v>
      </c>
      <c r="DI64" s="21">
        <v>2605</v>
      </c>
      <c r="DJ64" s="22">
        <f t="shared" si="129"/>
        <v>84.032258064516128</v>
      </c>
      <c r="DK64" s="21">
        <v>2724</v>
      </c>
      <c r="DL64" s="22">
        <f t="shared" si="130"/>
        <v>90.8</v>
      </c>
      <c r="DM64" s="21">
        <v>2432</v>
      </c>
      <c r="DN64" s="22">
        <f t="shared" si="131"/>
        <v>78.451612903225808</v>
      </c>
      <c r="DO64" s="21">
        <v>2798</v>
      </c>
      <c r="DP64" s="22">
        <f t="shared" si="132"/>
        <v>93.266666666666666</v>
      </c>
      <c r="DQ64" s="21">
        <v>2915</v>
      </c>
      <c r="DR64" s="22">
        <f t="shared" si="133"/>
        <v>94.032258064516128</v>
      </c>
      <c r="DS64" s="21">
        <v>1718</v>
      </c>
      <c r="DT64" s="22">
        <f t="shared" si="134"/>
        <v>55.41935483870968</v>
      </c>
      <c r="DU64" s="21">
        <v>3002</v>
      </c>
      <c r="DV64" s="22">
        <f t="shared" si="135"/>
        <v>100.06666666666666</v>
      </c>
      <c r="DW64" s="21">
        <v>1932</v>
      </c>
      <c r="DX64" s="22">
        <f t="shared" si="136"/>
        <v>62.322580645161288</v>
      </c>
      <c r="DY64" s="21">
        <v>2170</v>
      </c>
      <c r="DZ64" s="22">
        <f t="shared" si="137"/>
        <v>72.333333333333329</v>
      </c>
      <c r="EA64" s="21">
        <v>3142</v>
      </c>
      <c r="EB64" s="22">
        <f t="shared" si="138"/>
        <v>101.35483870967742</v>
      </c>
      <c r="EC64" s="23">
        <f t="shared" si="139"/>
        <v>30646.679800307214</v>
      </c>
      <c r="ED64" s="24">
        <f t="shared" si="140"/>
        <v>15.517312722949899</v>
      </c>
      <c r="EE64" s="25">
        <f t="shared" si="141"/>
        <v>1446.2799225374761</v>
      </c>
    </row>
    <row r="65" spans="1:135" ht="15" customHeight="1" x14ac:dyDescent="0.35">
      <c r="A65" s="17">
        <v>60</v>
      </c>
      <c r="B65" s="18" t="s">
        <v>154</v>
      </c>
      <c r="C65" s="19" t="s">
        <v>155</v>
      </c>
      <c r="D65" s="20" t="s">
        <v>36</v>
      </c>
      <c r="E65" s="21">
        <v>6290</v>
      </c>
      <c r="F65" s="22">
        <f t="shared" si="71"/>
        <v>202.90322580645162</v>
      </c>
      <c r="G65" s="21">
        <v>3823</v>
      </c>
      <c r="H65" s="22">
        <f t="shared" si="72"/>
        <v>136.53571428571428</v>
      </c>
      <c r="I65" s="21">
        <v>4666</v>
      </c>
      <c r="J65" s="22">
        <f t="shared" si="73"/>
        <v>150.51612903225808</v>
      </c>
      <c r="K65" s="21">
        <v>5327</v>
      </c>
      <c r="L65" s="22">
        <f t="shared" si="74"/>
        <v>177.56666666666666</v>
      </c>
      <c r="M65" s="21">
        <v>2919</v>
      </c>
      <c r="N65" s="22">
        <f t="shared" si="75"/>
        <v>94.161290322580641</v>
      </c>
      <c r="O65" s="21">
        <v>3354</v>
      </c>
      <c r="P65" s="22">
        <f t="shared" si="76"/>
        <v>111.8</v>
      </c>
      <c r="Q65" s="21">
        <v>3267</v>
      </c>
      <c r="R65" s="22">
        <f t="shared" si="77"/>
        <v>105.38709677419355</v>
      </c>
      <c r="S65" s="21">
        <v>5381</v>
      </c>
      <c r="T65" s="22">
        <f t="shared" si="78"/>
        <v>173.58064516129033</v>
      </c>
      <c r="U65" s="21">
        <v>5399</v>
      </c>
      <c r="V65" s="22">
        <f t="shared" si="79"/>
        <v>179.96666666666667</v>
      </c>
      <c r="W65" s="21">
        <v>3144</v>
      </c>
      <c r="X65" s="22">
        <f t="shared" si="80"/>
        <v>101.41935483870968</v>
      </c>
      <c r="Y65" s="21">
        <v>4993</v>
      </c>
      <c r="Z65" s="22">
        <f t="shared" si="81"/>
        <v>166.43333333333334</v>
      </c>
      <c r="AA65" s="21">
        <v>3440</v>
      </c>
      <c r="AB65" s="22">
        <f t="shared" si="82"/>
        <v>110.96774193548387</v>
      </c>
      <c r="AC65" s="23">
        <f t="shared" si="83"/>
        <v>53603.270122887865</v>
      </c>
      <c r="AD65" s="24">
        <f t="shared" si="84"/>
        <v>37.244740127817089</v>
      </c>
      <c r="AE65" s="21">
        <v>4364</v>
      </c>
      <c r="AF65" s="22">
        <f t="shared" si="85"/>
        <v>140.7741935483871</v>
      </c>
      <c r="AG65" s="21">
        <v>2968</v>
      </c>
      <c r="AH65" s="22">
        <f t="shared" si="86"/>
        <v>106</v>
      </c>
      <c r="AI65" s="21">
        <v>3135</v>
      </c>
      <c r="AJ65" s="22">
        <f t="shared" si="87"/>
        <v>101.12903225806451</v>
      </c>
      <c r="AK65" s="21">
        <v>3977</v>
      </c>
      <c r="AL65" s="22">
        <f t="shared" si="88"/>
        <v>132.56666666666666</v>
      </c>
      <c r="AM65" s="21">
        <v>3809</v>
      </c>
      <c r="AN65" s="22">
        <f t="shared" si="89"/>
        <v>122.87096774193549</v>
      </c>
      <c r="AO65" s="21">
        <v>2228</v>
      </c>
      <c r="AP65" s="22">
        <f t="shared" si="90"/>
        <v>74.266666666666666</v>
      </c>
      <c r="AQ65" s="21">
        <v>3024</v>
      </c>
      <c r="AR65" s="22">
        <f t="shared" si="91"/>
        <v>97.548387096774192</v>
      </c>
      <c r="AS65" s="21">
        <v>4354</v>
      </c>
      <c r="AT65" s="22">
        <f t="shared" si="92"/>
        <v>140.45161290322579</v>
      </c>
      <c r="AU65" s="21">
        <v>4123</v>
      </c>
      <c r="AV65" s="22">
        <f t="shared" si="93"/>
        <v>137.43333333333334</v>
      </c>
      <c r="AW65" s="21">
        <v>3477</v>
      </c>
      <c r="AX65" s="22">
        <f t="shared" si="94"/>
        <v>112.16129032258064</v>
      </c>
      <c r="AY65" s="21">
        <v>3953</v>
      </c>
      <c r="AZ65" s="22">
        <f t="shared" si="95"/>
        <v>131.76666666666668</v>
      </c>
      <c r="BA65" s="21">
        <v>3118</v>
      </c>
      <c r="BB65" s="22">
        <f t="shared" si="96"/>
        <v>100.58064516129032</v>
      </c>
      <c r="BC65" s="23">
        <f t="shared" si="97"/>
        <v>43826.96881720431</v>
      </c>
      <c r="BD65" s="24">
        <f t="shared" si="98"/>
        <v>21.09391740546301</v>
      </c>
      <c r="BE65" s="21">
        <v>3810</v>
      </c>
      <c r="BF65" s="22">
        <f t="shared" si="99"/>
        <v>122.90322580645162</v>
      </c>
      <c r="BG65" s="21">
        <v>4616</v>
      </c>
      <c r="BH65" s="22">
        <f t="shared" si="100"/>
        <v>164.85714285714286</v>
      </c>
      <c r="BI65" s="21">
        <v>2393</v>
      </c>
      <c r="BJ65" s="22">
        <f t="shared" si="101"/>
        <v>77.193548387096769</v>
      </c>
      <c r="BK65" s="21">
        <v>3379</v>
      </c>
      <c r="BL65" s="22">
        <f t="shared" si="102"/>
        <v>112.63333333333334</v>
      </c>
      <c r="BM65" s="21">
        <v>3464</v>
      </c>
      <c r="BN65" s="22">
        <f t="shared" si="103"/>
        <v>111.74193548387096</v>
      </c>
      <c r="BO65" s="21">
        <v>2160</v>
      </c>
      <c r="BP65" s="22">
        <f t="shared" si="104"/>
        <v>72</v>
      </c>
      <c r="BQ65" s="21">
        <v>4559</v>
      </c>
      <c r="BR65" s="22">
        <f t="shared" si="105"/>
        <v>147.06451612903226</v>
      </c>
      <c r="BS65" s="21">
        <v>4298</v>
      </c>
      <c r="BT65" s="22">
        <f t="shared" si="106"/>
        <v>138.64516129032259</v>
      </c>
      <c r="BU65" s="21">
        <v>3336</v>
      </c>
      <c r="BV65" s="22">
        <f t="shared" si="107"/>
        <v>111.2</v>
      </c>
      <c r="BW65" s="21">
        <v>3404</v>
      </c>
      <c r="BX65" s="22">
        <f t="shared" si="108"/>
        <v>109.80645161290323</v>
      </c>
      <c r="BY65" s="21">
        <v>4521</v>
      </c>
      <c r="BZ65" s="22">
        <f t="shared" si="109"/>
        <v>150.69999999999999</v>
      </c>
      <c r="CA65" s="21">
        <v>2508</v>
      </c>
      <c r="CB65" s="22">
        <f t="shared" si="110"/>
        <v>80.903225806451616</v>
      </c>
      <c r="CC65" s="23">
        <f t="shared" si="111"/>
        <v>43766.745314900145</v>
      </c>
      <c r="CD65" s="24">
        <f t="shared" si="112"/>
        <v>29.964050062129996</v>
      </c>
      <c r="CE65" s="21">
        <v>4575</v>
      </c>
      <c r="CF65" s="22">
        <f t="shared" si="113"/>
        <v>147.58064516129033</v>
      </c>
      <c r="CG65" s="21">
        <v>5098</v>
      </c>
      <c r="CH65" s="22">
        <f t="shared" si="114"/>
        <v>182.07142857142858</v>
      </c>
      <c r="CI65" s="21">
        <v>3025</v>
      </c>
      <c r="CJ65" s="22">
        <f t="shared" si="115"/>
        <v>97.58064516129032</v>
      </c>
      <c r="CK65" s="21">
        <v>3917</v>
      </c>
      <c r="CL65" s="22">
        <f t="shared" si="116"/>
        <v>130.56666666666666</v>
      </c>
      <c r="CM65" s="21">
        <v>4651</v>
      </c>
      <c r="CN65" s="22">
        <f t="shared" si="117"/>
        <v>150.03225806451613</v>
      </c>
      <c r="CO65" s="21">
        <v>5622</v>
      </c>
      <c r="CP65" s="22">
        <f t="shared" si="118"/>
        <v>187.4</v>
      </c>
      <c r="CQ65" s="21">
        <v>4319</v>
      </c>
      <c r="CR65" s="22">
        <f t="shared" si="119"/>
        <v>139.32258064516128</v>
      </c>
      <c r="CS65" s="21">
        <v>3907</v>
      </c>
      <c r="CT65" s="22">
        <f t="shared" si="120"/>
        <v>126.03225806451613</v>
      </c>
      <c r="CU65" s="21">
        <v>5956</v>
      </c>
      <c r="CV65" s="22">
        <f t="shared" si="121"/>
        <v>198.53333333333333</v>
      </c>
      <c r="CW65" s="21">
        <v>5737</v>
      </c>
      <c r="CX65" s="22">
        <f t="shared" si="122"/>
        <v>185.06451612903226</v>
      </c>
      <c r="CY65" s="21">
        <v>5208</v>
      </c>
      <c r="CZ65" s="22">
        <f t="shared" si="123"/>
        <v>173.6</v>
      </c>
      <c r="DA65" s="21">
        <v>3525</v>
      </c>
      <c r="DB65" s="22">
        <f t="shared" si="124"/>
        <v>113.70967741935483</v>
      </c>
      <c r="DC65" s="23">
        <f t="shared" si="125"/>
        <v>57257.784331797229</v>
      </c>
      <c r="DD65" s="24">
        <f t="shared" si="126"/>
        <v>32.506489128653079</v>
      </c>
      <c r="DE65" s="21">
        <v>5409</v>
      </c>
      <c r="DF65" s="22">
        <f t="shared" si="127"/>
        <v>174.48387096774192</v>
      </c>
      <c r="DG65" s="21">
        <v>5431</v>
      </c>
      <c r="DH65" s="22">
        <f t="shared" si="128"/>
        <v>193.96428571428572</v>
      </c>
      <c r="DI65" s="21">
        <v>3797</v>
      </c>
      <c r="DJ65" s="22">
        <f t="shared" si="129"/>
        <v>122.48387096774194</v>
      </c>
      <c r="DK65" s="21">
        <v>2788</v>
      </c>
      <c r="DL65" s="22">
        <f t="shared" si="130"/>
        <v>92.933333333333337</v>
      </c>
      <c r="DM65" s="21">
        <v>3670</v>
      </c>
      <c r="DN65" s="22">
        <f t="shared" si="131"/>
        <v>118.38709677419355</v>
      </c>
      <c r="DO65" s="21">
        <v>4577</v>
      </c>
      <c r="DP65" s="22">
        <f t="shared" si="132"/>
        <v>152.56666666666666</v>
      </c>
      <c r="DQ65" s="21">
        <v>4730</v>
      </c>
      <c r="DR65" s="22">
        <f t="shared" si="133"/>
        <v>152.58064516129033</v>
      </c>
      <c r="DS65" s="21">
        <v>3311</v>
      </c>
      <c r="DT65" s="22">
        <f t="shared" si="134"/>
        <v>106.80645161290323</v>
      </c>
      <c r="DU65" s="21">
        <v>4582</v>
      </c>
      <c r="DV65" s="22">
        <f t="shared" si="135"/>
        <v>152.73333333333332</v>
      </c>
      <c r="DW65" s="21">
        <v>5084</v>
      </c>
      <c r="DX65" s="22">
        <f t="shared" si="136"/>
        <v>164</v>
      </c>
      <c r="DY65" s="21">
        <v>4615</v>
      </c>
      <c r="DZ65" s="22">
        <f t="shared" si="137"/>
        <v>153.83333333333334</v>
      </c>
      <c r="EA65" s="21">
        <v>5320</v>
      </c>
      <c r="EB65" s="22">
        <f t="shared" si="138"/>
        <v>171.61290322580646</v>
      </c>
      <c r="EC65" s="23">
        <f t="shared" si="139"/>
        <v>54898.772887864827</v>
      </c>
      <c r="ED65" s="24">
        <f t="shared" si="140"/>
        <v>30.077373671904887</v>
      </c>
      <c r="EE65" s="25">
        <f t="shared" si="141"/>
        <v>2062.4560378016799</v>
      </c>
    </row>
    <row r="66" spans="1:135" ht="15" customHeight="1" x14ac:dyDescent="0.35">
      <c r="A66" s="17">
        <v>61</v>
      </c>
      <c r="B66" s="18" t="s">
        <v>156</v>
      </c>
      <c r="C66" s="19" t="s">
        <v>157</v>
      </c>
      <c r="D66" s="20" t="s">
        <v>36</v>
      </c>
      <c r="E66" s="21">
        <v>87</v>
      </c>
      <c r="F66" s="22">
        <f t="shared" si="71"/>
        <v>2.806451612903226</v>
      </c>
      <c r="G66" s="21">
        <v>60</v>
      </c>
      <c r="H66" s="22">
        <f t="shared" si="72"/>
        <v>2.1428571428571428</v>
      </c>
      <c r="I66" s="21">
        <v>87</v>
      </c>
      <c r="J66" s="22">
        <f t="shared" si="73"/>
        <v>2.806451612903226</v>
      </c>
      <c r="K66" s="21">
        <v>66</v>
      </c>
      <c r="L66" s="22">
        <f t="shared" si="74"/>
        <v>2.2000000000000002</v>
      </c>
      <c r="M66" s="21">
        <v>69</v>
      </c>
      <c r="N66" s="22">
        <f t="shared" si="75"/>
        <v>2.225806451612903</v>
      </c>
      <c r="O66" s="21">
        <v>90</v>
      </c>
      <c r="P66" s="22">
        <f t="shared" si="76"/>
        <v>3</v>
      </c>
      <c r="Q66" s="21">
        <v>109</v>
      </c>
      <c r="R66" s="22">
        <f t="shared" si="77"/>
        <v>3.5161290322580645</v>
      </c>
      <c r="S66" s="21">
        <v>88</v>
      </c>
      <c r="T66" s="22">
        <f t="shared" si="78"/>
        <v>2.838709677419355</v>
      </c>
      <c r="U66" s="21">
        <v>108</v>
      </c>
      <c r="V66" s="22">
        <f t="shared" si="79"/>
        <v>3.6</v>
      </c>
      <c r="W66" s="21">
        <v>79</v>
      </c>
      <c r="X66" s="22">
        <f t="shared" si="80"/>
        <v>2.5483870967741935</v>
      </c>
      <c r="Y66" s="21">
        <v>91</v>
      </c>
      <c r="Z66" s="22">
        <f t="shared" si="81"/>
        <v>3.0333333333333332</v>
      </c>
      <c r="AA66" s="21">
        <v>68</v>
      </c>
      <c r="AB66" s="22">
        <f t="shared" si="82"/>
        <v>2.193548387096774</v>
      </c>
      <c r="AC66" s="23">
        <f t="shared" si="83"/>
        <v>1032.7181259600613</v>
      </c>
      <c r="AD66" s="24">
        <f t="shared" si="84"/>
        <v>0.50109079334265927</v>
      </c>
      <c r="AE66" s="21">
        <v>55</v>
      </c>
      <c r="AF66" s="22">
        <f t="shared" si="85"/>
        <v>1.7741935483870968</v>
      </c>
      <c r="AG66" s="21">
        <v>70</v>
      </c>
      <c r="AH66" s="22">
        <f t="shared" si="86"/>
        <v>2.5</v>
      </c>
      <c r="AI66" s="21">
        <v>79</v>
      </c>
      <c r="AJ66" s="22">
        <f t="shared" si="87"/>
        <v>2.5483870967741935</v>
      </c>
      <c r="AK66" s="21">
        <v>84</v>
      </c>
      <c r="AL66" s="22">
        <f t="shared" si="88"/>
        <v>2.8</v>
      </c>
      <c r="AM66" s="21">
        <v>91</v>
      </c>
      <c r="AN66" s="22">
        <f t="shared" si="89"/>
        <v>2.935483870967742</v>
      </c>
      <c r="AO66" s="21">
        <v>75</v>
      </c>
      <c r="AP66" s="22">
        <f t="shared" si="90"/>
        <v>2.5</v>
      </c>
      <c r="AQ66" s="21">
        <v>96</v>
      </c>
      <c r="AR66" s="22">
        <f t="shared" si="91"/>
        <v>3.096774193548387</v>
      </c>
      <c r="AS66" s="21">
        <v>102</v>
      </c>
      <c r="AT66" s="22">
        <f t="shared" si="92"/>
        <v>3.2903225806451615</v>
      </c>
      <c r="AU66" s="21">
        <v>66</v>
      </c>
      <c r="AV66" s="22">
        <f t="shared" si="93"/>
        <v>2.2000000000000002</v>
      </c>
      <c r="AW66" s="21">
        <v>102</v>
      </c>
      <c r="AX66" s="22">
        <f t="shared" si="94"/>
        <v>3.2903225806451615</v>
      </c>
      <c r="AY66" s="21">
        <v>100</v>
      </c>
      <c r="AZ66" s="22">
        <f t="shared" si="95"/>
        <v>3.3333333333333335</v>
      </c>
      <c r="BA66" s="21">
        <v>81</v>
      </c>
      <c r="BB66" s="22">
        <f t="shared" si="96"/>
        <v>2.6129032258064515</v>
      </c>
      <c r="BC66" s="23">
        <f t="shared" si="97"/>
        <v>1031.2688172043013</v>
      </c>
      <c r="BD66" s="24">
        <f t="shared" si="98"/>
        <v>0.47856860902492016</v>
      </c>
      <c r="BE66" s="21">
        <v>55</v>
      </c>
      <c r="BF66" s="22">
        <f t="shared" si="99"/>
        <v>1.7741935483870968</v>
      </c>
      <c r="BG66" s="21">
        <v>64</v>
      </c>
      <c r="BH66" s="22">
        <f t="shared" si="100"/>
        <v>2.2857142857142856</v>
      </c>
      <c r="BI66" s="21">
        <v>101</v>
      </c>
      <c r="BJ66" s="22">
        <f t="shared" si="101"/>
        <v>3.2580645161290325</v>
      </c>
      <c r="BK66" s="21">
        <v>68</v>
      </c>
      <c r="BL66" s="22">
        <f t="shared" si="102"/>
        <v>2.2666666666666666</v>
      </c>
      <c r="BM66" s="21">
        <v>107</v>
      </c>
      <c r="BN66" s="22">
        <f t="shared" si="103"/>
        <v>3.4516129032258065</v>
      </c>
      <c r="BO66" s="21">
        <v>65</v>
      </c>
      <c r="BP66" s="22">
        <f t="shared" si="104"/>
        <v>2.1666666666666665</v>
      </c>
      <c r="BQ66" s="21">
        <v>74</v>
      </c>
      <c r="BR66" s="22">
        <f t="shared" si="105"/>
        <v>2.3870967741935485</v>
      </c>
      <c r="BS66" s="21">
        <v>71</v>
      </c>
      <c r="BT66" s="22">
        <f t="shared" si="106"/>
        <v>2.2903225806451615</v>
      </c>
      <c r="BU66" s="21">
        <v>113</v>
      </c>
      <c r="BV66" s="22">
        <f t="shared" si="107"/>
        <v>3.7666666666666666</v>
      </c>
      <c r="BW66" s="21">
        <v>102</v>
      </c>
      <c r="BX66" s="22">
        <f t="shared" si="108"/>
        <v>3.2903225806451615</v>
      </c>
      <c r="BY66" s="21">
        <v>74</v>
      </c>
      <c r="BZ66" s="22">
        <f t="shared" si="109"/>
        <v>2.4666666666666668</v>
      </c>
      <c r="CA66" s="21">
        <v>107</v>
      </c>
      <c r="CB66" s="22">
        <f t="shared" si="110"/>
        <v>3.4516129032258065</v>
      </c>
      <c r="CC66" s="23">
        <f t="shared" si="111"/>
        <v>1030.4039938556066</v>
      </c>
      <c r="CD66" s="24">
        <f t="shared" si="112"/>
        <v>0.65584097569582744</v>
      </c>
      <c r="CE66" s="21">
        <v>49</v>
      </c>
      <c r="CF66" s="22">
        <f t="shared" si="113"/>
        <v>1.5806451612903225</v>
      </c>
      <c r="CG66" s="21">
        <v>99</v>
      </c>
      <c r="CH66" s="22">
        <f t="shared" si="114"/>
        <v>3.5357142857142856</v>
      </c>
      <c r="CI66" s="21">
        <v>54</v>
      </c>
      <c r="CJ66" s="22">
        <f t="shared" si="115"/>
        <v>1.7419354838709677</v>
      </c>
      <c r="CK66" s="21">
        <v>102</v>
      </c>
      <c r="CL66" s="22">
        <f t="shared" si="116"/>
        <v>3.4</v>
      </c>
      <c r="CM66" s="21">
        <v>94</v>
      </c>
      <c r="CN66" s="22">
        <f t="shared" si="117"/>
        <v>3.032258064516129</v>
      </c>
      <c r="CO66" s="21">
        <v>102</v>
      </c>
      <c r="CP66" s="22">
        <f t="shared" si="118"/>
        <v>3.4</v>
      </c>
      <c r="CQ66" s="21">
        <v>94</v>
      </c>
      <c r="CR66" s="22">
        <f t="shared" si="119"/>
        <v>3.032258064516129</v>
      </c>
      <c r="CS66" s="21">
        <v>83</v>
      </c>
      <c r="CT66" s="22">
        <f t="shared" si="120"/>
        <v>2.6774193548387095</v>
      </c>
      <c r="CU66" s="21">
        <v>62</v>
      </c>
      <c r="CV66" s="22">
        <f t="shared" si="121"/>
        <v>2.0666666666666669</v>
      </c>
      <c r="CW66" s="21">
        <v>97</v>
      </c>
      <c r="CX66" s="22">
        <f t="shared" si="122"/>
        <v>3.129032258064516</v>
      </c>
      <c r="CY66" s="21">
        <v>98</v>
      </c>
      <c r="CZ66" s="22">
        <f t="shared" si="123"/>
        <v>3.2666666666666666</v>
      </c>
      <c r="DA66" s="21">
        <v>66</v>
      </c>
      <c r="DB66" s="22">
        <f t="shared" si="124"/>
        <v>2.129032258064516</v>
      </c>
      <c r="DC66" s="23">
        <f t="shared" si="125"/>
        <v>1030.8625960061443</v>
      </c>
      <c r="DD66" s="24">
        <f t="shared" si="126"/>
        <v>0.69240610547296866</v>
      </c>
      <c r="DE66" s="21">
        <v>87</v>
      </c>
      <c r="DF66" s="22">
        <f t="shared" si="127"/>
        <v>2.806451612903226</v>
      </c>
      <c r="DG66" s="21">
        <v>103</v>
      </c>
      <c r="DH66" s="22">
        <f t="shared" si="128"/>
        <v>3.6785714285714284</v>
      </c>
      <c r="DI66" s="21">
        <v>70</v>
      </c>
      <c r="DJ66" s="22">
        <f t="shared" si="129"/>
        <v>2.2580645161290325</v>
      </c>
      <c r="DK66" s="21">
        <v>105</v>
      </c>
      <c r="DL66" s="22">
        <f t="shared" si="130"/>
        <v>3.5</v>
      </c>
      <c r="DM66" s="21">
        <v>106</v>
      </c>
      <c r="DN66" s="22">
        <f t="shared" si="131"/>
        <v>3.4193548387096775</v>
      </c>
      <c r="DO66" s="21">
        <v>65</v>
      </c>
      <c r="DP66" s="22">
        <f t="shared" si="132"/>
        <v>2.1666666666666665</v>
      </c>
      <c r="DQ66" s="21">
        <v>80</v>
      </c>
      <c r="DR66" s="22">
        <f t="shared" si="133"/>
        <v>2.5806451612903225</v>
      </c>
      <c r="DS66" s="21">
        <v>47</v>
      </c>
      <c r="DT66" s="22">
        <f t="shared" si="134"/>
        <v>1.5161290322580645</v>
      </c>
      <c r="DU66" s="21">
        <v>61</v>
      </c>
      <c r="DV66" s="22">
        <f t="shared" si="135"/>
        <v>2.0333333333333332</v>
      </c>
      <c r="DW66" s="21">
        <v>84</v>
      </c>
      <c r="DX66" s="22">
        <f t="shared" si="136"/>
        <v>2.7096774193548385</v>
      </c>
      <c r="DY66" s="21">
        <v>94</v>
      </c>
      <c r="DZ66" s="22">
        <f t="shared" si="137"/>
        <v>3.1333333333333333</v>
      </c>
      <c r="EA66" s="21">
        <v>99</v>
      </c>
      <c r="EB66" s="22">
        <f t="shared" si="138"/>
        <v>3.193548387096774</v>
      </c>
      <c r="EC66" s="23">
        <f t="shared" si="139"/>
        <v>1030.8022273425499</v>
      </c>
      <c r="ED66" s="24">
        <f t="shared" si="140"/>
        <v>0.66526000780868844</v>
      </c>
      <c r="EE66" s="25">
        <f t="shared" si="141"/>
        <v>42.863110078839661</v>
      </c>
    </row>
    <row r="67" spans="1:135" ht="15" customHeight="1" x14ac:dyDescent="0.35">
      <c r="A67" s="17">
        <v>62</v>
      </c>
      <c r="B67" s="18" t="s">
        <v>158</v>
      </c>
      <c r="C67" s="19" t="s">
        <v>159</v>
      </c>
      <c r="D67" s="20" t="s">
        <v>57</v>
      </c>
      <c r="E67" s="21">
        <v>2925</v>
      </c>
      <c r="F67" s="22">
        <f t="shared" si="71"/>
        <v>94.354838709677423</v>
      </c>
      <c r="G67" s="21">
        <v>3076</v>
      </c>
      <c r="H67" s="22">
        <f t="shared" si="72"/>
        <v>109.85714285714286</v>
      </c>
      <c r="I67" s="21">
        <v>2693</v>
      </c>
      <c r="J67" s="22">
        <f t="shared" si="73"/>
        <v>86.870967741935488</v>
      </c>
      <c r="K67" s="21">
        <v>2588</v>
      </c>
      <c r="L67" s="22">
        <f t="shared" si="74"/>
        <v>86.266666666666666</v>
      </c>
      <c r="M67" s="21">
        <v>2787</v>
      </c>
      <c r="N67" s="22">
        <f t="shared" si="75"/>
        <v>89.903225806451616</v>
      </c>
      <c r="O67" s="21">
        <v>2401</v>
      </c>
      <c r="P67" s="22">
        <f t="shared" si="76"/>
        <v>80.033333333333331</v>
      </c>
      <c r="Q67" s="21">
        <v>2506</v>
      </c>
      <c r="R67" s="22">
        <f t="shared" si="77"/>
        <v>80.838709677419359</v>
      </c>
      <c r="S67" s="21">
        <v>2826</v>
      </c>
      <c r="T67" s="22">
        <f t="shared" si="78"/>
        <v>91.161290322580641</v>
      </c>
      <c r="U67" s="21">
        <v>3174</v>
      </c>
      <c r="V67" s="22">
        <f t="shared" si="79"/>
        <v>105.8</v>
      </c>
      <c r="W67" s="21">
        <v>1933</v>
      </c>
      <c r="X67" s="22">
        <f t="shared" si="80"/>
        <v>62.354838709677416</v>
      </c>
      <c r="Y67" s="21">
        <v>1717</v>
      </c>
      <c r="Z67" s="22">
        <f t="shared" si="81"/>
        <v>57.233333333333334</v>
      </c>
      <c r="AA67" s="21">
        <v>2653</v>
      </c>
      <c r="AB67" s="22">
        <f t="shared" si="82"/>
        <v>85.58064516129032</v>
      </c>
      <c r="AC67" s="23">
        <f t="shared" si="83"/>
        <v>32223.674347158219</v>
      </c>
      <c r="AD67" s="24">
        <f t="shared" si="84"/>
        <v>15.143217135088438</v>
      </c>
      <c r="AE67" s="21">
        <v>2707</v>
      </c>
      <c r="AF67" s="22">
        <f t="shared" si="85"/>
        <v>87.322580645161295</v>
      </c>
      <c r="AG67" s="21">
        <v>2669</v>
      </c>
      <c r="AH67" s="22">
        <f t="shared" si="86"/>
        <v>95.321428571428569</v>
      </c>
      <c r="AI67" s="21">
        <v>3651</v>
      </c>
      <c r="AJ67" s="22">
        <f t="shared" si="87"/>
        <v>117.7741935483871</v>
      </c>
      <c r="AK67" s="21">
        <v>3257</v>
      </c>
      <c r="AL67" s="22">
        <f t="shared" si="88"/>
        <v>108.56666666666666</v>
      </c>
      <c r="AM67" s="21">
        <v>3405</v>
      </c>
      <c r="AN67" s="22">
        <f t="shared" si="89"/>
        <v>109.83870967741936</v>
      </c>
      <c r="AO67" s="21">
        <v>3775</v>
      </c>
      <c r="AP67" s="22">
        <f t="shared" si="90"/>
        <v>125.83333333333333</v>
      </c>
      <c r="AQ67" s="21">
        <v>2543</v>
      </c>
      <c r="AR67" s="22">
        <f t="shared" si="91"/>
        <v>82.032258064516128</v>
      </c>
      <c r="AS67" s="21">
        <v>3854</v>
      </c>
      <c r="AT67" s="22">
        <f t="shared" si="92"/>
        <v>124.3225806451613</v>
      </c>
      <c r="AU67" s="21">
        <v>2904</v>
      </c>
      <c r="AV67" s="22">
        <f t="shared" si="93"/>
        <v>96.8</v>
      </c>
      <c r="AW67" s="21">
        <v>3122</v>
      </c>
      <c r="AX67" s="22">
        <f t="shared" si="94"/>
        <v>100.70967741935483</v>
      </c>
      <c r="AY67" s="21">
        <v>4217</v>
      </c>
      <c r="AZ67" s="22">
        <f t="shared" si="95"/>
        <v>140.56666666666666</v>
      </c>
      <c r="BA67" s="21">
        <v>2614</v>
      </c>
      <c r="BB67" s="22">
        <f t="shared" si="96"/>
        <v>84.322580645161295</v>
      </c>
      <c r="BC67" s="23">
        <f t="shared" si="97"/>
        <v>39907.08809523809</v>
      </c>
      <c r="BD67" s="24">
        <f t="shared" si="98"/>
        <v>18.349115273578921</v>
      </c>
      <c r="BE67" s="21">
        <v>2055</v>
      </c>
      <c r="BF67" s="22">
        <f t="shared" si="99"/>
        <v>66.290322580645167</v>
      </c>
      <c r="BG67" s="21">
        <v>2440</v>
      </c>
      <c r="BH67" s="22">
        <f t="shared" si="100"/>
        <v>87.142857142857139</v>
      </c>
      <c r="BI67" s="21">
        <v>1821</v>
      </c>
      <c r="BJ67" s="22">
        <f t="shared" si="101"/>
        <v>58.741935483870968</v>
      </c>
      <c r="BK67" s="21">
        <v>3826</v>
      </c>
      <c r="BL67" s="22">
        <f t="shared" si="102"/>
        <v>127.53333333333333</v>
      </c>
      <c r="BM67" s="21">
        <v>3106</v>
      </c>
      <c r="BN67" s="22">
        <f t="shared" si="103"/>
        <v>100.19354838709677</v>
      </c>
      <c r="BO67" s="21">
        <v>3211</v>
      </c>
      <c r="BP67" s="22">
        <f t="shared" si="104"/>
        <v>107.03333333333333</v>
      </c>
      <c r="BQ67" s="21">
        <v>2822</v>
      </c>
      <c r="BR67" s="22">
        <f t="shared" si="105"/>
        <v>91.032258064516128</v>
      </c>
      <c r="BS67" s="21">
        <v>3008</v>
      </c>
      <c r="BT67" s="22">
        <f t="shared" si="106"/>
        <v>97.032258064516128</v>
      </c>
      <c r="BU67" s="21">
        <v>2520</v>
      </c>
      <c r="BV67" s="22">
        <f t="shared" si="107"/>
        <v>84</v>
      </c>
      <c r="BW67" s="21">
        <v>3489</v>
      </c>
      <c r="BX67" s="22">
        <f t="shared" si="108"/>
        <v>112.54838709677419</v>
      </c>
      <c r="BY67" s="21">
        <v>2429</v>
      </c>
      <c r="BZ67" s="22">
        <f t="shared" si="109"/>
        <v>80.966666666666669</v>
      </c>
      <c r="CA67" s="21">
        <v>2206</v>
      </c>
      <c r="CB67" s="22">
        <f t="shared" si="110"/>
        <v>71.161290322580641</v>
      </c>
      <c r="CC67" s="23">
        <f t="shared" si="111"/>
        <v>33945.514900153605</v>
      </c>
      <c r="CD67" s="24">
        <f t="shared" si="112"/>
        <v>19.955615560666423</v>
      </c>
      <c r="CE67" s="21">
        <v>2384</v>
      </c>
      <c r="CF67" s="22">
        <f t="shared" si="113"/>
        <v>76.903225806451616</v>
      </c>
      <c r="CG67" s="21">
        <v>2088</v>
      </c>
      <c r="CH67" s="22">
        <f t="shared" si="114"/>
        <v>74.571428571428569</v>
      </c>
      <c r="CI67" s="21">
        <v>3204</v>
      </c>
      <c r="CJ67" s="22">
        <f t="shared" si="115"/>
        <v>103.35483870967742</v>
      </c>
      <c r="CK67" s="21">
        <v>2976</v>
      </c>
      <c r="CL67" s="22">
        <f t="shared" si="116"/>
        <v>99.2</v>
      </c>
      <c r="CM67" s="21">
        <v>3285</v>
      </c>
      <c r="CN67" s="22">
        <f t="shared" si="117"/>
        <v>105.96774193548387</v>
      </c>
      <c r="CO67" s="21">
        <v>2149</v>
      </c>
      <c r="CP67" s="22">
        <f t="shared" si="118"/>
        <v>71.63333333333334</v>
      </c>
      <c r="CQ67" s="21">
        <v>2479</v>
      </c>
      <c r="CR67" s="22">
        <f t="shared" si="119"/>
        <v>79.967741935483872</v>
      </c>
      <c r="CS67" s="21">
        <v>2459</v>
      </c>
      <c r="CT67" s="22">
        <f t="shared" si="120"/>
        <v>79.322580645161295</v>
      </c>
      <c r="CU67" s="21">
        <v>2761</v>
      </c>
      <c r="CV67" s="22">
        <f t="shared" si="121"/>
        <v>92.033333333333331</v>
      </c>
      <c r="CW67" s="21">
        <v>2835</v>
      </c>
      <c r="CX67" s="22">
        <f t="shared" si="122"/>
        <v>91.451612903225808</v>
      </c>
      <c r="CY67" s="21">
        <v>2472</v>
      </c>
      <c r="CZ67" s="22">
        <f t="shared" si="123"/>
        <v>82.4</v>
      </c>
      <c r="DA67" s="21">
        <v>3835</v>
      </c>
      <c r="DB67" s="22">
        <f t="shared" si="124"/>
        <v>123.70967741935483</v>
      </c>
      <c r="DC67" s="23">
        <f t="shared" si="125"/>
        <v>33883.805837173582</v>
      </c>
      <c r="DD67" s="24">
        <f t="shared" si="126"/>
        <v>15.608379364906362</v>
      </c>
      <c r="DE67" s="21">
        <v>2402</v>
      </c>
      <c r="DF67" s="22">
        <f t="shared" si="127"/>
        <v>77.483870967741936</v>
      </c>
      <c r="DG67" s="21">
        <v>3277</v>
      </c>
      <c r="DH67" s="22">
        <f t="shared" si="128"/>
        <v>117.03571428571429</v>
      </c>
      <c r="DI67" s="21">
        <v>2952</v>
      </c>
      <c r="DJ67" s="22">
        <f t="shared" si="129"/>
        <v>95.225806451612897</v>
      </c>
      <c r="DK67" s="21">
        <v>3248</v>
      </c>
      <c r="DL67" s="22">
        <f t="shared" si="130"/>
        <v>108.26666666666667</v>
      </c>
      <c r="DM67" s="21">
        <v>1424</v>
      </c>
      <c r="DN67" s="22">
        <f t="shared" si="131"/>
        <v>45.935483870967744</v>
      </c>
      <c r="DO67" s="21">
        <v>2662</v>
      </c>
      <c r="DP67" s="22">
        <f t="shared" si="132"/>
        <v>88.733333333333334</v>
      </c>
      <c r="DQ67" s="21">
        <v>2243</v>
      </c>
      <c r="DR67" s="22">
        <f t="shared" si="133"/>
        <v>72.354838709677423</v>
      </c>
      <c r="DS67" s="21">
        <v>3104</v>
      </c>
      <c r="DT67" s="22">
        <f t="shared" si="134"/>
        <v>100.12903225806451</v>
      </c>
      <c r="DU67" s="21">
        <v>2558</v>
      </c>
      <c r="DV67" s="22">
        <f t="shared" si="135"/>
        <v>85.266666666666666</v>
      </c>
      <c r="DW67" s="21">
        <v>2572</v>
      </c>
      <c r="DX67" s="22">
        <f t="shared" si="136"/>
        <v>82.967741935483872</v>
      </c>
      <c r="DY67" s="21">
        <v>3206</v>
      </c>
      <c r="DZ67" s="22">
        <f t="shared" si="137"/>
        <v>106.86666666666666</v>
      </c>
      <c r="EA67" s="21">
        <v>2688</v>
      </c>
      <c r="EB67" s="22">
        <f t="shared" si="138"/>
        <v>86.709677419354833</v>
      </c>
      <c r="EC67" s="23">
        <f t="shared" si="139"/>
        <v>33316.265821812602</v>
      </c>
      <c r="ED67" s="24">
        <f t="shared" si="140"/>
        <v>18.970862421938115</v>
      </c>
      <c r="EE67" s="25">
        <f t="shared" si="141"/>
        <v>1428.4720435302659</v>
      </c>
    </row>
    <row r="68" spans="1:135" ht="15" customHeight="1" x14ac:dyDescent="0.35">
      <c r="A68" s="17">
        <v>63</v>
      </c>
      <c r="B68" s="18" t="s">
        <v>160</v>
      </c>
      <c r="C68" s="19" t="s">
        <v>161</v>
      </c>
      <c r="D68" s="20" t="s">
        <v>57</v>
      </c>
      <c r="E68" s="21">
        <v>4026</v>
      </c>
      <c r="F68" s="22">
        <f t="shared" si="71"/>
        <v>129.87096774193549</v>
      </c>
      <c r="G68" s="21">
        <v>6264</v>
      </c>
      <c r="H68" s="22">
        <f t="shared" si="72"/>
        <v>223.71428571428572</v>
      </c>
      <c r="I68" s="21">
        <v>6373</v>
      </c>
      <c r="J68" s="22">
        <f t="shared" si="73"/>
        <v>205.58064516129033</v>
      </c>
      <c r="K68" s="21">
        <v>4271</v>
      </c>
      <c r="L68" s="22">
        <f t="shared" si="74"/>
        <v>142.36666666666667</v>
      </c>
      <c r="M68" s="21">
        <v>4851</v>
      </c>
      <c r="N68" s="22">
        <f t="shared" si="75"/>
        <v>156.48387096774192</v>
      </c>
      <c r="O68" s="21">
        <v>3883</v>
      </c>
      <c r="P68" s="22">
        <f t="shared" si="76"/>
        <v>129.43333333333334</v>
      </c>
      <c r="Q68" s="21">
        <v>6246</v>
      </c>
      <c r="R68" s="22">
        <f t="shared" si="77"/>
        <v>201.48387096774192</v>
      </c>
      <c r="S68" s="21">
        <v>5911</v>
      </c>
      <c r="T68" s="22">
        <f t="shared" si="78"/>
        <v>190.67741935483872</v>
      </c>
      <c r="U68" s="21">
        <v>4230</v>
      </c>
      <c r="V68" s="22">
        <f t="shared" si="79"/>
        <v>141</v>
      </c>
      <c r="W68" s="21">
        <v>5838</v>
      </c>
      <c r="X68" s="22">
        <f t="shared" si="80"/>
        <v>188.32258064516128</v>
      </c>
      <c r="Y68" s="21">
        <v>4495</v>
      </c>
      <c r="Z68" s="22">
        <f t="shared" si="81"/>
        <v>149.83333333333334</v>
      </c>
      <c r="AA68" s="21">
        <v>2985</v>
      </c>
      <c r="AB68" s="22">
        <f t="shared" si="82"/>
        <v>96.290322580645167</v>
      </c>
      <c r="AC68" s="23">
        <f t="shared" si="83"/>
        <v>61231.766973886333</v>
      </c>
      <c r="AD68" s="24">
        <f t="shared" si="84"/>
        <v>38.361359791959444</v>
      </c>
      <c r="AE68" s="21">
        <v>5986</v>
      </c>
      <c r="AF68" s="22">
        <f t="shared" si="85"/>
        <v>193.09677419354838</v>
      </c>
      <c r="AG68" s="21">
        <v>3423</v>
      </c>
      <c r="AH68" s="22">
        <f t="shared" si="86"/>
        <v>122.25</v>
      </c>
      <c r="AI68" s="21">
        <v>4590</v>
      </c>
      <c r="AJ68" s="22">
        <f t="shared" si="87"/>
        <v>148.06451612903226</v>
      </c>
      <c r="AK68" s="21">
        <v>6167</v>
      </c>
      <c r="AL68" s="22">
        <f t="shared" si="88"/>
        <v>205.56666666666666</v>
      </c>
      <c r="AM68" s="21">
        <v>3332</v>
      </c>
      <c r="AN68" s="22">
        <f t="shared" si="89"/>
        <v>107.48387096774194</v>
      </c>
      <c r="AO68" s="21">
        <v>6196</v>
      </c>
      <c r="AP68" s="22">
        <f t="shared" si="90"/>
        <v>206.53333333333333</v>
      </c>
      <c r="AQ68" s="21">
        <v>4677</v>
      </c>
      <c r="AR68" s="22">
        <f t="shared" si="91"/>
        <v>150.87096774193549</v>
      </c>
      <c r="AS68" s="21">
        <v>2750</v>
      </c>
      <c r="AT68" s="22">
        <f t="shared" si="92"/>
        <v>88.709677419354833</v>
      </c>
      <c r="AU68" s="21">
        <v>2961</v>
      </c>
      <c r="AV68" s="22">
        <f t="shared" si="93"/>
        <v>98.7</v>
      </c>
      <c r="AW68" s="21">
        <v>5158</v>
      </c>
      <c r="AX68" s="22">
        <f t="shared" si="94"/>
        <v>166.38709677419354</v>
      </c>
      <c r="AY68" s="21">
        <v>5533</v>
      </c>
      <c r="AZ68" s="22">
        <f t="shared" si="95"/>
        <v>184.43333333333334</v>
      </c>
      <c r="BA68" s="21">
        <v>5865</v>
      </c>
      <c r="BB68" s="22">
        <f t="shared" si="96"/>
        <v>189.19354838709677</v>
      </c>
      <c r="BC68" s="23">
        <f t="shared" si="97"/>
        <v>58310.09623655914</v>
      </c>
      <c r="BD68" s="24">
        <f t="shared" si="98"/>
        <v>42.414272214919897</v>
      </c>
      <c r="BE68" s="21">
        <v>4220</v>
      </c>
      <c r="BF68" s="22">
        <f t="shared" si="99"/>
        <v>136.12903225806451</v>
      </c>
      <c r="BG68" s="21">
        <v>3069</v>
      </c>
      <c r="BH68" s="22">
        <f t="shared" si="100"/>
        <v>109.60714285714286</v>
      </c>
      <c r="BI68" s="21">
        <v>4628</v>
      </c>
      <c r="BJ68" s="22">
        <f t="shared" si="101"/>
        <v>149.29032258064515</v>
      </c>
      <c r="BK68" s="21">
        <v>5221</v>
      </c>
      <c r="BL68" s="22">
        <f t="shared" si="102"/>
        <v>174.03333333333333</v>
      </c>
      <c r="BM68" s="21">
        <v>6203</v>
      </c>
      <c r="BN68" s="22">
        <f t="shared" si="103"/>
        <v>200.09677419354838</v>
      </c>
      <c r="BO68" s="21">
        <v>5481</v>
      </c>
      <c r="BP68" s="22">
        <f t="shared" si="104"/>
        <v>182.7</v>
      </c>
      <c r="BQ68" s="21">
        <v>5019</v>
      </c>
      <c r="BR68" s="22">
        <f t="shared" si="105"/>
        <v>161.90322580645162</v>
      </c>
      <c r="BS68" s="21">
        <v>6072</v>
      </c>
      <c r="BT68" s="22">
        <f t="shared" si="106"/>
        <v>195.87096774193549</v>
      </c>
      <c r="BU68" s="21">
        <v>5379</v>
      </c>
      <c r="BV68" s="22">
        <f t="shared" si="107"/>
        <v>179.3</v>
      </c>
      <c r="BW68" s="21">
        <v>3248</v>
      </c>
      <c r="BX68" s="22">
        <f t="shared" si="108"/>
        <v>104.7741935483871</v>
      </c>
      <c r="BY68" s="21">
        <v>4345</v>
      </c>
      <c r="BZ68" s="22">
        <f t="shared" si="109"/>
        <v>144.83333333333334</v>
      </c>
      <c r="CA68" s="21">
        <v>3887</v>
      </c>
      <c r="CB68" s="22">
        <f t="shared" si="110"/>
        <v>125.38709677419355</v>
      </c>
      <c r="CC68" s="23">
        <f t="shared" si="111"/>
        <v>58510.538325652851</v>
      </c>
      <c r="CD68" s="24">
        <f t="shared" si="112"/>
        <v>32.224659352641979</v>
      </c>
      <c r="CE68" s="21">
        <v>2608</v>
      </c>
      <c r="CF68" s="22">
        <f t="shared" si="113"/>
        <v>84.129032258064512</v>
      </c>
      <c r="CG68" s="21">
        <v>2504</v>
      </c>
      <c r="CH68" s="22">
        <f t="shared" si="114"/>
        <v>89.428571428571431</v>
      </c>
      <c r="CI68" s="21">
        <v>4808</v>
      </c>
      <c r="CJ68" s="22">
        <f t="shared" si="115"/>
        <v>155.09677419354838</v>
      </c>
      <c r="CK68" s="21">
        <v>4073</v>
      </c>
      <c r="CL68" s="22">
        <f t="shared" si="116"/>
        <v>135.76666666666668</v>
      </c>
      <c r="CM68" s="21">
        <v>4125</v>
      </c>
      <c r="CN68" s="22">
        <f t="shared" si="117"/>
        <v>133.06451612903226</v>
      </c>
      <c r="CO68" s="21">
        <v>3044</v>
      </c>
      <c r="CP68" s="22">
        <f t="shared" si="118"/>
        <v>101.46666666666667</v>
      </c>
      <c r="CQ68" s="21">
        <v>3141</v>
      </c>
      <c r="CR68" s="22">
        <f t="shared" si="119"/>
        <v>101.3225806451613</v>
      </c>
      <c r="CS68" s="21">
        <v>3543</v>
      </c>
      <c r="CT68" s="22">
        <f t="shared" si="120"/>
        <v>114.29032258064517</v>
      </c>
      <c r="CU68" s="21">
        <v>4298</v>
      </c>
      <c r="CV68" s="22">
        <f t="shared" si="121"/>
        <v>143.26666666666668</v>
      </c>
      <c r="CW68" s="21">
        <v>3684</v>
      </c>
      <c r="CX68" s="22">
        <f t="shared" si="122"/>
        <v>118.83870967741936</v>
      </c>
      <c r="CY68" s="21">
        <v>2388</v>
      </c>
      <c r="CZ68" s="22">
        <f t="shared" si="123"/>
        <v>79.599999999999994</v>
      </c>
      <c r="DA68" s="21">
        <v>4432</v>
      </c>
      <c r="DB68" s="22">
        <f t="shared" si="124"/>
        <v>142.96774193548387</v>
      </c>
      <c r="DC68" s="23">
        <f t="shared" si="125"/>
        <v>43904.270506912442</v>
      </c>
      <c r="DD68" s="24">
        <f t="shared" si="126"/>
        <v>25.515104006680343</v>
      </c>
      <c r="DE68" s="21">
        <v>4868</v>
      </c>
      <c r="DF68" s="22">
        <f t="shared" si="127"/>
        <v>157.03225806451613</v>
      </c>
      <c r="DG68" s="21">
        <v>5272</v>
      </c>
      <c r="DH68" s="22">
        <f t="shared" si="128"/>
        <v>188.28571428571428</v>
      </c>
      <c r="DI68" s="21">
        <v>5185</v>
      </c>
      <c r="DJ68" s="22">
        <f t="shared" si="129"/>
        <v>167.25806451612902</v>
      </c>
      <c r="DK68" s="21">
        <v>5706</v>
      </c>
      <c r="DL68" s="22">
        <f t="shared" si="130"/>
        <v>190.2</v>
      </c>
      <c r="DM68" s="21">
        <v>5061</v>
      </c>
      <c r="DN68" s="22">
        <f t="shared" si="131"/>
        <v>163.25806451612902</v>
      </c>
      <c r="DO68" s="21">
        <v>5497</v>
      </c>
      <c r="DP68" s="22">
        <f t="shared" si="132"/>
        <v>183.23333333333332</v>
      </c>
      <c r="DQ68" s="21">
        <v>3117</v>
      </c>
      <c r="DR68" s="22">
        <f t="shared" si="133"/>
        <v>100.54838709677419</v>
      </c>
      <c r="DS68" s="21">
        <v>6358</v>
      </c>
      <c r="DT68" s="22">
        <f t="shared" si="134"/>
        <v>205.09677419354838</v>
      </c>
      <c r="DU68" s="21">
        <v>3244</v>
      </c>
      <c r="DV68" s="22">
        <f t="shared" si="135"/>
        <v>108.13333333333334</v>
      </c>
      <c r="DW68" s="21">
        <v>5823</v>
      </c>
      <c r="DX68" s="22">
        <f t="shared" si="136"/>
        <v>187.83870967741936</v>
      </c>
      <c r="DY68" s="21">
        <v>3984</v>
      </c>
      <c r="DZ68" s="22">
        <f t="shared" si="137"/>
        <v>132.80000000000001</v>
      </c>
      <c r="EA68" s="21">
        <v>3170</v>
      </c>
      <c r="EB68" s="22">
        <f t="shared" si="138"/>
        <v>102.25806451612904</v>
      </c>
      <c r="EC68" s="23">
        <f t="shared" si="139"/>
        <v>59068.684639016887</v>
      </c>
      <c r="ED68" s="24">
        <f t="shared" si="140"/>
        <v>37.337140175274072</v>
      </c>
      <c r="EE68" s="25">
        <f t="shared" si="141"/>
        <v>2357.0888250877597</v>
      </c>
    </row>
    <row r="69" spans="1:135" ht="15" customHeight="1" x14ac:dyDescent="0.35">
      <c r="A69" s="17">
        <v>64</v>
      </c>
      <c r="B69" s="18" t="s">
        <v>162</v>
      </c>
      <c r="C69" s="19" t="s">
        <v>163</v>
      </c>
      <c r="D69" s="20" t="s">
        <v>57</v>
      </c>
      <c r="E69" s="21">
        <v>4671</v>
      </c>
      <c r="F69" s="22">
        <f t="shared" si="71"/>
        <v>150.67741935483872</v>
      </c>
      <c r="G69" s="21">
        <v>3661</v>
      </c>
      <c r="H69" s="22">
        <f t="shared" si="72"/>
        <v>130.75</v>
      </c>
      <c r="I69" s="21">
        <v>3530</v>
      </c>
      <c r="J69" s="22">
        <f t="shared" si="73"/>
        <v>113.87096774193549</v>
      </c>
      <c r="K69" s="21">
        <v>4349</v>
      </c>
      <c r="L69" s="22">
        <f t="shared" si="74"/>
        <v>144.96666666666667</v>
      </c>
      <c r="M69" s="21">
        <v>3773</v>
      </c>
      <c r="N69" s="22">
        <f t="shared" si="75"/>
        <v>121.70967741935483</v>
      </c>
      <c r="O69" s="21">
        <v>3957</v>
      </c>
      <c r="P69" s="22">
        <f t="shared" si="76"/>
        <v>131.9</v>
      </c>
      <c r="Q69" s="21">
        <v>2732</v>
      </c>
      <c r="R69" s="22">
        <f t="shared" si="77"/>
        <v>88.129032258064512</v>
      </c>
      <c r="S69" s="21">
        <v>3517</v>
      </c>
      <c r="T69" s="22">
        <f t="shared" si="78"/>
        <v>113.45161290322581</v>
      </c>
      <c r="U69" s="21">
        <v>4770</v>
      </c>
      <c r="V69" s="22">
        <f t="shared" si="79"/>
        <v>159</v>
      </c>
      <c r="W69" s="21">
        <v>3994</v>
      </c>
      <c r="X69" s="22">
        <f t="shared" si="80"/>
        <v>128.83870967741936</v>
      </c>
      <c r="Y69" s="21">
        <v>5272</v>
      </c>
      <c r="Z69" s="22">
        <f t="shared" si="81"/>
        <v>175.73333333333332</v>
      </c>
      <c r="AA69" s="21">
        <v>2756</v>
      </c>
      <c r="AB69" s="22">
        <f t="shared" si="82"/>
        <v>88.903225806451616</v>
      </c>
      <c r="AC69" s="23">
        <f t="shared" si="83"/>
        <v>48441.027419354839</v>
      </c>
      <c r="AD69" s="24">
        <f t="shared" si="84"/>
        <v>26.323725176934865</v>
      </c>
      <c r="AE69" s="21">
        <v>4900</v>
      </c>
      <c r="AF69" s="22">
        <f t="shared" si="85"/>
        <v>158.06451612903226</v>
      </c>
      <c r="AG69" s="21">
        <v>5713</v>
      </c>
      <c r="AH69" s="22">
        <f t="shared" si="86"/>
        <v>204.03571428571428</v>
      </c>
      <c r="AI69" s="21">
        <v>5304</v>
      </c>
      <c r="AJ69" s="22">
        <f t="shared" si="87"/>
        <v>171.09677419354838</v>
      </c>
      <c r="AK69" s="21">
        <v>5079</v>
      </c>
      <c r="AL69" s="22">
        <f t="shared" si="88"/>
        <v>169.3</v>
      </c>
      <c r="AM69" s="21">
        <v>3856</v>
      </c>
      <c r="AN69" s="22">
        <f t="shared" si="89"/>
        <v>124.38709677419355</v>
      </c>
      <c r="AO69" s="21">
        <v>5835</v>
      </c>
      <c r="AP69" s="22">
        <f t="shared" si="90"/>
        <v>194.5</v>
      </c>
      <c r="AQ69" s="21">
        <v>4475</v>
      </c>
      <c r="AR69" s="22">
        <f t="shared" si="91"/>
        <v>144.35483870967741</v>
      </c>
      <c r="AS69" s="21">
        <v>4481</v>
      </c>
      <c r="AT69" s="22">
        <f t="shared" si="92"/>
        <v>144.54838709677421</v>
      </c>
      <c r="AU69" s="21">
        <v>2998</v>
      </c>
      <c r="AV69" s="22">
        <f t="shared" si="93"/>
        <v>99.933333333333337</v>
      </c>
      <c r="AW69" s="21">
        <v>2592</v>
      </c>
      <c r="AX69" s="22">
        <f t="shared" si="94"/>
        <v>83.612903225806448</v>
      </c>
      <c r="AY69" s="21">
        <v>4623</v>
      </c>
      <c r="AZ69" s="22">
        <f t="shared" si="95"/>
        <v>154.1</v>
      </c>
      <c r="BA69" s="21">
        <v>4419</v>
      </c>
      <c r="BB69" s="22">
        <f t="shared" si="96"/>
        <v>142.54838709677421</v>
      </c>
      <c r="BC69" s="23">
        <f t="shared" si="97"/>
        <v>55922.933563748069</v>
      </c>
      <c r="BD69" s="24">
        <f t="shared" si="98"/>
        <v>35.005223359324489</v>
      </c>
      <c r="BE69" s="21">
        <v>5840</v>
      </c>
      <c r="BF69" s="22">
        <f t="shared" si="99"/>
        <v>188.38709677419354</v>
      </c>
      <c r="BG69" s="21">
        <v>3630</v>
      </c>
      <c r="BH69" s="22">
        <f t="shared" si="100"/>
        <v>129.64285714285714</v>
      </c>
      <c r="BI69" s="21">
        <v>5156</v>
      </c>
      <c r="BJ69" s="22">
        <f t="shared" si="101"/>
        <v>166.32258064516128</v>
      </c>
      <c r="BK69" s="21">
        <v>5691</v>
      </c>
      <c r="BL69" s="22">
        <f t="shared" si="102"/>
        <v>189.7</v>
      </c>
      <c r="BM69" s="21">
        <v>3765</v>
      </c>
      <c r="BN69" s="22">
        <f t="shared" si="103"/>
        <v>121.45161290322581</v>
      </c>
      <c r="BO69" s="21">
        <v>4001</v>
      </c>
      <c r="BP69" s="22">
        <f t="shared" si="104"/>
        <v>133.36666666666667</v>
      </c>
      <c r="BQ69" s="21">
        <v>4804</v>
      </c>
      <c r="BR69" s="22">
        <f t="shared" si="105"/>
        <v>154.96774193548387</v>
      </c>
      <c r="BS69" s="21">
        <v>4345</v>
      </c>
      <c r="BT69" s="22">
        <f t="shared" si="106"/>
        <v>140.16129032258064</v>
      </c>
      <c r="BU69" s="21">
        <v>3135</v>
      </c>
      <c r="BV69" s="22">
        <f t="shared" si="107"/>
        <v>104.5</v>
      </c>
      <c r="BW69" s="21">
        <v>3341</v>
      </c>
      <c r="BX69" s="22">
        <f t="shared" si="108"/>
        <v>107.7741935483871</v>
      </c>
      <c r="BY69" s="21">
        <v>5454</v>
      </c>
      <c r="BZ69" s="22">
        <f t="shared" si="109"/>
        <v>181.8</v>
      </c>
      <c r="CA69" s="21">
        <v>3250</v>
      </c>
      <c r="CB69" s="22">
        <f t="shared" si="110"/>
        <v>104.83870967741936</v>
      </c>
      <c r="CC69" s="23">
        <f t="shared" si="111"/>
        <v>54030.074039938561</v>
      </c>
      <c r="CD69" s="24">
        <f t="shared" si="112"/>
        <v>32.125468723489774</v>
      </c>
      <c r="CE69" s="21">
        <v>3196</v>
      </c>
      <c r="CF69" s="22">
        <f t="shared" si="113"/>
        <v>103.09677419354838</v>
      </c>
      <c r="CG69" s="21">
        <v>5317</v>
      </c>
      <c r="CH69" s="22">
        <f t="shared" si="114"/>
        <v>189.89285714285714</v>
      </c>
      <c r="CI69" s="21">
        <v>5498</v>
      </c>
      <c r="CJ69" s="22">
        <f t="shared" si="115"/>
        <v>177.35483870967741</v>
      </c>
      <c r="CK69" s="21">
        <v>5495</v>
      </c>
      <c r="CL69" s="22">
        <f t="shared" si="116"/>
        <v>183.16666666666666</v>
      </c>
      <c r="CM69" s="21">
        <v>5772</v>
      </c>
      <c r="CN69" s="22">
        <f t="shared" si="117"/>
        <v>186.19354838709677</v>
      </c>
      <c r="CO69" s="21">
        <v>5985</v>
      </c>
      <c r="CP69" s="22">
        <f t="shared" si="118"/>
        <v>199.5</v>
      </c>
      <c r="CQ69" s="21">
        <v>4156</v>
      </c>
      <c r="CR69" s="22">
        <f t="shared" si="119"/>
        <v>134.06451612903226</v>
      </c>
      <c r="CS69" s="21">
        <v>4459</v>
      </c>
      <c r="CT69" s="22">
        <f t="shared" si="120"/>
        <v>143.83870967741936</v>
      </c>
      <c r="CU69" s="21">
        <v>3571</v>
      </c>
      <c r="CV69" s="22">
        <f t="shared" si="121"/>
        <v>119.03333333333333</v>
      </c>
      <c r="CW69" s="21">
        <v>2804</v>
      </c>
      <c r="CX69" s="22">
        <f t="shared" si="122"/>
        <v>90.451612903225808</v>
      </c>
      <c r="CY69" s="21">
        <v>2910</v>
      </c>
      <c r="CZ69" s="22">
        <f t="shared" si="123"/>
        <v>97</v>
      </c>
      <c r="DA69" s="21">
        <v>5063</v>
      </c>
      <c r="DB69" s="22">
        <f t="shared" si="124"/>
        <v>163.32258064516128</v>
      </c>
      <c r="DC69" s="23">
        <f t="shared" si="125"/>
        <v>55849.592857142852</v>
      </c>
      <c r="DD69" s="24">
        <f t="shared" si="126"/>
        <v>39.507146152349037</v>
      </c>
      <c r="DE69" s="21">
        <v>3546</v>
      </c>
      <c r="DF69" s="22">
        <f t="shared" si="127"/>
        <v>114.38709677419355</v>
      </c>
      <c r="DG69" s="21">
        <v>3098</v>
      </c>
      <c r="DH69" s="22">
        <f t="shared" si="128"/>
        <v>110.64285714285714</v>
      </c>
      <c r="DI69" s="21">
        <v>2517</v>
      </c>
      <c r="DJ69" s="22">
        <f t="shared" si="129"/>
        <v>81.193548387096769</v>
      </c>
      <c r="DK69" s="21">
        <v>4028</v>
      </c>
      <c r="DL69" s="22">
        <f t="shared" si="130"/>
        <v>134.26666666666668</v>
      </c>
      <c r="DM69" s="21">
        <v>2436</v>
      </c>
      <c r="DN69" s="22">
        <f t="shared" si="131"/>
        <v>78.58064516129032</v>
      </c>
      <c r="DO69" s="21">
        <v>3925</v>
      </c>
      <c r="DP69" s="22">
        <f t="shared" si="132"/>
        <v>130.83333333333334</v>
      </c>
      <c r="DQ69" s="21">
        <v>4729</v>
      </c>
      <c r="DR69" s="22">
        <f t="shared" si="133"/>
        <v>152.54838709677421</v>
      </c>
      <c r="DS69" s="21">
        <v>3060</v>
      </c>
      <c r="DT69" s="22">
        <f t="shared" si="134"/>
        <v>98.709677419354833</v>
      </c>
      <c r="DU69" s="21">
        <v>3441</v>
      </c>
      <c r="DV69" s="22">
        <f t="shared" si="135"/>
        <v>114.7</v>
      </c>
      <c r="DW69" s="21">
        <v>3916</v>
      </c>
      <c r="DX69" s="22">
        <f t="shared" si="136"/>
        <v>126.3225806451613</v>
      </c>
      <c r="DY69" s="21">
        <v>3026</v>
      </c>
      <c r="DZ69" s="22">
        <f t="shared" si="137"/>
        <v>100.86666666666666</v>
      </c>
      <c r="EA69" s="21">
        <v>3824</v>
      </c>
      <c r="EB69" s="22">
        <f t="shared" si="138"/>
        <v>123.35483870967742</v>
      </c>
      <c r="EC69" s="23">
        <f t="shared" si="139"/>
        <v>42789.051459293391</v>
      </c>
      <c r="ED69" s="24">
        <f t="shared" si="140"/>
        <v>21.675723761181807</v>
      </c>
      <c r="EE69" s="25">
        <f t="shared" si="141"/>
        <v>2117.5517205490905</v>
      </c>
    </row>
    <row r="70" spans="1:135" ht="15" customHeight="1" x14ac:dyDescent="0.35">
      <c r="A70" s="17">
        <v>65</v>
      </c>
      <c r="B70" s="18" t="s">
        <v>164</v>
      </c>
      <c r="C70" s="19" t="s">
        <v>165</v>
      </c>
      <c r="D70" s="20" t="s">
        <v>57</v>
      </c>
      <c r="E70" s="21">
        <v>2192</v>
      </c>
      <c r="F70" s="22">
        <f t="shared" ref="F70:F101" si="142">E70/31</f>
        <v>70.709677419354833</v>
      </c>
      <c r="G70" s="21">
        <v>1857</v>
      </c>
      <c r="H70" s="22">
        <f t="shared" ref="H70:H101" si="143">G70/28</f>
        <v>66.321428571428569</v>
      </c>
      <c r="I70" s="21">
        <v>1777</v>
      </c>
      <c r="J70" s="22">
        <f t="shared" ref="J70:J101" si="144">I70/31</f>
        <v>57.322580645161288</v>
      </c>
      <c r="K70" s="21">
        <v>1963</v>
      </c>
      <c r="L70" s="22">
        <f t="shared" ref="L70:L101" si="145">K70/30</f>
        <v>65.433333333333337</v>
      </c>
      <c r="M70" s="21">
        <v>1258</v>
      </c>
      <c r="N70" s="22">
        <f t="shared" ref="N70:N101" si="146">M70/31</f>
        <v>40.58064516129032</v>
      </c>
      <c r="O70" s="21">
        <v>1660</v>
      </c>
      <c r="P70" s="22">
        <f t="shared" ref="P70:P101" si="147">O70/30</f>
        <v>55.333333333333336</v>
      </c>
      <c r="Q70" s="21">
        <v>1619</v>
      </c>
      <c r="R70" s="22">
        <f t="shared" ref="R70:R101" si="148">Q70/31</f>
        <v>52.225806451612904</v>
      </c>
      <c r="S70" s="21">
        <v>2482</v>
      </c>
      <c r="T70" s="22">
        <f t="shared" ref="T70:T101" si="149">S70/31</f>
        <v>80.064516129032256</v>
      </c>
      <c r="U70" s="21">
        <v>1976</v>
      </c>
      <c r="V70" s="22">
        <f t="shared" ref="V70:V101" si="150">U70/30</f>
        <v>65.86666666666666</v>
      </c>
      <c r="W70" s="21">
        <v>2650</v>
      </c>
      <c r="X70" s="22">
        <f t="shared" ref="X70:X101" si="151">W70/31</f>
        <v>85.483870967741936</v>
      </c>
      <c r="Y70" s="21">
        <v>1474</v>
      </c>
      <c r="Z70" s="22">
        <f t="shared" ref="Z70:Z101" si="152">Y70/30</f>
        <v>49.133333333333333</v>
      </c>
      <c r="AA70" s="21">
        <v>2471</v>
      </c>
      <c r="AB70" s="22">
        <f t="shared" ref="AB70:AB101" si="153">AA70/31</f>
        <v>79.709677419354833</v>
      </c>
      <c r="AC70" s="23">
        <f t="shared" ref="AC70:AC105" si="154">SUM(E70:AA70)</f>
        <v>24067.475192012287</v>
      </c>
      <c r="AD70" s="24">
        <f t="shared" ref="AD70:AD105" si="155">IFERROR(STDEV(F70,H70,J70,L70,N70,P70,R70,T70,V70,X70,Z70,AB70),0)</f>
        <v>13.652102169989924</v>
      </c>
      <c r="AE70" s="21">
        <v>2857</v>
      </c>
      <c r="AF70" s="22">
        <f t="shared" ref="AF70:AF101" si="156">AE70/31</f>
        <v>92.161290322580641</v>
      </c>
      <c r="AG70" s="21">
        <v>2129</v>
      </c>
      <c r="AH70" s="22">
        <f t="shared" ref="AH70:AH101" si="157">AG70/28</f>
        <v>76.035714285714292</v>
      </c>
      <c r="AI70" s="21">
        <v>1946</v>
      </c>
      <c r="AJ70" s="22">
        <f t="shared" ref="AJ70:AJ101" si="158">AI70/31</f>
        <v>62.774193548387096</v>
      </c>
      <c r="AK70" s="21">
        <v>1853</v>
      </c>
      <c r="AL70" s="22">
        <f t="shared" ref="AL70:AL101" si="159">AK70/30</f>
        <v>61.766666666666666</v>
      </c>
      <c r="AM70" s="21">
        <v>2285</v>
      </c>
      <c r="AN70" s="22">
        <f t="shared" ref="AN70:AN101" si="160">AM70/31</f>
        <v>73.709677419354833</v>
      </c>
      <c r="AO70" s="21">
        <v>1625</v>
      </c>
      <c r="AP70" s="22">
        <f t="shared" ref="AP70:AP101" si="161">AO70/30</f>
        <v>54.166666666666664</v>
      </c>
      <c r="AQ70" s="21">
        <v>2381</v>
      </c>
      <c r="AR70" s="22">
        <f t="shared" ref="AR70:AR101" si="162">AQ70/31</f>
        <v>76.806451612903231</v>
      </c>
      <c r="AS70" s="21">
        <v>2794</v>
      </c>
      <c r="AT70" s="22">
        <f t="shared" ref="AT70:AT101" si="163">AS70/31</f>
        <v>90.129032258064512</v>
      </c>
      <c r="AU70" s="21">
        <v>2824</v>
      </c>
      <c r="AV70" s="22">
        <f t="shared" ref="AV70:AV101" si="164">AU70/30</f>
        <v>94.13333333333334</v>
      </c>
      <c r="AW70" s="21">
        <v>1562</v>
      </c>
      <c r="AX70" s="22">
        <f t="shared" ref="AX70:AX101" si="165">AW70/31</f>
        <v>50.387096774193552</v>
      </c>
      <c r="AY70" s="21">
        <v>2262</v>
      </c>
      <c r="AZ70" s="22">
        <f t="shared" ref="AZ70:AZ101" si="166">AY70/30</f>
        <v>75.400000000000006</v>
      </c>
      <c r="BA70" s="21">
        <v>1779</v>
      </c>
      <c r="BB70" s="22">
        <f t="shared" ref="BB70:BB101" si="167">BA70/31</f>
        <v>57.387096774193552</v>
      </c>
      <c r="BC70" s="23">
        <f t="shared" ref="BC70:BC105" si="168">SUM(AE70:BA70)</f>
        <v>27104.470122887866</v>
      </c>
      <c r="BD70" s="24">
        <f t="shared" ref="BD70:BD105" si="169">IFERROR(STDEV(AF70,AH70,AJ70,AL70,AN70,AP70,AR70,AT70,AV70,AX70,AZ70,BB70),0)</f>
        <v>14.976810957292001</v>
      </c>
      <c r="BE70" s="21">
        <v>3059</v>
      </c>
      <c r="BF70" s="22">
        <f t="shared" ref="BF70:BF101" si="170">BE70/31</f>
        <v>98.677419354838705</v>
      </c>
      <c r="BG70" s="21">
        <v>1545</v>
      </c>
      <c r="BH70" s="22">
        <f t="shared" ref="BH70:BH101" si="171">BG70/28</f>
        <v>55.178571428571431</v>
      </c>
      <c r="BI70" s="21">
        <v>1543</v>
      </c>
      <c r="BJ70" s="22">
        <f t="shared" ref="BJ70:BJ101" si="172">BI70/31</f>
        <v>49.774193548387096</v>
      </c>
      <c r="BK70" s="21">
        <v>1437</v>
      </c>
      <c r="BL70" s="22">
        <f t="shared" ref="BL70:BL101" si="173">BK70/30</f>
        <v>47.9</v>
      </c>
      <c r="BM70" s="21">
        <v>2350</v>
      </c>
      <c r="BN70" s="22">
        <f t="shared" ref="BN70:BN101" si="174">BM70/31</f>
        <v>75.806451612903231</v>
      </c>
      <c r="BO70" s="21">
        <v>1460</v>
      </c>
      <c r="BP70" s="22">
        <f t="shared" ref="BP70:BP101" si="175">BO70/30</f>
        <v>48.666666666666664</v>
      </c>
      <c r="BQ70" s="21">
        <v>2490</v>
      </c>
      <c r="BR70" s="22">
        <f t="shared" ref="BR70:BR101" si="176">BQ70/31</f>
        <v>80.322580645161295</v>
      </c>
      <c r="BS70" s="21">
        <v>2159</v>
      </c>
      <c r="BT70" s="22">
        <f t="shared" ref="BT70:BT101" si="177">BS70/31</f>
        <v>69.645161290322577</v>
      </c>
      <c r="BU70" s="21">
        <v>2505</v>
      </c>
      <c r="BV70" s="22">
        <f t="shared" ref="BV70:BV101" si="178">BU70/30</f>
        <v>83.5</v>
      </c>
      <c r="BW70" s="21">
        <v>3096</v>
      </c>
      <c r="BX70" s="22">
        <f t="shared" ref="BX70:BX101" si="179">BW70/31</f>
        <v>99.870967741935488</v>
      </c>
      <c r="BY70" s="21">
        <v>2433</v>
      </c>
      <c r="BZ70" s="22">
        <f t="shared" ref="BZ70:BZ101" si="180">BY70/30</f>
        <v>81.099999999999994</v>
      </c>
      <c r="CA70" s="21">
        <v>2418</v>
      </c>
      <c r="CB70" s="22">
        <f t="shared" ref="CB70:CB101" si="181">CA70/31</f>
        <v>78</v>
      </c>
      <c r="CC70" s="23">
        <f t="shared" ref="CC70:CC105" si="182">SUM(BE70:CA70)</f>
        <v>27285.442012288782</v>
      </c>
      <c r="CD70" s="24">
        <f t="shared" ref="CD70:CD105" si="183">IFERROR(STDEV(BF70,BH70,BJ70,BL70,BN70,BP70,BR70,BT70,BV70,BX70,BZ70,CB70),0)</f>
        <v>18.412921156703153</v>
      </c>
      <c r="CE70" s="21">
        <v>2673</v>
      </c>
      <c r="CF70" s="22">
        <f t="shared" ref="CF70:CF101" si="184">CE70/31</f>
        <v>86.225806451612897</v>
      </c>
      <c r="CG70" s="21">
        <v>1868</v>
      </c>
      <c r="CH70" s="22">
        <f t="shared" ref="CH70:CH101" si="185">CG70/28</f>
        <v>66.714285714285708</v>
      </c>
      <c r="CI70" s="21">
        <v>2331</v>
      </c>
      <c r="CJ70" s="22">
        <f t="shared" ref="CJ70:CJ101" si="186">CI70/31</f>
        <v>75.193548387096769</v>
      </c>
      <c r="CK70" s="21">
        <v>1706</v>
      </c>
      <c r="CL70" s="22">
        <f t="shared" ref="CL70:CL101" si="187">CK70/30</f>
        <v>56.866666666666667</v>
      </c>
      <c r="CM70" s="21">
        <v>1488</v>
      </c>
      <c r="CN70" s="22">
        <f t="shared" ref="CN70:CN101" si="188">CM70/31</f>
        <v>48</v>
      </c>
      <c r="CO70" s="21">
        <v>2327</v>
      </c>
      <c r="CP70" s="22">
        <f t="shared" ref="CP70:CP101" si="189">CO70/30</f>
        <v>77.566666666666663</v>
      </c>
      <c r="CQ70" s="21">
        <v>2267</v>
      </c>
      <c r="CR70" s="22">
        <f t="shared" ref="CR70:CR101" si="190">CQ70/31</f>
        <v>73.129032258064512</v>
      </c>
      <c r="CS70" s="21">
        <v>1591</v>
      </c>
      <c r="CT70" s="22">
        <f t="shared" ref="CT70:CT101" si="191">CS70/31</f>
        <v>51.322580645161288</v>
      </c>
      <c r="CU70" s="21">
        <v>1857</v>
      </c>
      <c r="CV70" s="22">
        <f t="shared" ref="CV70:CV101" si="192">CU70/30</f>
        <v>61.9</v>
      </c>
      <c r="CW70" s="21">
        <v>1927</v>
      </c>
      <c r="CX70" s="22">
        <f t="shared" ref="CX70:CX101" si="193">CW70/31</f>
        <v>62.161290322580648</v>
      </c>
      <c r="CY70" s="21">
        <v>1753</v>
      </c>
      <c r="CZ70" s="22">
        <f t="shared" ref="CZ70:CZ101" si="194">CY70/30</f>
        <v>58.43333333333333</v>
      </c>
      <c r="DA70" s="21">
        <v>1914</v>
      </c>
      <c r="DB70" s="22">
        <f t="shared" ref="DB70:DB101" si="195">DA70/31</f>
        <v>61.741935483870968</v>
      </c>
      <c r="DC70" s="23">
        <f t="shared" ref="DC70:DC105" si="196">SUM(CE70:DA70)</f>
        <v>24419.513210445471</v>
      </c>
      <c r="DD70" s="24">
        <f t="shared" ref="DD70:DD105" si="197">IFERROR(STDEV(CF70,CH70,CJ70,CL70,CN70,CP70,CR70,CT70,CV70,CX70,CZ70,DB70),0)</f>
        <v>11.261218187793975</v>
      </c>
      <c r="DE70" s="21">
        <v>2274</v>
      </c>
      <c r="DF70" s="22">
        <f t="shared" ref="DF70:DF101" si="198">DE70/31</f>
        <v>73.354838709677423</v>
      </c>
      <c r="DG70" s="21">
        <v>2573</v>
      </c>
      <c r="DH70" s="22">
        <f t="shared" ref="DH70:DH101" si="199">DG70/28</f>
        <v>91.892857142857139</v>
      </c>
      <c r="DI70" s="21">
        <v>2506</v>
      </c>
      <c r="DJ70" s="22">
        <f t="shared" ref="DJ70:DJ101" si="200">DI70/31</f>
        <v>80.838709677419359</v>
      </c>
      <c r="DK70" s="21">
        <v>2196</v>
      </c>
      <c r="DL70" s="22">
        <f t="shared" ref="DL70:DL101" si="201">DK70/30</f>
        <v>73.2</v>
      </c>
      <c r="DM70" s="21">
        <v>1474</v>
      </c>
      <c r="DN70" s="22">
        <f t="shared" ref="DN70:DN101" si="202">DM70/31</f>
        <v>47.548387096774192</v>
      </c>
      <c r="DO70" s="21">
        <v>2035</v>
      </c>
      <c r="DP70" s="22">
        <f t="shared" ref="DP70:DP101" si="203">DO70/30</f>
        <v>67.833333333333329</v>
      </c>
      <c r="DQ70" s="21">
        <v>1926</v>
      </c>
      <c r="DR70" s="22">
        <f t="shared" ref="DR70:DR101" si="204">DQ70/31</f>
        <v>62.12903225806452</v>
      </c>
      <c r="DS70" s="21">
        <v>1496</v>
      </c>
      <c r="DT70" s="22">
        <f t="shared" ref="DT70:DT101" si="205">DS70/31</f>
        <v>48.258064516129032</v>
      </c>
      <c r="DU70" s="21">
        <v>2735</v>
      </c>
      <c r="DV70" s="22">
        <f t="shared" ref="DV70:DV101" si="206">DU70/30</f>
        <v>91.166666666666671</v>
      </c>
      <c r="DW70" s="21">
        <v>2269</v>
      </c>
      <c r="DX70" s="22">
        <f t="shared" ref="DX70:DX101" si="207">DW70/31</f>
        <v>73.193548387096769</v>
      </c>
      <c r="DY70" s="21">
        <v>2765</v>
      </c>
      <c r="DZ70" s="22">
        <f t="shared" ref="DZ70:DZ101" si="208">DY70/30</f>
        <v>92.166666666666671</v>
      </c>
      <c r="EA70" s="21">
        <v>2392</v>
      </c>
      <c r="EB70" s="22">
        <f t="shared" ref="EB70:EB101" si="209">EA70/31</f>
        <v>77.161290322580641</v>
      </c>
      <c r="EC70" s="23">
        <f t="shared" ref="EC70:EC105" si="210">SUM(DE70:EA70)</f>
        <v>27442.58210445469</v>
      </c>
      <c r="ED70" s="24">
        <f t="shared" ref="ED70:ED105" si="211">IFERROR(STDEV(DF70,DH70,DJ70,DL70,DN70,DP70,DR70,DT70,DV70,DX70,DZ70,EB70),0)</f>
        <v>15.188174791090951</v>
      </c>
      <c r="EE70" s="25">
        <f t="shared" ref="EE70:EE105" si="212">STDEV(F70:AB70,AF70:BB70,BF70:CB70,CF70:DB70,DF70:EB70)</f>
        <v>1045.299766524256</v>
      </c>
    </row>
    <row r="71" spans="1:135" ht="15" customHeight="1" x14ac:dyDescent="0.35">
      <c r="A71" s="17">
        <v>66</v>
      </c>
      <c r="B71" s="18" t="s">
        <v>166</v>
      </c>
      <c r="C71" s="19" t="s">
        <v>167</v>
      </c>
      <c r="D71" s="20" t="s">
        <v>57</v>
      </c>
      <c r="E71" s="21">
        <v>2563</v>
      </c>
      <c r="F71" s="22">
        <f t="shared" si="142"/>
        <v>82.677419354838705</v>
      </c>
      <c r="G71" s="21">
        <v>2304</v>
      </c>
      <c r="H71" s="22">
        <f t="shared" si="143"/>
        <v>82.285714285714292</v>
      </c>
      <c r="I71" s="21">
        <v>2013</v>
      </c>
      <c r="J71" s="22">
        <f t="shared" si="144"/>
        <v>64.935483870967744</v>
      </c>
      <c r="K71" s="21">
        <v>2571</v>
      </c>
      <c r="L71" s="22">
        <f t="shared" si="145"/>
        <v>85.7</v>
      </c>
      <c r="M71" s="21">
        <v>1689</v>
      </c>
      <c r="N71" s="22">
        <f t="shared" si="146"/>
        <v>54.483870967741936</v>
      </c>
      <c r="O71" s="21">
        <v>2326</v>
      </c>
      <c r="P71" s="22">
        <f t="shared" si="147"/>
        <v>77.533333333333331</v>
      </c>
      <c r="Q71" s="21">
        <v>1647</v>
      </c>
      <c r="R71" s="22">
        <f t="shared" si="148"/>
        <v>53.12903225806452</v>
      </c>
      <c r="S71" s="21">
        <v>1988</v>
      </c>
      <c r="T71" s="22">
        <f t="shared" si="149"/>
        <v>64.129032258064512</v>
      </c>
      <c r="U71" s="21">
        <v>3444</v>
      </c>
      <c r="V71" s="22">
        <f t="shared" si="150"/>
        <v>114.8</v>
      </c>
      <c r="W71" s="21">
        <v>2309</v>
      </c>
      <c r="X71" s="22">
        <f t="shared" si="151"/>
        <v>74.483870967741936</v>
      </c>
      <c r="Y71" s="21">
        <v>2534</v>
      </c>
      <c r="Z71" s="22">
        <f t="shared" si="152"/>
        <v>84.466666666666669</v>
      </c>
      <c r="AA71" s="21">
        <v>2503</v>
      </c>
      <c r="AB71" s="22">
        <f t="shared" si="153"/>
        <v>80.741935483870961</v>
      </c>
      <c r="AC71" s="23">
        <f t="shared" si="154"/>
        <v>28729.624423963134</v>
      </c>
      <c r="AD71" s="24">
        <f t="shared" si="155"/>
        <v>16.589412606492903</v>
      </c>
      <c r="AE71" s="21">
        <v>1768</v>
      </c>
      <c r="AF71" s="22">
        <f t="shared" si="156"/>
        <v>57.032258064516128</v>
      </c>
      <c r="AG71" s="21">
        <v>3842</v>
      </c>
      <c r="AH71" s="22">
        <f t="shared" si="157"/>
        <v>137.21428571428572</v>
      </c>
      <c r="AI71" s="21">
        <v>2384</v>
      </c>
      <c r="AJ71" s="22">
        <f t="shared" si="158"/>
        <v>76.903225806451616</v>
      </c>
      <c r="AK71" s="21">
        <v>3227</v>
      </c>
      <c r="AL71" s="22">
        <f t="shared" si="159"/>
        <v>107.56666666666666</v>
      </c>
      <c r="AM71" s="21">
        <v>2822</v>
      </c>
      <c r="AN71" s="22">
        <f t="shared" si="160"/>
        <v>91.032258064516128</v>
      </c>
      <c r="AO71" s="21">
        <v>3506</v>
      </c>
      <c r="AP71" s="22">
        <f t="shared" si="161"/>
        <v>116.86666666666666</v>
      </c>
      <c r="AQ71" s="21">
        <v>3518</v>
      </c>
      <c r="AR71" s="22">
        <f t="shared" si="162"/>
        <v>113.48387096774194</v>
      </c>
      <c r="AS71" s="21">
        <v>2249</v>
      </c>
      <c r="AT71" s="22">
        <f t="shared" si="163"/>
        <v>72.548387096774192</v>
      </c>
      <c r="AU71" s="21">
        <v>2873</v>
      </c>
      <c r="AV71" s="22">
        <f t="shared" si="164"/>
        <v>95.766666666666666</v>
      </c>
      <c r="AW71" s="21">
        <v>2051</v>
      </c>
      <c r="AX71" s="22">
        <f t="shared" si="165"/>
        <v>66.161290322580641</v>
      </c>
      <c r="AY71" s="21">
        <v>3116</v>
      </c>
      <c r="AZ71" s="22">
        <f t="shared" si="166"/>
        <v>103.86666666666666</v>
      </c>
      <c r="BA71" s="21">
        <v>2476</v>
      </c>
      <c r="BB71" s="22">
        <f t="shared" si="167"/>
        <v>79.870967741935488</v>
      </c>
      <c r="BC71" s="23">
        <f t="shared" si="168"/>
        <v>34870.442242703532</v>
      </c>
      <c r="BD71" s="24">
        <f t="shared" si="169"/>
        <v>23.643572001396528</v>
      </c>
      <c r="BE71" s="21">
        <v>2485</v>
      </c>
      <c r="BF71" s="22">
        <f t="shared" si="170"/>
        <v>80.161290322580641</v>
      </c>
      <c r="BG71" s="21">
        <v>2807</v>
      </c>
      <c r="BH71" s="22">
        <f t="shared" si="171"/>
        <v>100.25</v>
      </c>
      <c r="BI71" s="21">
        <v>2243</v>
      </c>
      <c r="BJ71" s="22">
        <f t="shared" si="172"/>
        <v>72.354838709677423</v>
      </c>
      <c r="BK71" s="21">
        <v>1994</v>
      </c>
      <c r="BL71" s="22">
        <f t="shared" si="173"/>
        <v>66.466666666666669</v>
      </c>
      <c r="BM71" s="21">
        <v>2934</v>
      </c>
      <c r="BN71" s="22">
        <f t="shared" si="174"/>
        <v>94.645161290322577</v>
      </c>
      <c r="BO71" s="21">
        <v>2242</v>
      </c>
      <c r="BP71" s="22">
        <f t="shared" si="175"/>
        <v>74.733333333333334</v>
      </c>
      <c r="BQ71" s="21">
        <v>1953</v>
      </c>
      <c r="BR71" s="22">
        <f t="shared" si="176"/>
        <v>63</v>
      </c>
      <c r="BS71" s="21">
        <v>2864</v>
      </c>
      <c r="BT71" s="22">
        <f t="shared" si="177"/>
        <v>92.387096774193552</v>
      </c>
      <c r="BU71" s="21">
        <v>2190</v>
      </c>
      <c r="BV71" s="22">
        <f t="shared" si="178"/>
        <v>73</v>
      </c>
      <c r="BW71" s="21">
        <v>2182</v>
      </c>
      <c r="BX71" s="22">
        <f t="shared" si="179"/>
        <v>70.387096774193552</v>
      </c>
      <c r="BY71" s="21">
        <v>2398</v>
      </c>
      <c r="BZ71" s="22">
        <f t="shared" si="180"/>
        <v>79.933333333333337</v>
      </c>
      <c r="CA71" s="21">
        <v>2217</v>
      </c>
      <c r="CB71" s="22">
        <f t="shared" si="181"/>
        <v>71.516129032258064</v>
      </c>
      <c r="CC71" s="23">
        <f t="shared" si="182"/>
        <v>29376.318817204301</v>
      </c>
      <c r="CD71" s="24">
        <f t="shared" si="183"/>
        <v>11.725672190053698</v>
      </c>
      <c r="CE71" s="21">
        <v>1891</v>
      </c>
      <c r="CF71" s="22">
        <f t="shared" si="184"/>
        <v>61</v>
      </c>
      <c r="CG71" s="21">
        <v>1947</v>
      </c>
      <c r="CH71" s="22">
        <f t="shared" si="185"/>
        <v>69.535714285714292</v>
      </c>
      <c r="CI71" s="21">
        <v>1759</v>
      </c>
      <c r="CJ71" s="22">
        <f t="shared" si="186"/>
        <v>56.741935483870968</v>
      </c>
      <c r="CK71" s="21">
        <v>2964</v>
      </c>
      <c r="CL71" s="22">
        <f t="shared" si="187"/>
        <v>98.8</v>
      </c>
      <c r="CM71" s="21">
        <v>2045</v>
      </c>
      <c r="CN71" s="22">
        <f t="shared" si="188"/>
        <v>65.967741935483872</v>
      </c>
      <c r="CO71" s="21">
        <v>1993</v>
      </c>
      <c r="CP71" s="22">
        <f t="shared" si="189"/>
        <v>66.433333333333337</v>
      </c>
      <c r="CQ71" s="21">
        <v>2366</v>
      </c>
      <c r="CR71" s="22">
        <f t="shared" si="190"/>
        <v>76.322580645161295</v>
      </c>
      <c r="CS71" s="21">
        <v>3121</v>
      </c>
      <c r="CT71" s="22">
        <f t="shared" si="191"/>
        <v>100.6774193548387</v>
      </c>
      <c r="CU71" s="21">
        <v>1847</v>
      </c>
      <c r="CV71" s="22">
        <f t="shared" si="192"/>
        <v>61.56666666666667</v>
      </c>
      <c r="CW71" s="21">
        <v>2085</v>
      </c>
      <c r="CX71" s="22">
        <f t="shared" si="193"/>
        <v>67.258064516129039</v>
      </c>
      <c r="CY71" s="21">
        <v>3321</v>
      </c>
      <c r="CZ71" s="22">
        <f t="shared" si="194"/>
        <v>110.7</v>
      </c>
      <c r="DA71" s="21">
        <v>3127</v>
      </c>
      <c r="DB71" s="22">
        <f t="shared" si="195"/>
        <v>100.87096774193549</v>
      </c>
      <c r="DC71" s="23">
        <f t="shared" si="196"/>
        <v>29301.003456221195</v>
      </c>
      <c r="DD71" s="24">
        <f t="shared" si="197"/>
        <v>19.113643412604151</v>
      </c>
      <c r="DE71" s="21">
        <v>3196</v>
      </c>
      <c r="DF71" s="22">
        <f t="shared" si="198"/>
        <v>103.09677419354838</v>
      </c>
      <c r="DG71" s="21">
        <v>3189</v>
      </c>
      <c r="DH71" s="22">
        <f t="shared" si="199"/>
        <v>113.89285714285714</v>
      </c>
      <c r="DI71" s="21">
        <v>2493</v>
      </c>
      <c r="DJ71" s="22">
        <f t="shared" si="200"/>
        <v>80.41935483870968</v>
      </c>
      <c r="DK71" s="21">
        <v>2365</v>
      </c>
      <c r="DL71" s="22">
        <f t="shared" si="201"/>
        <v>78.833333333333329</v>
      </c>
      <c r="DM71" s="21">
        <v>4109</v>
      </c>
      <c r="DN71" s="22">
        <f t="shared" si="202"/>
        <v>132.54838709677421</v>
      </c>
      <c r="DO71" s="21">
        <v>2004</v>
      </c>
      <c r="DP71" s="22">
        <f t="shared" si="203"/>
        <v>66.8</v>
      </c>
      <c r="DQ71" s="21">
        <v>2058</v>
      </c>
      <c r="DR71" s="22">
        <f t="shared" si="204"/>
        <v>66.387096774193552</v>
      </c>
      <c r="DS71" s="21">
        <v>3434</v>
      </c>
      <c r="DT71" s="22">
        <f t="shared" si="205"/>
        <v>110.7741935483871</v>
      </c>
      <c r="DU71" s="21">
        <v>2364</v>
      </c>
      <c r="DV71" s="22">
        <f t="shared" si="206"/>
        <v>78.8</v>
      </c>
      <c r="DW71" s="21">
        <v>3580</v>
      </c>
      <c r="DX71" s="22">
        <f t="shared" si="207"/>
        <v>115.48387096774194</v>
      </c>
      <c r="DY71" s="21">
        <v>2048</v>
      </c>
      <c r="DZ71" s="22">
        <f t="shared" si="208"/>
        <v>68.266666666666666</v>
      </c>
      <c r="EA71" s="21">
        <v>3431</v>
      </c>
      <c r="EB71" s="22">
        <f t="shared" si="209"/>
        <v>110.6774193548387</v>
      </c>
      <c r="EC71" s="23">
        <f t="shared" si="210"/>
        <v>35286.302534562208</v>
      </c>
      <c r="ED71" s="24">
        <f t="shared" si="211"/>
        <v>22.952916891324492</v>
      </c>
      <c r="EE71" s="25">
        <f t="shared" si="212"/>
        <v>1311.9472967247018</v>
      </c>
    </row>
    <row r="72" spans="1:135" ht="15" customHeight="1" x14ac:dyDescent="0.35">
      <c r="A72" s="17">
        <v>67</v>
      </c>
      <c r="B72" s="18" t="s">
        <v>168</v>
      </c>
      <c r="C72" s="19" t="s">
        <v>169</v>
      </c>
      <c r="D72" s="20" t="s">
        <v>57</v>
      </c>
      <c r="E72" s="21">
        <v>1617</v>
      </c>
      <c r="F72" s="22">
        <f t="shared" si="142"/>
        <v>52.161290322580648</v>
      </c>
      <c r="G72" s="21">
        <v>2023</v>
      </c>
      <c r="H72" s="22">
        <f t="shared" si="143"/>
        <v>72.25</v>
      </c>
      <c r="I72" s="21">
        <v>1866</v>
      </c>
      <c r="J72" s="22">
        <f t="shared" si="144"/>
        <v>60.193548387096776</v>
      </c>
      <c r="K72" s="21">
        <v>3427</v>
      </c>
      <c r="L72" s="22">
        <f t="shared" si="145"/>
        <v>114.23333333333333</v>
      </c>
      <c r="M72" s="21">
        <v>2707</v>
      </c>
      <c r="N72" s="22">
        <f t="shared" si="146"/>
        <v>87.322580645161295</v>
      </c>
      <c r="O72" s="21">
        <v>2635</v>
      </c>
      <c r="P72" s="22">
        <f t="shared" si="147"/>
        <v>87.833333333333329</v>
      </c>
      <c r="Q72" s="21">
        <v>1542</v>
      </c>
      <c r="R72" s="22">
        <f t="shared" si="148"/>
        <v>49.741935483870968</v>
      </c>
      <c r="S72" s="21">
        <v>2948</v>
      </c>
      <c r="T72" s="22">
        <f t="shared" si="149"/>
        <v>95.096774193548384</v>
      </c>
      <c r="U72" s="21">
        <v>2832</v>
      </c>
      <c r="V72" s="22">
        <f t="shared" si="150"/>
        <v>94.4</v>
      </c>
      <c r="W72" s="21">
        <v>2073</v>
      </c>
      <c r="X72" s="22">
        <f t="shared" si="151"/>
        <v>66.870967741935488</v>
      </c>
      <c r="Y72" s="21">
        <v>1676</v>
      </c>
      <c r="Z72" s="22">
        <f t="shared" si="152"/>
        <v>55.866666666666667</v>
      </c>
      <c r="AA72" s="21">
        <v>2406</v>
      </c>
      <c r="AB72" s="22">
        <f t="shared" si="153"/>
        <v>77.612903225806448</v>
      </c>
      <c r="AC72" s="23">
        <f t="shared" si="154"/>
        <v>28587.970430107529</v>
      </c>
      <c r="AD72" s="24">
        <f t="shared" si="155"/>
        <v>20.104324506045785</v>
      </c>
      <c r="AE72" s="21">
        <v>2734</v>
      </c>
      <c r="AF72" s="22">
        <f t="shared" si="156"/>
        <v>88.193548387096769</v>
      </c>
      <c r="AG72" s="21">
        <v>2537</v>
      </c>
      <c r="AH72" s="22">
        <f t="shared" si="157"/>
        <v>90.607142857142861</v>
      </c>
      <c r="AI72" s="21">
        <v>1444</v>
      </c>
      <c r="AJ72" s="22">
        <f t="shared" si="158"/>
        <v>46.58064516129032</v>
      </c>
      <c r="AK72" s="21">
        <v>2479</v>
      </c>
      <c r="AL72" s="22">
        <f t="shared" si="159"/>
        <v>82.63333333333334</v>
      </c>
      <c r="AM72" s="21">
        <v>2119</v>
      </c>
      <c r="AN72" s="22">
        <f t="shared" si="160"/>
        <v>68.354838709677423</v>
      </c>
      <c r="AO72" s="21">
        <v>2423</v>
      </c>
      <c r="AP72" s="22">
        <f t="shared" si="161"/>
        <v>80.766666666666666</v>
      </c>
      <c r="AQ72" s="21">
        <v>2464</v>
      </c>
      <c r="AR72" s="22">
        <f t="shared" si="162"/>
        <v>79.483870967741936</v>
      </c>
      <c r="AS72" s="21">
        <v>1462</v>
      </c>
      <c r="AT72" s="22">
        <f t="shared" si="163"/>
        <v>47.161290322580648</v>
      </c>
      <c r="AU72" s="21">
        <v>2211</v>
      </c>
      <c r="AV72" s="22">
        <f t="shared" si="164"/>
        <v>73.7</v>
      </c>
      <c r="AW72" s="21">
        <v>1592</v>
      </c>
      <c r="AX72" s="22">
        <f t="shared" si="165"/>
        <v>51.354838709677416</v>
      </c>
      <c r="AY72" s="21">
        <v>2313</v>
      </c>
      <c r="AZ72" s="22">
        <f t="shared" si="166"/>
        <v>77.099999999999994</v>
      </c>
      <c r="BA72" s="21">
        <v>1714</v>
      </c>
      <c r="BB72" s="22">
        <f t="shared" si="167"/>
        <v>55.29032258064516</v>
      </c>
      <c r="BC72" s="23">
        <f t="shared" si="168"/>
        <v>26277.936175115206</v>
      </c>
      <c r="BD72" s="24">
        <f t="shared" si="169"/>
        <v>16.016741974171708</v>
      </c>
      <c r="BE72" s="21">
        <v>2465</v>
      </c>
      <c r="BF72" s="22">
        <f t="shared" si="170"/>
        <v>79.516129032258064</v>
      </c>
      <c r="BG72" s="21">
        <v>2746</v>
      </c>
      <c r="BH72" s="22">
        <f t="shared" si="171"/>
        <v>98.071428571428569</v>
      </c>
      <c r="BI72" s="21">
        <v>2007</v>
      </c>
      <c r="BJ72" s="22">
        <f t="shared" si="172"/>
        <v>64.741935483870961</v>
      </c>
      <c r="BK72" s="21">
        <v>2326</v>
      </c>
      <c r="BL72" s="22">
        <f t="shared" si="173"/>
        <v>77.533333333333331</v>
      </c>
      <c r="BM72" s="21">
        <v>1759</v>
      </c>
      <c r="BN72" s="22">
        <f t="shared" si="174"/>
        <v>56.741935483870968</v>
      </c>
      <c r="BO72" s="21">
        <v>1951</v>
      </c>
      <c r="BP72" s="22">
        <f t="shared" si="175"/>
        <v>65.033333333333331</v>
      </c>
      <c r="BQ72" s="21">
        <v>3297</v>
      </c>
      <c r="BR72" s="22">
        <f t="shared" si="176"/>
        <v>106.35483870967742</v>
      </c>
      <c r="BS72" s="21">
        <v>2570</v>
      </c>
      <c r="BT72" s="22">
        <f t="shared" si="177"/>
        <v>82.903225806451616</v>
      </c>
      <c r="BU72" s="21">
        <v>2396</v>
      </c>
      <c r="BV72" s="22">
        <f t="shared" si="178"/>
        <v>79.86666666666666</v>
      </c>
      <c r="BW72" s="21">
        <v>1843</v>
      </c>
      <c r="BX72" s="22">
        <f t="shared" si="179"/>
        <v>59.451612903225808</v>
      </c>
      <c r="BY72" s="21">
        <v>1734</v>
      </c>
      <c r="BZ72" s="22">
        <f t="shared" si="180"/>
        <v>57.8</v>
      </c>
      <c r="CA72" s="21">
        <v>2511</v>
      </c>
      <c r="CB72" s="22">
        <f t="shared" si="181"/>
        <v>81</v>
      </c>
      <c r="CC72" s="23">
        <f t="shared" si="182"/>
        <v>28433.014439324113</v>
      </c>
      <c r="CD72" s="24">
        <f t="shared" si="183"/>
        <v>15.762773364450988</v>
      </c>
      <c r="CE72" s="21">
        <v>2105</v>
      </c>
      <c r="CF72" s="22">
        <f t="shared" si="184"/>
        <v>67.903225806451616</v>
      </c>
      <c r="CG72" s="21">
        <v>1217</v>
      </c>
      <c r="CH72" s="22">
        <f t="shared" si="185"/>
        <v>43.464285714285715</v>
      </c>
      <c r="CI72" s="21">
        <v>2365</v>
      </c>
      <c r="CJ72" s="22">
        <f t="shared" si="186"/>
        <v>76.290322580645167</v>
      </c>
      <c r="CK72" s="21">
        <v>1933</v>
      </c>
      <c r="CL72" s="22">
        <f t="shared" si="187"/>
        <v>64.433333333333337</v>
      </c>
      <c r="CM72" s="21">
        <v>1338</v>
      </c>
      <c r="CN72" s="22">
        <f t="shared" si="188"/>
        <v>43.161290322580648</v>
      </c>
      <c r="CO72" s="21">
        <v>1900</v>
      </c>
      <c r="CP72" s="22">
        <f t="shared" si="189"/>
        <v>63.333333333333336</v>
      </c>
      <c r="CQ72" s="21">
        <v>1358</v>
      </c>
      <c r="CR72" s="22">
        <f t="shared" si="190"/>
        <v>43.806451612903224</v>
      </c>
      <c r="CS72" s="21">
        <v>2087</v>
      </c>
      <c r="CT72" s="22">
        <f t="shared" si="191"/>
        <v>67.322580645161295</v>
      </c>
      <c r="CU72" s="21">
        <v>2433</v>
      </c>
      <c r="CV72" s="22">
        <f t="shared" si="192"/>
        <v>81.099999999999994</v>
      </c>
      <c r="CW72" s="21">
        <v>2540</v>
      </c>
      <c r="CX72" s="22">
        <f t="shared" si="193"/>
        <v>81.935483870967744</v>
      </c>
      <c r="CY72" s="21">
        <v>2352</v>
      </c>
      <c r="CZ72" s="22">
        <f t="shared" si="194"/>
        <v>78.400000000000006</v>
      </c>
      <c r="DA72" s="21">
        <v>2158</v>
      </c>
      <c r="DB72" s="22">
        <f t="shared" si="195"/>
        <v>69.612903225806448</v>
      </c>
      <c r="DC72" s="23">
        <f t="shared" si="196"/>
        <v>24497.150307219661</v>
      </c>
      <c r="DD72" s="24">
        <f t="shared" si="197"/>
        <v>14.40040102494927</v>
      </c>
      <c r="DE72" s="21">
        <v>2116</v>
      </c>
      <c r="DF72" s="22">
        <f t="shared" si="198"/>
        <v>68.258064516129039</v>
      </c>
      <c r="DG72" s="21">
        <v>1863</v>
      </c>
      <c r="DH72" s="22">
        <f t="shared" si="199"/>
        <v>66.535714285714292</v>
      </c>
      <c r="DI72" s="21">
        <v>1320</v>
      </c>
      <c r="DJ72" s="22">
        <f t="shared" si="200"/>
        <v>42.58064516129032</v>
      </c>
      <c r="DK72" s="21">
        <v>2128</v>
      </c>
      <c r="DL72" s="22">
        <f t="shared" si="201"/>
        <v>70.933333333333337</v>
      </c>
      <c r="DM72" s="21">
        <v>1629</v>
      </c>
      <c r="DN72" s="22">
        <f t="shared" si="202"/>
        <v>52.548387096774192</v>
      </c>
      <c r="DO72" s="21">
        <v>2582</v>
      </c>
      <c r="DP72" s="22">
        <f t="shared" si="203"/>
        <v>86.066666666666663</v>
      </c>
      <c r="DQ72" s="21">
        <v>2560</v>
      </c>
      <c r="DR72" s="22">
        <f t="shared" si="204"/>
        <v>82.58064516129032</v>
      </c>
      <c r="DS72" s="21">
        <v>1881</v>
      </c>
      <c r="DT72" s="22">
        <f t="shared" si="205"/>
        <v>60.677419354838712</v>
      </c>
      <c r="DU72" s="21">
        <v>2227</v>
      </c>
      <c r="DV72" s="22">
        <f t="shared" si="206"/>
        <v>74.233333333333334</v>
      </c>
      <c r="DW72" s="21">
        <v>2480</v>
      </c>
      <c r="DX72" s="22">
        <f t="shared" si="207"/>
        <v>80</v>
      </c>
      <c r="DY72" s="21">
        <v>2514</v>
      </c>
      <c r="DZ72" s="22">
        <f t="shared" si="208"/>
        <v>83.8</v>
      </c>
      <c r="EA72" s="21">
        <v>2406</v>
      </c>
      <c r="EB72" s="22">
        <f t="shared" si="209"/>
        <v>77.612903225806448</v>
      </c>
      <c r="EC72" s="23">
        <f t="shared" si="210"/>
        <v>26474.214208909372</v>
      </c>
      <c r="ED72" s="24">
        <f t="shared" si="211"/>
        <v>13.277100116483142</v>
      </c>
      <c r="EE72" s="25">
        <f t="shared" si="212"/>
        <v>1104.8509316233328</v>
      </c>
    </row>
    <row r="73" spans="1:135" ht="15" customHeight="1" x14ac:dyDescent="0.35">
      <c r="A73" s="17">
        <v>68</v>
      </c>
      <c r="B73" s="18" t="s">
        <v>170</v>
      </c>
      <c r="C73" s="19" t="s">
        <v>171</v>
      </c>
      <c r="D73" s="20" t="s">
        <v>57</v>
      </c>
      <c r="E73" s="21">
        <v>2269</v>
      </c>
      <c r="F73" s="22">
        <f t="shared" si="142"/>
        <v>73.193548387096769</v>
      </c>
      <c r="G73" s="21">
        <v>2366</v>
      </c>
      <c r="H73" s="22">
        <f t="shared" si="143"/>
        <v>84.5</v>
      </c>
      <c r="I73" s="21">
        <v>3285</v>
      </c>
      <c r="J73" s="22">
        <f t="shared" si="144"/>
        <v>105.96774193548387</v>
      </c>
      <c r="K73" s="21">
        <v>2630</v>
      </c>
      <c r="L73" s="22">
        <f t="shared" si="145"/>
        <v>87.666666666666671</v>
      </c>
      <c r="M73" s="21">
        <v>4307</v>
      </c>
      <c r="N73" s="22">
        <f t="shared" si="146"/>
        <v>138.93548387096774</v>
      </c>
      <c r="O73" s="21">
        <v>2766</v>
      </c>
      <c r="P73" s="22">
        <f t="shared" si="147"/>
        <v>92.2</v>
      </c>
      <c r="Q73" s="21">
        <v>4354</v>
      </c>
      <c r="R73" s="22">
        <f t="shared" si="148"/>
        <v>140.45161290322579</v>
      </c>
      <c r="S73" s="21">
        <v>3101</v>
      </c>
      <c r="T73" s="22">
        <f t="shared" si="149"/>
        <v>100.03225806451613</v>
      </c>
      <c r="U73" s="21">
        <v>2513</v>
      </c>
      <c r="V73" s="22">
        <f t="shared" si="150"/>
        <v>83.766666666666666</v>
      </c>
      <c r="W73" s="21">
        <v>3906</v>
      </c>
      <c r="X73" s="22">
        <f t="shared" si="151"/>
        <v>126</v>
      </c>
      <c r="Y73" s="21">
        <v>4120</v>
      </c>
      <c r="Z73" s="22">
        <f t="shared" si="152"/>
        <v>137.33333333333334</v>
      </c>
      <c r="AA73" s="21">
        <v>3555</v>
      </c>
      <c r="AB73" s="22">
        <f t="shared" si="153"/>
        <v>114.6774193548387</v>
      </c>
      <c r="AC73" s="23">
        <f t="shared" si="154"/>
        <v>40342.047311827955</v>
      </c>
      <c r="AD73" s="24">
        <f t="shared" si="155"/>
        <v>23.951166902596448</v>
      </c>
      <c r="AE73" s="21">
        <v>2983</v>
      </c>
      <c r="AF73" s="22">
        <f t="shared" si="156"/>
        <v>96.225806451612897</v>
      </c>
      <c r="AG73" s="21">
        <v>2603</v>
      </c>
      <c r="AH73" s="22">
        <f t="shared" si="157"/>
        <v>92.964285714285708</v>
      </c>
      <c r="AI73" s="21">
        <v>4828</v>
      </c>
      <c r="AJ73" s="22">
        <f t="shared" si="158"/>
        <v>155.74193548387098</v>
      </c>
      <c r="AK73" s="21">
        <v>4943</v>
      </c>
      <c r="AL73" s="22">
        <f t="shared" si="159"/>
        <v>164.76666666666668</v>
      </c>
      <c r="AM73" s="21">
        <v>3664</v>
      </c>
      <c r="AN73" s="22">
        <f t="shared" si="160"/>
        <v>118.19354838709677</v>
      </c>
      <c r="AO73" s="21">
        <v>3824</v>
      </c>
      <c r="AP73" s="22">
        <f t="shared" si="161"/>
        <v>127.46666666666667</v>
      </c>
      <c r="AQ73" s="21">
        <v>3110</v>
      </c>
      <c r="AR73" s="22">
        <f t="shared" si="162"/>
        <v>100.3225806451613</v>
      </c>
      <c r="AS73" s="21">
        <v>4818</v>
      </c>
      <c r="AT73" s="22">
        <f t="shared" si="163"/>
        <v>155.41935483870967</v>
      </c>
      <c r="AU73" s="21">
        <v>3450</v>
      </c>
      <c r="AV73" s="22">
        <f t="shared" si="164"/>
        <v>115</v>
      </c>
      <c r="AW73" s="21">
        <v>5517</v>
      </c>
      <c r="AX73" s="22">
        <f t="shared" si="165"/>
        <v>177.96774193548387</v>
      </c>
      <c r="AY73" s="21">
        <v>4034</v>
      </c>
      <c r="AZ73" s="22">
        <f t="shared" si="166"/>
        <v>134.46666666666667</v>
      </c>
      <c r="BA73" s="21">
        <v>3835</v>
      </c>
      <c r="BB73" s="22">
        <f t="shared" si="167"/>
        <v>123.70967741935483</v>
      </c>
      <c r="BC73" s="23">
        <f t="shared" si="168"/>
        <v>49047.535253456226</v>
      </c>
      <c r="BD73" s="24">
        <f t="shared" si="169"/>
        <v>28.028256996625611</v>
      </c>
      <c r="BE73" s="21">
        <v>2899</v>
      </c>
      <c r="BF73" s="22">
        <f t="shared" si="170"/>
        <v>93.516129032258064</v>
      </c>
      <c r="BG73" s="21">
        <v>4045</v>
      </c>
      <c r="BH73" s="22">
        <f t="shared" si="171"/>
        <v>144.46428571428572</v>
      </c>
      <c r="BI73" s="21">
        <v>4255</v>
      </c>
      <c r="BJ73" s="22">
        <f t="shared" si="172"/>
        <v>137.25806451612902</v>
      </c>
      <c r="BK73" s="21">
        <v>3289</v>
      </c>
      <c r="BL73" s="22">
        <f t="shared" si="173"/>
        <v>109.63333333333334</v>
      </c>
      <c r="BM73" s="21">
        <v>4336</v>
      </c>
      <c r="BN73" s="22">
        <f t="shared" si="174"/>
        <v>139.87096774193549</v>
      </c>
      <c r="BO73" s="21">
        <v>3484</v>
      </c>
      <c r="BP73" s="22">
        <f t="shared" si="175"/>
        <v>116.13333333333334</v>
      </c>
      <c r="BQ73" s="21">
        <v>3167</v>
      </c>
      <c r="BR73" s="22">
        <f t="shared" si="176"/>
        <v>102.16129032258064</v>
      </c>
      <c r="BS73" s="21">
        <v>3689</v>
      </c>
      <c r="BT73" s="22">
        <f t="shared" si="177"/>
        <v>119</v>
      </c>
      <c r="BU73" s="21">
        <v>2838</v>
      </c>
      <c r="BV73" s="22">
        <f t="shared" si="178"/>
        <v>94.6</v>
      </c>
      <c r="BW73" s="21">
        <v>2987</v>
      </c>
      <c r="BX73" s="22">
        <f t="shared" si="179"/>
        <v>96.354838709677423</v>
      </c>
      <c r="BY73" s="21">
        <v>3094</v>
      </c>
      <c r="BZ73" s="22">
        <f t="shared" si="180"/>
        <v>103.13333333333334</v>
      </c>
      <c r="CA73" s="21">
        <v>4115</v>
      </c>
      <c r="CB73" s="22">
        <f t="shared" si="181"/>
        <v>132.74193548387098</v>
      </c>
      <c r="CC73" s="23">
        <f t="shared" si="182"/>
        <v>43454.125576036866</v>
      </c>
      <c r="CD73" s="24">
        <f t="shared" si="183"/>
        <v>18.750633202784631</v>
      </c>
      <c r="CE73" s="21">
        <v>3595</v>
      </c>
      <c r="CF73" s="22">
        <f t="shared" si="184"/>
        <v>115.96774193548387</v>
      </c>
      <c r="CG73" s="21">
        <v>3884</v>
      </c>
      <c r="CH73" s="22">
        <f t="shared" si="185"/>
        <v>138.71428571428572</v>
      </c>
      <c r="CI73" s="21">
        <v>3410</v>
      </c>
      <c r="CJ73" s="22">
        <f t="shared" si="186"/>
        <v>110</v>
      </c>
      <c r="CK73" s="21">
        <v>3624</v>
      </c>
      <c r="CL73" s="22">
        <f t="shared" si="187"/>
        <v>120.8</v>
      </c>
      <c r="CM73" s="21">
        <v>2896</v>
      </c>
      <c r="CN73" s="22">
        <f t="shared" si="188"/>
        <v>93.41935483870968</v>
      </c>
      <c r="CO73" s="21">
        <v>3507</v>
      </c>
      <c r="CP73" s="22">
        <f t="shared" si="189"/>
        <v>116.9</v>
      </c>
      <c r="CQ73" s="21">
        <v>2206</v>
      </c>
      <c r="CR73" s="22">
        <f t="shared" si="190"/>
        <v>71.161290322580641</v>
      </c>
      <c r="CS73" s="21">
        <v>2334</v>
      </c>
      <c r="CT73" s="22">
        <f t="shared" si="191"/>
        <v>75.290322580645167</v>
      </c>
      <c r="CU73" s="21">
        <v>2784</v>
      </c>
      <c r="CV73" s="22">
        <f t="shared" si="192"/>
        <v>92.8</v>
      </c>
      <c r="CW73" s="21">
        <v>2634</v>
      </c>
      <c r="CX73" s="22">
        <f t="shared" si="193"/>
        <v>84.967741935483872</v>
      </c>
      <c r="CY73" s="21">
        <v>3147</v>
      </c>
      <c r="CZ73" s="22">
        <f t="shared" si="194"/>
        <v>104.9</v>
      </c>
      <c r="DA73" s="21">
        <v>3502</v>
      </c>
      <c r="DB73" s="22">
        <f t="shared" si="195"/>
        <v>112.96774193548387</v>
      </c>
      <c r="DC73" s="23">
        <f t="shared" si="196"/>
        <v>38647.920737327186</v>
      </c>
      <c r="DD73" s="24">
        <f t="shared" si="197"/>
        <v>20.017973667632866</v>
      </c>
      <c r="DE73" s="21">
        <v>4720</v>
      </c>
      <c r="DF73" s="22">
        <f t="shared" si="198"/>
        <v>152.25806451612902</v>
      </c>
      <c r="DG73" s="21">
        <v>2951</v>
      </c>
      <c r="DH73" s="22">
        <f t="shared" si="199"/>
        <v>105.39285714285714</v>
      </c>
      <c r="DI73" s="21">
        <v>5555</v>
      </c>
      <c r="DJ73" s="22">
        <f t="shared" si="200"/>
        <v>179.19354838709677</v>
      </c>
      <c r="DK73" s="21">
        <v>2447</v>
      </c>
      <c r="DL73" s="22">
        <f t="shared" si="201"/>
        <v>81.566666666666663</v>
      </c>
      <c r="DM73" s="21">
        <v>2725</v>
      </c>
      <c r="DN73" s="22">
        <f t="shared" si="202"/>
        <v>87.903225806451616</v>
      </c>
      <c r="DO73" s="21">
        <v>2901</v>
      </c>
      <c r="DP73" s="22">
        <f t="shared" si="203"/>
        <v>96.7</v>
      </c>
      <c r="DQ73" s="21">
        <v>5430</v>
      </c>
      <c r="DR73" s="22">
        <f t="shared" si="204"/>
        <v>175.16129032258064</v>
      </c>
      <c r="DS73" s="21">
        <v>3841</v>
      </c>
      <c r="DT73" s="22">
        <f t="shared" si="205"/>
        <v>123.90322580645162</v>
      </c>
      <c r="DU73" s="21">
        <v>2638</v>
      </c>
      <c r="DV73" s="22">
        <f t="shared" si="206"/>
        <v>87.933333333333337</v>
      </c>
      <c r="DW73" s="21">
        <v>3149</v>
      </c>
      <c r="DX73" s="22">
        <f t="shared" si="207"/>
        <v>101.58064516129032</v>
      </c>
      <c r="DY73" s="21">
        <v>2689</v>
      </c>
      <c r="DZ73" s="22">
        <f t="shared" si="208"/>
        <v>89.63333333333334</v>
      </c>
      <c r="EA73" s="21">
        <v>2552</v>
      </c>
      <c r="EB73" s="22">
        <f t="shared" si="209"/>
        <v>82.322580645161295</v>
      </c>
      <c r="EC73" s="23">
        <f t="shared" si="210"/>
        <v>42879.226190476184</v>
      </c>
      <c r="ED73" s="24">
        <f t="shared" si="211"/>
        <v>35.787561217641972</v>
      </c>
      <c r="EE73" s="25">
        <f t="shared" si="212"/>
        <v>1785.982447006859</v>
      </c>
    </row>
    <row r="74" spans="1:135" ht="15" customHeight="1" x14ac:dyDescent="0.35">
      <c r="A74" s="17">
        <v>69</v>
      </c>
      <c r="B74" s="18" t="s">
        <v>172</v>
      </c>
      <c r="C74" s="19" t="s">
        <v>173</v>
      </c>
      <c r="D74" s="20" t="s">
        <v>36</v>
      </c>
      <c r="E74" s="21">
        <v>2439</v>
      </c>
      <c r="F74" s="22">
        <f t="shared" si="142"/>
        <v>78.677419354838705</v>
      </c>
      <c r="G74" s="21">
        <v>3730</v>
      </c>
      <c r="H74" s="22">
        <f t="shared" si="143"/>
        <v>133.21428571428572</v>
      </c>
      <c r="I74" s="21">
        <v>2933</v>
      </c>
      <c r="J74" s="22">
        <f t="shared" si="144"/>
        <v>94.612903225806448</v>
      </c>
      <c r="K74" s="21">
        <v>2733</v>
      </c>
      <c r="L74" s="22">
        <f t="shared" si="145"/>
        <v>91.1</v>
      </c>
      <c r="M74" s="21">
        <v>3143</v>
      </c>
      <c r="N74" s="22">
        <f t="shared" si="146"/>
        <v>101.38709677419355</v>
      </c>
      <c r="O74" s="21">
        <v>2898</v>
      </c>
      <c r="P74" s="22">
        <f t="shared" si="147"/>
        <v>96.6</v>
      </c>
      <c r="Q74" s="21">
        <v>3647</v>
      </c>
      <c r="R74" s="22">
        <f t="shared" si="148"/>
        <v>117.64516129032258</v>
      </c>
      <c r="S74" s="21">
        <v>3377</v>
      </c>
      <c r="T74" s="22">
        <f t="shared" si="149"/>
        <v>108.93548387096774</v>
      </c>
      <c r="U74" s="21">
        <v>2990</v>
      </c>
      <c r="V74" s="22">
        <f t="shared" si="150"/>
        <v>99.666666666666671</v>
      </c>
      <c r="W74" s="21">
        <v>2557</v>
      </c>
      <c r="X74" s="22">
        <f t="shared" si="151"/>
        <v>82.483870967741936</v>
      </c>
      <c r="Y74" s="21">
        <v>2047</v>
      </c>
      <c r="Z74" s="22">
        <f t="shared" si="152"/>
        <v>68.233333333333334</v>
      </c>
      <c r="AA74" s="21">
        <v>3025</v>
      </c>
      <c r="AB74" s="22">
        <f t="shared" si="153"/>
        <v>97.58064516129032</v>
      </c>
      <c r="AC74" s="23">
        <f t="shared" si="154"/>
        <v>36591.556221198152</v>
      </c>
      <c r="AD74" s="24">
        <f t="shared" si="155"/>
        <v>17.368554935602184</v>
      </c>
      <c r="AE74" s="21">
        <v>4405</v>
      </c>
      <c r="AF74" s="22">
        <f t="shared" si="156"/>
        <v>142.09677419354838</v>
      </c>
      <c r="AG74" s="21">
        <v>2937</v>
      </c>
      <c r="AH74" s="22">
        <f t="shared" si="157"/>
        <v>104.89285714285714</v>
      </c>
      <c r="AI74" s="21">
        <v>2221</v>
      </c>
      <c r="AJ74" s="22">
        <f t="shared" si="158"/>
        <v>71.645161290322577</v>
      </c>
      <c r="AK74" s="21">
        <v>3825</v>
      </c>
      <c r="AL74" s="22">
        <f t="shared" si="159"/>
        <v>127.5</v>
      </c>
      <c r="AM74" s="21">
        <v>3588</v>
      </c>
      <c r="AN74" s="22">
        <f t="shared" si="160"/>
        <v>115.74193548387096</v>
      </c>
      <c r="AO74" s="21">
        <v>2783</v>
      </c>
      <c r="AP74" s="22">
        <f t="shared" si="161"/>
        <v>92.766666666666666</v>
      </c>
      <c r="AQ74" s="21">
        <v>2606</v>
      </c>
      <c r="AR74" s="22">
        <f t="shared" si="162"/>
        <v>84.064516129032256</v>
      </c>
      <c r="AS74" s="21">
        <v>2228</v>
      </c>
      <c r="AT74" s="22">
        <f t="shared" si="163"/>
        <v>71.870967741935488</v>
      </c>
      <c r="AU74" s="21">
        <v>2804</v>
      </c>
      <c r="AV74" s="22">
        <f t="shared" si="164"/>
        <v>93.466666666666669</v>
      </c>
      <c r="AW74" s="21">
        <v>2127</v>
      </c>
      <c r="AX74" s="22">
        <f t="shared" si="165"/>
        <v>68.612903225806448</v>
      </c>
      <c r="AY74" s="21">
        <v>2572</v>
      </c>
      <c r="AZ74" s="22">
        <f t="shared" si="166"/>
        <v>85.733333333333334</v>
      </c>
      <c r="BA74" s="21">
        <v>4952</v>
      </c>
      <c r="BB74" s="22">
        <f t="shared" si="167"/>
        <v>159.74193548387098</v>
      </c>
      <c r="BC74" s="23">
        <f t="shared" si="168"/>
        <v>38106.391781874037</v>
      </c>
      <c r="BD74" s="24">
        <f t="shared" si="169"/>
        <v>29.348540852739053</v>
      </c>
      <c r="BE74" s="21">
        <v>4052</v>
      </c>
      <c r="BF74" s="22">
        <f t="shared" si="170"/>
        <v>130.70967741935485</v>
      </c>
      <c r="BG74" s="21">
        <v>2922</v>
      </c>
      <c r="BH74" s="22">
        <f t="shared" si="171"/>
        <v>104.35714285714286</v>
      </c>
      <c r="BI74" s="21">
        <v>3033</v>
      </c>
      <c r="BJ74" s="22">
        <f t="shared" si="172"/>
        <v>97.838709677419359</v>
      </c>
      <c r="BK74" s="21">
        <v>3539</v>
      </c>
      <c r="BL74" s="22">
        <f t="shared" si="173"/>
        <v>117.96666666666667</v>
      </c>
      <c r="BM74" s="21">
        <v>3358</v>
      </c>
      <c r="BN74" s="22">
        <f t="shared" si="174"/>
        <v>108.3225806451613</v>
      </c>
      <c r="BO74" s="21">
        <v>3939</v>
      </c>
      <c r="BP74" s="22">
        <f t="shared" si="175"/>
        <v>131.30000000000001</v>
      </c>
      <c r="BQ74" s="21">
        <v>2169</v>
      </c>
      <c r="BR74" s="22">
        <f t="shared" si="176"/>
        <v>69.967741935483872</v>
      </c>
      <c r="BS74" s="21">
        <v>2226</v>
      </c>
      <c r="BT74" s="22">
        <f t="shared" si="177"/>
        <v>71.806451612903231</v>
      </c>
      <c r="BU74" s="21">
        <v>2740</v>
      </c>
      <c r="BV74" s="22">
        <f t="shared" si="178"/>
        <v>91.333333333333329</v>
      </c>
      <c r="BW74" s="21">
        <v>4185</v>
      </c>
      <c r="BX74" s="22">
        <f t="shared" si="179"/>
        <v>135</v>
      </c>
      <c r="BY74" s="21">
        <v>4411</v>
      </c>
      <c r="BZ74" s="22">
        <f t="shared" si="180"/>
        <v>147.03333333333333</v>
      </c>
      <c r="CA74" s="21">
        <v>2909</v>
      </c>
      <c r="CB74" s="22">
        <f t="shared" si="181"/>
        <v>93.838709677419359</v>
      </c>
      <c r="CC74" s="23">
        <f t="shared" si="182"/>
        <v>40688.635637480802</v>
      </c>
      <c r="CD74" s="24">
        <f t="shared" si="183"/>
        <v>24.791715784990057</v>
      </c>
      <c r="CE74" s="21">
        <v>4870</v>
      </c>
      <c r="CF74" s="22">
        <f t="shared" si="184"/>
        <v>157.09677419354838</v>
      </c>
      <c r="CG74" s="21">
        <v>2918</v>
      </c>
      <c r="CH74" s="22">
        <f t="shared" si="185"/>
        <v>104.21428571428571</v>
      </c>
      <c r="CI74" s="21">
        <v>3855</v>
      </c>
      <c r="CJ74" s="22">
        <f t="shared" si="186"/>
        <v>124.35483870967742</v>
      </c>
      <c r="CK74" s="21">
        <v>2685</v>
      </c>
      <c r="CL74" s="22">
        <f t="shared" si="187"/>
        <v>89.5</v>
      </c>
      <c r="CM74" s="21">
        <v>4774</v>
      </c>
      <c r="CN74" s="22">
        <f t="shared" si="188"/>
        <v>154</v>
      </c>
      <c r="CO74" s="21">
        <v>3766</v>
      </c>
      <c r="CP74" s="22">
        <f t="shared" si="189"/>
        <v>125.53333333333333</v>
      </c>
      <c r="CQ74" s="21">
        <v>2874</v>
      </c>
      <c r="CR74" s="22">
        <f t="shared" si="190"/>
        <v>92.709677419354833</v>
      </c>
      <c r="CS74" s="21">
        <v>3289</v>
      </c>
      <c r="CT74" s="22">
        <f t="shared" si="191"/>
        <v>106.09677419354838</v>
      </c>
      <c r="CU74" s="21">
        <v>2434</v>
      </c>
      <c r="CV74" s="22">
        <f t="shared" si="192"/>
        <v>81.13333333333334</v>
      </c>
      <c r="CW74" s="21">
        <v>2338</v>
      </c>
      <c r="CX74" s="22">
        <f t="shared" si="193"/>
        <v>75.41935483870968</v>
      </c>
      <c r="CY74" s="21">
        <v>2968</v>
      </c>
      <c r="CZ74" s="22">
        <f t="shared" si="194"/>
        <v>98.933333333333337</v>
      </c>
      <c r="DA74" s="21">
        <v>4824</v>
      </c>
      <c r="DB74" s="22">
        <f t="shared" si="195"/>
        <v>155.61290322580646</v>
      </c>
      <c r="DC74" s="23">
        <f t="shared" si="196"/>
        <v>42803.991705069129</v>
      </c>
      <c r="DD74" s="24">
        <f t="shared" si="197"/>
        <v>29.288041029211069</v>
      </c>
      <c r="DE74" s="21">
        <v>3469</v>
      </c>
      <c r="DF74" s="22">
        <f t="shared" si="198"/>
        <v>111.90322580645162</v>
      </c>
      <c r="DG74" s="21">
        <v>3813</v>
      </c>
      <c r="DH74" s="22">
        <f t="shared" si="199"/>
        <v>136.17857142857142</v>
      </c>
      <c r="DI74" s="21">
        <v>3632</v>
      </c>
      <c r="DJ74" s="22">
        <f t="shared" si="200"/>
        <v>117.16129032258064</v>
      </c>
      <c r="DK74" s="21">
        <v>3492</v>
      </c>
      <c r="DL74" s="22">
        <f t="shared" si="201"/>
        <v>116.4</v>
      </c>
      <c r="DM74" s="21">
        <v>2960</v>
      </c>
      <c r="DN74" s="22">
        <f t="shared" si="202"/>
        <v>95.483870967741936</v>
      </c>
      <c r="DO74" s="21">
        <v>3226</v>
      </c>
      <c r="DP74" s="22">
        <f t="shared" si="203"/>
        <v>107.53333333333333</v>
      </c>
      <c r="DQ74" s="21">
        <v>3833</v>
      </c>
      <c r="DR74" s="22">
        <f t="shared" si="204"/>
        <v>123.64516129032258</v>
      </c>
      <c r="DS74" s="21">
        <v>2933</v>
      </c>
      <c r="DT74" s="22">
        <f t="shared" si="205"/>
        <v>94.612903225806448</v>
      </c>
      <c r="DU74" s="21">
        <v>3395</v>
      </c>
      <c r="DV74" s="22">
        <f t="shared" si="206"/>
        <v>113.16666666666667</v>
      </c>
      <c r="DW74" s="21">
        <v>3367</v>
      </c>
      <c r="DX74" s="22">
        <f t="shared" si="207"/>
        <v>108.61290322580645</v>
      </c>
      <c r="DY74" s="21">
        <v>3823</v>
      </c>
      <c r="DZ74" s="22">
        <f t="shared" si="208"/>
        <v>127.43333333333334</v>
      </c>
      <c r="EA74" s="21">
        <v>2700</v>
      </c>
      <c r="EB74" s="22">
        <f t="shared" si="209"/>
        <v>87.096774193548384</v>
      </c>
      <c r="EC74" s="23">
        <f t="shared" si="210"/>
        <v>41895.131259600617</v>
      </c>
      <c r="ED74" s="24">
        <f t="shared" si="211"/>
        <v>14.240021945070891</v>
      </c>
      <c r="EE74" s="25">
        <f t="shared" si="212"/>
        <v>1614.6926160497442</v>
      </c>
    </row>
    <row r="75" spans="1:135" ht="15" customHeight="1" x14ac:dyDescent="0.35">
      <c r="A75" s="17">
        <v>70</v>
      </c>
      <c r="B75" s="18" t="s">
        <v>174</v>
      </c>
      <c r="C75" s="19" t="s">
        <v>175</v>
      </c>
      <c r="D75" s="20" t="s">
        <v>36</v>
      </c>
      <c r="E75" s="21">
        <v>3656</v>
      </c>
      <c r="F75" s="22">
        <f t="shared" si="142"/>
        <v>117.93548387096774</v>
      </c>
      <c r="G75" s="21">
        <v>4037</v>
      </c>
      <c r="H75" s="22">
        <f t="shared" si="143"/>
        <v>144.17857142857142</v>
      </c>
      <c r="I75" s="21">
        <v>2348</v>
      </c>
      <c r="J75" s="22">
        <f t="shared" si="144"/>
        <v>75.741935483870961</v>
      </c>
      <c r="K75" s="21">
        <v>2616</v>
      </c>
      <c r="L75" s="22">
        <f t="shared" si="145"/>
        <v>87.2</v>
      </c>
      <c r="M75" s="21">
        <v>2469</v>
      </c>
      <c r="N75" s="22">
        <f t="shared" si="146"/>
        <v>79.645161290322577</v>
      </c>
      <c r="O75" s="21">
        <v>4179</v>
      </c>
      <c r="P75" s="22">
        <f t="shared" si="147"/>
        <v>139.30000000000001</v>
      </c>
      <c r="Q75" s="21">
        <v>5268</v>
      </c>
      <c r="R75" s="22">
        <f t="shared" si="148"/>
        <v>169.93548387096774</v>
      </c>
      <c r="S75" s="21">
        <v>4309</v>
      </c>
      <c r="T75" s="22">
        <f t="shared" si="149"/>
        <v>139</v>
      </c>
      <c r="U75" s="21">
        <v>2959</v>
      </c>
      <c r="V75" s="22">
        <f t="shared" si="150"/>
        <v>98.63333333333334</v>
      </c>
      <c r="W75" s="21">
        <v>3219</v>
      </c>
      <c r="X75" s="22">
        <f t="shared" si="151"/>
        <v>103.83870967741936</v>
      </c>
      <c r="Y75" s="21">
        <v>5151</v>
      </c>
      <c r="Z75" s="22">
        <f t="shared" si="152"/>
        <v>171.7</v>
      </c>
      <c r="AA75" s="21">
        <v>3825</v>
      </c>
      <c r="AB75" s="22">
        <f t="shared" si="153"/>
        <v>123.38709677419355</v>
      </c>
      <c r="AC75" s="23">
        <f t="shared" si="154"/>
        <v>45363.108678955447</v>
      </c>
      <c r="AD75" s="24">
        <f t="shared" si="155"/>
        <v>32.852205460043642</v>
      </c>
      <c r="AE75" s="21">
        <v>1654</v>
      </c>
      <c r="AF75" s="22">
        <f t="shared" si="156"/>
        <v>53.354838709677416</v>
      </c>
      <c r="AG75" s="21">
        <v>3444</v>
      </c>
      <c r="AH75" s="22">
        <f t="shared" si="157"/>
        <v>123</v>
      </c>
      <c r="AI75" s="21">
        <v>2173</v>
      </c>
      <c r="AJ75" s="22">
        <f t="shared" si="158"/>
        <v>70.096774193548384</v>
      </c>
      <c r="AK75" s="21">
        <v>1835</v>
      </c>
      <c r="AL75" s="22">
        <f t="shared" si="159"/>
        <v>61.166666666666664</v>
      </c>
      <c r="AM75" s="21">
        <v>3099</v>
      </c>
      <c r="AN75" s="22">
        <f t="shared" si="160"/>
        <v>99.967741935483872</v>
      </c>
      <c r="AO75" s="21">
        <v>3420</v>
      </c>
      <c r="AP75" s="22">
        <f t="shared" si="161"/>
        <v>114</v>
      </c>
      <c r="AQ75" s="21">
        <v>1798</v>
      </c>
      <c r="AR75" s="22">
        <f t="shared" si="162"/>
        <v>58</v>
      </c>
      <c r="AS75" s="21">
        <v>3660</v>
      </c>
      <c r="AT75" s="22">
        <f t="shared" si="163"/>
        <v>118.06451612903226</v>
      </c>
      <c r="AU75" s="21">
        <v>2670</v>
      </c>
      <c r="AV75" s="22">
        <f t="shared" si="164"/>
        <v>89</v>
      </c>
      <c r="AW75" s="21">
        <v>2402</v>
      </c>
      <c r="AX75" s="22">
        <f t="shared" si="165"/>
        <v>77.483870967741936</v>
      </c>
      <c r="AY75" s="21">
        <v>3579</v>
      </c>
      <c r="AZ75" s="22">
        <f t="shared" si="166"/>
        <v>119.3</v>
      </c>
      <c r="BA75" s="21">
        <v>2218</v>
      </c>
      <c r="BB75" s="22">
        <f t="shared" si="167"/>
        <v>71.548387096774192</v>
      </c>
      <c r="BC75" s="23">
        <f t="shared" si="168"/>
        <v>32935.434408602152</v>
      </c>
      <c r="BD75" s="24">
        <f t="shared" si="169"/>
        <v>26.025845129151534</v>
      </c>
      <c r="BE75" s="21">
        <v>4201</v>
      </c>
      <c r="BF75" s="22">
        <f t="shared" si="170"/>
        <v>135.51612903225808</v>
      </c>
      <c r="BG75" s="21">
        <v>3547</v>
      </c>
      <c r="BH75" s="22">
        <f t="shared" si="171"/>
        <v>126.67857142857143</v>
      </c>
      <c r="BI75" s="21">
        <v>4109</v>
      </c>
      <c r="BJ75" s="22">
        <f t="shared" si="172"/>
        <v>132.54838709677421</v>
      </c>
      <c r="BK75" s="21">
        <v>3091</v>
      </c>
      <c r="BL75" s="22">
        <f t="shared" si="173"/>
        <v>103.03333333333333</v>
      </c>
      <c r="BM75" s="21">
        <v>2351</v>
      </c>
      <c r="BN75" s="22">
        <f t="shared" si="174"/>
        <v>75.838709677419359</v>
      </c>
      <c r="BO75" s="21">
        <v>3677</v>
      </c>
      <c r="BP75" s="22">
        <f t="shared" si="175"/>
        <v>122.56666666666666</v>
      </c>
      <c r="BQ75" s="21">
        <v>4016</v>
      </c>
      <c r="BR75" s="22">
        <f t="shared" si="176"/>
        <v>129.54838709677421</v>
      </c>
      <c r="BS75" s="21">
        <v>2368</v>
      </c>
      <c r="BT75" s="22">
        <f t="shared" si="177"/>
        <v>76.387096774193552</v>
      </c>
      <c r="BU75" s="21">
        <v>2358</v>
      </c>
      <c r="BV75" s="22">
        <f t="shared" si="178"/>
        <v>78.599999999999994</v>
      </c>
      <c r="BW75" s="21">
        <v>2474</v>
      </c>
      <c r="BX75" s="22">
        <f t="shared" si="179"/>
        <v>79.806451612903231</v>
      </c>
      <c r="BY75" s="21">
        <v>3387</v>
      </c>
      <c r="BZ75" s="22">
        <f t="shared" si="180"/>
        <v>112.9</v>
      </c>
      <c r="CA75" s="21">
        <v>2242</v>
      </c>
      <c r="CB75" s="22">
        <f t="shared" si="181"/>
        <v>72.322580645161295</v>
      </c>
      <c r="CC75" s="23">
        <f t="shared" si="182"/>
        <v>38994.423732718889</v>
      </c>
      <c r="CD75" s="24">
        <f t="shared" si="183"/>
        <v>25.564951424946496</v>
      </c>
      <c r="CE75" s="21">
        <v>1974</v>
      </c>
      <c r="CF75" s="22">
        <f t="shared" si="184"/>
        <v>63.677419354838712</v>
      </c>
      <c r="CG75" s="21">
        <v>3849</v>
      </c>
      <c r="CH75" s="22">
        <f t="shared" si="185"/>
        <v>137.46428571428572</v>
      </c>
      <c r="CI75" s="21">
        <v>3286</v>
      </c>
      <c r="CJ75" s="22">
        <f t="shared" si="186"/>
        <v>106</v>
      </c>
      <c r="CK75" s="21">
        <v>3257</v>
      </c>
      <c r="CL75" s="22">
        <f t="shared" si="187"/>
        <v>108.56666666666666</v>
      </c>
      <c r="CM75" s="21">
        <v>3143</v>
      </c>
      <c r="CN75" s="22">
        <f t="shared" si="188"/>
        <v>101.38709677419355</v>
      </c>
      <c r="CO75" s="21">
        <v>3490</v>
      </c>
      <c r="CP75" s="22">
        <f t="shared" si="189"/>
        <v>116.33333333333333</v>
      </c>
      <c r="CQ75" s="21">
        <v>2976</v>
      </c>
      <c r="CR75" s="22">
        <f t="shared" si="190"/>
        <v>96</v>
      </c>
      <c r="CS75" s="21">
        <v>1826</v>
      </c>
      <c r="CT75" s="22">
        <f t="shared" si="191"/>
        <v>58.903225806451616</v>
      </c>
      <c r="CU75" s="21">
        <v>2840</v>
      </c>
      <c r="CV75" s="22">
        <f t="shared" si="192"/>
        <v>94.666666666666671</v>
      </c>
      <c r="CW75" s="21">
        <v>3159</v>
      </c>
      <c r="CX75" s="22">
        <f t="shared" si="193"/>
        <v>101.90322580645162</v>
      </c>
      <c r="CY75" s="21">
        <v>2863</v>
      </c>
      <c r="CZ75" s="22">
        <f t="shared" si="194"/>
        <v>95.433333333333337</v>
      </c>
      <c r="DA75" s="21">
        <v>3999</v>
      </c>
      <c r="DB75" s="22">
        <f t="shared" si="195"/>
        <v>129</v>
      </c>
      <c r="DC75" s="23">
        <f t="shared" si="196"/>
        <v>37742.335253456222</v>
      </c>
      <c r="DD75" s="24">
        <f t="shared" si="197"/>
        <v>22.748817995013649</v>
      </c>
      <c r="DE75" s="21">
        <v>4035</v>
      </c>
      <c r="DF75" s="22">
        <f t="shared" si="198"/>
        <v>130.16129032258064</v>
      </c>
      <c r="DG75" s="21">
        <v>3966</v>
      </c>
      <c r="DH75" s="22">
        <f t="shared" si="199"/>
        <v>141.64285714285714</v>
      </c>
      <c r="DI75" s="21">
        <v>3040</v>
      </c>
      <c r="DJ75" s="22">
        <f t="shared" si="200"/>
        <v>98.064516129032256</v>
      </c>
      <c r="DK75" s="21">
        <v>4249</v>
      </c>
      <c r="DL75" s="22">
        <f t="shared" si="201"/>
        <v>141.63333333333333</v>
      </c>
      <c r="DM75" s="21">
        <v>4082</v>
      </c>
      <c r="DN75" s="22">
        <f t="shared" si="202"/>
        <v>131.67741935483872</v>
      </c>
      <c r="DO75" s="21">
        <v>2524</v>
      </c>
      <c r="DP75" s="22">
        <f t="shared" si="203"/>
        <v>84.13333333333334</v>
      </c>
      <c r="DQ75" s="21">
        <v>2382</v>
      </c>
      <c r="DR75" s="22">
        <f t="shared" si="204"/>
        <v>76.838709677419359</v>
      </c>
      <c r="DS75" s="21">
        <v>3250</v>
      </c>
      <c r="DT75" s="22">
        <f t="shared" si="205"/>
        <v>104.83870967741936</v>
      </c>
      <c r="DU75" s="21">
        <v>1970</v>
      </c>
      <c r="DV75" s="22">
        <f t="shared" si="206"/>
        <v>65.666666666666671</v>
      </c>
      <c r="DW75" s="21">
        <v>3796</v>
      </c>
      <c r="DX75" s="22">
        <f t="shared" si="207"/>
        <v>122.45161290322581</v>
      </c>
      <c r="DY75" s="21">
        <v>3009</v>
      </c>
      <c r="DZ75" s="22">
        <f t="shared" si="208"/>
        <v>100.3</v>
      </c>
      <c r="EA75" s="21">
        <v>3162</v>
      </c>
      <c r="EB75" s="22">
        <f t="shared" si="209"/>
        <v>102</v>
      </c>
      <c r="EC75" s="23">
        <f t="shared" si="210"/>
        <v>40662.408448540715</v>
      </c>
      <c r="ED75" s="24">
        <f t="shared" si="211"/>
        <v>25.333089056051417</v>
      </c>
      <c r="EE75" s="25">
        <f t="shared" si="212"/>
        <v>1634.2907336071132</v>
      </c>
    </row>
    <row r="76" spans="1:135" ht="15" customHeight="1" x14ac:dyDescent="0.35">
      <c r="A76" s="17">
        <v>71</v>
      </c>
      <c r="B76" s="18" t="s">
        <v>176</v>
      </c>
      <c r="C76" s="19" t="s">
        <v>177</v>
      </c>
      <c r="D76" s="20" t="s">
        <v>36</v>
      </c>
      <c r="E76" s="21">
        <v>4315</v>
      </c>
      <c r="F76" s="22">
        <f t="shared" si="142"/>
        <v>139.19354838709677</v>
      </c>
      <c r="G76" s="21">
        <v>3940</v>
      </c>
      <c r="H76" s="22">
        <f t="shared" si="143"/>
        <v>140.71428571428572</v>
      </c>
      <c r="I76" s="21">
        <v>4949</v>
      </c>
      <c r="J76" s="22">
        <f t="shared" si="144"/>
        <v>159.64516129032259</v>
      </c>
      <c r="K76" s="21">
        <v>3186</v>
      </c>
      <c r="L76" s="22">
        <f t="shared" si="145"/>
        <v>106.2</v>
      </c>
      <c r="M76" s="21">
        <v>5948</v>
      </c>
      <c r="N76" s="22">
        <f t="shared" si="146"/>
        <v>191.87096774193549</v>
      </c>
      <c r="O76" s="21">
        <v>4990</v>
      </c>
      <c r="P76" s="22">
        <f t="shared" si="147"/>
        <v>166.33333333333334</v>
      </c>
      <c r="Q76" s="21">
        <v>4169</v>
      </c>
      <c r="R76" s="22">
        <f t="shared" si="148"/>
        <v>134.48387096774192</v>
      </c>
      <c r="S76" s="21">
        <v>4958</v>
      </c>
      <c r="T76" s="22">
        <f t="shared" si="149"/>
        <v>159.93548387096774</v>
      </c>
      <c r="U76" s="21">
        <v>2625</v>
      </c>
      <c r="V76" s="22">
        <f t="shared" si="150"/>
        <v>87.5</v>
      </c>
      <c r="W76" s="21">
        <v>3310</v>
      </c>
      <c r="X76" s="22">
        <f t="shared" si="151"/>
        <v>106.7741935483871</v>
      </c>
      <c r="Y76" s="21">
        <v>4586</v>
      </c>
      <c r="Z76" s="22">
        <f t="shared" si="152"/>
        <v>152.86666666666667</v>
      </c>
      <c r="AA76" s="21">
        <v>3705</v>
      </c>
      <c r="AB76" s="22">
        <f t="shared" si="153"/>
        <v>119.51612903225806</v>
      </c>
      <c r="AC76" s="23">
        <f t="shared" si="154"/>
        <v>52226.517511520746</v>
      </c>
      <c r="AD76" s="24">
        <f t="shared" si="155"/>
        <v>29.799487744799972</v>
      </c>
      <c r="AE76" s="21">
        <v>3815</v>
      </c>
      <c r="AF76" s="22">
        <f t="shared" si="156"/>
        <v>123.06451612903226</v>
      </c>
      <c r="AG76" s="21">
        <v>2827</v>
      </c>
      <c r="AH76" s="22">
        <f t="shared" si="157"/>
        <v>100.96428571428571</v>
      </c>
      <c r="AI76" s="21">
        <v>3635</v>
      </c>
      <c r="AJ76" s="22">
        <f t="shared" si="158"/>
        <v>117.25806451612904</v>
      </c>
      <c r="AK76" s="21">
        <v>2763</v>
      </c>
      <c r="AL76" s="22">
        <f t="shared" si="159"/>
        <v>92.1</v>
      </c>
      <c r="AM76" s="21">
        <v>3419</v>
      </c>
      <c r="AN76" s="22">
        <f t="shared" si="160"/>
        <v>110.29032258064517</v>
      </c>
      <c r="AO76" s="21">
        <v>3816</v>
      </c>
      <c r="AP76" s="22">
        <f t="shared" si="161"/>
        <v>127.2</v>
      </c>
      <c r="AQ76" s="21">
        <v>3124</v>
      </c>
      <c r="AR76" s="22">
        <f t="shared" si="162"/>
        <v>100.7741935483871</v>
      </c>
      <c r="AS76" s="21">
        <v>3496</v>
      </c>
      <c r="AT76" s="22">
        <f t="shared" si="163"/>
        <v>112.7741935483871</v>
      </c>
      <c r="AU76" s="21">
        <v>2689</v>
      </c>
      <c r="AV76" s="22">
        <f t="shared" si="164"/>
        <v>89.63333333333334</v>
      </c>
      <c r="AW76" s="21">
        <v>4061</v>
      </c>
      <c r="AX76" s="22">
        <f t="shared" si="165"/>
        <v>131</v>
      </c>
      <c r="AY76" s="21">
        <v>3142</v>
      </c>
      <c r="AZ76" s="22">
        <f t="shared" si="166"/>
        <v>104.73333333333333</v>
      </c>
      <c r="BA76" s="21">
        <v>4491</v>
      </c>
      <c r="BB76" s="22">
        <f t="shared" si="167"/>
        <v>144.87096774193549</v>
      </c>
      <c r="BC76" s="23">
        <f t="shared" si="168"/>
        <v>42487.79224270353</v>
      </c>
      <c r="BD76" s="24">
        <f t="shared" si="169"/>
        <v>16.551699327393703</v>
      </c>
      <c r="BE76" s="21">
        <v>3223</v>
      </c>
      <c r="BF76" s="22">
        <f t="shared" si="170"/>
        <v>103.96774193548387</v>
      </c>
      <c r="BG76" s="21">
        <v>2910</v>
      </c>
      <c r="BH76" s="22">
        <f t="shared" si="171"/>
        <v>103.92857142857143</v>
      </c>
      <c r="BI76" s="21">
        <v>2758</v>
      </c>
      <c r="BJ76" s="22">
        <f t="shared" si="172"/>
        <v>88.967741935483872</v>
      </c>
      <c r="BK76" s="21">
        <v>4150</v>
      </c>
      <c r="BL76" s="22">
        <f t="shared" si="173"/>
        <v>138.33333333333334</v>
      </c>
      <c r="BM76" s="21">
        <v>3063</v>
      </c>
      <c r="BN76" s="22">
        <f t="shared" si="174"/>
        <v>98.806451612903231</v>
      </c>
      <c r="BO76" s="21">
        <v>2660</v>
      </c>
      <c r="BP76" s="22">
        <f t="shared" si="175"/>
        <v>88.666666666666671</v>
      </c>
      <c r="BQ76" s="21">
        <v>3192</v>
      </c>
      <c r="BR76" s="22">
        <f t="shared" si="176"/>
        <v>102.96774193548387</v>
      </c>
      <c r="BS76" s="21">
        <v>3085</v>
      </c>
      <c r="BT76" s="22">
        <f t="shared" si="177"/>
        <v>99.516129032258064</v>
      </c>
      <c r="BU76" s="21">
        <v>3700</v>
      </c>
      <c r="BV76" s="22">
        <f t="shared" si="178"/>
        <v>123.33333333333333</v>
      </c>
      <c r="BW76" s="21">
        <v>3539</v>
      </c>
      <c r="BX76" s="22">
        <f t="shared" si="179"/>
        <v>114.16129032258064</v>
      </c>
      <c r="BY76" s="21">
        <v>2804</v>
      </c>
      <c r="BZ76" s="22">
        <f t="shared" si="180"/>
        <v>93.466666666666669</v>
      </c>
      <c r="CA76" s="21">
        <v>5349</v>
      </c>
      <c r="CB76" s="22">
        <f t="shared" si="181"/>
        <v>172.54838709677421</v>
      </c>
      <c r="CC76" s="23">
        <f t="shared" si="182"/>
        <v>41589.115668202765</v>
      </c>
      <c r="CD76" s="24">
        <f t="shared" si="183"/>
        <v>24.182347706309645</v>
      </c>
      <c r="CE76" s="21">
        <v>2352</v>
      </c>
      <c r="CF76" s="22">
        <f t="shared" si="184"/>
        <v>75.870967741935488</v>
      </c>
      <c r="CG76" s="21">
        <v>4067</v>
      </c>
      <c r="CH76" s="22">
        <f t="shared" si="185"/>
        <v>145.25</v>
      </c>
      <c r="CI76" s="21">
        <v>2423</v>
      </c>
      <c r="CJ76" s="22">
        <f t="shared" si="186"/>
        <v>78.161290322580641</v>
      </c>
      <c r="CK76" s="21">
        <v>3267</v>
      </c>
      <c r="CL76" s="22">
        <f t="shared" si="187"/>
        <v>108.9</v>
      </c>
      <c r="CM76" s="21">
        <v>4564</v>
      </c>
      <c r="CN76" s="22">
        <f t="shared" si="188"/>
        <v>147.2258064516129</v>
      </c>
      <c r="CO76" s="21">
        <v>4182</v>
      </c>
      <c r="CP76" s="22">
        <f t="shared" si="189"/>
        <v>139.4</v>
      </c>
      <c r="CQ76" s="21">
        <v>3313</v>
      </c>
      <c r="CR76" s="22">
        <f t="shared" si="190"/>
        <v>106.87096774193549</v>
      </c>
      <c r="CS76" s="21">
        <v>3845</v>
      </c>
      <c r="CT76" s="22">
        <f t="shared" si="191"/>
        <v>124.03225806451613</v>
      </c>
      <c r="CU76" s="21">
        <v>4014</v>
      </c>
      <c r="CV76" s="22">
        <f t="shared" si="192"/>
        <v>133.80000000000001</v>
      </c>
      <c r="CW76" s="21">
        <v>2745</v>
      </c>
      <c r="CX76" s="22">
        <f t="shared" si="193"/>
        <v>88.548387096774192</v>
      </c>
      <c r="CY76" s="21">
        <v>3431</v>
      </c>
      <c r="CZ76" s="22">
        <f t="shared" si="194"/>
        <v>114.36666666666666</v>
      </c>
      <c r="DA76" s="21">
        <v>3446</v>
      </c>
      <c r="DB76" s="22">
        <f t="shared" si="195"/>
        <v>111.16129032258064</v>
      </c>
      <c r="DC76" s="23">
        <f t="shared" si="196"/>
        <v>42911.426344086023</v>
      </c>
      <c r="DD76" s="24">
        <f t="shared" si="197"/>
        <v>24.655458073663997</v>
      </c>
      <c r="DE76" s="21">
        <v>2849</v>
      </c>
      <c r="DF76" s="22">
        <f t="shared" si="198"/>
        <v>91.903225806451616</v>
      </c>
      <c r="DG76" s="21">
        <v>3574</v>
      </c>
      <c r="DH76" s="22">
        <f t="shared" si="199"/>
        <v>127.64285714285714</v>
      </c>
      <c r="DI76" s="21">
        <v>2010</v>
      </c>
      <c r="DJ76" s="22">
        <f t="shared" si="200"/>
        <v>64.838709677419359</v>
      </c>
      <c r="DK76" s="21">
        <v>3880</v>
      </c>
      <c r="DL76" s="22">
        <f t="shared" si="201"/>
        <v>129.33333333333334</v>
      </c>
      <c r="DM76" s="21">
        <v>3043</v>
      </c>
      <c r="DN76" s="22">
        <f t="shared" si="202"/>
        <v>98.161290322580641</v>
      </c>
      <c r="DO76" s="21">
        <v>3423</v>
      </c>
      <c r="DP76" s="22">
        <f t="shared" si="203"/>
        <v>114.1</v>
      </c>
      <c r="DQ76" s="21">
        <v>2977</v>
      </c>
      <c r="DR76" s="22">
        <f t="shared" si="204"/>
        <v>96.032258064516128</v>
      </c>
      <c r="DS76" s="21">
        <v>2691</v>
      </c>
      <c r="DT76" s="22">
        <f t="shared" si="205"/>
        <v>86.806451612903231</v>
      </c>
      <c r="DU76" s="21">
        <v>2756</v>
      </c>
      <c r="DV76" s="22">
        <f t="shared" si="206"/>
        <v>91.86666666666666</v>
      </c>
      <c r="DW76" s="21">
        <v>3251</v>
      </c>
      <c r="DX76" s="22">
        <f t="shared" si="207"/>
        <v>104.87096774193549</v>
      </c>
      <c r="DY76" s="21">
        <v>4173</v>
      </c>
      <c r="DZ76" s="22">
        <f t="shared" si="208"/>
        <v>139.1</v>
      </c>
      <c r="EA76" s="21">
        <v>2500</v>
      </c>
      <c r="EB76" s="22">
        <f t="shared" si="209"/>
        <v>80.645161290322577</v>
      </c>
      <c r="EC76" s="23">
        <f t="shared" si="210"/>
        <v>38271.65576036866</v>
      </c>
      <c r="ED76" s="24">
        <f t="shared" si="211"/>
        <v>21.864047144572371</v>
      </c>
      <c r="EE76" s="25">
        <f t="shared" si="212"/>
        <v>1803.5062161293613</v>
      </c>
    </row>
    <row r="77" spans="1:135" ht="15" customHeight="1" x14ac:dyDescent="0.35">
      <c r="A77" s="17">
        <v>72</v>
      </c>
      <c r="B77" s="18" t="s">
        <v>178</v>
      </c>
      <c r="C77" s="19" t="s">
        <v>179</v>
      </c>
      <c r="D77" s="20" t="s">
        <v>36</v>
      </c>
      <c r="E77" s="21">
        <v>1357</v>
      </c>
      <c r="F77" s="22">
        <f t="shared" si="142"/>
        <v>43.774193548387096</v>
      </c>
      <c r="G77" s="21">
        <v>1535</v>
      </c>
      <c r="H77" s="22">
        <f t="shared" si="143"/>
        <v>54.821428571428569</v>
      </c>
      <c r="I77" s="21">
        <v>2850</v>
      </c>
      <c r="J77" s="22">
        <f t="shared" si="144"/>
        <v>91.935483870967744</v>
      </c>
      <c r="K77" s="21">
        <v>3019</v>
      </c>
      <c r="L77" s="22">
        <f t="shared" si="145"/>
        <v>100.63333333333334</v>
      </c>
      <c r="M77" s="21">
        <v>1672</v>
      </c>
      <c r="N77" s="22">
        <f t="shared" si="146"/>
        <v>53.935483870967744</v>
      </c>
      <c r="O77" s="21">
        <v>2337</v>
      </c>
      <c r="P77" s="22">
        <f t="shared" si="147"/>
        <v>77.900000000000006</v>
      </c>
      <c r="Q77" s="21">
        <v>2466</v>
      </c>
      <c r="R77" s="22">
        <f t="shared" si="148"/>
        <v>79.548387096774192</v>
      </c>
      <c r="S77" s="21">
        <v>1629</v>
      </c>
      <c r="T77" s="22">
        <f t="shared" si="149"/>
        <v>52.548387096774192</v>
      </c>
      <c r="U77" s="21">
        <v>2697</v>
      </c>
      <c r="V77" s="22">
        <f t="shared" si="150"/>
        <v>89.9</v>
      </c>
      <c r="W77" s="21">
        <v>1947</v>
      </c>
      <c r="X77" s="22">
        <f t="shared" si="151"/>
        <v>62.806451612903224</v>
      </c>
      <c r="Y77" s="21">
        <v>2508</v>
      </c>
      <c r="Z77" s="22">
        <f t="shared" si="152"/>
        <v>83.6</v>
      </c>
      <c r="AA77" s="21">
        <v>2181</v>
      </c>
      <c r="AB77" s="22">
        <f t="shared" si="153"/>
        <v>70.354838709677423</v>
      </c>
      <c r="AC77" s="23">
        <f t="shared" si="154"/>
        <v>26989.403149001533</v>
      </c>
      <c r="AD77" s="24">
        <f t="shared" si="155"/>
        <v>18.209263124937742</v>
      </c>
      <c r="AE77" s="21">
        <v>2962</v>
      </c>
      <c r="AF77" s="22">
        <f t="shared" si="156"/>
        <v>95.548387096774192</v>
      </c>
      <c r="AG77" s="21">
        <v>3267</v>
      </c>
      <c r="AH77" s="22">
        <f t="shared" si="157"/>
        <v>116.67857142857143</v>
      </c>
      <c r="AI77" s="21">
        <v>2254</v>
      </c>
      <c r="AJ77" s="22">
        <f t="shared" si="158"/>
        <v>72.709677419354833</v>
      </c>
      <c r="AK77" s="21">
        <v>2065</v>
      </c>
      <c r="AL77" s="22">
        <f t="shared" si="159"/>
        <v>68.833333333333329</v>
      </c>
      <c r="AM77" s="21">
        <v>2753</v>
      </c>
      <c r="AN77" s="22">
        <f t="shared" si="160"/>
        <v>88.806451612903231</v>
      </c>
      <c r="AO77" s="21">
        <v>1783</v>
      </c>
      <c r="AP77" s="22">
        <f t="shared" si="161"/>
        <v>59.43333333333333</v>
      </c>
      <c r="AQ77" s="21">
        <v>1828</v>
      </c>
      <c r="AR77" s="22">
        <f t="shared" si="162"/>
        <v>58.967741935483872</v>
      </c>
      <c r="AS77" s="21">
        <v>3104</v>
      </c>
      <c r="AT77" s="22">
        <f t="shared" si="163"/>
        <v>100.12903225806451</v>
      </c>
      <c r="AU77" s="21">
        <v>2167</v>
      </c>
      <c r="AV77" s="22">
        <f t="shared" si="164"/>
        <v>72.233333333333334</v>
      </c>
      <c r="AW77" s="21">
        <v>2752</v>
      </c>
      <c r="AX77" s="22">
        <f t="shared" si="165"/>
        <v>88.774193548387103</v>
      </c>
      <c r="AY77" s="21">
        <v>2633</v>
      </c>
      <c r="AZ77" s="22">
        <f t="shared" si="166"/>
        <v>87.766666666666666</v>
      </c>
      <c r="BA77" s="21">
        <v>3186</v>
      </c>
      <c r="BB77" s="22">
        <f t="shared" si="167"/>
        <v>102.7741935483871</v>
      </c>
      <c r="BC77" s="23">
        <f t="shared" si="168"/>
        <v>31663.880721966205</v>
      </c>
      <c r="BD77" s="24">
        <f t="shared" si="169"/>
        <v>18.086247798271181</v>
      </c>
      <c r="BE77" s="21">
        <v>1893</v>
      </c>
      <c r="BF77" s="22">
        <f t="shared" si="170"/>
        <v>61.064516129032256</v>
      </c>
      <c r="BG77" s="21">
        <v>2102</v>
      </c>
      <c r="BH77" s="22">
        <f t="shared" si="171"/>
        <v>75.071428571428569</v>
      </c>
      <c r="BI77" s="21">
        <v>2255</v>
      </c>
      <c r="BJ77" s="22">
        <f t="shared" si="172"/>
        <v>72.741935483870961</v>
      </c>
      <c r="BK77" s="21">
        <v>2459</v>
      </c>
      <c r="BL77" s="22">
        <f t="shared" si="173"/>
        <v>81.966666666666669</v>
      </c>
      <c r="BM77" s="21">
        <v>2400</v>
      </c>
      <c r="BN77" s="22">
        <f t="shared" si="174"/>
        <v>77.41935483870968</v>
      </c>
      <c r="BO77" s="21">
        <v>2345</v>
      </c>
      <c r="BP77" s="22">
        <f t="shared" si="175"/>
        <v>78.166666666666671</v>
      </c>
      <c r="BQ77" s="21">
        <v>3214</v>
      </c>
      <c r="BR77" s="22">
        <f t="shared" si="176"/>
        <v>103.6774193548387</v>
      </c>
      <c r="BS77" s="21">
        <v>2354</v>
      </c>
      <c r="BT77" s="22">
        <f t="shared" si="177"/>
        <v>75.935483870967744</v>
      </c>
      <c r="BU77" s="21">
        <v>2754</v>
      </c>
      <c r="BV77" s="22">
        <f t="shared" si="178"/>
        <v>91.8</v>
      </c>
      <c r="BW77" s="21">
        <v>3717</v>
      </c>
      <c r="BX77" s="22">
        <f t="shared" si="179"/>
        <v>119.90322580645162</v>
      </c>
      <c r="BY77" s="21">
        <v>2566</v>
      </c>
      <c r="BZ77" s="22">
        <f t="shared" si="180"/>
        <v>85.533333333333331</v>
      </c>
      <c r="CA77" s="21">
        <v>3081</v>
      </c>
      <c r="CB77" s="22">
        <f t="shared" si="181"/>
        <v>99.387096774193552</v>
      </c>
      <c r="CC77" s="23">
        <f t="shared" si="182"/>
        <v>32063.280030721962</v>
      </c>
      <c r="CD77" s="24">
        <f t="shared" si="183"/>
        <v>16.060319876145819</v>
      </c>
      <c r="CE77" s="21">
        <v>3240</v>
      </c>
      <c r="CF77" s="22">
        <f t="shared" si="184"/>
        <v>104.51612903225806</v>
      </c>
      <c r="CG77" s="21">
        <v>2198</v>
      </c>
      <c r="CH77" s="22">
        <f t="shared" si="185"/>
        <v>78.5</v>
      </c>
      <c r="CI77" s="21">
        <v>1764</v>
      </c>
      <c r="CJ77" s="22">
        <f t="shared" si="186"/>
        <v>56.903225806451616</v>
      </c>
      <c r="CK77" s="21">
        <v>1460</v>
      </c>
      <c r="CL77" s="22">
        <f t="shared" si="187"/>
        <v>48.666666666666664</v>
      </c>
      <c r="CM77" s="21">
        <v>2791</v>
      </c>
      <c r="CN77" s="22">
        <f t="shared" si="188"/>
        <v>90.032258064516128</v>
      </c>
      <c r="CO77" s="21">
        <v>2667</v>
      </c>
      <c r="CP77" s="22">
        <f t="shared" si="189"/>
        <v>88.9</v>
      </c>
      <c r="CQ77" s="21">
        <v>3192</v>
      </c>
      <c r="CR77" s="22">
        <f t="shared" si="190"/>
        <v>102.96774193548387</v>
      </c>
      <c r="CS77" s="21">
        <v>2740</v>
      </c>
      <c r="CT77" s="22">
        <f t="shared" si="191"/>
        <v>88.387096774193552</v>
      </c>
      <c r="CU77" s="21">
        <v>1568</v>
      </c>
      <c r="CV77" s="22">
        <f t="shared" si="192"/>
        <v>52.266666666666666</v>
      </c>
      <c r="CW77" s="21">
        <v>1732</v>
      </c>
      <c r="CX77" s="22">
        <f t="shared" si="193"/>
        <v>55.87096774193548</v>
      </c>
      <c r="CY77" s="21">
        <v>1611</v>
      </c>
      <c r="CZ77" s="22">
        <f t="shared" si="194"/>
        <v>53.7</v>
      </c>
      <c r="DA77" s="21">
        <v>1537</v>
      </c>
      <c r="DB77" s="22">
        <f t="shared" si="195"/>
        <v>49.58064516129032</v>
      </c>
      <c r="DC77" s="23">
        <f t="shared" si="196"/>
        <v>27320.710752688174</v>
      </c>
      <c r="DD77" s="24">
        <f t="shared" si="197"/>
        <v>21.729713880086038</v>
      </c>
      <c r="DE77" s="21">
        <v>3581</v>
      </c>
      <c r="DF77" s="22">
        <f t="shared" si="198"/>
        <v>115.51612903225806</v>
      </c>
      <c r="DG77" s="21">
        <v>2855</v>
      </c>
      <c r="DH77" s="22">
        <f t="shared" si="199"/>
        <v>101.96428571428571</v>
      </c>
      <c r="DI77" s="21">
        <v>1707</v>
      </c>
      <c r="DJ77" s="22">
        <f t="shared" si="200"/>
        <v>55.064516129032256</v>
      </c>
      <c r="DK77" s="21">
        <v>2522</v>
      </c>
      <c r="DL77" s="22">
        <f t="shared" si="201"/>
        <v>84.066666666666663</v>
      </c>
      <c r="DM77" s="21">
        <v>3331</v>
      </c>
      <c r="DN77" s="22">
        <f t="shared" si="202"/>
        <v>107.45161290322581</v>
      </c>
      <c r="DO77" s="21">
        <v>1832</v>
      </c>
      <c r="DP77" s="22">
        <f t="shared" si="203"/>
        <v>61.06666666666667</v>
      </c>
      <c r="DQ77" s="21">
        <v>2226</v>
      </c>
      <c r="DR77" s="22">
        <f t="shared" si="204"/>
        <v>71.806451612903231</v>
      </c>
      <c r="DS77" s="21">
        <v>1990</v>
      </c>
      <c r="DT77" s="22">
        <f t="shared" si="205"/>
        <v>64.193548387096769</v>
      </c>
      <c r="DU77" s="21">
        <v>3089</v>
      </c>
      <c r="DV77" s="22">
        <f t="shared" si="206"/>
        <v>102.96666666666667</v>
      </c>
      <c r="DW77" s="21">
        <v>3596</v>
      </c>
      <c r="DX77" s="22">
        <f t="shared" si="207"/>
        <v>116</v>
      </c>
      <c r="DY77" s="21">
        <v>2329</v>
      </c>
      <c r="DZ77" s="22">
        <f t="shared" si="208"/>
        <v>77.63333333333334</v>
      </c>
      <c r="EA77" s="21">
        <v>2193</v>
      </c>
      <c r="EB77" s="22">
        <f t="shared" si="209"/>
        <v>70.741935483870961</v>
      </c>
      <c r="EC77" s="23">
        <f t="shared" si="210"/>
        <v>32208.729877112139</v>
      </c>
      <c r="ED77" s="24">
        <f t="shared" si="211"/>
        <v>22.023258915848327</v>
      </c>
      <c r="EE77" s="25">
        <f t="shared" si="212"/>
        <v>1236.5028083246275</v>
      </c>
    </row>
    <row r="78" spans="1:135" ht="15" customHeight="1" x14ac:dyDescent="0.35">
      <c r="A78" s="17">
        <v>73</v>
      </c>
      <c r="B78" s="18" t="s">
        <v>180</v>
      </c>
      <c r="C78" s="19" t="s">
        <v>181</v>
      </c>
      <c r="D78" s="20" t="s">
        <v>36</v>
      </c>
      <c r="E78" s="21">
        <v>2361</v>
      </c>
      <c r="F78" s="22">
        <f t="shared" si="142"/>
        <v>76.161290322580641</v>
      </c>
      <c r="G78" s="21">
        <v>3142</v>
      </c>
      <c r="H78" s="22">
        <f t="shared" si="143"/>
        <v>112.21428571428571</v>
      </c>
      <c r="I78" s="21">
        <v>2012</v>
      </c>
      <c r="J78" s="22">
        <f t="shared" si="144"/>
        <v>64.903225806451616</v>
      </c>
      <c r="K78" s="21">
        <v>3626</v>
      </c>
      <c r="L78" s="22">
        <f t="shared" si="145"/>
        <v>120.86666666666666</v>
      </c>
      <c r="M78" s="21">
        <v>1777</v>
      </c>
      <c r="N78" s="22">
        <f t="shared" si="146"/>
        <v>57.322580645161288</v>
      </c>
      <c r="O78" s="21">
        <v>3227</v>
      </c>
      <c r="P78" s="22">
        <f t="shared" si="147"/>
        <v>107.56666666666666</v>
      </c>
      <c r="Q78" s="21">
        <v>3676</v>
      </c>
      <c r="R78" s="22">
        <f t="shared" si="148"/>
        <v>118.58064516129032</v>
      </c>
      <c r="S78" s="21">
        <v>2454</v>
      </c>
      <c r="T78" s="22">
        <f t="shared" si="149"/>
        <v>79.161290322580641</v>
      </c>
      <c r="U78" s="21">
        <v>2799</v>
      </c>
      <c r="V78" s="22">
        <f t="shared" si="150"/>
        <v>93.3</v>
      </c>
      <c r="W78" s="21">
        <v>3938</v>
      </c>
      <c r="X78" s="22">
        <f t="shared" si="151"/>
        <v>127.03225806451613</v>
      </c>
      <c r="Y78" s="21">
        <v>2946</v>
      </c>
      <c r="Z78" s="22">
        <f t="shared" si="152"/>
        <v>98.2</v>
      </c>
      <c r="AA78" s="21">
        <v>2334</v>
      </c>
      <c r="AB78" s="22">
        <f t="shared" si="153"/>
        <v>75.290322580645167</v>
      </c>
      <c r="AC78" s="23">
        <f t="shared" si="154"/>
        <v>35347.308909370193</v>
      </c>
      <c r="AD78" s="24">
        <f t="shared" si="155"/>
        <v>23.414936707371023</v>
      </c>
      <c r="AE78" s="21">
        <v>2608</v>
      </c>
      <c r="AF78" s="22">
        <f t="shared" si="156"/>
        <v>84.129032258064512</v>
      </c>
      <c r="AG78" s="21">
        <v>3753</v>
      </c>
      <c r="AH78" s="22">
        <f t="shared" si="157"/>
        <v>134.03571428571428</v>
      </c>
      <c r="AI78" s="21">
        <v>3159</v>
      </c>
      <c r="AJ78" s="22">
        <f t="shared" si="158"/>
        <v>101.90322580645162</v>
      </c>
      <c r="AK78" s="21">
        <v>2023</v>
      </c>
      <c r="AL78" s="22">
        <f t="shared" si="159"/>
        <v>67.433333333333337</v>
      </c>
      <c r="AM78" s="21">
        <v>2941</v>
      </c>
      <c r="AN78" s="22">
        <f t="shared" si="160"/>
        <v>94.870967741935488</v>
      </c>
      <c r="AO78" s="21">
        <v>3014</v>
      </c>
      <c r="AP78" s="22">
        <f t="shared" si="161"/>
        <v>100.46666666666667</v>
      </c>
      <c r="AQ78" s="21">
        <v>3024</v>
      </c>
      <c r="AR78" s="22">
        <f t="shared" si="162"/>
        <v>97.548387096774192</v>
      </c>
      <c r="AS78" s="21">
        <v>2867</v>
      </c>
      <c r="AT78" s="22">
        <f t="shared" si="163"/>
        <v>92.483870967741936</v>
      </c>
      <c r="AU78" s="21">
        <v>2779</v>
      </c>
      <c r="AV78" s="22">
        <f t="shared" si="164"/>
        <v>92.63333333333334</v>
      </c>
      <c r="AW78" s="21">
        <v>3032</v>
      </c>
      <c r="AX78" s="22">
        <f t="shared" si="165"/>
        <v>97.806451612903231</v>
      </c>
      <c r="AY78" s="21">
        <v>2312</v>
      </c>
      <c r="AZ78" s="22">
        <f t="shared" si="166"/>
        <v>77.066666666666663</v>
      </c>
      <c r="BA78" s="21">
        <v>2394</v>
      </c>
      <c r="BB78" s="22">
        <f t="shared" si="167"/>
        <v>77.225806451612897</v>
      </c>
      <c r="BC78" s="23">
        <f t="shared" si="168"/>
        <v>34946.37764976958</v>
      </c>
      <c r="BD78" s="24">
        <f t="shared" si="169"/>
        <v>16.791421225142489</v>
      </c>
      <c r="BE78" s="21">
        <v>4174</v>
      </c>
      <c r="BF78" s="22">
        <f t="shared" si="170"/>
        <v>134.64516129032259</v>
      </c>
      <c r="BG78" s="21">
        <v>5032</v>
      </c>
      <c r="BH78" s="22">
        <f t="shared" si="171"/>
        <v>179.71428571428572</v>
      </c>
      <c r="BI78" s="21">
        <v>3858</v>
      </c>
      <c r="BJ78" s="22">
        <f t="shared" si="172"/>
        <v>124.45161290322581</v>
      </c>
      <c r="BK78" s="21">
        <v>3611</v>
      </c>
      <c r="BL78" s="22">
        <f t="shared" si="173"/>
        <v>120.36666666666666</v>
      </c>
      <c r="BM78" s="21">
        <v>3268</v>
      </c>
      <c r="BN78" s="22">
        <f t="shared" si="174"/>
        <v>105.41935483870968</v>
      </c>
      <c r="BO78" s="21">
        <v>3410</v>
      </c>
      <c r="BP78" s="22">
        <f t="shared" si="175"/>
        <v>113.66666666666667</v>
      </c>
      <c r="BQ78" s="21">
        <v>2428</v>
      </c>
      <c r="BR78" s="22">
        <f t="shared" si="176"/>
        <v>78.322580645161295</v>
      </c>
      <c r="BS78" s="21">
        <v>5067</v>
      </c>
      <c r="BT78" s="22">
        <f t="shared" si="177"/>
        <v>163.45161290322579</v>
      </c>
      <c r="BU78" s="21">
        <v>5172</v>
      </c>
      <c r="BV78" s="22">
        <f t="shared" si="178"/>
        <v>172.4</v>
      </c>
      <c r="BW78" s="21">
        <v>3541</v>
      </c>
      <c r="BX78" s="22">
        <f t="shared" si="179"/>
        <v>114.2258064516129</v>
      </c>
      <c r="BY78" s="21">
        <v>3946</v>
      </c>
      <c r="BZ78" s="22">
        <f t="shared" si="180"/>
        <v>131.53333333333333</v>
      </c>
      <c r="CA78" s="21">
        <v>2454</v>
      </c>
      <c r="CB78" s="22">
        <f t="shared" si="181"/>
        <v>79.161290322580641</v>
      </c>
      <c r="CC78" s="23">
        <f t="shared" si="182"/>
        <v>47399.197081413215</v>
      </c>
      <c r="CD78" s="24">
        <f t="shared" si="183"/>
        <v>32.695857951596047</v>
      </c>
      <c r="CE78" s="21">
        <v>5255</v>
      </c>
      <c r="CF78" s="22">
        <f t="shared" si="184"/>
        <v>169.51612903225808</v>
      </c>
      <c r="CG78" s="21">
        <v>5333</v>
      </c>
      <c r="CH78" s="22">
        <f t="shared" si="185"/>
        <v>190.46428571428572</v>
      </c>
      <c r="CI78" s="21">
        <v>3856</v>
      </c>
      <c r="CJ78" s="22">
        <f t="shared" si="186"/>
        <v>124.38709677419355</v>
      </c>
      <c r="CK78" s="21">
        <v>2386</v>
      </c>
      <c r="CL78" s="22">
        <f t="shared" si="187"/>
        <v>79.533333333333331</v>
      </c>
      <c r="CM78" s="21">
        <v>3710</v>
      </c>
      <c r="CN78" s="22">
        <f t="shared" si="188"/>
        <v>119.6774193548387</v>
      </c>
      <c r="CO78" s="21">
        <v>3278</v>
      </c>
      <c r="CP78" s="22">
        <f t="shared" si="189"/>
        <v>109.26666666666667</v>
      </c>
      <c r="CQ78" s="21">
        <v>3084</v>
      </c>
      <c r="CR78" s="22">
        <f t="shared" si="190"/>
        <v>99.483870967741936</v>
      </c>
      <c r="CS78" s="21">
        <v>2380</v>
      </c>
      <c r="CT78" s="22">
        <f t="shared" si="191"/>
        <v>76.774193548387103</v>
      </c>
      <c r="CU78" s="21">
        <v>3531</v>
      </c>
      <c r="CV78" s="22">
        <f t="shared" si="192"/>
        <v>117.7</v>
      </c>
      <c r="CW78" s="21">
        <v>3651</v>
      </c>
      <c r="CX78" s="22">
        <f t="shared" si="193"/>
        <v>117.7741935483871</v>
      </c>
      <c r="CY78" s="21">
        <v>4119</v>
      </c>
      <c r="CZ78" s="22">
        <f t="shared" si="194"/>
        <v>137.30000000000001</v>
      </c>
      <c r="DA78" s="21">
        <v>3598</v>
      </c>
      <c r="DB78" s="22">
        <f t="shared" si="195"/>
        <v>116.06451612903226</v>
      </c>
      <c r="DC78" s="23">
        <f t="shared" si="196"/>
        <v>45522.877188940089</v>
      </c>
      <c r="DD78" s="24">
        <f t="shared" si="197"/>
        <v>32.72022945382205</v>
      </c>
      <c r="DE78" s="21">
        <v>2164</v>
      </c>
      <c r="DF78" s="22">
        <f t="shared" si="198"/>
        <v>69.806451612903231</v>
      </c>
      <c r="DG78" s="21">
        <v>3524</v>
      </c>
      <c r="DH78" s="22">
        <f t="shared" si="199"/>
        <v>125.85714285714286</v>
      </c>
      <c r="DI78" s="21">
        <v>2701</v>
      </c>
      <c r="DJ78" s="22">
        <f t="shared" si="200"/>
        <v>87.129032258064512</v>
      </c>
      <c r="DK78" s="21">
        <v>2674</v>
      </c>
      <c r="DL78" s="22">
        <f t="shared" si="201"/>
        <v>89.13333333333334</v>
      </c>
      <c r="DM78" s="21">
        <v>2401</v>
      </c>
      <c r="DN78" s="22">
        <f t="shared" si="202"/>
        <v>77.451612903225808</v>
      </c>
      <c r="DO78" s="21">
        <v>2778</v>
      </c>
      <c r="DP78" s="22">
        <f t="shared" si="203"/>
        <v>92.6</v>
      </c>
      <c r="DQ78" s="21">
        <v>2345</v>
      </c>
      <c r="DR78" s="22">
        <f t="shared" si="204"/>
        <v>75.645161290322577</v>
      </c>
      <c r="DS78" s="21">
        <v>3589</v>
      </c>
      <c r="DT78" s="22">
        <f t="shared" si="205"/>
        <v>115.7741935483871</v>
      </c>
      <c r="DU78" s="21">
        <v>3934</v>
      </c>
      <c r="DV78" s="22">
        <f t="shared" si="206"/>
        <v>131.13333333333333</v>
      </c>
      <c r="DW78" s="21">
        <v>3691</v>
      </c>
      <c r="DX78" s="22">
        <f t="shared" si="207"/>
        <v>119.06451612903226</v>
      </c>
      <c r="DY78" s="21">
        <v>3400</v>
      </c>
      <c r="DZ78" s="22">
        <f t="shared" si="208"/>
        <v>113.33333333333333</v>
      </c>
      <c r="EA78" s="21">
        <v>2452</v>
      </c>
      <c r="EB78" s="22">
        <f t="shared" si="209"/>
        <v>79.096774193548384</v>
      </c>
      <c r="EC78" s="23">
        <f t="shared" si="210"/>
        <v>36749.928110599081</v>
      </c>
      <c r="ED78" s="24">
        <f t="shared" si="211"/>
        <v>21.676807676486888</v>
      </c>
      <c r="EE78" s="25">
        <f t="shared" si="212"/>
        <v>1658.4817350542517</v>
      </c>
    </row>
    <row r="79" spans="1:135" ht="15" customHeight="1" x14ac:dyDescent="0.35">
      <c r="A79" s="17">
        <v>74</v>
      </c>
      <c r="B79" s="18" t="s">
        <v>182</v>
      </c>
      <c r="C79" s="19" t="s">
        <v>183</v>
      </c>
      <c r="D79" s="20" t="s">
        <v>36</v>
      </c>
      <c r="E79" s="21">
        <v>4211</v>
      </c>
      <c r="F79" s="22">
        <f t="shared" si="142"/>
        <v>135.83870967741936</v>
      </c>
      <c r="G79" s="21">
        <v>4397</v>
      </c>
      <c r="H79" s="22">
        <f t="shared" si="143"/>
        <v>157.03571428571428</v>
      </c>
      <c r="I79" s="21">
        <v>3280</v>
      </c>
      <c r="J79" s="22">
        <f t="shared" si="144"/>
        <v>105.80645161290323</v>
      </c>
      <c r="K79" s="21">
        <v>4523</v>
      </c>
      <c r="L79" s="22">
        <f t="shared" si="145"/>
        <v>150.76666666666668</v>
      </c>
      <c r="M79" s="21">
        <v>2630</v>
      </c>
      <c r="N79" s="22">
        <f t="shared" si="146"/>
        <v>84.838709677419359</v>
      </c>
      <c r="O79" s="21">
        <v>2933</v>
      </c>
      <c r="P79" s="22">
        <f t="shared" si="147"/>
        <v>97.766666666666666</v>
      </c>
      <c r="Q79" s="21">
        <v>3912</v>
      </c>
      <c r="R79" s="22">
        <f t="shared" si="148"/>
        <v>126.19354838709677</v>
      </c>
      <c r="S79" s="21">
        <v>3858</v>
      </c>
      <c r="T79" s="22">
        <f t="shared" si="149"/>
        <v>124.45161290322581</v>
      </c>
      <c r="U79" s="21">
        <v>2883</v>
      </c>
      <c r="V79" s="22">
        <f t="shared" si="150"/>
        <v>96.1</v>
      </c>
      <c r="W79" s="21">
        <v>3872</v>
      </c>
      <c r="X79" s="22">
        <f t="shared" si="151"/>
        <v>124.90322580645162</v>
      </c>
      <c r="Y79" s="21">
        <v>2645</v>
      </c>
      <c r="Z79" s="22">
        <f t="shared" si="152"/>
        <v>88.166666666666671</v>
      </c>
      <c r="AA79" s="21">
        <v>2170</v>
      </c>
      <c r="AB79" s="22">
        <f t="shared" si="153"/>
        <v>70</v>
      </c>
      <c r="AC79" s="23">
        <f t="shared" si="154"/>
        <v>42605.867972350228</v>
      </c>
      <c r="AD79" s="24">
        <f t="shared" si="155"/>
        <v>27.235108892386179</v>
      </c>
      <c r="AE79" s="21">
        <v>2177</v>
      </c>
      <c r="AF79" s="22">
        <f t="shared" si="156"/>
        <v>70.225806451612897</v>
      </c>
      <c r="AG79" s="21">
        <v>3499</v>
      </c>
      <c r="AH79" s="22">
        <f t="shared" si="157"/>
        <v>124.96428571428571</v>
      </c>
      <c r="AI79" s="21">
        <v>2549</v>
      </c>
      <c r="AJ79" s="22">
        <f t="shared" si="158"/>
        <v>82.225806451612897</v>
      </c>
      <c r="AK79" s="21">
        <v>2321</v>
      </c>
      <c r="AL79" s="22">
        <f t="shared" si="159"/>
        <v>77.36666666666666</v>
      </c>
      <c r="AM79" s="21">
        <v>2775</v>
      </c>
      <c r="AN79" s="22">
        <f t="shared" si="160"/>
        <v>89.516129032258064</v>
      </c>
      <c r="AO79" s="21">
        <v>3990</v>
      </c>
      <c r="AP79" s="22">
        <f t="shared" si="161"/>
        <v>133</v>
      </c>
      <c r="AQ79" s="21">
        <v>4022</v>
      </c>
      <c r="AR79" s="22">
        <f t="shared" si="162"/>
        <v>129.74193548387098</v>
      </c>
      <c r="AS79" s="21">
        <v>2676</v>
      </c>
      <c r="AT79" s="22">
        <f t="shared" si="163"/>
        <v>86.322580645161295</v>
      </c>
      <c r="AU79" s="21">
        <v>2453</v>
      </c>
      <c r="AV79" s="22">
        <f t="shared" si="164"/>
        <v>81.766666666666666</v>
      </c>
      <c r="AW79" s="21">
        <v>3386</v>
      </c>
      <c r="AX79" s="22">
        <f t="shared" si="165"/>
        <v>109.2258064516129</v>
      </c>
      <c r="AY79" s="21">
        <v>2973</v>
      </c>
      <c r="AZ79" s="22">
        <f t="shared" si="166"/>
        <v>99.1</v>
      </c>
      <c r="BA79" s="21">
        <v>2891</v>
      </c>
      <c r="BB79" s="22">
        <f t="shared" si="167"/>
        <v>93.258064516129039</v>
      </c>
      <c r="BC79" s="23">
        <f t="shared" si="168"/>
        <v>36795.455683563749</v>
      </c>
      <c r="BD79" s="24">
        <f t="shared" si="169"/>
        <v>21.377813810001822</v>
      </c>
      <c r="BE79" s="21">
        <v>3952</v>
      </c>
      <c r="BF79" s="22">
        <f t="shared" si="170"/>
        <v>127.48387096774194</v>
      </c>
      <c r="BG79" s="21">
        <v>4458</v>
      </c>
      <c r="BH79" s="22">
        <f t="shared" si="171"/>
        <v>159.21428571428572</v>
      </c>
      <c r="BI79" s="21">
        <v>3095</v>
      </c>
      <c r="BJ79" s="22">
        <f t="shared" si="172"/>
        <v>99.838709677419359</v>
      </c>
      <c r="BK79" s="21">
        <v>3931</v>
      </c>
      <c r="BL79" s="22">
        <f t="shared" si="173"/>
        <v>131.03333333333333</v>
      </c>
      <c r="BM79" s="21">
        <v>2755</v>
      </c>
      <c r="BN79" s="22">
        <f t="shared" si="174"/>
        <v>88.870967741935488</v>
      </c>
      <c r="BO79" s="21">
        <v>4064</v>
      </c>
      <c r="BP79" s="22">
        <f t="shared" si="175"/>
        <v>135.46666666666667</v>
      </c>
      <c r="BQ79" s="21">
        <v>4340</v>
      </c>
      <c r="BR79" s="22">
        <f t="shared" si="176"/>
        <v>140</v>
      </c>
      <c r="BS79" s="21">
        <v>2056</v>
      </c>
      <c r="BT79" s="22">
        <f t="shared" si="177"/>
        <v>66.322580645161295</v>
      </c>
      <c r="BU79" s="21">
        <v>3891</v>
      </c>
      <c r="BV79" s="22">
        <f t="shared" si="178"/>
        <v>129.69999999999999</v>
      </c>
      <c r="BW79" s="21">
        <v>2095</v>
      </c>
      <c r="BX79" s="22">
        <f t="shared" si="179"/>
        <v>67.58064516129032</v>
      </c>
      <c r="BY79" s="21">
        <v>3112</v>
      </c>
      <c r="BZ79" s="22">
        <f t="shared" si="180"/>
        <v>103.73333333333333</v>
      </c>
      <c r="CA79" s="21">
        <v>2403</v>
      </c>
      <c r="CB79" s="22">
        <f t="shared" si="181"/>
        <v>77.516129032258064</v>
      </c>
      <c r="CC79" s="23">
        <f t="shared" si="182"/>
        <v>41401.244393241162</v>
      </c>
      <c r="CD79" s="24">
        <f t="shared" si="183"/>
        <v>30.828329059479525</v>
      </c>
      <c r="CE79" s="21">
        <v>4072</v>
      </c>
      <c r="CF79" s="22">
        <f t="shared" si="184"/>
        <v>131.35483870967741</v>
      </c>
      <c r="CG79" s="21">
        <v>4010</v>
      </c>
      <c r="CH79" s="22">
        <f t="shared" si="185"/>
        <v>143.21428571428572</v>
      </c>
      <c r="CI79" s="21">
        <v>4038</v>
      </c>
      <c r="CJ79" s="22">
        <f t="shared" si="186"/>
        <v>130.25806451612902</v>
      </c>
      <c r="CK79" s="21">
        <v>2231</v>
      </c>
      <c r="CL79" s="22">
        <f t="shared" si="187"/>
        <v>74.36666666666666</v>
      </c>
      <c r="CM79" s="21">
        <v>3884</v>
      </c>
      <c r="CN79" s="22">
        <f t="shared" si="188"/>
        <v>125.29032258064517</v>
      </c>
      <c r="CO79" s="21">
        <v>2556</v>
      </c>
      <c r="CP79" s="22">
        <f t="shared" si="189"/>
        <v>85.2</v>
      </c>
      <c r="CQ79" s="21">
        <v>3892</v>
      </c>
      <c r="CR79" s="22">
        <f t="shared" si="190"/>
        <v>125.54838709677419</v>
      </c>
      <c r="CS79" s="21">
        <v>3052</v>
      </c>
      <c r="CT79" s="22">
        <f t="shared" si="191"/>
        <v>98.451612903225808</v>
      </c>
      <c r="CU79" s="21">
        <v>3806</v>
      </c>
      <c r="CV79" s="22">
        <f t="shared" si="192"/>
        <v>126.86666666666666</v>
      </c>
      <c r="CW79" s="21">
        <v>2005</v>
      </c>
      <c r="CX79" s="22">
        <f t="shared" si="193"/>
        <v>64.677419354838705</v>
      </c>
      <c r="CY79" s="21">
        <v>3098</v>
      </c>
      <c r="CZ79" s="22">
        <f t="shared" si="194"/>
        <v>103.26666666666667</v>
      </c>
      <c r="DA79" s="21">
        <v>3892</v>
      </c>
      <c r="DB79" s="22">
        <f t="shared" si="195"/>
        <v>125.54838709677419</v>
      </c>
      <c r="DC79" s="23">
        <f t="shared" si="196"/>
        <v>41744.494930875582</v>
      </c>
      <c r="DD79" s="24">
        <f t="shared" si="197"/>
        <v>25.356672780689742</v>
      </c>
      <c r="DE79" s="21">
        <v>2711</v>
      </c>
      <c r="DF79" s="22">
        <f t="shared" si="198"/>
        <v>87.451612903225808</v>
      </c>
      <c r="DG79" s="21">
        <v>3694</v>
      </c>
      <c r="DH79" s="22">
        <f t="shared" si="199"/>
        <v>131.92857142857142</v>
      </c>
      <c r="DI79" s="21">
        <v>2608</v>
      </c>
      <c r="DJ79" s="22">
        <f t="shared" si="200"/>
        <v>84.129032258064512</v>
      </c>
      <c r="DK79" s="21">
        <v>3053</v>
      </c>
      <c r="DL79" s="22">
        <f t="shared" si="201"/>
        <v>101.76666666666667</v>
      </c>
      <c r="DM79" s="21">
        <v>2265</v>
      </c>
      <c r="DN79" s="22">
        <f t="shared" si="202"/>
        <v>73.064516129032256</v>
      </c>
      <c r="DO79" s="21">
        <v>2289</v>
      </c>
      <c r="DP79" s="22">
        <f t="shared" si="203"/>
        <v>76.3</v>
      </c>
      <c r="DQ79" s="21">
        <v>2941</v>
      </c>
      <c r="DR79" s="22">
        <f t="shared" si="204"/>
        <v>94.870967741935488</v>
      </c>
      <c r="DS79" s="21">
        <v>1690</v>
      </c>
      <c r="DT79" s="22">
        <f t="shared" si="205"/>
        <v>54.516129032258064</v>
      </c>
      <c r="DU79" s="21">
        <v>3599</v>
      </c>
      <c r="DV79" s="22">
        <f t="shared" si="206"/>
        <v>119.96666666666667</v>
      </c>
      <c r="DW79" s="21">
        <v>2711</v>
      </c>
      <c r="DX79" s="22">
        <f t="shared" si="207"/>
        <v>87.451612903225808</v>
      </c>
      <c r="DY79" s="21">
        <v>2140</v>
      </c>
      <c r="DZ79" s="22">
        <f t="shared" si="208"/>
        <v>71.333333333333329</v>
      </c>
      <c r="EA79" s="21">
        <v>2961</v>
      </c>
      <c r="EB79" s="22">
        <f t="shared" si="209"/>
        <v>95.516129032258064</v>
      </c>
      <c r="EC79" s="23">
        <f t="shared" si="210"/>
        <v>33644.779109062976</v>
      </c>
      <c r="ED79" s="24">
        <f t="shared" si="211"/>
        <v>21.272858192522698</v>
      </c>
      <c r="EE79" s="25">
        <f t="shared" si="212"/>
        <v>1612.7394937770111</v>
      </c>
    </row>
    <row r="80" spans="1:135" ht="15" customHeight="1" x14ac:dyDescent="0.35">
      <c r="A80" s="17">
        <v>75</v>
      </c>
      <c r="B80" s="18" t="s">
        <v>184</v>
      </c>
      <c r="C80" s="19" t="s">
        <v>185</v>
      </c>
      <c r="D80" s="20" t="s">
        <v>36</v>
      </c>
      <c r="E80" s="21">
        <v>2776</v>
      </c>
      <c r="F80" s="22">
        <f t="shared" si="142"/>
        <v>89.548387096774192</v>
      </c>
      <c r="G80" s="21">
        <v>4791</v>
      </c>
      <c r="H80" s="22">
        <f t="shared" si="143"/>
        <v>171.10714285714286</v>
      </c>
      <c r="I80" s="21">
        <v>4721</v>
      </c>
      <c r="J80" s="22">
        <f t="shared" si="144"/>
        <v>152.29032258064515</v>
      </c>
      <c r="K80" s="21">
        <v>2832</v>
      </c>
      <c r="L80" s="22">
        <f t="shared" si="145"/>
        <v>94.4</v>
      </c>
      <c r="M80" s="21">
        <v>2525</v>
      </c>
      <c r="N80" s="22">
        <f t="shared" si="146"/>
        <v>81.451612903225808</v>
      </c>
      <c r="O80" s="21">
        <v>4046</v>
      </c>
      <c r="P80" s="22">
        <f t="shared" si="147"/>
        <v>134.86666666666667</v>
      </c>
      <c r="Q80" s="21">
        <v>3144</v>
      </c>
      <c r="R80" s="22">
        <f t="shared" si="148"/>
        <v>101.41935483870968</v>
      </c>
      <c r="S80" s="21">
        <v>2684</v>
      </c>
      <c r="T80" s="22">
        <f t="shared" si="149"/>
        <v>86.58064516129032</v>
      </c>
      <c r="U80" s="21">
        <v>3002</v>
      </c>
      <c r="V80" s="22">
        <f t="shared" si="150"/>
        <v>100.06666666666666</v>
      </c>
      <c r="W80" s="21">
        <v>2545</v>
      </c>
      <c r="X80" s="22">
        <f t="shared" si="151"/>
        <v>82.096774193548384</v>
      </c>
      <c r="Y80" s="21">
        <v>4503</v>
      </c>
      <c r="Z80" s="22">
        <f t="shared" si="152"/>
        <v>150.1</v>
      </c>
      <c r="AA80" s="21">
        <v>2221</v>
      </c>
      <c r="AB80" s="22">
        <f t="shared" si="153"/>
        <v>71.645161290322577</v>
      </c>
      <c r="AC80" s="23">
        <f t="shared" si="154"/>
        <v>41033.927572964669</v>
      </c>
      <c r="AD80" s="24">
        <f t="shared" si="155"/>
        <v>33.295330433810676</v>
      </c>
      <c r="AE80" s="21">
        <v>2205</v>
      </c>
      <c r="AF80" s="22">
        <f t="shared" si="156"/>
        <v>71.129032258064512</v>
      </c>
      <c r="AG80" s="21">
        <v>4270</v>
      </c>
      <c r="AH80" s="22">
        <f t="shared" si="157"/>
        <v>152.5</v>
      </c>
      <c r="AI80" s="21">
        <v>3412</v>
      </c>
      <c r="AJ80" s="22">
        <f t="shared" si="158"/>
        <v>110.06451612903226</v>
      </c>
      <c r="AK80" s="21">
        <v>3748</v>
      </c>
      <c r="AL80" s="22">
        <f t="shared" si="159"/>
        <v>124.93333333333334</v>
      </c>
      <c r="AM80" s="21">
        <v>3122</v>
      </c>
      <c r="AN80" s="22">
        <f t="shared" si="160"/>
        <v>100.70967741935483</v>
      </c>
      <c r="AO80" s="21">
        <v>2337</v>
      </c>
      <c r="AP80" s="22">
        <f t="shared" si="161"/>
        <v>77.900000000000006</v>
      </c>
      <c r="AQ80" s="21">
        <v>2527</v>
      </c>
      <c r="AR80" s="22">
        <f t="shared" si="162"/>
        <v>81.516129032258064</v>
      </c>
      <c r="AS80" s="21">
        <v>2343</v>
      </c>
      <c r="AT80" s="22">
        <f t="shared" si="163"/>
        <v>75.58064516129032</v>
      </c>
      <c r="AU80" s="21">
        <v>3811</v>
      </c>
      <c r="AV80" s="22">
        <f t="shared" si="164"/>
        <v>127.03333333333333</v>
      </c>
      <c r="AW80" s="21">
        <v>4680</v>
      </c>
      <c r="AX80" s="22">
        <f t="shared" si="165"/>
        <v>150.96774193548387</v>
      </c>
      <c r="AY80" s="21">
        <v>4864</v>
      </c>
      <c r="AZ80" s="22">
        <f t="shared" si="166"/>
        <v>162.13333333333333</v>
      </c>
      <c r="BA80" s="21">
        <v>3829</v>
      </c>
      <c r="BB80" s="22">
        <f t="shared" si="167"/>
        <v>123.51612903225806</v>
      </c>
      <c r="BC80" s="23">
        <f t="shared" si="168"/>
        <v>42382.467741935485</v>
      </c>
      <c r="BD80" s="24">
        <f t="shared" si="169"/>
        <v>32.195119667097202</v>
      </c>
      <c r="BE80" s="21">
        <v>1935</v>
      </c>
      <c r="BF80" s="22">
        <f t="shared" si="170"/>
        <v>62.41935483870968</v>
      </c>
      <c r="BG80" s="21">
        <v>3333</v>
      </c>
      <c r="BH80" s="22">
        <f t="shared" si="171"/>
        <v>119.03571428571429</v>
      </c>
      <c r="BI80" s="21">
        <v>3469</v>
      </c>
      <c r="BJ80" s="22">
        <f t="shared" si="172"/>
        <v>111.90322580645162</v>
      </c>
      <c r="BK80" s="21">
        <v>3684</v>
      </c>
      <c r="BL80" s="22">
        <f t="shared" si="173"/>
        <v>122.8</v>
      </c>
      <c r="BM80" s="21">
        <v>2093</v>
      </c>
      <c r="BN80" s="22">
        <f t="shared" si="174"/>
        <v>67.516129032258064</v>
      </c>
      <c r="BO80" s="21">
        <v>2349</v>
      </c>
      <c r="BP80" s="22">
        <f t="shared" si="175"/>
        <v>78.3</v>
      </c>
      <c r="BQ80" s="21">
        <v>4139</v>
      </c>
      <c r="BR80" s="22">
        <f t="shared" si="176"/>
        <v>133.51612903225808</v>
      </c>
      <c r="BS80" s="21">
        <v>3677</v>
      </c>
      <c r="BT80" s="22">
        <f t="shared" si="177"/>
        <v>118.61290322580645</v>
      </c>
      <c r="BU80" s="21">
        <v>3601</v>
      </c>
      <c r="BV80" s="22">
        <f t="shared" si="178"/>
        <v>120.03333333333333</v>
      </c>
      <c r="BW80" s="21">
        <v>3718</v>
      </c>
      <c r="BX80" s="22">
        <f t="shared" si="179"/>
        <v>119.93548387096774</v>
      </c>
      <c r="BY80" s="21">
        <v>2841</v>
      </c>
      <c r="BZ80" s="22">
        <f t="shared" si="180"/>
        <v>94.7</v>
      </c>
      <c r="CA80" s="21">
        <v>2254</v>
      </c>
      <c r="CB80" s="22">
        <f t="shared" si="181"/>
        <v>72.709677419354833</v>
      </c>
      <c r="CC80" s="23">
        <f t="shared" si="182"/>
        <v>38241.772273425493</v>
      </c>
      <c r="CD80" s="24">
        <f t="shared" si="183"/>
        <v>25.163477361920336</v>
      </c>
      <c r="CE80" s="21">
        <v>4290</v>
      </c>
      <c r="CF80" s="22">
        <f t="shared" si="184"/>
        <v>138.38709677419354</v>
      </c>
      <c r="CG80" s="21">
        <v>3303</v>
      </c>
      <c r="CH80" s="22">
        <f t="shared" si="185"/>
        <v>117.96428571428571</v>
      </c>
      <c r="CI80" s="21">
        <v>2637</v>
      </c>
      <c r="CJ80" s="22">
        <f t="shared" si="186"/>
        <v>85.064516129032256</v>
      </c>
      <c r="CK80" s="21">
        <v>4914</v>
      </c>
      <c r="CL80" s="22">
        <f t="shared" si="187"/>
        <v>163.80000000000001</v>
      </c>
      <c r="CM80" s="21">
        <v>3682</v>
      </c>
      <c r="CN80" s="22">
        <f t="shared" si="188"/>
        <v>118.7741935483871</v>
      </c>
      <c r="CO80" s="21">
        <v>3540</v>
      </c>
      <c r="CP80" s="22">
        <f t="shared" si="189"/>
        <v>118</v>
      </c>
      <c r="CQ80" s="21">
        <v>3114</v>
      </c>
      <c r="CR80" s="22">
        <f t="shared" si="190"/>
        <v>100.45161290322581</v>
      </c>
      <c r="CS80" s="21">
        <v>4313</v>
      </c>
      <c r="CT80" s="22">
        <f t="shared" si="191"/>
        <v>139.12903225806451</v>
      </c>
      <c r="CU80" s="21">
        <v>2801</v>
      </c>
      <c r="CV80" s="22">
        <f t="shared" si="192"/>
        <v>93.36666666666666</v>
      </c>
      <c r="CW80" s="21">
        <v>2792</v>
      </c>
      <c r="CX80" s="22">
        <f t="shared" si="193"/>
        <v>90.064516129032256</v>
      </c>
      <c r="CY80" s="21">
        <v>3272</v>
      </c>
      <c r="CZ80" s="22">
        <f t="shared" si="194"/>
        <v>109.06666666666666</v>
      </c>
      <c r="DA80" s="21">
        <v>4419</v>
      </c>
      <c r="DB80" s="22">
        <f t="shared" si="195"/>
        <v>142.54838709677421</v>
      </c>
      <c r="DC80" s="23">
        <f t="shared" si="196"/>
        <v>44351.068586789552</v>
      </c>
      <c r="DD80" s="24">
        <f t="shared" si="197"/>
        <v>24.163441130675729</v>
      </c>
      <c r="DE80" s="21">
        <v>2794</v>
      </c>
      <c r="DF80" s="22">
        <f t="shared" si="198"/>
        <v>90.129032258064512</v>
      </c>
      <c r="DG80" s="21">
        <v>4309</v>
      </c>
      <c r="DH80" s="22">
        <f t="shared" si="199"/>
        <v>153.89285714285714</v>
      </c>
      <c r="DI80" s="21">
        <v>4535</v>
      </c>
      <c r="DJ80" s="22">
        <f t="shared" si="200"/>
        <v>146.29032258064515</v>
      </c>
      <c r="DK80" s="21">
        <v>3555</v>
      </c>
      <c r="DL80" s="22">
        <f t="shared" si="201"/>
        <v>118.5</v>
      </c>
      <c r="DM80" s="21">
        <v>2231</v>
      </c>
      <c r="DN80" s="22">
        <f t="shared" si="202"/>
        <v>71.967741935483872</v>
      </c>
      <c r="DO80" s="21">
        <v>2466</v>
      </c>
      <c r="DP80" s="22">
        <f t="shared" si="203"/>
        <v>82.2</v>
      </c>
      <c r="DQ80" s="21">
        <v>2849</v>
      </c>
      <c r="DR80" s="22">
        <f t="shared" si="204"/>
        <v>91.903225806451616</v>
      </c>
      <c r="DS80" s="21">
        <v>2761</v>
      </c>
      <c r="DT80" s="22">
        <f t="shared" si="205"/>
        <v>89.064516129032256</v>
      </c>
      <c r="DU80" s="21">
        <v>3044</v>
      </c>
      <c r="DV80" s="22">
        <f t="shared" si="206"/>
        <v>101.46666666666667</v>
      </c>
      <c r="DW80" s="21">
        <v>2046</v>
      </c>
      <c r="DX80" s="22">
        <f t="shared" si="207"/>
        <v>66</v>
      </c>
      <c r="DY80" s="21">
        <v>3782</v>
      </c>
      <c r="DZ80" s="22">
        <f t="shared" si="208"/>
        <v>126.06666666666666</v>
      </c>
      <c r="EA80" s="21">
        <v>3076</v>
      </c>
      <c r="EB80" s="22">
        <f t="shared" si="209"/>
        <v>99.225806451612897</v>
      </c>
      <c r="EC80" s="23">
        <f t="shared" si="210"/>
        <v>38585.481029185874</v>
      </c>
      <c r="ED80" s="24">
        <f t="shared" si="211"/>
        <v>27.799033699951757</v>
      </c>
      <c r="EE80" s="25">
        <f t="shared" si="212"/>
        <v>1721.9029732820152</v>
      </c>
    </row>
    <row r="81" spans="1:135" ht="15" customHeight="1" x14ac:dyDescent="0.35">
      <c r="A81" s="17">
        <v>76</v>
      </c>
      <c r="B81" s="18" t="s">
        <v>186</v>
      </c>
      <c r="C81" s="19" t="s">
        <v>187</v>
      </c>
      <c r="D81" s="20" t="s">
        <v>36</v>
      </c>
      <c r="E81" s="21">
        <v>2844</v>
      </c>
      <c r="F81" s="22">
        <f t="shared" si="142"/>
        <v>91.741935483870961</v>
      </c>
      <c r="G81" s="21">
        <v>2337</v>
      </c>
      <c r="H81" s="22">
        <f t="shared" si="143"/>
        <v>83.464285714285708</v>
      </c>
      <c r="I81" s="21">
        <v>4885</v>
      </c>
      <c r="J81" s="22">
        <f t="shared" si="144"/>
        <v>157.58064516129033</v>
      </c>
      <c r="K81" s="21">
        <v>4639</v>
      </c>
      <c r="L81" s="22">
        <f t="shared" si="145"/>
        <v>154.63333333333333</v>
      </c>
      <c r="M81" s="21">
        <v>3006</v>
      </c>
      <c r="N81" s="22">
        <f t="shared" si="146"/>
        <v>96.967741935483872</v>
      </c>
      <c r="O81" s="21">
        <v>4472</v>
      </c>
      <c r="P81" s="22">
        <f t="shared" si="147"/>
        <v>149.06666666666666</v>
      </c>
      <c r="Q81" s="21">
        <v>4281</v>
      </c>
      <c r="R81" s="22">
        <f t="shared" si="148"/>
        <v>138.09677419354838</v>
      </c>
      <c r="S81" s="21">
        <v>3919</v>
      </c>
      <c r="T81" s="22">
        <f t="shared" si="149"/>
        <v>126.41935483870968</v>
      </c>
      <c r="U81" s="21">
        <v>3458</v>
      </c>
      <c r="V81" s="22">
        <f t="shared" si="150"/>
        <v>115.26666666666667</v>
      </c>
      <c r="W81" s="21">
        <v>3873</v>
      </c>
      <c r="X81" s="22">
        <f t="shared" si="151"/>
        <v>124.93548387096774</v>
      </c>
      <c r="Y81" s="21">
        <v>3793</v>
      </c>
      <c r="Z81" s="22">
        <f t="shared" si="152"/>
        <v>126.43333333333334</v>
      </c>
      <c r="AA81" s="21">
        <v>3957</v>
      </c>
      <c r="AB81" s="22">
        <f t="shared" si="153"/>
        <v>127.64516129032258</v>
      </c>
      <c r="AC81" s="23">
        <f t="shared" si="154"/>
        <v>46828.606221198163</v>
      </c>
      <c r="AD81" s="24">
        <f t="shared" si="155"/>
        <v>24.136522946197445</v>
      </c>
      <c r="AE81" s="21">
        <v>4465</v>
      </c>
      <c r="AF81" s="22">
        <f t="shared" si="156"/>
        <v>144.03225806451613</v>
      </c>
      <c r="AG81" s="21">
        <v>3514</v>
      </c>
      <c r="AH81" s="22">
        <f t="shared" si="157"/>
        <v>125.5</v>
      </c>
      <c r="AI81" s="21">
        <v>4557</v>
      </c>
      <c r="AJ81" s="22">
        <f t="shared" si="158"/>
        <v>147</v>
      </c>
      <c r="AK81" s="21">
        <v>2819</v>
      </c>
      <c r="AL81" s="22">
        <f t="shared" si="159"/>
        <v>93.966666666666669</v>
      </c>
      <c r="AM81" s="21">
        <v>4171</v>
      </c>
      <c r="AN81" s="22">
        <f t="shared" si="160"/>
        <v>134.54838709677421</v>
      </c>
      <c r="AO81" s="21">
        <v>2675</v>
      </c>
      <c r="AP81" s="22">
        <f t="shared" si="161"/>
        <v>89.166666666666671</v>
      </c>
      <c r="AQ81" s="21">
        <v>5193</v>
      </c>
      <c r="AR81" s="22">
        <f t="shared" si="162"/>
        <v>167.51612903225808</v>
      </c>
      <c r="AS81" s="21">
        <v>2882</v>
      </c>
      <c r="AT81" s="22">
        <f t="shared" si="163"/>
        <v>92.967741935483872</v>
      </c>
      <c r="AU81" s="21">
        <v>5319</v>
      </c>
      <c r="AV81" s="22">
        <f t="shared" si="164"/>
        <v>177.3</v>
      </c>
      <c r="AW81" s="21">
        <v>3119</v>
      </c>
      <c r="AX81" s="22">
        <f t="shared" si="165"/>
        <v>100.61290322580645</v>
      </c>
      <c r="AY81" s="21">
        <v>4047</v>
      </c>
      <c r="AZ81" s="22">
        <f t="shared" si="166"/>
        <v>134.9</v>
      </c>
      <c r="BA81" s="21">
        <v>2781</v>
      </c>
      <c r="BB81" s="22">
        <f t="shared" si="167"/>
        <v>89.709677419354833</v>
      </c>
      <c r="BC81" s="23">
        <f t="shared" si="168"/>
        <v>46949.510752688169</v>
      </c>
      <c r="BD81" s="24">
        <f t="shared" si="169"/>
        <v>31.175783734689475</v>
      </c>
      <c r="BE81" s="21">
        <v>4464</v>
      </c>
      <c r="BF81" s="22">
        <f t="shared" si="170"/>
        <v>144</v>
      </c>
      <c r="BG81" s="21">
        <v>5360</v>
      </c>
      <c r="BH81" s="22">
        <f t="shared" si="171"/>
        <v>191.42857142857142</v>
      </c>
      <c r="BI81" s="21">
        <v>4758</v>
      </c>
      <c r="BJ81" s="22">
        <f t="shared" si="172"/>
        <v>153.48387096774192</v>
      </c>
      <c r="BK81" s="21">
        <v>4311</v>
      </c>
      <c r="BL81" s="22">
        <f t="shared" si="173"/>
        <v>143.69999999999999</v>
      </c>
      <c r="BM81" s="21">
        <v>4904</v>
      </c>
      <c r="BN81" s="22">
        <f t="shared" si="174"/>
        <v>158.19354838709677</v>
      </c>
      <c r="BO81" s="21">
        <v>3399</v>
      </c>
      <c r="BP81" s="22">
        <f t="shared" si="175"/>
        <v>113.3</v>
      </c>
      <c r="BQ81" s="21">
        <v>3772</v>
      </c>
      <c r="BR81" s="22">
        <f t="shared" si="176"/>
        <v>121.6774193548387</v>
      </c>
      <c r="BS81" s="21">
        <v>4582</v>
      </c>
      <c r="BT81" s="22">
        <f t="shared" si="177"/>
        <v>147.80645161290323</v>
      </c>
      <c r="BU81" s="21">
        <v>2774</v>
      </c>
      <c r="BV81" s="22">
        <f t="shared" si="178"/>
        <v>92.466666666666669</v>
      </c>
      <c r="BW81" s="21">
        <v>5678</v>
      </c>
      <c r="BX81" s="22">
        <f t="shared" si="179"/>
        <v>183.16129032258064</v>
      </c>
      <c r="BY81" s="21">
        <v>3240</v>
      </c>
      <c r="BZ81" s="22">
        <f t="shared" si="180"/>
        <v>108</v>
      </c>
      <c r="CA81" s="21">
        <v>4195</v>
      </c>
      <c r="CB81" s="22">
        <f t="shared" si="181"/>
        <v>135.32258064516128</v>
      </c>
      <c r="CC81" s="23">
        <f t="shared" si="182"/>
        <v>52994.217818740399</v>
      </c>
      <c r="CD81" s="24">
        <f t="shared" si="183"/>
        <v>29.313421474308335</v>
      </c>
      <c r="CE81" s="21">
        <v>4392</v>
      </c>
      <c r="CF81" s="22">
        <f t="shared" si="184"/>
        <v>141.67741935483872</v>
      </c>
      <c r="CG81" s="21">
        <v>2223</v>
      </c>
      <c r="CH81" s="22">
        <f t="shared" si="185"/>
        <v>79.392857142857139</v>
      </c>
      <c r="CI81" s="21">
        <v>4154</v>
      </c>
      <c r="CJ81" s="22">
        <f t="shared" si="186"/>
        <v>134</v>
      </c>
      <c r="CK81" s="21">
        <v>2171</v>
      </c>
      <c r="CL81" s="22">
        <f t="shared" si="187"/>
        <v>72.36666666666666</v>
      </c>
      <c r="CM81" s="21">
        <v>3503</v>
      </c>
      <c r="CN81" s="22">
        <f t="shared" si="188"/>
        <v>113</v>
      </c>
      <c r="CO81" s="21">
        <v>4522</v>
      </c>
      <c r="CP81" s="22">
        <f t="shared" si="189"/>
        <v>150.73333333333332</v>
      </c>
      <c r="CQ81" s="21">
        <v>3123</v>
      </c>
      <c r="CR81" s="22">
        <f t="shared" si="190"/>
        <v>100.74193548387096</v>
      </c>
      <c r="CS81" s="21">
        <v>2997</v>
      </c>
      <c r="CT81" s="22">
        <f t="shared" si="191"/>
        <v>96.677419354838705</v>
      </c>
      <c r="CU81" s="21">
        <v>3906</v>
      </c>
      <c r="CV81" s="22">
        <f t="shared" si="192"/>
        <v>130.19999999999999</v>
      </c>
      <c r="CW81" s="21">
        <v>4215</v>
      </c>
      <c r="CX81" s="22">
        <f t="shared" si="193"/>
        <v>135.96774193548387</v>
      </c>
      <c r="CY81" s="21">
        <v>2721</v>
      </c>
      <c r="CZ81" s="22">
        <f t="shared" si="194"/>
        <v>90.7</v>
      </c>
      <c r="DA81" s="21">
        <v>2118</v>
      </c>
      <c r="DB81" s="22">
        <f t="shared" si="195"/>
        <v>68.322580645161295</v>
      </c>
      <c r="DC81" s="23">
        <f t="shared" si="196"/>
        <v>41290.457373271885</v>
      </c>
      <c r="DD81" s="24">
        <f t="shared" si="197"/>
        <v>28.687292167461855</v>
      </c>
      <c r="DE81" s="21">
        <v>3041</v>
      </c>
      <c r="DF81" s="22">
        <f t="shared" si="198"/>
        <v>98.096774193548384</v>
      </c>
      <c r="DG81" s="21">
        <v>3907</v>
      </c>
      <c r="DH81" s="22">
        <f t="shared" si="199"/>
        <v>139.53571428571428</v>
      </c>
      <c r="DI81" s="21">
        <v>6281</v>
      </c>
      <c r="DJ81" s="22">
        <f t="shared" si="200"/>
        <v>202.61290322580646</v>
      </c>
      <c r="DK81" s="21">
        <v>6341</v>
      </c>
      <c r="DL81" s="22">
        <f t="shared" si="201"/>
        <v>211.36666666666667</v>
      </c>
      <c r="DM81" s="21">
        <v>3140</v>
      </c>
      <c r="DN81" s="22">
        <f t="shared" si="202"/>
        <v>101.29032258064517</v>
      </c>
      <c r="DO81" s="21">
        <v>5468</v>
      </c>
      <c r="DP81" s="22">
        <f t="shared" si="203"/>
        <v>182.26666666666668</v>
      </c>
      <c r="DQ81" s="21">
        <v>4751</v>
      </c>
      <c r="DR81" s="22">
        <f t="shared" si="204"/>
        <v>153.25806451612902</v>
      </c>
      <c r="DS81" s="21">
        <v>3482</v>
      </c>
      <c r="DT81" s="22">
        <f t="shared" si="205"/>
        <v>112.3225806451613</v>
      </c>
      <c r="DU81" s="21">
        <v>4731</v>
      </c>
      <c r="DV81" s="22">
        <f t="shared" si="206"/>
        <v>157.69999999999999</v>
      </c>
      <c r="DW81" s="21">
        <v>3702</v>
      </c>
      <c r="DX81" s="22">
        <f t="shared" si="207"/>
        <v>119.41935483870968</v>
      </c>
      <c r="DY81" s="21">
        <v>5098</v>
      </c>
      <c r="DZ81" s="22">
        <f t="shared" si="208"/>
        <v>169.93333333333334</v>
      </c>
      <c r="EA81" s="21">
        <v>3443</v>
      </c>
      <c r="EB81" s="22">
        <f t="shared" si="209"/>
        <v>111.06451612903226</v>
      </c>
      <c r="EC81" s="23">
        <f t="shared" si="210"/>
        <v>55032.802380952373</v>
      </c>
      <c r="ED81" s="24">
        <f t="shared" si="211"/>
        <v>39.252314405620233</v>
      </c>
      <c r="EE81" s="25">
        <f t="shared" si="212"/>
        <v>2034.9831686594998</v>
      </c>
    </row>
    <row r="82" spans="1:135" ht="15" customHeight="1" x14ac:dyDescent="0.35">
      <c r="A82" s="17">
        <v>77</v>
      </c>
      <c r="B82" s="18" t="s">
        <v>188</v>
      </c>
      <c r="C82" s="19" t="s">
        <v>189</v>
      </c>
      <c r="D82" s="20" t="s">
        <v>36</v>
      </c>
      <c r="E82" s="21">
        <v>1773</v>
      </c>
      <c r="F82" s="22">
        <f t="shared" si="142"/>
        <v>57.193548387096776</v>
      </c>
      <c r="G82" s="21">
        <v>1378</v>
      </c>
      <c r="H82" s="22">
        <f t="shared" si="143"/>
        <v>49.214285714285715</v>
      </c>
      <c r="I82" s="21">
        <v>1012</v>
      </c>
      <c r="J82" s="22">
        <f t="shared" si="144"/>
        <v>32.645161290322584</v>
      </c>
      <c r="K82" s="21">
        <v>1643</v>
      </c>
      <c r="L82" s="22">
        <f t="shared" si="145"/>
        <v>54.766666666666666</v>
      </c>
      <c r="M82" s="21">
        <v>1311</v>
      </c>
      <c r="N82" s="22">
        <f t="shared" si="146"/>
        <v>42.29032258064516</v>
      </c>
      <c r="O82" s="21">
        <v>1430</v>
      </c>
      <c r="P82" s="22">
        <f t="shared" si="147"/>
        <v>47.666666666666664</v>
      </c>
      <c r="Q82" s="21">
        <v>1674</v>
      </c>
      <c r="R82" s="22">
        <f t="shared" si="148"/>
        <v>54</v>
      </c>
      <c r="S82" s="21">
        <v>1931</v>
      </c>
      <c r="T82" s="22">
        <f t="shared" si="149"/>
        <v>62.29032258064516</v>
      </c>
      <c r="U82" s="21">
        <v>1084</v>
      </c>
      <c r="V82" s="22">
        <f t="shared" si="150"/>
        <v>36.133333333333333</v>
      </c>
      <c r="W82" s="21">
        <v>1101</v>
      </c>
      <c r="X82" s="22">
        <f t="shared" si="151"/>
        <v>35.516129032258064</v>
      </c>
      <c r="Y82" s="21">
        <v>1362</v>
      </c>
      <c r="Z82" s="22">
        <f t="shared" si="152"/>
        <v>45.4</v>
      </c>
      <c r="AA82" s="21">
        <v>1286</v>
      </c>
      <c r="AB82" s="22">
        <f t="shared" si="153"/>
        <v>41.483870967741936</v>
      </c>
      <c r="AC82" s="23">
        <f t="shared" si="154"/>
        <v>17502.116436251919</v>
      </c>
      <c r="AD82" s="24">
        <f t="shared" si="155"/>
        <v>9.3475089473763351</v>
      </c>
      <c r="AE82" s="21">
        <v>957</v>
      </c>
      <c r="AF82" s="22">
        <f t="shared" si="156"/>
        <v>30.870967741935484</v>
      </c>
      <c r="AG82" s="21">
        <v>1842</v>
      </c>
      <c r="AH82" s="22">
        <f t="shared" si="157"/>
        <v>65.785714285714292</v>
      </c>
      <c r="AI82" s="21">
        <v>1257</v>
      </c>
      <c r="AJ82" s="22">
        <f t="shared" si="158"/>
        <v>40.548387096774192</v>
      </c>
      <c r="AK82" s="21">
        <v>1162</v>
      </c>
      <c r="AL82" s="22">
        <f t="shared" si="159"/>
        <v>38.733333333333334</v>
      </c>
      <c r="AM82" s="21">
        <v>1122</v>
      </c>
      <c r="AN82" s="22">
        <f t="shared" si="160"/>
        <v>36.193548387096776</v>
      </c>
      <c r="AO82" s="21">
        <v>1835</v>
      </c>
      <c r="AP82" s="22">
        <f t="shared" si="161"/>
        <v>61.166666666666664</v>
      </c>
      <c r="AQ82" s="21">
        <v>1132</v>
      </c>
      <c r="AR82" s="22">
        <f t="shared" si="162"/>
        <v>36.516129032258064</v>
      </c>
      <c r="AS82" s="21">
        <v>1182</v>
      </c>
      <c r="AT82" s="22">
        <f t="shared" si="163"/>
        <v>38.12903225806452</v>
      </c>
      <c r="AU82" s="21">
        <v>1596</v>
      </c>
      <c r="AV82" s="22">
        <f t="shared" si="164"/>
        <v>53.2</v>
      </c>
      <c r="AW82" s="21">
        <v>1244</v>
      </c>
      <c r="AX82" s="22">
        <f t="shared" si="165"/>
        <v>40.12903225806452</v>
      </c>
      <c r="AY82" s="21">
        <v>1555</v>
      </c>
      <c r="AZ82" s="22">
        <f t="shared" si="166"/>
        <v>51.833333333333336</v>
      </c>
      <c r="BA82" s="21">
        <v>1431</v>
      </c>
      <c r="BB82" s="22">
        <f t="shared" si="167"/>
        <v>46.161290322580648</v>
      </c>
      <c r="BC82" s="23">
        <f t="shared" si="168"/>
        <v>16808.106144393241</v>
      </c>
      <c r="BD82" s="24">
        <f t="shared" si="169"/>
        <v>10.820137162242004</v>
      </c>
      <c r="BE82" s="21">
        <v>1224</v>
      </c>
      <c r="BF82" s="22">
        <f t="shared" si="170"/>
        <v>39.483870967741936</v>
      </c>
      <c r="BG82" s="21">
        <v>898</v>
      </c>
      <c r="BH82" s="22">
        <f t="shared" si="171"/>
        <v>32.071428571428569</v>
      </c>
      <c r="BI82" s="21">
        <v>1412</v>
      </c>
      <c r="BJ82" s="22">
        <f t="shared" si="172"/>
        <v>45.548387096774192</v>
      </c>
      <c r="BK82" s="21">
        <v>1562</v>
      </c>
      <c r="BL82" s="22">
        <f t="shared" si="173"/>
        <v>52.06666666666667</v>
      </c>
      <c r="BM82" s="21">
        <v>936</v>
      </c>
      <c r="BN82" s="22">
        <f t="shared" si="174"/>
        <v>30.193548387096776</v>
      </c>
      <c r="BO82" s="21">
        <v>1595</v>
      </c>
      <c r="BP82" s="22">
        <f t="shared" si="175"/>
        <v>53.166666666666664</v>
      </c>
      <c r="BQ82" s="21">
        <v>1116</v>
      </c>
      <c r="BR82" s="22">
        <f t="shared" si="176"/>
        <v>36</v>
      </c>
      <c r="BS82" s="21">
        <v>1069</v>
      </c>
      <c r="BT82" s="22">
        <f t="shared" si="177"/>
        <v>34.483870967741936</v>
      </c>
      <c r="BU82" s="21">
        <v>1376</v>
      </c>
      <c r="BV82" s="22">
        <f t="shared" si="178"/>
        <v>45.866666666666667</v>
      </c>
      <c r="BW82" s="21">
        <v>1615</v>
      </c>
      <c r="BX82" s="22">
        <f t="shared" si="179"/>
        <v>52.096774193548384</v>
      </c>
      <c r="BY82" s="21">
        <v>1254</v>
      </c>
      <c r="BZ82" s="22">
        <f t="shared" si="180"/>
        <v>41.8</v>
      </c>
      <c r="CA82" s="21">
        <v>1181</v>
      </c>
      <c r="CB82" s="22">
        <f t="shared" si="181"/>
        <v>38.096774193548384</v>
      </c>
      <c r="CC82" s="23">
        <f t="shared" si="182"/>
        <v>15700.777880184332</v>
      </c>
      <c r="CD82" s="24">
        <f t="shared" si="183"/>
        <v>8.0157365354618761</v>
      </c>
      <c r="CE82" s="21">
        <v>2354</v>
      </c>
      <c r="CF82" s="22">
        <f t="shared" si="184"/>
        <v>75.935483870967744</v>
      </c>
      <c r="CG82" s="21">
        <v>1420</v>
      </c>
      <c r="CH82" s="22">
        <f t="shared" si="185"/>
        <v>50.714285714285715</v>
      </c>
      <c r="CI82" s="21">
        <v>1418</v>
      </c>
      <c r="CJ82" s="22">
        <f t="shared" si="186"/>
        <v>45.741935483870968</v>
      </c>
      <c r="CK82" s="21">
        <v>1312</v>
      </c>
      <c r="CL82" s="22">
        <f t="shared" si="187"/>
        <v>43.733333333333334</v>
      </c>
      <c r="CM82" s="21">
        <v>2168</v>
      </c>
      <c r="CN82" s="22">
        <f t="shared" si="188"/>
        <v>69.935483870967744</v>
      </c>
      <c r="CO82" s="21">
        <v>1042</v>
      </c>
      <c r="CP82" s="22">
        <f t="shared" si="189"/>
        <v>34.733333333333334</v>
      </c>
      <c r="CQ82" s="21">
        <v>2123</v>
      </c>
      <c r="CR82" s="22">
        <f t="shared" si="190"/>
        <v>68.483870967741936</v>
      </c>
      <c r="CS82" s="21">
        <v>1944</v>
      </c>
      <c r="CT82" s="22">
        <f t="shared" si="191"/>
        <v>62.70967741935484</v>
      </c>
      <c r="CU82" s="21">
        <v>1385</v>
      </c>
      <c r="CV82" s="22">
        <f t="shared" si="192"/>
        <v>46.166666666666664</v>
      </c>
      <c r="CW82" s="21">
        <v>1760</v>
      </c>
      <c r="CX82" s="22">
        <f t="shared" si="193"/>
        <v>56.774193548387096</v>
      </c>
      <c r="CY82" s="21">
        <v>1764</v>
      </c>
      <c r="CZ82" s="22">
        <f t="shared" si="194"/>
        <v>58.8</v>
      </c>
      <c r="DA82" s="21">
        <v>2263</v>
      </c>
      <c r="DB82" s="22">
        <f t="shared" si="195"/>
        <v>73</v>
      </c>
      <c r="DC82" s="23">
        <f t="shared" si="196"/>
        <v>21566.728264208909</v>
      </c>
      <c r="DD82" s="24">
        <f t="shared" si="197"/>
        <v>13.15797001771856</v>
      </c>
      <c r="DE82" s="21">
        <v>1058</v>
      </c>
      <c r="DF82" s="22">
        <f t="shared" si="198"/>
        <v>34.12903225806452</v>
      </c>
      <c r="DG82" s="21">
        <v>921</v>
      </c>
      <c r="DH82" s="22">
        <f t="shared" si="199"/>
        <v>32.892857142857146</v>
      </c>
      <c r="DI82" s="21">
        <v>1293</v>
      </c>
      <c r="DJ82" s="22">
        <f t="shared" si="200"/>
        <v>41.70967741935484</v>
      </c>
      <c r="DK82" s="21">
        <v>1039</v>
      </c>
      <c r="DL82" s="22">
        <f t="shared" si="201"/>
        <v>34.633333333333333</v>
      </c>
      <c r="DM82" s="21">
        <v>1307</v>
      </c>
      <c r="DN82" s="22">
        <f t="shared" si="202"/>
        <v>42.161290322580648</v>
      </c>
      <c r="DO82" s="21">
        <v>1558</v>
      </c>
      <c r="DP82" s="22">
        <f t="shared" si="203"/>
        <v>51.93333333333333</v>
      </c>
      <c r="DQ82" s="21">
        <v>1150</v>
      </c>
      <c r="DR82" s="22">
        <f t="shared" si="204"/>
        <v>37.096774193548384</v>
      </c>
      <c r="DS82" s="21">
        <v>1826</v>
      </c>
      <c r="DT82" s="22">
        <f t="shared" si="205"/>
        <v>58.903225806451616</v>
      </c>
      <c r="DU82" s="21">
        <v>985</v>
      </c>
      <c r="DV82" s="22">
        <f t="shared" si="206"/>
        <v>32.833333333333336</v>
      </c>
      <c r="DW82" s="21">
        <v>1345</v>
      </c>
      <c r="DX82" s="22">
        <f t="shared" si="207"/>
        <v>43.387096774193552</v>
      </c>
      <c r="DY82" s="21">
        <v>1951</v>
      </c>
      <c r="DZ82" s="22">
        <f t="shared" si="208"/>
        <v>65.033333333333331</v>
      </c>
      <c r="EA82" s="21">
        <v>1736</v>
      </c>
      <c r="EB82" s="22">
        <f t="shared" si="209"/>
        <v>56</v>
      </c>
      <c r="EC82" s="23">
        <f t="shared" si="210"/>
        <v>16643.713287250386</v>
      </c>
      <c r="ED82" s="24">
        <f t="shared" si="211"/>
        <v>11.122138682303168</v>
      </c>
      <c r="EE82" s="25">
        <f t="shared" si="212"/>
        <v>728.56678620717491</v>
      </c>
    </row>
    <row r="83" spans="1:135" ht="15" customHeight="1" x14ac:dyDescent="0.35">
      <c r="A83" s="17">
        <v>78</v>
      </c>
      <c r="B83" s="18" t="s">
        <v>190</v>
      </c>
      <c r="C83" s="19" t="s">
        <v>191</v>
      </c>
      <c r="D83" s="20" t="s">
        <v>36</v>
      </c>
      <c r="E83" s="21">
        <v>3346</v>
      </c>
      <c r="F83" s="22">
        <f t="shared" si="142"/>
        <v>107.93548387096774</v>
      </c>
      <c r="G83" s="21">
        <v>3503</v>
      </c>
      <c r="H83" s="22">
        <f t="shared" si="143"/>
        <v>125.10714285714286</v>
      </c>
      <c r="I83" s="21">
        <v>2095</v>
      </c>
      <c r="J83" s="22">
        <f t="shared" si="144"/>
        <v>67.58064516129032</v>
      </c>
      <c r="K83" s="21">
        <v>3578</v>
      </c>
      <c r="L83" s="22">
        <f t="shared" si="145"/>
        <v>119.26666666666667</v>
      </c>
      <c r="M83" s="21">
        <v>3269</v>
      </c>
      <c r="N83" s="22">
        <f t="shared" si="146"/>
        <v>105.45161290322581</v>
      </c>
      <c r="O83" s="21">
        <v>3011</v>
      </c>
      <c r="P83" s="22">
        <f t="shared" si="147"/>
        <v>100.36666666666666</v>
      </c>
      <c r="Q83" s="21">
        <v>3764</v>
      </c>
      <c r="R83" s="22">
        <f t="shared" si="148"/>
        <v>121.41935483870968</v>
      </c>
      <c r="S83" s="21">
        <v>3054</v>
      </c>
      <c r="T83" s="22">
        <f t="shared" si="149"/>
        <v>98.516129032258064</v>
      </c>
      <c r="U83" s="21">
        <v>2385</v>
      </c>
      <c r="V83" s="22">
        <f t="shared" si="150"/>
        <v>79.5</v>
      </c>
      <c r="W83" s="21">
        <v>3362</v>
      </c>
      <c r="X83" s="22">
        <f t="shared" si="151"/>
        <v>108.45161290322581</v>
      </c>
      <c r="Y83" s="21">
        <v>3011</v>
      </c>
      <c r="Z83" s="22">
        <f t="shared" si="152"/>
        <v>100.36666666666666</v>
      </c>
      <c r="AA83" s="21">
        <v>1881</v>
      </c>
      <c r="AB83" s="22">
        <f t="shared" si="153"/>
        <v>60.677419354838712</v>
      </c>
      <c r="AC83" s="23">
        <f t="shared" si="154"/>
        <v>37392.961981566819</v>
      </c>
      <c r="AD83" s="24">
        <f t="shared" si="155"/>
        <v>20.542836811560068</v>
      </c>
      <c r="AE83" s="21">
        <v>1924</v>
      </c>
      <c r="AF83" s="22">
        <f t="shared" si="156"/>
        <v>62.064516129032256</v>
      </c>
      <c r="AG83" s="21">
        <v>3632</v>
      </c>
      <c r="AH83" s="22">
        <f t="shared" si="157"/>
        <v>129.71428571428572</v>
      </c>
      <c r="AI83" s="21">
        <v>2622</v>
      </c>
      <c r="AJ83" s="22">
        <f t="shared" si="158"/>
        <v>84.58064516129032</v>
      </c>
      <c r="AK83" s="21">
        <v>3742</v>
      </c>
      <c r="AL83" s="22">
        <f t="shared" si="159"/>
        <v>124.73333333333333</v>
      </c>
      <c r="AM83" s="21">
        <v>2785</v>
      </c>
      <c r="AN83" s="22">
        <f t="shared" si="160"/>
        <v>89.838709677419359</v>
      </c>
      <c r="AO83" s="21">
        <v>3863</v>
      </c>
      <c r="AP83" s="22">
        <f t="shared" si="161"/>
        <v>128.76666666666668</v>
      </c>
      <c r="AQ83" s="21">
        <v>3868</v>
      </c>
      <c r="AR83" s="22">
        <f t="shared" si="162"/>
        <v>124.7741935483871</v>
      </c>
      <c r="AS83" s="21">
        <v>2332</v>
      </c>
      <c r="AT83" s="22">
        <f t="shared" si="163"/>
        <v>75.225806451612897</v>
      </c>
      <c r="AU83" s="21">
        <v>3350</v>
      </c>
      <c r="AV83" s="22">
        <f t="shared" si="164"/>
        <v>111.66666666666667</v>
      </c>
      <c r="AW83" s="21">
        <v>3229</v>
      </c>
      <c r="AX83" s="22">
        <f t="shared" si="165"/>
        <v>104.16129032258064</v>
      </c>
      <c r="AY83" s="21">
        <v>1818</v>
      </c>
      <c r="AZ83" s="22">
        <f t="shared" si="166"/>
        <v>60.6</v>
      </c>
      <c r="BA83" s="21">
        <v>3647</v>
      </c>
      <c r="BB83" s="22">
        <f t="shared" si="167"/>
        <v>117.64516129032258</v>
      </c>
      <c r="BC83" s="23">
        <f t="shared" si="168"/>
        <v>37908.126113671271</v>
      </c>
      <c r="BD83" s="24">
        <f t="shared" si="169"/>
        <v>25.816068677508781</v>
      </c>
      <c r="BE83" s="21">
        <v>3257</v>
      </c>
      <c r="BF83" s="22">
        <f t="shared" si="170"/>
        <v>105.06451612903226</v>
      </c>
      <c r="BG83" s="21">
        <v>3034</v>
      </c>
      <c r="BH83" s="22">
        <f t="shared" si="171"/>
        <v>108.35714285714286</v>
      </c>
      <c r="BI83" s="21">
        <v>2276</v>
      </c>
      <c r="BJ83" s="22">
        <f t="shared" si="172"/>
        <v>73.41935483870968</v>
      </c>
      <c r="BK83" s="21">
        <v>3710</v>
      </c>
      <c r="BL83" s="22">
        <f t="shared" si="173"/>
        <v>123.66666666666667</v>
      </c>
      <c r="BM83" s="21">
        <v>2587</v>
      </c>
      <c r="BN83" s="22">
        <f t="shared" si="174"/>
        <v>83.451612903225808</v>
      </c>
      <c r="BO83" s="21">
        <v>3602</v>
      </c>
      <c r="BP83" s="22">
        <f t="shared" si="175"/>
        <v>120.06666666666666</v>
      </c>
      <c r="BQ83" s="21">
        <v>2792</v>
      </c>
      <c r="BR83" s="22">
        <f t="shared" si="176"/>
        <v>90.064516129032256</v>
      </c>
      <c r="BS83" s="21">
        <v>2303</v>
      </c>
      <c r="BT83" s="22">
        <f t="shared" si="177"/>
        <v>74.290322580645167</v>
      </c>
      <c r="BU83" s="21">
        <v>4261</v>
      </c>
      <c r="BV83" s="22">
        <f t="shared" si="178"/>
        <v>142.03333333333333</v>
      </c>
      <c r="BW83" s="21">
        <v>3287</v>
      </c>
      <c r="BX83" s="22">
        <f t="shared" si="179"/>
        <v>106.03225806451613</v>
      </c>
      <c r="BY83" s="21">
        <v>3439</v>
      </c>
      <c r="BZ83" s="22">
        <f t="shared" si="180"/>
        <v>114.63333333333334</v>
      </c>
      <c r="CA83" s="21">
        <v>3869</v>
      </c>
      <c r="CB83" s="22">
        <f t="shared" si="181"/>
        <v>124.80645161290323</v>
      </c>
      <c r="CC83" s="23">
        <f t="shared" si="182"/>
        <v>39558.079723502306</v>
      </c>
      <c r="CD83" s="24">
        <f t="shared" si="183"/>
        <v>21.467288596678529</v>
      </c>
      <c r="CE83" s="21">
        <v>3091</v>
      </c>
      <c r="CF83" s="22">
        <f t="shared" si="184"/>
        <v>99.709677419354833</v>
      </c>
      <c r="CG83" s="21">
        <v>2394</v>
      </c>
      <c r="CH83" s="22">
        <f t="shared" si="185"/>
        <v>85.5</v>
      </c>
      <c r="CI83" s="21">
        <v>2561</v>
      </c>
      <c r="CJ83" s="22">
        <f t="shared" si="186"/>
        <v>82.612903225806448</v>
      </c>
      <c r="CK83" s="21">
        <v>2819</v>
      </c>
      <c r="CL83" s="22">
        <f t="shared" si="187"/>
        <v>93.966666666666669</v>
      </c>
      <c r="CM83" s="21">
        <v>2173</v>
      </c>
      <c r="CN83" s="22">
        <f t="shared" si="188"/>
        <v>70.096774193548384</v>
      </c>
      <c r="CO83" s="21">
        <v>2051</v>
      </c>
      <c r="CP83" s="22">
        <f t="shared" si="189"/>
        <v>68.36666666666666</v>
      </c>
      <c r="CQ83" s="21">
        <v>3255</v>
      </c>
      <c r="CR83" s="22">
        <f t="shared" si="190"/>
        <v>105</v>
      </c>
      <c r="CS83" s="21">
        <v>1969</v>
      </c>
      <c r="CT83" s="22">
        <f t="shared" si="191"/>
        <v>63.516129032258064</v>
      </c>
      <c r="CU83" s="21">
        <v>2831</v>
      </c>
      <c r="CV83" s="22">
        <f t="shared" si="192"/>
        <v>94.36666666666666</v>
      </c>
      <c r="CW83" s="21">
        <v>2057</v>
      </c>
      <c r="CX83" s="22">
        <f t="shared" si="193"/>
        <v>66.354838709677423</v>
      </c>
      <c r="CY83" s="21">
        <v>3083</v>
      </c>
      <c r="CZ83" s="22">
        <f t="shared" si="194"/>
        <v>102.76666666666667</v>
      </c>
      <c r="DA83" s="21">
        <v>3753</v>
      </c>
      <c r="DB83" s="22">
        <f t="shared" si="195"/>
        <v>121.06451612903226</v>
      </c>
      <c r="DC83" s="23">
        <f t="shared" si="196"/>
        <v>32969.256989247311</v>
      </c>
      <c r="DD83" s="24">
        <f t="shared" si="197"/>
        <v>18.146394431626568</v>
      </c>
      <c r="DE83" s="21">
        <v>2434</v>
      </c>
      <c r="DF83" s="22">
        <f t="shared" si="198"/>
        <v>78.516129032258064</v>
      </c>
      <c r="DG83" s="21">
        <v>2447</v>
      </c>
      <c r="DH83" s="22">
        <f t="shared" si="199"/>
        <v>87.392857142857139</v>
      </c>
      <c r="DI83" s="21">
        <v>3620</v>
      </c>
      <c r="DJ83" s="22">
        <f t="shared" si="200"/>
        <v>116.7741935483871</v>
      </c>
      <c r="DK83" s="21">
        <v>3423</v>
      </c>
      <c r="DL83" s="22">
        <f t="shared" si="201"/>
        <v>114.1</v>
      </c>
      <c r="DM83" s="21">
        <v>3877</v>
      </c>
      <c r="DN83" s="22">
        <f t="shared" si="202"/>
        <v>125.06451612903226</v>
      </c>
      <c r="DO83" s="21">
        <v>2616</v>
      </c>
      <c r="DP83" s="22">
        <f t="shared" si="203"/>
        <v>87.2</v>
      </c>
      <c r="DQ83" s="21">
        <v>3777</v>
      </c>
      <c r="DR83" s="22">
        <f t="shared" si="204"/>
        <v>121.83870967741936</v>
      </c>
      <c r="DS83" s="21">
        <v>4108</v>
      </c>
      <c r="DT83" s="22">
        <f t="shared" si="205"/>
        <v>132.51612903225808</v>
      </c>
      <c r="DU83" s="21">
        <v>2755</v>
      </c>
      <c r="DV83" s="22">
        <f t="shared" si="206"/>
        <v>91.833333333333329</v>
      </c>
      <c r="DW83" s="21">
        <v>2272</v>
      </c>
      <c r="DX83" s="22">
        <f t="shared" si="207"/>
        <v>73.290322580645167</v>
      </c>
      <c r="DY83" s="21">
        <v>4222</v>
      </c>
      <c r="DZ83" s="22">
        <f t="shared" si="208"/>
        <v>140.73333333333332</v>
      </c>
      <c r="EA83" s="21">
        <v>2968</v>
      </c>
      <c r="EB83" s="22">
        <f t="shared" si="209"/>
        <v>95.741935483870961</v>
      </c>
      <c r="EC83" s="23">
        <f t="shared" si="210"/>
        <v>39688.259523809516</v>
      </c>
      <c r="ED83" s="24">
        <f t="shared" si="211"/>
        <v>22.426275003812986</v>
      </c>
      <c r="EE83" s="25">
        <f t="shared" si="212"/>
        <v>1551.647105776806</v>
      </c>
    </row>
    <row r="84" spans="1:135" ht="15" customHeight="1" x14ac:dyDescent="0.35">
      <c r="A84" s="17">
        <v>79</v>
      </c>
      <c r="B84" s="18" t="s">
        <v>192</v>
      </c>
      <c r="C84" s="19" t="s">
        <v>193</v>
      </c>
      <c r="D84" s="20" t="s">
        <v>36</v>
      </c>
      <c r="E84" s="21">
        <v>4211</v>
      </c>
      <c r="F84" s="22">
        <f t="shared" si="142"/>
        <v>135.83870967741936</v>
      </c>
      <c r="G84" s="21">
        <v>2112</v>
      </c>
      <c r="H84" s="22">
        <f t="shared" si="143"/>
        <v>75.428571428571431</v>
      </c>
      <c r="I84" s="21">
        <v>3576</v>
      </c>
      <c r="J84" s="22">
        <f t="shared" si="144"/>
        <v>115.35483870967742</v>
      </c>
      <c r="K84" s="21">
        <v>2952</v>
      </c>
      <c r="L84" s="22">
        <f t="shared" si="145"/>
        <v>98.4</v>
      </c>
      <c r="M84" s="21">
        <v>2763</v>
      </c>
      <c r="N84" s="22">
        <f t="shared" si="146"/>
        <v>89.129032258064512</v>
      </c>
      <c r="O84" s="21">
        <v>2693</v>
      </c>
      <c r="P84" s="22">
        <f t="shared" si="147"/>
        <v>89.766666666666666</v>
      </c>
      <c r="Q84" s="21">
        <v>3380</v>
      </c>
      <c r="R84" s="22">
        <f t="shared" si="148"/>
        <v>109.03225806451613</v>
      </c>
      <c r="S84" s="21">
        <v>1947</v>
      </c>
      <c r="T84" s="22">
        <f t="shared" si="149"/>
        <v>62.806451612903224</v>
      </c>
      <c r="U84" s="21">
        <v>2653</v>
      </c>
      <c r="V84" s="22">
        <f t="shared" si="150"/>
        <v>88.433333333333337</v>
      </c>
      <c r="W84" s="21">
        <v>4371</v>
      </c>
      <c r="X84" s="22">
        <f t="shared" si="151"/>
        <v>141</v>
      </c>
      <c r="Y84" s="21">
        <v>3436</v>
      </c>
      <c r="Z84" s="22">
        <f t="shared" si="152"/>
        <v>114.53333333333333</v>
      </c>
      <c r="AA84" s="21">
        <v>4377</v>
      </c>
      <c r="AB84" s="22">
        <f t="shared" si="153"/>
        <v>141.19354838709677</v>
      </c>
      <c r="AC84" s="23">
        <f t="shared" si="154"/>
        <v>39590.72319508448</v>
      </c>
      <c r="AD84" s="24">
        <f t="shared" si="155"/>
        <v>25.633813921858508</v>
      </c>
      <c r="AE84" s="21">
        <v>3980</v>
      </c>
      <c r="AF84" s="22">
        <f t="shared" si="156"/>
        <v>128.38709677419354</v>
      </c>
      <c r="AG84" s="21">
        <v>2990</v>
      </c>
      <c r="AH84" s="22">
        <f t="shared" si="157"/>
        <v>106.78571428571429</v>
      </c>
      <c r="AI84" s="21">
        <v>2653</v>
      </c>
      <c r="AJ84" s="22">
        <f t="shared" si="158"/>
        <v>85.58064516129032</v>
      </c>
      <c r="AK84" s="21">
        <v>5235</v>
      </c>
      <c r="AL84" s="22">
        <f t="shared" si="159"/>
        <v>174.5</v>
      </c>
      <c r="AM84" s="21">
        <v>3170</v>
      </c>
      <c r="AN84" s="22">
        <f t="shared" si="160"/>
        <v>102.25806451612904</v>
      </c>
      <c r="AO84" s="21">
        <v>3752</v>
      </c>
      <c r="AP84" s="22">
        <f t="shared" si="161"/>
        <v>125.06666666666666</v>
      </c>
      <c r="AQ84" s="21">
        <v>5033</v>
      </c>
      <c r="AR84" s="22">
        <f t="shared" si="162"/>
        <v>162.35483870967741</v>
      </c>
      <c r="AS84" s="21">
        <v>5350</v>
      </c>
      <c r="AT84" s="22">
        <f t="shared" si="163"/>
        <v>172.58064516129033</v>
      </c>
      <c r="AU84" s="21">
        <v>2879</v>
      </c>
      <c r="AV84" s="22">
        <f t="shared" si="164"/>
        <v>95.966666666666669</v>
      </c>
      <c r="AW84" s="21">
        <v>2686</v>
      </c>
      <c r="AX84" s="22">
        <f t="shared" si="165"/>
        <v>86.645161290322577</v>
      </c>
      <c r="AY84" s="21">
        <v>5671</v>
      </c>
      <c r="AZ84" s="22">
        <f t="shared" si="166"/>
        <v>189.03333333333333</v>
      </c>
      <c r="BA84" s="21">
        <v>5597</v>
      </c>
      <c r="BB84" s="22">
        <f t="shared" si="167"/>
        <v>180.54838709677421</v>
      </c>
      <c r="BC84" s="23">
        <f t="shared" si="168"/>
        <v>50425.158832565277</v>
      </c>
      <c r="BD84" s="24">
        <f t="shared" si="169"/>
        <v>39.336331060233086</v>
      </c>
      <c r="BE84" s="21">
        <v>5649</v>
      </c>
      <c r="BF84" s="22">
        <f t="shared" si="170"/>
        <v>182.2258064516129</v>
      </c>
      <c r="BG84" s="21">
        <v>5480</v>
      </c>
      <c r="BH84" s="22">
        <f t="shared" si="171"/>
        <v>195.71428571428572</v>
      </c>
      <c r="BI84" s="21">
        <v>2665</v>
      </c>
      <c r="BJ84" s="22">
        <f t="shared" si="172"/>
        <v>85.967741935483872</v>
      </c>
      <c r="BK84" s="21">
        <v>5039</v>
      </c>
      <c r="BL84" s="22">
        <f t="shared" si="173"/>
        <v>167.96666666666667</v>
      </c>
      <c r="BM84" s="21">
        <v>3006</v>
      </c>
      <c r="BN84" s="22">
        <f t="shared" si="174"/>
        <v>96.967741935483872</v>
      </c>
      <c r="BO84" s="21">
        <v>4188</v>
      </c>
      <c r="BP84" s="22">
        <f t="shared" si="175"/>
        <v>139.6</v>
      </c>
      <c r="BQ84" s="21">
        <v>2697</v>
      </c>
      <c r="BR84" s="22">
        <f t="shared" si="176"/>
        <v>87</v>
      </c>
      <c r="BS84" s="21">
        <v>3347</v>
      </c>
      <c r="BT84" s="22">
        <f t="shared" si="177"/>
        <v>107.96774193548387</v>
      </c>
      <c r="BU84" s="21">
        <v>4495</v>
      </c>
      <c r="BV84" s="22">
        <f t="shared" si="178"/>
        <v>149.83333333333334</v>
      </c>
      <c r="BW84" s="21">
        <v>3329</v>
      </c>
      <c r="BX84" s="22">
        <f t="shared" si="179"/>
        <v>107.38709677419355</v>
      </c>
      <c r="BY84" s="21">
        <v>4443</v>
      </c>
      <c r="BZ84" s="22">
        <f t="shared" si="180"/>
        <v>148.1</v>
      </c>
      <c r="CA84" s="21">
        <v>3520</v>
      </c>
      <c r="CB84" s="22">
        <f t="shared" si="181"/>
        <v>113.54838709677419</v>
      </c>
      <c r="CC84" s="23">
        <f t="shared" si="182"/>
        <v>49326.730414746547</v>
      </c>
      <c r="CD84" s="24">
        <f t="shared" si="183"/>
        <v>37.423289040857043</v>
      </c>
      <c r="CE84" s="21">
        <v>3295</v>
      </c>
      <c r="CF84" s="22">
        <f t="shared" si="184"/>
        <v>106.29032258064517</v>
      </c>
      <c r="CG84" s="21">
        <v>3955</v>
      </c>
      <c r="CH84" s="22">
        <f t="shared" si="185"/>
        <v>141.25</v>
      </c>
      <c r="CI84" s="21">
        <v>2382</v>
      </c>
      <c r="CJ84" s="22">
        <f t="shared" si="186"/>
        <v>76.838709677419359</v>
      </c>
      <c r="CK84" s="21">
        <v>3872</v>
      </c>
      <c r="CL84" s="22">
        <f t="shared" si="187"/>
        <v>129.06666666666666</v>
      </c>
      <c r="CM84" s="21">
        <v>2054</v>
      </c>
      <c r="CN84" s="22">
        <f t="shared" si="188"/>
        <v>66.258064516129039</v>
      </c>
      <c r="CO84" s="21">
        <v>3562</v>
      </c>
      <c r="CP84" s="22">
        <f t="shared" si="189"/>
        <v>118.73333333333333</v>
      </c>
      <c r="CQ84" s="21">
        <v>3778</v>
      </c>
      <c r="CR84" s="22">
        <f t="shared" si="190"/>
        <v>121.87096774193549</v>
      </c>
      <c r="CS84" s="21">
        <v>2121</v>
      </c>
      <c r="CT84" s="22">
        <f t="shared" si="191"/>
        <v>68.41935483870968</v>
      </c>
      <c r="CU84" s="21">
        <v>2460</v>
      </c>
      <c r="CV84" s="22">
        <f t="shared" si="192"/>
        <v>82</v>
      </c>
      <c r="CW84" s="21">
        <v>2763</v>
      </c>
      <c r="CX84" s="22">
        <f t="shared" si="193"/>
        <v>89.129032258064512</v>
      </c>
      <c r="CY84" s="21">
        <v>4114</v>
      </c>
      <c r="CZ84" s="22">
        <f t="shared" si="194"/>
        <v>137.13333333333333</v>
      </c>
      <c r="DA84" s="21">
        <v>3656</v>
      </c>
      <c r="DB84" s="22">
        <f t="shared" si="195"/>
        <v>117.93548387096774</v>
      </c>
      <c r="DC84" s="23">
        <f t="shared" si="196"/>
        <v>39148.989784946236</v>
      </c>
      <c r="DD84" s="24">
        <f t="shared" si="197"/>
        <v>26.932448675636387</v>
      </c>
      <c r="DE84" s="21">
        <v>2133</v>
      </c>
      <c r="DF84" s="22">
        <f t="shared" si="198"/>
        <v>68.806451612903231</v>
      </c>
      <c r="DG84" s="21">
        <v>3731</v>
      </c>
      <c r="DH84" s="22">
        <f t="shared" si="199"/>
        <v>133.25</v>
      </c>
      <c r="DI84" s="21">
        <v>2014</v>
      </c>
      <c r="DJ84" s="22">
        <f t="shared" si="200"/>
        <v>64.967741935483872</v>
      </c>
      <c r="DK84" s="21">
        <v>3024</v>
      </c>
      <c r="DL84" s="22">
        <f t="shared" si="201"/>
        <v>100.8</v>
      </c>
      <c r="DM84" s="21">
        <v>2712</v>
      </c>
      <c r="DN84" s="22">
        <f t="shared" si="202"/>
        <v>87.483870967741936</v>
      </c>
      <c r="DO84" s="21">
        <v>4255</v>
      </c>
      <c r="DP84" s="22">
        <f t="shared" si="203"/>
        <v>141.83333333333334</v>
      </c>
      <c r="DQ84" s="21">
        <v>3745</v>
      </c>
      <c r="DR84" s="22">
        <f t="shared" si="204"/>
        <v>120.80645161290323</v>
      </c>
      <c r="DS84" s="21">
        <v>4287</v>
      </c>
      <c r="DT84" s="22">
        <f t="shared" si="205"/>
        <v>138.29032258064515</v>
      </c>
      <c r="DU84" s="21">
        <v>2043</v>
      </c>
      <c r="DV84" s="22">
        <f t="shared" si="206"/>
        <v>68.099999999999994</v>
      </c>
      <c r="DW84" s="21">
        <v>4296</v>
      </c>
      <c r="DX84" s="22">
        <f t="shared" si="207"/>
        <v>138.58064516129033</v>
      </c>
      <c r="DY84" s="21">
        <v>3717</v>
      </c>
      <c r="DZ84" s="22">
        <f t="shared" si="208"/>
        <v>123.9</v>
      </c>
      <c r="EA84" s="21">
        <v>2606</v>
      </c>
      <c r="EB84" s="22">
        <f t="shared" si="209"/>
        <v>84.064516129032256</v>
      </c>
      <c r="EC84" s="23">
        <f t="shared" si="210"/>
        <v>39749.818817204294</v>
      </c>
      <c r="ED84" s="24">
        <f t="shared" si="211"/>
        <v>30.188437697965028</v>
      </c>
      <c r="EE84" s="25">
        <f t="shared" si="212"/>
        <v>1833.4427226302064</v>
      </c>
    </row>
    <row r="85" spans="1:135" ht="15" customHeight="1" x14ac:dyDescent="0.35">
      <c r="A85" s="17">
        <v>80</v>
      </c>
      <c r="B85" s="18" t="s">
        <v>194</v>
      </c>
      <c r="C85" s="19" t="s">
        <v>195</v>
      </c>
      <c r="D85" s="20" t="s">
        <v>36</v>
      </c>
      <c r="E85" s="21">
        <v>2410</v>
      </c>
      <c r="F85" s="22">
        <f t="shared" si="142"/>
        <v>77.741935483870961</v>
      </c>
      <c r="G85" s="21">
        <v>3680</v>
      </c>
      <c r="H85" s="22">
        <f t="shared" si="143"/>
        <v>131.42857142857142</v>
      </c>
      <c r="I85" s="21">
        <v>1811</v>
      </c>
      <c r="J85" s="22">
        <f t="shared" si="144"/>
        <v>58.41935483870968</v>
      </c>
      <c r="K85" s="21">
        <v>2271</v>
      </c>
      <c r="L85" s="22">
        <f t="shared" si="145"/>
        <v>75.7</v>
      </c>
      <c r="M85" s="21">
        <v>3446</v>
      </c>
      <c r="N85" s="22">
        <f t="shared" si="146"/>
        <v>111.16129032258064</v>
      </c>
      <c r="O85" s="21">
        <v>2732</v>
      </c>
      <c r="P85" s="22">
        <f t="shared" si="147"/>
        <v>91.066666666666663</v>
      </c>
      <c r="Q85" s="21">
        <v>1996</v>
      </c>
      <c r="R85" s="22">
        <f t="shared" si="148"/>
        <v>64.387096774193552</v>
      </c>
      <c r="S85" s="21">
        <v>2666</v>
      </c>
      <c r="T85" s="22">
        <f t="shared" si="149"/>
        <v>86</v>
      </c>
      <c r="U85" s="21">
        <v>2575</v>
      </c>
      <c r="V85" s="22">
        <f t="shared" si="150"/>
        <v>85.833333333333329</v>
      </c>
      <c r="W85" s="21">
        <v>3573</v>
      </c>
      <c r="X85" s="22">
        <f t="shared" si="151"/>
        <v>115.25806451612904</v>
      </c>
      <c r="Y85" s="21">
        <v>1644</v>
      </c>
      <c r="Z85" s="22">
        <f t="shared" si="152"/>
        <v>54.8</v>
      </c>
      <c r="AA85" s="21">
        <v>2126</v>
      </c>
      <c r="AB85" s="22">
        <f t="shared" si="153"/>
        <v>68.58064516129032</v>
      </c>
      <c r="AC85" s="23">
        <f t="shared" si="154"/>
        <v>31881.796313364055</v>
      </c>
      <c r="AD85" s="24">
        <f t="shared" si="155"/>
        <v>23.829489107445639</v>
      </c>
      <c r="AE85" s="21">
        <v>2731</v>
      </c>
      <c r="AF85" s="22">
        <f t="shared" si="156"/>
        <v>88.096774193548384</v>
      </c>
      <c r="AG85" s="21">
        <v>2313</v>
      </c>
      <c r="AH85" s="22">
        <f t="shared" si="157"/>
        <v>82.607142857142861</v>
      </c>
      <c r="AI85" s="21">
        <v>2441</v>
      </c>
      <c r="AJ85" s="22">
        <f t="shared" si="158"/>
        <v>78.741935483870961</v>
      </c>
      <c r="AK85" s="21">
        <v>1936</v>
      </c>
      <c r="AL85" s="22">
        <f t="shared" si="159"/>
        <v>64.533333333333331</v>
      </c>
      <c r="AM85" s="21">
        <v>2341</v>
      </c>
      <c r="AN85" s="22">
        <f t="shared" si="160"/>
        <v>75.516129032258064</v>
      </c>
      <c r="AO85" s="21">
        <v>2352</v>
      </c>
      <c r="AP85" s="22">
        <f t="shared" si="161"/>
        <v>78.400000000000006</v>
      </c>
      <c r="AQ85" s="21">
        <v>2936</v>
      </c>
      <c r="AR85" s="22">
        <f t="shared" si="162"/>
        <v>94.709677419354833</v>
      </c>
      <c r="AS85" s="21">
        <v>2105</v>
      </c>
      <c r="AT85" s="22">
        <f t="shared" si="163"/>
        <v>67.903225806451616</v>
      </c>
      <c r="AU85" s="21">
        <v>3689</v>
      </c>
      <c r="AV85" s="22">
        <f t="shared" si="164"/>
        <v>122.96666666666667</v>
      </c>
      <c r="AW85" s="21">
        <v>2671</v>
      </c>
      <c r="AX85" s="22">
        <f t="shared" si="165"/>
        <v>86.161290322580641</v>
      </c>
      <c r="AY85" s="21">
        <v>3334</v>
      </c>
      <c r="AZ85" s="22">
        <f t="shared" si="166"/>
        <v>111.13333333333334</v>
      </c>
      <c r="BA85" s="21">
        <v>2937</v>
      </c>
      <c r="BB85" s="22">
        <f t="shared" si="167"/>
        <v>94.741935483870961</v>
      </c>
      <c r="BC85" s="23">
        <f t="shared" si="168"/>
        <v>32736.769508448542</v>
      </c>
      <c r="BD85" s="24">
        <f t="shared" si="169"/>
        <v>16.948804106479784</v>
      </c>
      <c r="BE85" s="21">
        <v>3246</v>
      </c>
      <c r="BF85" s="22">
        <f t="shared" si="170"/>
        <v>104.70967741935483</v>
      </c>
      <c r="BG85" s="21">
        <v>3269</v>
      </c>
      <c r="BH85" s="22">
        <f t="shared" si="171"/>
        <v>116.75</v>
      </c>
      <c r="BI85" s="21">
        <v>3119</v>
      </c>
      <c r="BJ85" s="22">
        <f t="shared" si="172"/>
        <v>100.61290322580645</v>
      </c>
      <c r="BK85" s="21">
        <v>1553</v>
      </c>
      <c r="BL85" s="22">
        <f t="shared" si="173"/>
        <v>51.766666666666666</v>
      </c>
      <c r="BM85" s="21">
        <v>2601</v>
      </c>
      <c r="BN85" s="22">
        <f t="shared" si="174"/>
        <v>83.903225806451616</v>
      </c>
      <c r="BO85" s="21">
        <v>2053</v>
      </c>
      <c r="BP85" s="22">
        <f t="shared" si="175"/>
        <v>68.433333333333337</v>
      </c>
      <c r="BQ85" s="21">
        <v>1797</v>
      </c>
      <c r="BR85" s="22">
        <f t="shared" si="176"/>
        <v>57.967741935483872</v>
      </c>
      <c r="BS85" s="21">
        <v>3283</v>
      </c>
      <c r="BT85" s="22">
        <f t="shared" si="177"/>
        <v>105.90322580645162</v>
      </c>
      <c r="BU85" s="21">
        <v>2804</v>
      </c>
      <c r="BV85" s="22">
        <f t="shared" si="178"/>
        <v>93.466666666666669</v>
      </c>
      <c r="BW85" s="21">
        <v>1670</v>
      </c>
      <c r="BX85" s="22">
        <f t="shared" si="179"/>
        <v>53.87096774193548</v>
      </c>
      <c r="BY85" s="21">
        <v>2256</v>
      </c>
      <c r="BZ85" s="22">
        <f t="shared" si="180"/>
        <v>75.2</v>
      </c>
      <c r="CA85" s="21">
        <v>3409</v>
      </c>
      <c r="CB85" s="22">
        <f t="shared" si="181"/>
        <v>109.96774193548387</v>
      </c>
      <c r="CC85" s="23">
        <f t="shared" si="182"/>
        <v>31972.58440860215</v>
      </c>
      <c r="CD85" s="24">
        <f t="shared" si="183"/>
        <v>23.252922984545219</v>
      </c>
      <c r="CE85" s="21">
        <v>2765</v>
      </c>
      <c r="CF85" s="22">
        <f t="shared" si="184"/>
        <v>89.193548387096769</v>
      </c>
      <c r="CG85" s="21">
        <v>2791</v>
      </c>
      <c r="CH85" s="22">
        <f t="shared" si="185"/>
        <v>99.678571428571431</v>
      </c>
      <c r="CI85" s="21">
        <v>1983</v>
      </c>
      <c r="CJ85" s="22">
        <f t="shared" si="186"/>
        <v>63.967741935483872</v>
      </c>
      <c r="CK85" s="21">
        <v>2010</v>
      </c>
      <c r="CL85" s="22">
        <f t="shared" si="187"/>
        <v>67</v>
      </c>
      <c r="CM85" s="21">
        <v>1832</v>
      </c>
      <c r="CN85" s="22">
        <f t="shared" si="188"/>
        <v>59.096774193548384</v>
      </c>
      <c r="CO85" s="21">
        <v>3491</v>
      </c>
      <c r="CP85" s="22">
        <f t="shared" si="189"/>
        <v>116.36666666666666</v>
      </c>
      <c r="CQ85" s="21">
        <v>3368</v>
      </c>
      <c r="CR85" s="22">
        <f t="shared" si="190"/>
        <v>108.64516129032258</v>
      </c>
      <c r="CS85" s="21">
        <v>2190</v>
      </c>
      <c r="CT85" s="22">
        <f t="shared" si="191"/>
        <v>70.645161290322577</v>
      </c>
      <c r="CU85" s="21">
        <v>2622</v>
      </c>
      <c r="CV85" s="22">
        <f t="shared" si="192"/>
        <v>87.4</v>
      </c>
      <c r="CW85" s="21">
        <v>1941</v>
      </c>
      <c r="CX85" s="22">
        <f t="shared" si="193"/>
        <v>62.612903225806448</v>
      </c>
      <c r="CY85" s="21">
        <v>1803</v>
      </c>
      <c r="CZ85" s="22">
        <f t="shared" si="194"/>
        <v>60.1</v>
      </c>
      <c r="DA85" s="21">
        <v>2620</v>
      </c>
      <c r="DB85" s="22">
        <f t="shared" si="195"/>
        <v>84.516129032258064</v>
      </c>
      <c r="DC85" s="23">
        <f t="shared" si="196"/>
        <v>30300.706528417821</v>
      </c>
      <c r="DD85" s="24">
        <f t="shared" si="197"/>
        <v>19.844227024936753</v>
      </c>
      <c r="DE85" s="21">
        <v>2934</v>
      </c>
      <c r="DF85" s="22">
        <f t="shared" si="198"/>
        <v>94.645161290322577</v>
      </c>
      <c r="DG85" s="21">
        <v>3052</v>
      </c>
      <c r="DH85" s="22">
        <f t="shared" si="199"/>
        <v>109</v>
      </c>
      <c r="DI85" s="21">
        <v>2004</v>
      </c>
      <c r="DJ85" s="22">
        <f t="shared" si="200"/>
        <v>64.645161290322577</v>
      </c>
      <c r="DK85" s="21">
        <v>2754</v>
      </c>
      <c r="DL85" s="22">
        <f t="shared" si="201"/>
        <v>91.8</v>
      </c>
      <c r="DM85" s="21">
        <v>2411</v>
      </c>
      <c r="DN85" s="22">
        <f t="shared" si="202"/>
        <v>77.774193548387103</v>
      </c>
      <c r="DO85" s="21">
        <v>1675</v>
      </c>
      <c r="DP85" s="22">
        <f t="shared" si="203"/>
        <v>55.833333333333336</v>
      </c>
      <c r="DQ85" s="21">
        <v>3304</v>
      </c>
      <c r="DR85" s="22">
        <f t="shared" si="204"/>
        <v>106.58064516129032</v>
      </c>
      <c r="DS85" s="21">
        <v>3266</v>
      </c>
      <c r="DT85" s="22">
        <f t="shared" si="205"/>
        <v>105.35483870967742</v>
      </c>
      <c r="DU85" s="21">
        <v>1694</v>
      </c>
      <c r="DV85" s="22">
        <f t="shared" si="206"/>
        <v>56.466666666666669</v>
      </c>
      <c r="DW85" s="21">
        <v>3185</v>
      </c>
      <c r="DX85" s="22">
        <f t="shared" si="207"/>
        <v>102.74193548387096</v>
      </c>
      <c r="DY85" s="21">
        <v>3155</v>
      </c>
      <c r="DZ85" s="22">
        <f t="shared" si="208"/>
        <v>105.16666666666667</v>
      </c>
      <c r="EA85" s="21">
        <v>2020</v>
      </c>
      <c r="EB85" s="22">
        <f t="shared" si="209"/>
        <v>65.161290322580641</v>
      </c>
      <c r="EC85" s="23">
        <f t="shared" si="210"/>
        <v>32424.008602150538</v>
      </c>
      <c r="ED85" s="24">
        <f t="shared" si="211"/>
        <v>20.938346983622385</v>
      </c>
      <c r="EE85" s="25">
        <f t="shared" si="212"/>
        <v>1311.7494507276076</v>
      </c>
    </row>
    <row r="86" spans="1:135" ht="15" customHeight="1" x14ac:dyDescent="0.35">
      <c r="A86" s="17">
        <v>81</v>
      </c>
      <c r="B86" s="18" t="s">
        <v>196</v>
      </c>
      <c r="C86" s="19" t="s">
        <v>197</v>
      </c>
      <c r="D86" s="20" t="s">
        <v>36</v>
      </c>
      <c r="E86" s="21">
        <v>80</v>
      </c>
      <c r="F86" s="22">
        <f t="shared" si="142"/>
        <v>2.5806451612903225</v>
      </c>
      <c r="G86" s="21">
        <v>104</v>
      </c>
      <c r="H86" s="22">
        <f t="shared" si="143"/>
        <v>3.7142857142857144</v>
      </c>
      <c r="I86" s="21">
        <v>53</v>
      </c>
      <c r="J86" s="22">
        <f t="shared" si="144"/>
        <v>1.7096774193548387</v>
      </c>
      <c r="K86" s="21">
        <v>65</v>
      </c>
      <c r="L86" s="22">
        <f t="shared" si="145"/>
        <v>2.1666666666666665</v>
      </c>
      <c r="M86" s="21">
        <v>99</v>
      </c>
      <c r="N86" s="22">
        <f t="shared" si="146"/>
        <v>3.193548387096774</v>
      </c>
      <c r="O86" s="21">
        <v>90</v>
      </c>
      <c r="P86" s="22">
        <f t="shared" si="147"/>
        <v>3</v>
      </c>
      <c r="Q86" s="21">
        <v>92</v>
      </c>
      <c r="R86" s="22">
        <f t="shared" si="148"/>
        <v>2.967741935483871</v>
      </c>
      <c r="S86" s="21">
        <v>99</v>
      </c>
      <c r="T86" s="22">
        <f t="shared" si="149"/>
        <v>3.193548387096774</v>
      </c>
      <c r="U86" s="21">
        <v>71</v>
      </c>
      <c r="V86" s="22">
        <f t="shared" si="150"/>
        <v>2.3666666666666667</v>
      </c>
      <c r="W86" s="21">
        <v>71</v>
      </c>
      <c r="X86" s="22">
        <f t="shared" si="151"/>
        <v>2.2903225806451615</v>
      </c>
      <c r="Y86" s="21">
        <v>73</v>
      </c>
      <c r="Z86" s="22">
        <f t="shared" si="152"/>
        <v>2.4333333333333331</v>
      </c>
      <c r="AA86" s="21">
        <v>103</v>
      </c>
      <c r="AB86" s="22">
        <f t="shared" si="153"/>
        <v>3.3225806451612905</v>
      </c>
      <c r="AC86" s="23">
        <f t="shared" si="154"/>
        <v>1029.6164362519203</v>
      </c>
      <c r="AD86" s="24">
        <f t="shared" si="155"/>
        <v>0.57765379528970129</v>
      </c>
      <c r="AE86" s="21">
        <v>111</v>
      </c>
      <c r="AF86" s="22">
        <f t="shared" si="156"/>
        <v>3.5806451612903225</v>
      </c>
      <c r="AG86" s="21">
        <v>113</v>
      </c>
      <c r="AH86" s="22">
        <f t="shared" si="157"/>
        <v>4.0357142857142856</v>
      </c>
      <c r="AI86" s="21">
        <v>69</v>
      </c>
      <c r="AJ86" s="22">
        <f t="shared" si="158"/>
        <v>2.225806451612903</v>
      </c>
      <c r="AK86" s="21">
        <v>103</v>
      </c>
      <c r="AL86" s="22">
        <f t="shared" si="159"/>
        <v>3.4333333333333331</v>
      </c>
      <c r="AM86" s="21">
        <v>58</v>
      </c>
      <c r="AN86" s="22">
        <f t="shared" si="160"/>
        <v>1.8709677419354838</v>
      </c>
      <c r="AO86" s="21">
        <v>63</v>
      </c>
      <c r="AP86" s="22">
        <f t="shared" si="161"/>
        <v>2.1</v>
      </c>
      <c r="AQ86" s="21">
        <v>102</v>
      </c>
      <c r="AR86" s="22">
        <f t="shared" si="162"/>
        <v>3.2903225806451615</v>
      </c>
      <c r="AS86" s="21">
        <v>92</v>
      </c>
      <c r="AT86" s="22">
        <f t="shared" si="163"/>
        <v>2.967741935483871</v>
      </c>
      <c r="AU86" s="21">
        <v>69</v>
      </c>
      <c r="AV86" s="22">
        <f t="shared" si="164"/>
        <v>2.2999999999999998</v>
      </c>
      <c r="AW86" s="21">
        <v>89</v>
      </c>
      <c r="AX86" s="22">
        <f t="shared" si="165"/>
        <v>2.870967741935484</v>
      </c>
      <c r="AY86" s="21">
        <v>66</v>
      </c>
      <c r="AZ86" s="22">
        <f t="shared" si="166"/>
        <v>2.2000000000000002</v>
      </c>
      <c r="BA86" s="21">
        <v>66</v>
      </c>
      <c r="BB86" s="22">
        <f t="shared" si="167"/>
        <v>2.129032258064516</v>
      </c>
      <c r="BC86" s="23">
        <f t="shared" si="168"/>
        <v>1031.8754992319509</v>
      </c>
      <c r="BD86" s="24">
        <f t="shared" si="169"/>
        <v>0.70868290776459386</v>
      </c>
      <c r="BE86" s="21">
        <v>95</v>
      </c>
      <c r="BF86" s="22">
        <f t="shared" si="170"/>
        <v>3.064516129032258</v>
      </c>
      <c r="BG86" s="21">
        <v>74</v>
      </c>
      <c r="BH86" s="22">
        <f t="shared" si="171"/>
        <v>2.6428571428571428</v>
      </c>
      <c r="BI86" s="21">
        <v>95</v>
      </c>
      <c r="BJ86" s="22">
        <f t="shared" si="172"/>
        <v>3.064516129032258</v>
      </c>
      <c r="BK86" s="21">
        <v>81</v>
      </c>
      <c r="BL86" s="22">
        <f t="shared" si="173"/>
        <v>2.7</v>
      </c>
      <c r="BM86" s="21">
        <v>83</v>
      </c>
      <c r="BN86" s="22">
        <f t="shared" si="174"/>
        <v>2.6774193548387095</v>
      </c>
      <c r="BO86" s="21">
        <v>90</v>
      </c>
      <c r="BP86" s="22">
        <f t="shared" si="175"/>
        <v>3</v>
      </c>
      <c r="BQ86" s="21">
        <v>97</v>
      </c>
      <c r="BR86" s="22">
        <f t="shared" si="176"/>
        <v>3.129032258064516</v>
      </c>
      <c r="BS86" s="21">
        <v>75</v>
      </c>
      <c r="BT86" s="22">
        <f t="shared" si="177"/>
        <v>2.4193548387096775</v>
      </c>
      <c r="BU86" s="21">
        <v>106</v>
      </c>
      <c r="BV86" s="22">
        <f t="shared" si="178"/>
        <v>3.5333333333333332</v>
      </c>
      <c r="BW86" s="21">
        <v>82</v>
      </c>
      <c r="BX86" s="22">
        <f t="shared" si="179"/>
        <v>2.6451612903225805</v>
      </c>
      <c r="BY86" s="21">
        <v>59</v>
      </c>
      <c r="BZ86" s="22">
        <f t="shared" si="180"/>
        <v>1.9666666666666666</v>
      </c>
      <c r="CA86" s="21">
        <v>63</v>
      </c>
      <c r="CB86" s="22">
        <f t="shared" si="181"/>
        <v>2.032258064516129</v>
      </c>
      <c r="CC86" s="23">
        <f t="shared" si="182"/>
        <v>1030.8428571428572</v>
      </c>
      <c r="CD86" s="24">
        <f t="shared" si="183"/>
        <v>0.45573588713054136</v>
      </c>
      <c r="CE86" s="21">
        <v>49</v>
      </c>
      <c r="CF86" s="22">
        <f t="shared" si="184"/>
        <v>1.5806451612903225</v>
      </c>
      <c r="CG86" s="21">
        <v>96</v>
      </c>
      <c r="CH86" s="22">
        <f t="shared" si="185"/>
        <v>3.4285714285714284</v>
      </c>
      <c r="CI86" s="21">
        <v>48</v>
      </c>
      <c r="CJ86" s="22">
        <f t="shared" si="186"/>
        <v>1.5483870967741935</v>
      </c>
      <c r="CK86" s="21">
        <v>64</v>
      </c>
      <c r="CL86" s="22">
        <f t="shared" si="187"/>
        <v>2.1333333333333333</v>
      </c>
      <c r="CM86" s="21">
        <v>73</v>
      </c>
      <c r="CN86" s="22">
        <f t="shared" si="188"/>
        <v>2.3548387096774195</v>
      </c>
      <c r="CO86" s="21">
        <v>94</v>
      </c>
      <c r="CP86" s="22">
        <f t="shared" si="189"/>
        <v>3.1333333333333333</v>
      </c>
      <c r="CQ86" s="21">
        <v>110</v>
      </c>
      <c r="CR86" s="22">
        <f t="shared" si="190"/>
        <v>3.5483870967741935</v>
      </c>
      <c r="CS86" s="21">
        <v>95</v>
      </c>
      <c r="CT86" s="22">
        <f t="shared" si="191"/>
        <v>3.064516129032258</v>
      </c>
      <c r="CU86" s="21">
        <v>52</v>
      </c>
      <c r="CV86" s="22">
        <f t="shared" si="192"/>
        <v>1.7333333333333334</v>
      </c>
      <c r="CW86" s="21">
        <v>106</v>
      </c>
      <c r="CX86" s="22">
        <f t="shared" si="193"/>
        <v>3.4193548387096775</v>
      </c>
      <c r="CY86" s="21">
        <v>110</v>
      </c>
      <c r="CZ86" s="22">
        <f t="shared" si="194"/>
        <v>3.6666666666666665</v>
      </c>
      <c r="DA86" s="21">
        <v>102</v>
      </c>
      <c r="DB86" s="22">
        <f t="shared" si="195"/>
        <v>3.2903225806451615</v>
      </c>
      <c r="DC86" s="23">
        <f t="shared" si="196"/>
        <v>1028.6113671274961</v>
      </c>
      <c r="DD86" s="24">
        <f t="shared" si="197"/>
        <v>0.81489030949990926</v>
      </c>
      <c r="DE86" s="21">
        <v>86</v>
      </c>
      <c r="DF86" s="22">
        <f t="shared" si="198"/>
        <v>2.774193548387097</v>
      </c>
      <c r="DG86" s="21">
        <v>75</v>
      </c>
      <c r="DH86" s="22">
        <f t="shared" si="199"/>
        <v>2.6785714285714284</v>
      </c>
      <c r="DI86" s="21">
        <v>84</v>
      </c>
      <c r="DJ86" s="22">
        <f t="shared" si="200"/>
        <v>2.7096774193548385</v>
      </c>
      <c r="DK86" s="21">
        <v>69</v>
      </c>
      <c r="DL86" s="22">
        <f t="shared" si="201"/>
        <v>2.2999999999999998</v>
      </c>
      <c r="DM86" s="21">
        <v>81</v>
      </c>
      <c r="DN86" s="22">
        <f t="shared" si="202"/>
        <v>2.6129032258064515</v>
      </c>
      <c r="DO86" s="21">
        <v>55</v>
      </c>
      <c r="DP86" s="22">
        <f t="shared" si="203"/>
        <v>1.8333333333333333</v>
      </c>
      <c r="DQ86" s="21">
        <v>104</v>
      </c>
      <c r="DR86" s="22">
        <f t="shared" si="204"/>
        <v>3.3548387096774195</v>
      </c>
      <c r="DS86" s="21">
        <v>79</v>
      </c>
      <c r="DT86" s="22">
        <f t="shared" si="205"/>
        <v>2.5483870967741935</v>
      </c>
      <c r="DU86" s="21">
        <v>74</v>
      </c>
      <c r="DV86" s="22">
        <f t="shared" si="206"/>
        <v>2.4666666666666668</v>
      </c>
      <c r="DW86" s="21">
        <v>95</v>
      </c>
      <c r="DX86" s="22">
        <f t="shared" si="207"/>
        <v>3.064516129032258</v>
      </c>
      <c r="DY86" s="21">
        <v>104</v>
      </c>
      <c r="DZ86" s="22">
        <f t="shared" si="208"/>
        <v>3.4666666666666668</v>
      </c>
      <c r="EA86" s="21">
        <v>94</v>
      </c>
      <c r="EB86" s="22">
        <f t="shared" si="209"/>
        <v>3.032258064516129</v>
      </c>
      <c r="EC86" s="23">
        <f t="shared" si="210"/>
        <v>1029.8097542242704</v>
      </c>
      <c r="ED86" s="24">
        <f t="shared" si="211"/>
        <v>0.45184099168208441</v>
      </c>
      <c r="EE86" s="25">
        <f t="shared" si="212"/>
        <v>42.163130306718671</v>
      </c>
    </row>
    <row r="87" spans="1:135" ht="15" customHeight="1" x14ac:dyDescent="0.35">
      <c r="A87" s="17">
        <v>82</v>
      </c>
      <c r="B87" s="18" t="s">
        <v>198</v>
      </c>
      <c r="C87" s="19" t="s">
        <v>199</v>
      </c>
      <c r="D87" s="20" t="s">
        <v>36</v>
      </c>
      <c r="E87" s="21">
        <v>2462</v>
      </c>
      <c r="F87" s="22">
        <f t="shared" si="142"/>
        <v>79.41935483870968</v>
      </c>
      <c r="G87" s="21">
        <v>3139</v>
      </c>
      <c r="H87" s="22">
        <f t="shared" si="143"/>
        <v>112.10714285714286</v>
      </c>
      <c r="I87" s="21">
        <v>2967</v>
      </c>
      <c r="J87" s="22">
        <f t="shared" si="144"/>
        <v>95.709677419354833</v>
      </c>
      <c r="K87" s="21">
        <v>2453</v>
      </c>
      <c r="L87" s="22">
        <f t="shared" si="145"/>
        <v>81.766666666666666</v>
      </c>
      <c r="M87" s="21">
        <v>2320</v>
      </c>
      <c r="N87" s="22">
        <f t="shared" si="146"/>
        <v>74.838709677419359</v>
      </c>
      <c r="O87" s="21">
        <v>3045</v>
      </c>
      <c r="P87" s="22">
        <f t="shared" si="147"/>
        <v>101.5</v>
      </c>
      <c r="Q87" s="21">
        <v>1530</v>
      </c>
      <c r="R87" s="22">
        <f t="shared" si="148"/>
        <v>49.354838709677416</v>
      </c>
      <c r="S87" s="21">
        <v>3371</v>
      </c>
      <c r="T87" s="22">
        <f t="shared" si="149"/>
        <v>108.74193548387096</v>
      </c>
      <c r="U87" s="21">
        <v>2449</v>
      </c>
      <c r="V87" s="22">
        <f t="shared" si="150"/>
        <v>81.63333333333334</v>
      </c>
      <c r="W87" s="21">
        <v>2212</v>
      </c>
      <c r="X87" s="22">
        <f t="shared" si="151"/>
        <v>71.354838709677423</v>
      </c>
      <c r="Y87" s="21">
        <v>2867</v>
      </c>
      <c r="Z87" s="22">
        <f t="shared" si="152"/>
        <v>95.566666666666663</v>
      </c>
      <c r="AA87" s="21">
        <v>2525</v>
      </c>
      <c r="AB87" s="22">
        <f t="shared" si="153"/>
        <v>81.451612903225808</v>
      </c>
      <c r="AC87" s="23">
        <f t="shared" si="154"/>
        <v>32291.99316436252</v>
      </c>
      <c r="AD87" s="24">
        <f t="shared" si="155"/>
        <v>17.600511711717349</v>
      </c>
      <c r="AE87" s="21">
        <v>2863</v>
      </c>
      <c r="AF87" s="22">
        <f t="shared" si="156"/>
        <v>92.354838709677423</v>
      </c>
      <c r="AG87" s="21">
        <v>3122</v>
      </c>
      <c r="AH87" s="22">
        <f t="shared" si="157"/>
        <v>111.5</v>
      </c>
      <c r="AI87" s="21">
        <v>1808</v>
      </c>
      <c r="AJ87" s="22">
        <f t="shared" si="158"/>
        <v>58.322580645161288</v>
      </c>
      <c r="AK87" s="21">
        <v>2355</v>
      </c>
      <c r="AL87" s="22">
        <f t="shared" si="159"/>
        <v>78.5</v>
      </c>
      <c r="AM87" s="21">
        <v>2596</v>
      </c>
      <c r="AN87" s="22">
        <f t="shared" si="160"/>
        <v>83.741935483870961</v>
      </c>
      <c r="AO87" s="21">
        <v>2385</v>
      </c>
      <c r="AP87" s="22">
        <f t="shared" si="161"/>
        <v>79.5</v>
      </c>
      <c r="AQ87" s="21">
        <v>3568</v>
      </c>
      <c r="AR87" s="22">
        <f t="shared" si="162"/>
        <v>115.09677419354838</v>
      </c>
      <c r="AS87" s="21">
        <v>2739</v>
      </c>
      <c r="AT87" s="22">
        <f t="shared" si="163"/>
        <v>88.354838709677423</v>
      </c>
      <c r="AU87" s="21">
        <v>2651</v>
      </c>
      <c r="AV87" s="22">
        <f t="shared" si="164"/>
        <v>88.36666666666666</v>
      </c>
      <c r="AW87" s="21">
        <v>3083</v>
      </c>
      <c r="AX87" s="22">
        <f t="shared" si="165"/>
        <v>99.451612903225808</v>
      </c>
      <c r="AY87" s="21">
        <v>1819</v>
      </c>
      <c r="AZ87" s="22">
        <f t="shared" si="166"/>
        <v>60.633333333333333</v>
      </c>
      <c r="BA87" s="21">
        <v>2865</v>
      </c>
      <c r="BB87" s="22">
        <f t="shared" si="167"/>
        <v>92.41935483870968</v>
      </c>
      <c r="BC87" s="23">
        <f t="shared" si="168"/>
        <v>32809.822580645166</v>
      </c>
      <c r="BD87" s="24">
        <f t="shared" si="169"/>
        <v>17.219649001609032</v>
      </c>
      <c r="BE87" s="21">
        <v>2349</v>
      </c>
      <c r="BF87" s="22">
        <f t="shared" si="170"/>
        <v>75.774193548387103</v>
      </c>
      <c r="BG87" s="21">
        <v>4159</v>
      </c>
      <c r="BH87" s="22">
        <f t="shared" si="171"/>
        <v>148.53571428571428</v>
      </c>
      <c r="BI87" s="21">
        <v>3163</v>
      </c>
      <c r="BJ87" s="22">
        <f t="shared" si="172"/>
        <v>102.03225806451613</v>
      </c>
      <c r="BK87" s="21">
        <v>3877</v>
      </c>
      <c r="BL87" s="22">
        <f t="shared" si="173"/>
        <v>129.23333333333332</v>
      </c>
      <c r="BM87" s="21">
        <v>2272</v>
      </c>
      <c r="BN87" s="22">
        <f t="shared" si="174"/>
        <v>73.290322580645167</v>
      </c>
      <c r="BO87" s="21">
        <v>4024</v>
      </c>
      <c r="BP87" s="22">
        <f t="shared" si="175"/>
        <v>134.13333333333333</v>
      </c>
      <c r="BQ87" s="21">
        <v>4443</v>
      </c>
      <c r="BR87" s="22">
        <f t="shared" si="176"/>
        <v>143.32258064516128</v>
      </c>
      <c r="BS87" s="21">
        <v>3807</v>
      </c>
      <c r="BT87" s="22">
        <f t="shared" si="177"/>
        <v>122.80645161290323</v>
      </c>
      <c r="BU87" s="21">
        <v>2330</v>
      </c>
      <c r="BV87" s="22">
        <f t="shared" si="178"/>
        <v>77.666666666666671</v>
      </c>
      <c r="BW87" s="21">
        <v>3063</v>
      </c>
      <c r="BX87" s="22">
        <f t="shared" si="179"/>
        <v>98.806451612903231</v>
      </c>
      <c r="BY87" s="21">
        <v>3161</v>
      </c>
      <c r="BZ87" s="22">
        <f t="shared" si="180"/>
        <v>105.36666666666666</v>
      </c>
      <c r="CA87" s="21">
        <v>2445</v>
      </c>
      <c r="CB87" s="22">
        <f t="shared" si="181"/>
        <v>78.870967741935488</v>
      </c>
      <c r="CC87" s="23">
        <f t="shared" si="182"/>
        <v>40303.967972350241</v>
      </c>
      <c r="CD87" s="24">
        <f t="shared" si="183"/>
        <v>27.600474039115348</v>
      </c>
      <c r="CE87" s="21">
        <v>3010</v>
      </c>
      <c r="CF87" s="22">
        <f t="shared" si="184"/>
        <v>97.096774193548384</v>
      </c>
      <c r="CG87" s="21">
        <v>3284</v>
      </c>
      <c r="CH87" s="22">
        <f t="shared" si="185"/>
        <v>117.28571428571429</v>
      </c>
      <c r="CI87" s="21">
        <v>2138</v>
      </c>
      <c r="CJ87" s="22">
        <f t="shared" si="186"/>
        <v>68.967741935483872</v>
      </c>
      <c r="CK87" s="21">
        <v>2705</v>
      </c>
      <c r="CL87" s="22">
        <f t="shared" si="187"/>
        <v>90.166666666666671</v>
      </c>
      <c r="CM87" s="21">
        <v>2246</v>
      </c>
      <c r="CN87" s="22">
        <f t="shared" si="188"/>
        <v>72.451612903225808</v>
      </c>
      <c r="CO87" s="21">
        <v>3237</v>
      </c>
      <c r="CP87" s="22">
        <f t="shared" si="189"/>
        <v>107.9</v>
      </c>
      <c r="CQ87" s="21">
        <v>3721</v>
      </c>
      <c r="CR87" s="22">
        <f t="shared" si="190"/>
        <v>120.03225806451613</v>
      </c>
      <c r="CS87" s="21">
        <v>3473</v>
      </c>
      <c r="CT87" s="22">
        <f t="shared" si="191"/>
        <v>112.03225806451613</v>
      </c>
      <c r="CU87" s="21">
        <v>3297</v>
      </c>
      <c r="CV87" s="22">
        <f t="shared" si="192"/>
        <v>109.9</v>
      </c>
      <c r="CW87" s="21">
        <v>1962</v>
      </c>
      <c r="CX87" s="22">
        <f t="shared" si="193"/>
        <v>63.29032258064516</v>
      </c>
      <c r="CY87" s="21">
        <v>1941</v>
      </c>
      <c r="CZ87" s="22">
        <f t="shared" si="194"/>
        <v>64.7</v>
      </c>
      <c r="DA87" s="21">
        <v>2693</v>
      </c>
      <c r="DB87" s="22">
        <f t="shared" si="195"/>
        <v>86.870967741935488</v>
      </c>
      <c r="DC87" s="23">
        <f t="shared" si="196"/>
        <v>34730.823348694321</v>
      </c>
      <c r="DD87" s="24">
        <f t="shared" si="197"/>
        <v>21.178369819385676</v>
      </c>
      <c r="DE87" s="21">
        <v>2251</v>
      </c>
      <c r="DF87" s="22">
        <f t="shared" si="198"/>
        <v>72.612903225806448</v>
      </c>
      <c r="DG87" s="21">
        <v>2576</v>
      </c>
      <c r="DH87" s="22">
        <f t="shared" si="199"/>
        <v>92</v>
      </c>
      <c r="DI87" s="21">
        <v>2294</v>
      </c>
      <c r="DJ87" s="22">
        <f t="shared" si="200"/>
        <v>74</v>
      </c>
      <c r="DK87" s="21">
        <v>3117</v>
      </c>
      <c r="DL87" s="22">
        <f t="shared" si="201"/>
        <v>103.9</v>
      </c>
      <c r="DM87" s="21">
        <v>2552</v>
      </c>
      <c r="DN87" s="22">
        <f t="shared" si="202"/>
        <v>82.322580645161295</v>
      </c>
      <c r="DO87" s="21">
        <v>3438</v>
      </c>
      <c r="DP87" s="22">
        <f t="shared" si="203"/>
        <v>114.6</v>
      </c>
      <c r="DQ87" s="21">
        <v>2283</v>
      </c>
      <c r="DR87" s="22">
        <f t="shared" si="204"/>
        <v>73.645161290322577</v>
      </c>
      <c r="DS87" s="21">
        <v>2287</v>
      </c>
      <c r="DT87" s="22">
        <f t="shared" si="205"/>
        <v>73.774193548387103</v>
      </c>
      <c r="DU87" s="21">
        <v>3071</v>
      </c>
      <c r="DV87" s="22">
        <f t="shared" si="206"/>
        <v>102.36666666666666</v>
      </c>
      <c r="DW87" s="21">
        <v>3362</v>
      </c>
      <c r="DX87" s="22">
        <f t="shared" si="207"/>
        <v>108.45161290322581</v>
      </c>
      <c r="DY87" s="21">
        <v>2661</v>
      </c>
      <c r="DZ87" s="22">
        <f t="shared" si="208"/>
        <v>88.7</v>
      </c>
      <c r="EA87" s="21">
        <v>2851</v>
      </c>
      <c r="EB87" s="22">
        <f t="shared" si="209"/>
        <v>91.967741935483872</v>
      </c>
      <c r="EC87" s="23">
        <f t="shared" si="210"/>
        <v>33729.373118279567</v>
      </c>
      <c r="ED87" s="24">
        <f t="shared" si="211"/>
        <v>14.921340795553201</v>
      </c>
      <c r="EE87" s="25">
        <f t="shared" si="212"/>
        <v>1441.220973910039</v>
      </c>
    </row>
    <row r="88" spans="1:135" ht="15" customHeight="1" x14ac:dyDescent="0.35">
      <c r="A88" s="17">
        <v>83</v>
      </c>
      <c r="B88" s="18" t="s">
        <v>200</v>
      </c>
      <c r="C88" s="19" t="s">
        <v>201</v>
      </c>
      <c r="D88" s="20" t="s">
        <v>36</v>
      </c>
      <c r="E88" s="21">
        <v>1207</v>
      </c>
      <c r="F88" s="22">
        <f t="shared" si="142"/>
        <v>38.935483870967744</v>
      </c>
      <c r="G88" s="21">
        <v>2171</v>
      </c>
      <c r="H88" s="22">
        <f t="shared" si="143"/>
        <v>77.535714285714292</v>
      </c>
      <c r="I88" s="21">
        <v>1246</v>
      </c>
      <c r="J88" s="22">
        <f t="shared" si="144"/>
        <v>40.193548387096776</v>
      </c>
      <c r="K88" s="21">
        <v>1961</v>
      </c>
      <c r="L88" s="22">
        <f t="shared" si="145"/>
        <v>65.36666666666666</v>
      </c>
      <c r="M88" s="21">
        <v>1569</v>
      </c>
      <c r="N88" s="22">
        <f t="shared" si="146"/>
        <v>50.612903225806448</v>
      </c>
      <c r="O88" s="21">
        <v>1421</v>
      </c>
      <c r="P88" s="22">
        <f t="shared" si="147"/>
        <v>47.366666666666667</v>
      </c>
      <c r="Q88" s="21">
        <v>2037</v>
      </c>
      <c r="R88" s="22">
        <f t="shared" si="148"/>
        <v>65.709677419354833</v>
      </c>
      <c r="S88" s="21">
        <v>1604</v>
      </c>
      <c r="T88" s="22">
        <f t="shared" si="149"/>
        <v>51.741935483870968</v>
      </c>
      <c r="U88" s="21">
        <v>1846</v>
      </c>
      <c r="V88" s="22">
        <f t="shared" si="150"/>
        <v>61.533333333333331</v>
      </c>
      <c r="W88" s="21">
        <v>1164</v>
      </c>
      <c r="X88" s="22">
        <f t="shared" si="151"/>
        <v>37.548387096774192</v>
      </c>
      <c r="Y88" s="21">
        <v>1182</v>
      </c>
      <c r="Z88" s="22">
        <f t="shared" si="152"/>
        <v>39.4</v>
      </c>
      <c r="AA88" s="21">
        <v>1278</v>
      </c>
      <c r="AB88" s="22">
        <f t="shared" si="153"/>
        <v>41.225806451612904</v>
      </c>
      <c r="AC88" s="23">
        <f t="shared" si="154"/>
        <v>19261.944316436253</v>
      </c>
      <c r="AD88" s="24">
        <f t="shared" si="155"/>
        <v>13.221599300968212</v>
      </c>
      <c r="AE88" s="21">
        <v>1478</v>
      </c>
      <c r="AF88" s="22">
        <f t="shared" si="156"/>
        <v>47.677419354838712</v>
      </c>
      <c r="AG88" s="21">
        <v>1080</v>
      </c>
      <c r="AH88" s="22">
        <f t="shared" si="157"/>
        <v>38.571428571428569</v>
      </c>
      <c r="AI88" s="21">
        <v>1301</v>
      </c>
      <c r="AJ88" s="22">
        <f t="shared" si="158"/>
        <v>41.967741935483872</v>
      </c>
      <c r="AK88" s="21">
        <v>1729</v>
      </c>
      <c r="AL88" s="22">
        <f t="shared" si="159"/>
        <v>57.633333333333333</v>
      </c>
      <c r="AM88" s="21">
        <v>1393</v>
      </c>
      <c r="AN88" s="22">
        <f t="shared" si="160"/>
        <v>44.935483870967744</v>
      </c>
      <c r="AO88" s="21">
        <v>814</v>
      </c>
      <c r="AP88" s="22">
        <f t="shared" si="161"/>
        <v>27.133333333333333</v>
      </c>
      <c r="AQ88" s="21">
        <v>1758</v>
      </c>
      <c r="AR88" s="22">
        <f t="shared" si="162"/>
        <v>56.70967741935484</v>
      </c>
      <c r="AS88" s="21">
        <v>1064</v>
      </c>
      <c r="AT88" s="22">
        <f t="shared" si="163"/>
        <v>34.322580645161288</v>
      </c>
      <c r="AU88" s="21">
        <v>1442</v>
      </c>
      <c r="AV88" s="22">
        <f t="shared" si="164"/>
        <v>48.06666666666667</v>
      </c>
      <c r="AW88" s="21">
        <v>1320</v>
      </c>
      <c r="AX88" s="22">
        <f t="shared" si="165"/>
        <v>42.58064516129032</v>
      </c>
      <c r="AY88" s="21">
        <v>1249</v>
      </c>
      <c r="AZ88" s="22">
        <f t="shared" si="166"/>
        <v>41.633333333333333</v>
      </c>
      <c r="BA88" s="21">
        <v>893</v>
      </c>
      <c r="BB88" s="22">
        <f t="shared" si="167"/>
        <v>28.806451612903224</v>
      </c>
      <c r="BC88" s="23">
        <f t="shared" si="168"/>
        <v>16002.231643625191</v>
      </c>
      <c r="BD88" s="24">
        <f t="shared" si="169"/>
        <v>9.5424892211380659</v>
      </c>
      <c r="BE88" s="21">
        <v>1657</v>
      </c>
      <c r="BF88" s="22">
        <f t="shared" si="170"/>
        <v>53.451612903225808</v>
      </c>
      <c r="BG88" s="21">
        <v>1221</v>
      </c>
      <c r="BH88" s="22">
        <f t="shared" si="171"/>
        <v>43.607142857142854</v>
      </c>
      <c r="BI88" s="21">
        <v>1592</v>
      </c>
      <c r="BJ88" s="22">
        <f t="shared" si="172"/>
        <v>51.354838709677416</v>
      </c>
      <c r="BK88" s="21">
        <v>1681</v>
      </c>
      <c r="BL88" s="22">
        <f t="shared" si="173"/>
        <v>56.033333333333331</v>
      </c>
      <c r="BM88" s="21">
        <v>1605</v>
      </c>
      <c r="BN88" s="22">
        <f t="shared" si="174"/>
        <v>51.774193548387096</v>
      </c>
      <c r="BO88" s="21">
        <v>1934</v>
      </c>
      <c r="BP88" s="22">
        <f t="shared" si="175"/>
        <v>64.466666666666669</v>
      </c>
      <c r="BQ88" s="21">
        <v>981</v>
      </c>
      <c r="BR88" s="22">
        <f t="shared" si="176"/>
        <v>31.64516129032258</v>
      </c>
      <c r="BS88" s="21">
        <v>1103</v>
      </c>
      <c r="BT88" s="22">
        <f t="shared" si="177"/>
        <v>35.58064516129032</v>
      </c>
      <c r="BU88" s="21">
        <v>1722</v>
      </c>
      <c r="BV88" s="22">
        <f t="shared" si="178"/>
        <v>57.4</v>
      </c>
      <c r="BW88" s="21">
        <v>966</v>
      </c>
      <c r="BX88" s="22">
        <f t="shared" si="179"/>
        <v>31.161290322580644</v>
      </c>
      <c r="BY88" s="21">
        <v>1969</v>
      </c>
      <c r="BZ88" s="22">
        <f t="shared" si="180"/>
        <v>65.63333333333334</v>
      </c>
      <c r="CA88" s="21">
        <v>1739</v>
      </c>
      <c r="CB88" s="22">
        <f t="shared" si="181"/>
        <v>56.096774193548384</v>
      </c>
      <c r="CC88" s="23">
        <f t="shared" si="182"/>
        <v>18712.108218125959</v>
      </c>
      <c r="CD88" s="24">
        <f t="shared" si="183"/>
        <v>11.82919847797567</v>
      </c>
      <c r="CE88" s="21">
        <v>1841</v>
      </c>
      <c r="CF88" s="22">
        <f t="shared" si="184"/>
        <v>59.387096774193552</v>
      </c>
      <c r="CG88" s="21">
        <v>1216</v>
      </c>
      <c r="CH88" s="22">
        <f t="shared" si="185"/>
        <v>43.428571428571431</v>
      </c>
      <c r="CI88" s="21">
        <v>1937</v>
      </c>
      <c r="CJ88" s="22">
        <f t="shared" si="186"/>
        <v>62.483870967741936</v>
      </c>
      <c r="CK88" s="21">
        <v>927</v>
      </c>
      <c r="CL88" s="22">
        <f t="shared" si="187"/>
        <v>30.9</v>
      </c>
      <c r="CM88" s="21">
        <v>1353</v>
      </c>
      <c r="CN88" s="22">
        <f t="shared" si="188"/>
        <v>43.645161290322584</v>
      </c>
      <c r="CO88" s="21">
        <v>1076</v>
      </c>
      <c r="CP88" s="22">
        <f t="shared" si="189"/>
        <v>35.866666666666667</v>
      </c>
      <c r="CQ88" s="21">
        <v>1649</v>
      </c>
      <c r="CR88" s="22">
        <f t="shared" si="190"/>
        <v>53.193548387096776</v>
      </c>
      <c r="CS88" s="21">
        <v>1578</v>
      </c>
      <c r="CT88" s="22">
        <f t="shared" si="191"/>
        <v>50.903225806451616</v>
      </c>
      <c r="CU88" s="21">
        <v>1671</v>
      </c>
      <c r="CV88" s="22">
        <f t="shared" si="192"/>
        <v>55.7</v>
      </c>
      <c r="CW88" s="21">
        <v>1560</v>
      </c>
      <c r="CX88" s="22">
        <f t="shared" si="193"/>
        <v>50.322580645161288</v>
      </c>
      <c r="CY88" s="21">
        <v>1783</v>
      </c>
      <c r="CZ88" s="22">
        <f t="shared" si="194"/>
        <v>59.43333333333333</v>
      </c>
      <c r="DA88" s="21">
        <v>1075</v>
      </c>
      <c r="DB88" s="22">
        <f t="shared" si="195"/>
        <v>34.677419354838712</v>
      </c>
      <c r="DC88" s="23">
        <f t="shared" si="196"/>
        <v>18211.26405529954</v>
      </c>
      <c r="DD88" s="24">
        <f t="shared" si="197"/>
        <v>10.556956165901694</v>
      </c>
      <c r="DE88" s="21">
        <v>1748</v>
      </c>
      <c r="DF88" s="22">
        <f t="shared" si="198"/>
        <v>56.387096774193552</v>
      </c>
      <c r="DG88" s="21">
        <v>1927</v>
      </c>
      <c r="DH88" s="22">
        <f t="shared" si="199"/>
        <v>68.821428571428569</v>
      </c>
      <c r="DI88" s="21">
        <v>2438</v>
      </c>
      <c r="DJ88" s="22">
        <f t="shared" si="200"/>
        <v>78.645161290322577</v>
      </c>
      <c r="DK88" s="21">
        <v>1223</v>
      </c>
      <c r="DL88" s="22">
        <f t="shared" si="201"/>
        <v>40.766666666666666</v>
      </c>
      <c r="DM88" s="21">
        <v>1522</v>
      </c>
      <c r="DN88" s="22">
        <f t="shared" si="202"/>
        <v>49.096774193548384</v>
      </c>
      <c r="DO88" s="21">
        <v>1622</v>
      </c>
      <c r="DP88" s="22">
        <f t="shared" si="203"/>
        <v>54.06666666666667</v>
      </c>
      <c r="DQ88" s="21">
        <v>1637</v>
      </c>
      <c r="DR88" s="22">
        <f t="shared" si="204"/>
        <v>52.806451612903224</v>
      </c>
      <c r="DS88" s="21">
        <v>1186</v>
      </c>
      <c r="DT88" s="22">
        <f t="shared" si="205"/>
        <v>38.258064516129032</v>
      </c>
      <c r="DU88" s="21">
        <v>1707</v>
      </c>
      <c r="DV88" s="22">
        <f t="shared" si="206"/>
        <v>56.9</v>
      </c>
      <c r="DW88" s="21">
        <v>1886</v>
      </c>
      <c r="DX88" s="22">
        <f t="shared" si="207"/>
        <v>60.838709677419352</v>
      </c>
      <c r="DY88" s="21">
        <v>1512</v>
      </c>
      <c r="DZ88" s="22">
        <f t="shared" si="208"/>
        <v>50.4</v>
      </c>
      <c r="EA88" s="21">
        <v>1283</v>
      </c>
      <c r="EB88" s="22">
        <f t="shared" si="209"/>
        <v>41.387096774193552</v>
      </c>
      <c r="EC88" s="23">
        <f t="shared" si="210"/>
        <v>20297.987019969285</v>
      </c>
      <c r="ED88" s="24">
        <f t="shared" si="211"/>
        <v>11.710014496352965</v>
      </c>
      <c r="EE88" s="25">
        <f t="shared" si="212"/>
        <v>762.21740525102018</v>
      </c>
    </row>
    <row r="89" spans="1:135" ht="15" customHeight="1" x14ac:dyDescent="0.35">
      <c r="A89" s="17">
        <v>84</v>
      </c>
      <c r="B89" s="18" t="s">
        <v>202</v>
      </c>
      <c r="C89" s="19" t="s">
        <v>203</v>
      </c>
      <c r="D89" s="20" t="s">
        <v>36</v>
      </c>
      <c r="E89" s="21">
        <v>4587</v>
      </c>
      <c r="F89" s="22">
        <f t="shared" si="142"/>
        <v>147.96774193548387</v>
      </c>
      <c r="G89" s="21">
        <v>3253</v>
      </c>
      <c r="H89" s="22">
        <f t="shared" si="143"/>
        <v>116.17857142857143</v>
      </c>
      <c r="I89" s="21">
        <v>4055</v>
      </c>
      <c r="J89" s="22">
        <f t="shared" si="144"/>
        <v>130.80645161290323</v>
      </c>
      <c r="K89" s="21">
        <v>4048</v>
      </c>
      <c r="L89" s="22">
        <f t="shared" si="145"/>
        <v>134.93333333333334</v>
      </c>
      <c r="M89" s="21">
        <v>4591</v>
      </c>
      <c r="N89" s="22">
        <f t="shared" si="146"/>
        <v>148.09677419354838</v>
      </c>
      <c r="O89" s="21">
        <v>4325</v>
      </c>
      <c r="P89" s="22">
        <f t="shared" si="147"/>
        <v>144.16666666666666</v>
      </c>
      <c r="Q89" s="21">
        <v>2729</v>
      </c>
      <c r="R89" s="22">
        <f t="shared" si="148"/>
        <v>88.032258064516128</v>
      </c>
      <c r="S89" s="21">
        <v>4699</v>
      </c>
      <c r="T89" s="22">
        <f t="shared" si="149"/>
        <v>151.58064516129033</v>
      </c>
      <c r="U89" s="21">
        <v>4379</v>
      </c>
      <c r="V89" s="22">
        <f t="shared" si="150"/>
        <v>145.96666666666667</v>
      </c>
      <c r="W89" s="21">
        <v>5516</v>
      </c>
      <c r="X89" s="22">
        <f t="shared" si="151"/>
        <v>177.93548387096774</v>
      </c>
      <c r="Y89" s="21">
        <v>3917</v>
      </c>
      <c r="Z89" s="22">
        <f t="shared" si="152"/>
        <v>130.56666666666666</v>
      </c>
      <c r="AA89" s="21">
        <v>4568</v>
      </c>
      <c r="AB89" s="22">
        <f t="shared" si="153"/>
        <v>147.35483870967741</v>
      </c>
      <c r="AC89" s="23">
        <f t="shared" si="154"/>
        <v>52183.231259600616</v>
      </c>
      <c r="AD89" s="24">
        <f t="shared" si="155"/>
        <v>21.855197742366119</v>
      </c>
      <c r="AE89" s="21">
        <v>4961</v>
      </c>
      <c r="AF89" s="22">
        <f t="shared" si="156"/>
        <v>160.03225806451613</v>
      </c>
      <c r="AG89" s="21">
        <v>5116</v>
      </c>
      <c r="AH89" s="22">
        <f t="shared" si="157"/>
        <v>182.71428571428572</v>
      </c>
      <c r="AI89" s="21">
        <v>3056</v>
      </c>
      <c r="AJ89" s="22">
        <f t="shared" si="158"/>
        <v>98.58064516129032</v>
      </c>
      <c r="AK89" s="21">
        <v>4004</v>
      </c>
      <c r="AL89" s="22">
        <f t="shared" si="159"/>
        <v>133.46666666666667</v>
      </c>
      <c r="AM89" s="21">
        <v>3142</v>
      </c>
      <c r="AN89" s="22">
        <f t="shared" si="160"/>
        <v>101.35483870967742</v>
      </c>
      <c r="AO89" s="21">
        <v>3758</v>
      </c>
      <c r="AP89" s="22">
        <f t="shared" si="161"/>
        <v>125.26666666666667</v>
      </c>
      <c r="AQ89" s="21">
        <v>5141</v>
      </c>
      <c r="AR89" s="22">
        <f t="shared" si="162"/>
        <v>165.83870967741936</v>
      </c>
      <c r="AS89" s="21">
        <v>3252</v>
      </c>
      <c r="AT89" s="22">
        <f t="shared" si="163"/>
        <v>104.90322580645162</v>
      </c>
      <c r="AU89" s="21">
        <v>2592</v>
      </c>
      <c r="AV89" s="22">
        <f t="shared" si="164"/>
        <v>86.4</v>
      </c>
      <c r="AW89" s="21">
        <v>3867</v>
      </c>
      <c r="AX89" s="22">
        <f t="shared" si="165"/>
        <v>124.74193548387096</v>
      </c>
      <c r="AY89" s="21">
        <v>3741</v>
      </c>
      <c r="AZ89" s="22">
        <f t="shared" si="166"/>
        <v>124.7</v>
      </c>
      <c r="BA89" s="21">
        <v>4071</v>
      </c>
      <c r="BB89" s="22">
        <f t="shared" si="167"/>
        <v>131.32258064516128</v>
      </c>
      <c r="BC89" s="23">
        <f t="shared" si="168"/>
        <v>48108.999231950846</v>
      </c>
      <c r="BD89" s="24">
        <f t="shared" si="169"/>
        <v>29.170269969397243</v>
      </c>
      <c r="BE89" s="21">
        <v>3794</v>
      </c>
      <c r="BF89" s="22">
        <f t="shared" si="170"/>
        <v>122.38709677419355</v>
      </c>
      <c r="BG89" s="21">
        <v>2840</v>
      </c>
      <c r="BH89" s="22">
        <f t="shared" si="171"/>
        <v>101.42857142857143</v>
      </c>
      <c r="BI89" s="21">
        <v>4151</v>
      </c>
      <c r="BJ89" s="22">
        <f t="shared" si="172"/>
        <v>133.90322580645162</v>
      </c>
      <c r="BK89" s="21">
        <v>4454</v>
      </c>
      <c r="BL89" s="22">
        <f t="shared" si="173"/>
        <v>148.46666666666667</v>
      </c>
      <c r="BM89" s="21">
        <v>5281</v>
      </c>
      <c r="BN89" s="22">
        <f t="shared" si="174"/>
        <v>170.35483870967741</v>
      </c>
      <c r="BO89" s="21">
        <v>2295</v>
      </c>
      <c r="BP89" s="22">
        <f t="shared" si="175"/>
        <v>76.5</v>
      </c>
      <c r="BQ89" s="21">
        <v>2363</v>
      </c>
      <c r="BR89" s="22">
        <f t="shared" si="176"/>
        <v>76.225806451612897</v>
      </c>
      <c r="BS89" s="21">
        <v>4200</v>
      </c>
      <c r="BT89" s="22">
        <f t="shared" si="177"/>
        <v>135.48387096774192</v>
      </c>
      <c r="BU89" s="21">
        <v>2650</v>
      </c>
      <c r="BV89" s="22">
        <f t="shared" si="178"/>
        <v>88.333333333333329</v>
      </c>
      <c r="BW89" s="21">
        <v>4880</v>
      </c>
      <c r="BX89" s="22">
        <f t="shared" si="179"/>
        <v>157.41935483870967</v>
      </c>
      <c r="BY89" s="21">
        <v>4732</v>
      </c>
      <c r="BZ89" s="22">
        <f t="shared" si="180"/>
        <v>157.73333333333332</v>
      </c>
      <c r="CA89" s="21">
        <v>5341</v>
      </c>
      <c r="CB89" s="22">
        <f t="shared" si="181"/>
        <v>172.29032258064515</v>
      </c>
      <c r="CC89" s="23">
        <f t="shared" si="182"/>
        <v>48349.236098310299</v>
      </c>
      <c r="CD89" s="24">
        <f t="shared" si="183"/>
        <v>35.235538771664977</v>
      </c>
      <c r="CE89" s="21">
        <v>4112</v>
      </c>
      <c r="CF89" s="22">
        <f t="shared" si="184"/>
        <v>132.64516129032259</v>
      </c>
      <c r="CG89" s="21">
        <v>3828</v>
      </c>
      <c r="CH89" s="22">
        <f t="shared" si="185"/>
        <v>136.71428571428572</v>
      </c>
      <c r="CI89" s="21">
        <v>4629</v>
      </c>
      <c r="CJ89" s="22">
        <f t="shared" si="186"/>
        <v>149.32258064516128</v>
      </c>
      <c r="CK89" s="21">
        <v>4901</v>
      </c>
      <c r="CL89" s="22">
        <f t="shared" si="187"/>
        <v>163.36666666666667</v>
      </c>
      <c r="CM89" s="21">
        <v>2689</v>
      </c>
      <c r="CN89" s="22">
        <f t="shared" si="188"/>
        <v>86.741935483870961</v>
      </c>
      <c r="CO89" s="21">
        <v>3360</v>
      </c>
      <c r="CP89" s="22">
        <f t="shared" si="189"/>
        <v>112</v>
      </c>
      <c r="CQ89" s="21">
        <v>3644</v>
      </c>
      <c r="CR89" s="22">
        <f t="shared" si="190"/>
        <v>117.54838709677419</v>
      </c>
      <c r="CS89" s="21">
        <v>5441</v>
      </c>
      <c r="CT89" s="22">
        <f t="shared" si="191"/>
        <v>175.51612903225808</v>
      </c>
      <c r="CU89" s="21">
        <v>3736</v>
      </c>
      <c r="CV89" s="22">
        <f t="shared" si="192"/>
        <v>124.53333333333333</v>
      </c>
      <c r="CW89" s="21">
        <v>4439</v>
      </c>
      <c r="CX89" s="22">
        <f t="shared" si="193"/>
        <v>143.19354838709677</v>
      </c>
      <c r="CY89" s="21">
        <v>3794</v>
      </c>
      <c r="CZ89" s="22">
        <f t="shared" si="194"/>
        <v>126.46666666666667</v>
      </c>
      <c r="DA89" s="21">
        <v>2671</v>
      </c>
      <c r="DB89" s="22">
        <f t="shared" si="195"/>
        <v>86.161290322580641</v>
      </c>
      <c r="DC89" s="23">
        <f t="shared" si="196"/>
        <v>48712.048694316436</v>
      </c>
      <c r="DD89" s="24">
        <f t="shared" si="197"/>
        <v>27.129777793014629</v>
      </c>
      <c r="DE89" s="21">
        <v>4869</v>
      </c>
      <c r="DF89" s="22">
        <f t="shared" si="198"/>
        <v>157.06451612903226</v>
      </c>
      <c r="DG89" s="21">
        <v>3701</v>
      </c>
      <c r="DH89" s="22">
        <f t="shared" si="199"/>
        <v>132.17857142857142</v>
      </c>
      <c r="DI89" s="21">
        <v>5000</v>
      </c>
      <c r="DJ89" s="22">
        <f t="shared" si="200"/>
        <v>161.29032258064515</v>
      </c>
      <c r="DK89" s="21">
        <v>4632</v>
      </c>
      <c r="DL89" s="22">
        <f t="shared" si="201"/>
        <v>154.4</v>
      </c>
      <c r="DM89" s="21">
        <v>2642</v>
      </c>
      <c r="DN89" s="22">
        <f t="shared" si="202"/>
        <v>85.225806451612897</v>
      </c>
      <c r="DO89" s="21">
        <v>3139</v>
      </c>
      <c r="DP89" s="22">
        <f t="shared" si="203"/>
        <v>104.63333333333334</v>
      </c>
      <c r="DQ89" s="21">
        <v>3664</v>
      </c>
      <c r="DR89" s="22">
        <f t="shared" si="204"/>
        <v>118.19354838709677</v>
      </c>
      <c r="DS89" s="21">
        <v>3689</v>
      </c>
      <c r="DT89" s="22">
        <f t="shared" si="205"/>
        <v>119</v>
      </c>
      <c r="DU89" s="21">
        <v>4823</v>
      </c>
      <c r="DV89" s="22">
        <f t="shared" si="206"/>
        <v>160.76666666666668</v>
      </c>
      <c r="DW89" s="21">
        <v>5650</v>
      </c>
      <c r="DX89" s="22">
        <f t="shared" si="207"/>
        <v>182.25806451612902</v>
      </c>
      <c r="DY89" s="21">
        <v>5247</v>
      </c>
      <c r="DZ89" s="22">
        <f t="shared" si="208"/>
        <v>174.9</v>
      </c>
      <c r="EA89" s="21">
        <v>4733</v>
      </c>
      <c r="EB89" s="22">
        <f t="shared" si="209"/>
        <v>152.67741935483872</v>
      </c>
      <c r="EC89" s="23">
        <f t="shared" si="210"/>
        <v>53338.910829493099</v>
      </c>
      <c r="ED89" s="24">
        <f t="shared" si="211"/>
        <v>29.747041645975283</v>
      </c>
      <c r="EE89" s="25">
        <f t="shared" si="212"/>
        <v>2046.1557338967036</v>
      </c>
    </row>
    <row r="90" spans="1:135" ht="15" customHeight="1" x14ac:dyDescent="0.35">
      <c r="A90" s="17">
        <v>85</v>
      </c>
      <c r="B90" s="18" t="s">
        <v>204</v>
      </c>
      <c r="C90" s="19" t="s">
        <v>205</v>
      </c>
      <c r="D90" s="20" t="s">
        <v>36</v>
      </c>
      <c r="E90" s="21">
        <v>2603</v>
      </c>
      <c r="F90" s="22">
        <f t="shared" si="142"/>
        <v>83.967741935483872</v>
      </c>
      <c r="G90" s="21">
        <v>2911</v>
      </c>
      <c r="H90" s="22">
        <f t="shared" si="143"/>
        <v>103.96428571428571</v>
      </c>
      <c r="I90" s="21">
        <v>3471</v>
      </c>
      <c r="J90" s="22">
        <f t="shared" si="144"/>
        <v>111.96774193548387</v>
      </c>
      <c r="K90" s="21">
        <v>2721</v>
      </c>
      <c r="L90" s="22">
        <f t="shared" si="145"/>
        <v>90.7</v>
      </c>
      <c r="M90" s="21">
        <v>2294</v>
      </c>
      <c r="N90" s="22">
        <f t="shared" si="146"/>
        <v>74</v>
      </c>
      <c r="O90" s="21">
        <v>3243</v>
      </c>
      <c r="P90" s="22">
        <f t="shared" si="147"/>
        <v>108.1</v>
      </c>
      <c r="Q90" s="21">
        <v>2461</v>
      </c>
      <c r="R90" s="22">
        <f t="shared" si="148"/>
        <v>79.387096774193552</v>
      </c>
      <c r="S90" s="21">
        <v>3155</v>
      </c>
      <c r="T90" s="22">
        <f t="shared" si="149"/>
        <v>101.7741935483871</v>
      </c>
      <c r="U90" s="21">
        <v>3351</v>
      </c>
      <c r="V90" s="22">
        <f t="shared" si="150"/>
        <v>111.7</v>
      </c>
      <c r="W90" s="21">
        <v>2218</v>
      </c>
      <c r="X90" s="22">
        <f t="shared" si="151"/>
        <v>71.548387096774192</v>
      </c>
      <c r="Y90" s="21">
        <v>3118</v>
      </c>
      <c r="Z90" s="22">
        <f t="shared" si="152"/>
        <v>103.93333333333334</v>
      </c>
      <c r="AA90" s="21">
        <v>2253</v>
      </c>
      <c r="AB90" s="22">
        <f t="shared" si="153"/>
        <v>72.677419354838705</v>
      </c>
      <c r="AC90" s="23">
        <f t="shared" si="154"/>
        <v>34840.042780337943</v>
      </c>
      <c r="AD90" s="24">
        <f t="shared" si="155"/>
        <v>15.840522608590655</v>
      </c>
      <c r="AE90" s="21">
        <v>3185</v>
      </c>
      <c r="AF90" s="22">
        <f t="shared" si="156"/>
        <v>102.74193548387096</v>
      </c>
      <c r="AG90" s="21">
        <v>2373</v>
      </c>
      <c r="AH90" s="22">
        <f t="shared" si="157"/>
        <v>84.75</v>
      </c>
      <c r="AI90" s="21">
        <v>3555</v>
      </c>
      <c r="AJ90" s="22">
        <f t="shared" si="158"/>
        <v>114.6774193548387</v>
      </c>
      <c r="AK90" s="21">
        <v>3838</v>
      </c>
      <c r="AL90" s="22">
        <f t="shared" si="159"/>
        <v>127.93333333333334</v>
      </c>
      <c r="AM90" s="21">
        <v>4057</v>
      </c>
      <c r="AN90" s="22">
        <f t="shared" si="160"/>
        <v>130.87096774193549</v>
      </c>
      <c r="AO90" s="21">
        <v>2733</v>
      </c>
      <c r="AP90" s="22">
        <f t="shared" si="161"/>
        <v>91.1</v>
      </c>
      <c r="AQ90" s="21">
        <v>4259</v>
      </c>
      <c r="AR90" s="22">
        <f t="shared" si="162"/>
        <v>137.38709677419354</v>
      </c>
      <c r="AS90" s="21">
        <v>2552</v>
      </c>
      <c r="AT90" s="22">
        <f t="shared" si="163"/>
        <v>82.322580645161295</v>
      </c>
      <c r="AU90" s="21">
        <v>1935</v>
      </c>
      <c r="AV90" s="22">
        <f t="shared" si="164"/>
        <v>64.5</v>
      </c>
      <c r="AW90" s="21">
        <v>4294</v>
      </c>
      <c r="AX90" s="22">
        <f t="shared" si="165"/>
        <v>138.51612903225808</v>
      </c>
      <c r="AY90" s="21">
        <v>3409</v>
      </c>
      <c r="AZ90" s="22">
        <f t="shared" si="166"/>
        <v>113.63333333333334</v>
      </c>
      <c r="BA90" s="21">
        <v>3944</v>
      </c>
      <c r="BB90" s="22">
        <f t="shared" si="167"/>
        <v>127.2258064516129</v>
      </c>
      <c r="BC90" s="23">
        <f t="shared" si="168"/>
        <v>41322.432795698922</v>
      </c>
      <c r="BD90" s="24">
        <f t="shared" si="169"/>
        <v>24.372866978988011</v>
      </c>
      <c r="BE90" s="21">
        <v>3300</v>
      </c>
      <c r="BF90" s="22">
        <f t="shared" si="170"/>
        <v>106.45161290322581</v>
      </c>
      <c r="BG90" s="21">
        <v>2847</v>
      </c>
      <c r="BH90" s="22">
        <f t="shared" si="171"/>
        <v>101.67857142857143</v>
      </c>
      <c r="BI90" s="21">
        <v>3360</v>
      </c>
      <c r="BJ90" s="22">
        <f t="shared" si="172"/>
        <v>108.38709677419355</v>
      </c>
      <c r="BK90" s="21">
        <v>4033</v>
      </c>
      <c r="BL90" s="22">
        <f t="shared" si="173"/>
        <v>134.43333333333334</v>
      </c>
      <c r="BM90" s="21">
        <v>3751</v>
      </c>
      <c r="BN90" s="22">
        <f t="shared" si="174"/>
        <v>121</v>
      </c>
      <c r="BO90" s="21">
        <v>3635</v>
      </c>
      <c r="BP90" s="22">
        <f t="shared" si="175"/>
        <v>121.16666666666667</v>
      </c>
      <c r="BQ90" s="21">
        <v>2659</v>
      </c>
      <c r="BR90" s="22">
        <f t="shared" si="176"/>
        <v>85.774193548387103</v>
      </c>
      <c r="BS90" s="21">
        <v>1952</v>
      </c>
      <c r="BT90" s="22">
        <f t="shared" si="177"/>
        <v>62.967741935483872</v>
      </c>
      <c r="BU90" s="21">
        <v>2907</v>
      </c>
      <c r="BV90" s="22">
        <f t="shared" si="178"/>
        <v>96.9</v>
      </c>
      <c r="BW90" s="21">
        <v>3115</v>
      </c>
      <c r="BX90" s="22">
        <f t="shared" si="179"/>
        <v>100.48387096774194</v>
      </c>
      <c r="BY90" s="21">
        <v>2467</v>
      </c>
      <c r="BZ90" s="22">
        <f t="shared" si="180"/>
        <v>82.233333333333334</v>
      </c>
      <c r="CA90" s="21">
        <v>3002</v>
      </c>
      <c r="CB90" s="22">
        <f t="shared" si="181"/>
        <v>96.838709677419359</v>
      </c>
      <c r="CC90" s="23">
        <f t="shared" si="182"/>
        <v>38149.47642089094</v>
      </c>
      <c r="CD90" s="24">
        <f t="shared" si="183"/>
        <v>19.237196206879382</v>
      </c>
      <c r="CE90" s="21">
        <v>4597</v>
      </c>
      <c r="CF90" s="22">
        <f t="shared" si="184"/>
        <v>148.29032258064515</v>
      </c>
      <c r="CG90" s="21">
        <v>2611</v>
      </c>
      <c r="CH90" s="22">
        <f t="shared" si="185"/>
        <v>93.25</v>
      </c>
      <c r="CI90" s="21">
        <v>2844</v>
      </c>
      <c r="CJ90" s="22">
        <f t="shared" si="186"/>
        <v>91.741935483870961</v>
      </c>
      <c r="CK90" s="21">
        <v>2330</v>
      </c>
      <c r="CL90" s="22">
        <f t="shared" si="187"/>
        <v>77.666666666666671</v>
      </c>
      <c r="CM90" s="21">
        <v>4149</v>
      </c>
      <c r="CN90" s="22">
        <f t="shared" si="188"/>
        <v>133.83870967741936</v>
      </c>
      <c r="CO90" s="21">
        <v>4129</v>
      </c>
      <c r="CP90" s="22">
        <f t="shared" si="189"/>
        <v>137.63333333333333</v>
      </c>
      <c r="CQ90" s="21">
        <v>4496</v>
      </c>
      <c r="CR90" s="22">
        <f t="shared" si="190"/>
        <v>145.03225806451613</v>
      </c>
      <c r="CS90" s="21">
        <v>3227</v>
      </c>
      <c r="CT90" s="22">
        <f t="shared" si="191"/>
        <v>104.09677419354838</v>
      </c>
      <c r="CU90" s="21">
        <v>2095</v>
      </c>
      <c r="CV90" s="22">
        <f t="shared" si="192"/>
        <v>69.833333333333329</v>
      </c>
      <c r="CW90" s="21">
        <v>3332</v>
      </c>
      <c r="CX90" s="22">
        <f t="shared" si="193"/>
        <v>107.48387096774194</v>
      </c>
      <c r="CY90" s="21">
        <v>3379</v>
      </c>
      <c r="CZ90" s="22">
        <f t="shared" si="194"/>
        <v>112.63333333333334</v>
      </c>
      <c r="DA90" s="21">
        <v>2541</v>
      </c>
      <c r="DB90" s="22">
        <f t="shared" si="195"/>
        <v>81.967741935483872</v>
      </c>
      <c r="DC90" s="23">
        <f t="shared" si="196"/>
        <v>40951.500537634405</v>
      </c>
      <c r="DD90" s="24">
        <f t="shared" si="197"/>
        <v>27.151367244817042</v>
      </c>
      <c r="DE90" s="21">
        <v>3412</v>
      </c>
      <c r="DF90" s="22">
        <f t="shared" si="198"/>
        <v>110.06451612903226</v>
      </c>
      <c r="DG90" s="21">
        <v>3022</v>
      </c>
      <c r="DH90" s="22">
        <f t="shared" si="199"/>
        <v>107.92857142857143</v>
      </c>
      <c r="DI90" s="21">
        <v>2597</v>
      </c>
      <c r="DJ90" s="22">
        <f t="shared" si="200"/>
        <v>83.774193548387103</v>
      </c>
      <c r="DK90" s="21">
        <v>3110</v>
      </c>
      <c r="DL90" s="22">
        <f t="shared" si="201"/>
        <v>103.66666666666667</v>
      </c>
      <c r="DM90" s="21">
        <v>1821</v>
      </c>
      <c r="DN90" s="22">
        <f t="shared" si="202"/>
        <v>58.741935483870968</v>
      </c>
      <c r="DO90" s="21">
        <v>3306</v>
      </c>
      <c r="DP90" s="22">
        <f t="shared" si="203"/>
        <v>110.2</v>
      </c>
      <c r="DQ90" s="21">
        <v>3205</v>
      </c>
      <c r="DR90" s="22">
        <f t="shared" si="204"/>
        <v>103.38709677419355</v>
      </c>
      <c r="DS90" s="21">
        <v>3441</v>
      </c>
      <c r="DT90" s="22">
        <f t="shared" si="205"/>
        <v>111</v>
      </c>
      <c r="DU90" s="21">
        <v>2909</v>
      </c>
      <c r="DV90" s="22">
        <f t="shared" si="206"/>
        <v>96.966666666666669</v>
      </c>
      <c r="DW90" s="21">
        <v>1800</v>
      </c>
      <c r="DX90" s="22">
        <f t="shared" si="207"/>
        <v>58.064516129032256</v>
      </c>
      <c r="DY90" s="21">
        <v>3006</v>
      </c>
      <c r="DZ90" s="22">
        <f t="shared" si="208"/>
        <v>100.2</v>
      </c>
      <c r="EA90" s="21">
        <v>2466</v>
      </c>
      <c r="EB90" s="22">
        <f t="shared" si="209"/>
        <v>79.548387096774192</v>
      </c>
      <c r="EC90" s="23">
        <f t="shared" si="210"/>
        <v>35138.994162826421</v>
      </c>
      <c r="ED90" s="24">
        <f t="shared" si="211"/>
        <v>19.255619087865693</v>
      </c>
      <c r="EE90" s="25">
        <f t="shared" si="212"/>
        <v>1550.5595100087671</v>
      </c>
    </row>
    <row r="91" spans="1:135" ht="15" customHeight="1" x14ac:dyDescent="0.35">
      <c r="A91" s="17">
        <v>86</v>
      </c>
      <c r="B91" s="18" t="s">
        <v>206</v>
      </c>
      <c r="C91" s="19" t="s">
        <v>207</v>
      </c>
      <c r="D91" s="20" t="s">
        <v>36</v>
      </c>
      <c r="E91" s="21">
        <v>1764</v>
      </c>
      <c r="F91" s="22">
        <f t="shared" si="142"/>
        <v>56.903225806451616</v>
      </c>
      <c r="G91" s="21">
        <v>1534</v>
      </c>
      <c r="H91" s="22">
        <f t="shared" si="143"/>
        <v>54.785714285714285</v>
      </c>
      <c r="I91" s="21">
        <v>909</v>
      </c>
      <c r="J91" s="22">
        <f t="shared" si="144"/>
        <v>29.322580645161292</v>
      </c>
      <c r="K91" s="21">
        <v>2028</v>
      </c>
      <c r="L91" s="22">
        <f t="shared" si="145"/>
        <v>67.599999999999994</v>
      </c>
      <c r="M91" s="21">
        <v>1732</v>
      </c>
      <c r="N91" s="22">
        <f t="shared" si="146"/>
        <v>55.87096774193548</v>
      </c>
      <c r="O91" s="21">
        <v>1620</v>
      </c>
      <c r="P91" s="22">
        <f t="shared" si="147"/>
        <v>54</v>
      </c>
      <c r="Q91" s="21">
        <v>1009</v>
      </c>
      <c r="R91" s="22">
        <f t="shared" si="148"/>
        <v>32.548387096774192</v>
      </c>
      <c r="S91" s="21">
        <v>1467</v>
      </c>
      <c r="T91" s="22">
        <f t="shared" si="149"/>
        <v>47.322580645161288</v>
      </c>
      <c r="U91" s="21">
        <v>960</v>
      </c>
      <c r="V91" s="22">
        <f t="shared" si="150"/>
        <v>32</v>
      </c>
      <c r="W91" s="21">
        <v>1532</v>
      </c>
      <c r="X91" s="22">
        <f t="shared" si="151"/>
        <v>49.41935483870968</v>
      </c>
      <c r="Y91" s="21">
        <v>1698</v>
      </c>
      <c r="Z91" s="22">
        <f t="shared" si="152"/>
        <v>56.6</v>
      </c>
      <c r="AA91" s="21">
        <v>1281</v>
      </c>
      <c r="AB91" s="22">
        <f t="shared" si="153"/>
        <v>41.322580645161288</v>
      </c>
      <c r="AC91" s="23">
        <f t="shared" si="154"/>
        <v>18070.372811059908</v>
      </c>
      <c r="AD91" s="24">
        <f t="shared" si="155"/>
        <v>11.953720156395663</v>
      </c>
      <c r="AE91" s="21">
        <v>1683</v>
      </c>
      <c r="AF91" s="22">
        <f t="shared" si="156"/>
        <v>54.29032258064516</v>
      </c>
      <c r="AG91" s="21">
        <v>1346</v>
      </c>
      <c r="AH91" s="22">
        <f t="shared" si="157"/>
        <v>48.071428571428569</v>
      </c>
      <c r="AI91" s="21">
        <v>2081</v>
      </c>
      <c r="AJ91" s="22">
        <f t="shared" si="158"/>
        <v>67.129032258064512</v>
      </c>
      <c r="AK91" s="21">
        <v>1357</v>
      </c>
      <c r="AL91" s="22">
        <f t="shared" si="159"/>
        <v>45.233333333333334</v>
      </c>
      <c r="AM91" s="21">
        <v>1195</v>
      </c>
      <c r="AN91" s="22">
        <f t="shared" si="160"/>
        <v>38.548387096774192</v>
      </c>
      <c r="AO91" s="21">
        <v>1301</v>
      </c>
      <c r="AP91" s="22">
        <f t="shared" si="161"/>
        <v>43.366666666666667</v>
      </c>
      <c r="AQ91" s="21">
        <v>1355</v>
      </c>
      <c r="AR91" s="22">
        <f t="shared" si="162"/>
        <v>43.70967741935484</v>
      </c>
      <c r="AS91" s="21">
        <v>1510</v>
      </c>
      <c r="AT91" s="22">
        <f t="shared" si="163"/>
        <v>48.70967741935484</v>
      </c>
      <c r="AU91" s="21">
        <v>1100</v>
      </c>
      <c r="AV91" s="22">
        <f t="shared" si="164"/>
        <v>36.666666666666664</v>
      </c>
      <c r="AW91" s="21">
        <v>1140</v>
      </c>
      <c r="AX91" s="22">
        <f t="shared" si="165"/>
        <v>36.774193548387096</v>
      </c>
      <c r="AY91" s="21">
        <v>1297</v>
      </c>
      <c r="AZ91" s="22">
        <f t="shared" si="166"/>
        <v>43.233333333333334</v>
      </c>
      <c r="BA91" s="21">
        <v>970</v>
      </c>
      <c r="BB91" s="22">
        <f t="shared" si="167"/>
        <v>31.29032258064516</v>
      </c>
      <c r="BC91" s="23">
        <f t="shared" si="168"/>
        <v>16840.732718894007</v>
      </c>
      <c r="BD91" s="24">
        <f t="shared" si="169"/>
        <v>9.4033658614444171</v>
      </c>
      <c r="BE91" s="21">
        <v>1672</v>
      </c>
      <c r="BF91" s="22">
        <f t="shared" si="170"/>
        <v>53.935483870967744</v>
      </c>
      <c r="BG91" s="21">
        <v>1539</v>
      </c>
      <c r="BH91" s="22">
        <f t="shared" si="171"/>
        <v>54.964285714285715</v>
      </c>
      <c r="BI91" s="21">
        <v>1165</v>
      </c>
      <c r="BJ91" s="22">
        <f t="shared" si="172"/>
        <v>37.58064516129032</v>
      </c>
      <c r="BK91" s="21">
        <v>1340</v>
      </c>
      <c r="BL91" s="22">
        <f t="shared" si="173"/>
        <v>44.666666666666664</v>
      </c>
      <c r="BM91" s="21">
        <v>1301</v>
      </c>
      <c r="BN91" s="22">
        <f t="shared" si="174"/>
        <v>41.967741935483872</v>
      </c>
      <c r="BO91" s="21">
        <v>1086</v>
      </c>
      <c r="BP91" s="22">
        <f t="shared" si="175"/>
        <v>36.200000000000003</v>
      </c>
      <c r="BQ91" s="21">
        <v>1771</v>
      </c>
      <c r="BR91" s="22">
        <f t="shared" si="176"/>
        <v>57.12903225806452</v>
      </c>
      <c r="BS91" s="21">
        <v>1258</v>
      </c>
      <c r="BT91" s="22">
        <f t="shared" si="177"/>
        <v>40.58064516129032</v>
      </c>
      <c r="BU91" s="21">
        <v>1211</v>
      </c>
      <c r="BV91" s="22">
        <f t="shared" si="178"/>
        <v>40.366666666666667</v>
      </c>
      <c r="BW91" s="21">
        <v>1000</v>
      </c>
      <c r="BX91" s="22">
        <f t="shared" si="179"/>
        <v>32.258064516129032</v>
      </c>
      <c r="BY91" s="21">
        <v>1660</v>
      </c>
      <c r="BZ91" s="22">
        <f t="shared" si="180"/>
        <v>55.333333333333336</v>
      </c>
      <c r="CA91" s="21">
        <v>1326</v>
      </c>
      <c r="CB91" s="22">
        <f t="shared" si="181"/>
        <v>42.774193548387096</v>
      </c>
      <c r="CC91" s="23">
        <f t="shared" si="182"/>
        <v>16823.982565284183</v>
      </c>
      <c r="CD91" s="24">
        <f t="shared" si="183"/>
        <v>8.435336143334986</v>
      </c>
      <c r="CE91" s="21">
        <v>1171</v>
      </c>
      <c r="CF91" s="22">
        <f t="shared" si="184"/>
        <v>37.774193548387096</v>
      </c>
      <c r="CG91" s="21">
        <v>863</v>
      </c>
      <c r="CH91" s="22">
        <f t="shared" si="185"/>
        <v>30.821428571428573</v>
      </c>
      <c r="CI91" s="21">
        <v>1198</v>
      </c>
      <c r="CJ91" s="22">
        <f t="shared" si="186"/>
        <v>38.645161290322584</v>
      </c>
      <c r="CK91" s="21">
        <v>1398</v>
      </c>
      <c r="CL91" s="22">
        <f t="shared" si="187"/>
        <v>46.6</v>
      </c>
      <c r="CM91" s="21">
        <v>840</v>
      </c>
      <c r="CN91" s="22">
        <f t="shared" si="188"/>
        <v>27.096774193548388</v>
      </c>
      <c r="CO91" s="21">
        <v>789</v>
      </c>
      <c r="CP91" s="22">
        <f t="shared" si="189"/>
        <v>26.3</v>
      </c>
      <c r="CQ91" s="21">
        <v>1154</v>
      </c>
      <c r="CR91" s="22">
        <f t="shared" si="190"/>
        <v>37.225806451612904</v>
      </c>
      <c r="CS91" s="21">
        <v>911</v>
      </c>
      <c r="CT91" s="22">
        <f t="shared" si="191"/>
        <v>29.387096774193548</v>
      </c>
      <c r="CU91" s="21">
        <v>1321</v>
      </c>
      <c r="CV91" s="22">
        <f t="shared" si="192"/>
        <v>44.033333333333331</v>
      </c>
      <c r="CW91" s="21">
        <v>1317</v>
      </c>
      <c r="CX91" s="22">
        <f t="shared" si="193"/>
        <v>42.483870967741936</v>
      </c>
      <c r="CY91" s="21">
        <v>1556</v>
      </c>
      <c r="CZ91" s="22">
        <f t="shared" si="194"/>
        <v>51.866666666666667</v>
      </c>
      <c r="DA91" s="21">
        <v>1422</v>
      </c>
      <c r="DB91" s="22">
        <f t="shared" si="195"/>
        <v>45.87096774193548</v>
      </c>
      <c r="DC91" s="23">
        <f t="shared" si="196"/>
        <v>14352.234331797235</v>
      </c>
      <c r="DD91" s="24">
        <f t="shared" si="197"/>
        <v>8.3496562283046334</v>
      </c>
      <c r="DE91" s="21">
        <v>1282</v>
      </c>
      <c r="DF91" s="22">
        <f t="shared" si="198"/>
        <v>41.354838709677416</v>
      </c>
      <c r="DG91" s="21">
        <v>997</v>
      </c>
      <c r="DH91" s="22">
        <f t="shared" si="199"/>
        <v>35.607142857142854</v>
      </c>
      <c r="DI91" s="21">
        <v>1470</v>
      </c>
      <c r="DJ91" s="22">
        <f t="shared" si="200"/>
        <v>47.41935483870968</v>
      </c>
      <c r="DK91" s="21">
        <v>1372</v>
      </c>
      <c r="DL91" s="22">
        <f t="shared" si="201"/>
        <v>45.733333333333334</v>
      </c>
      <c r="DM91" s="21">
        <v>1333</v>
      </c>
      <c r="DN91" s="22">
        <f t="shared" si="202"/>
        <v>43</v>
      </c>
      <c r="DO91" s="21">
        <v>1204</v>
      </c>
      <c r="DP91" s="22">
        <f t="shared" si="203"/>
        <v>40.133333333333333</v>
      </c>
      <c r="DQ91" s="21">
        <v>1617</v>
      </c>
      <c r="DR91" s="22">
        <f t="shared" si="204"/>
        <v>52.161290322580648</v>
      </c>
      <c r="DS91" s="21">
        <v>1412</v>
      </c>
      <c r="DT91" s="22">
        <f t="shared" si="205"/>
        <v>45.548387096774192</v>
      </c>
      <c r="DU91" s="21">
        <v>1140</v>
      </c>
      <c r="DV91" s="22">
        <f t="shared" si="206"/>
        <v>38</v>
      </c>
      <c r="DW91" s="21">
        <v>827</v>
      </c>
      <c r="DX91" s="22">
        <f t="shared" si="207"/>
        <v>26.677419354838708</v>
      </c>
      <c r="DY91" s="21">
        <v>1466</v>
      </c>
      <c r="DZ91" s="22">
        <f t="shared" si="208"/>
        <v>48.866666666666667</v>
      </c>
      <c r="EA91" s="21">
        <v>1566</v>
      </c>
      <c r="EB91" s="22">
        <f t="shared" si="209"/>
        <v>50.516129032258064</v>
      </c>
      <c r="EC91" s="23">
        <f t="shared" si="210"/>
        <v>16150.501766513058</v>
      </c>
      <c r="ED91" s="24">
        <f t="shared" si="211"/>
        <v>7.1684931252221382</v>
      </c>
      <c r="EE91" s="25">
        <f t="shared" si="212"/>
        <v>666.86071403122048</v>
      </c>
    </row>
    <row r="92" spans="1:135" ht="15" customHeight="1" x14ac:dyDescent="0.35">
      <c r="A92" s="17">
        <v>87</v>
      </c>
      <c r="B92" s="18" t="s">
        <v>208</v>
      </c>
      <c r="C92" s="19" t="s">
        <v>209</v>
      </c>
      <c r="D92" s="20" t="s">
        <v>36</v>
      </c>
      <c r="E92" s="21">
        <v>4184</v>
      </c>
      <c r="F92" s="22">
        <f t="shared" si="142"/>
        <v>134.96774193548387</v>
      </c>
      <c r="G92" s="21">
        <v>4140</v>
      </c>
      <c r="H92" s="22">
        <f t="shared" si="143"/>
        <v>147.85714285714286</v>
      </c>
      <c r="I92" s="21">
        <v>4926</v>
      </c>
      <c r="J92" s="22">
        <f t="shared" si="144"/>
        <v>158.90322580645162</v>
      </c>
      <c r="K92" s="21">
        <v>5015</v>
      </c>
      <c r="L92" s="22">
        <f t="shared" si="145"/>
        <v>167.16666666666666</v>
      </c>
      <c r="M92" s="21">
        <v>4174</v>
      </c>
      <c r="N92" s="22">
        <f t="shared" si="146"/>
        <v>134.64516129032259</v>
      </c>
      <c r="O92" s="21">
        <v>3371</v>
      </c>
      <c r="P92" s="22">
        <f t="shared" si="147"/>
        <v>112.36666666666666</v>
      </c>
      <c r="Q92" s="21">
        <v>3344</v>
      </c>
      <c r="R92" s="22">
        <f t="shared" si="148"/>
        <v>107.87096774193549</v>
      </c>
      <c r="S92" s="21">
        <v>5533</v>
      </c>
      <c r="T92" s="22">
        <f t="shared" si="149"/>
        <v>178.48387096774192</v>
      </c>
      <c r="U92" s="21">
        <v>4694</v>
      </c>
      <c r="V92" s="22">
        <f t="shared" si="150"/>
        <v>156.46666666666667</v>
      </c>
      <c r="W92" s="21">
        <v>5710</v>
      </c>
      <c r="X92" s="22">
        <f t="shared" si="151"/>
        <v>184.19354838709677</v>
      </c>
      <c r="Y92" s="21">
        <v>3922</v>
      </c>
      <c r="Z92" s="22">
        <f t="shared" si="152"/>
        <v>130.73333333333332</v>
      </c>
      <c r="AA92" s="21">
        <v>4978</v>
      </c>
      <c r="AB92" s="22">
        <f t="shared" si="153"/>
        <v>160.58064516129033</v>
      </c>
      <c r="AC92" s="23">
        <f t="shared" si="154"/>
        <v>55604.654992319505</v>
      </c>
      <c r="AD92" s="24">
        <f t="shared" si="155"/>
        <v>24.274194618654942</v>
      </c>
      <c r="AE92" s="21">
        <v>5108</v>
      </c>
      <c r="AF92" s="22">
        <f t="shared" si="156"/>
        <v>164.7741935483871</v>
      </c>
      <c r="AG92" s="21">
        <v>5554</v>
      </c>
      <c r="AH92" s="22">
        <f t="shared" si="157"/>
        <v>198.35714285714286</v>
      </c>
      <c r="AI92" s="21">
        <v>5892</v>
      </c>
      <c r="AJ92" s="22">
        <f t="shared" si="158"/>
        <v>190.06451612903226</v>
      </c>
      <c r="AK92" s="21">
        <v>4343</v>
      </c>
      <c r="AL92" s="22">
        <f t="shared" si="159"/>
        <v>144.76666666666668</v>
      </c>
      <c r="AM92" s="21">
        <v>2816</v>
      </c>
      <c r="AN92" s="22">
        <f t="shared" si="160"/>
        <v>90.838709677419359</v>
      </c>
      <c r="AO92" s="21">
        <v>4423</v>
      </c>
      <c r="AP92" s="22">
        <f t="shared" si="161"/>
        <v>147.43333333333334</v>
      </c>
      <c r="AQ92" s="21">
        <v>3976</v>
      </c>
      <c r="AR92" s="22">
        <f t="shared" si="162"/>
        <v>128.25806451612902</v>
      </c>
      <c r="AS92" s="21">
        <v>4372</v>
      </c>
      <c r="AT92" s="22">
        <f t="shared" si="163"/>
        <v>141.03225806451613</v>
      </c>
      <c r="AU92" s="21">
        <v>3324</v>
      </c>
      <c r="AV92" s="22">
        <f t="shared" si="164"/>
        <v>110.8</v>
      </c>
      <c r="AW92" s="21">
        <v>5479</v>
      </c>
      <c r="AX92" s="22">
        <f t="shared" si="165"/>
        <v>176.74193548387098</v>
      </c>
      <c r="AY92" s="21">
        <v>4889</v>
      </c>
      <c r="AZ92" s="22">
        <f t="shared" si="166"/>
        <v>162.96666666666667</v>
      </c>
      <c r="BA92" s="21">
        <v>3167</v>
      </c>
      <c r="BB92" s="22">
        <f t="shared" si="167"/>
        <v>102.16129032258064</v>
      </c>
      <c r="BC92" s="23">
        <f t="shared" si="168"/>
        <v>54999.033486943175</v>
      </c>
      <c r="BD92" s="24">
        <f t="shared" si="169"/>
        <v>34.127873806361912</v>
      </c>
      <c r="BE92" s="21">
        <v>2763</v>
      </c>
      <c r="BF92" s="22">
        <f t="shared" si="170"/>
        <v>89.129032258064512</v>
      </c>
      <c r="BG92" s="21">
        <v>5078</v>
      </c>
      <c r="BH92" s="22">
        <f t="shared" si="171"/>
        <v>181.35714285714286</v>
      </c>
      <c r="BI92" s="21">
        <v>5010</v>
      </c>
      <c r="BJ92" s="22">
        <f t="shared" si="172"/>
        <v>161.61290322580646</v>
      </c>
      <c r="BK92" s="21">
        <v>3485</v>
      </c>
      <c r="BL92" s="22">
        <f t="shared" si="173"/>
        <v>116.16666666666667</v>
      </c>
      <c r="BM92" s="21">
        <v>4533</v>
      </c>
      <c r="BN92" s="22">
        <f t="shared" si="174"/>
        <v>146.2258064516129</v>
      </c>
      <c r="BO92" s="21">
        <v>4996</v>
      </c>
      <c r="BP92" s="22">
        <f t="shared" si="175"/>
        <v>166.53333333333333</v>
      </c>
      <c r="BQ92" s="21">
        <v>4155</v>
      </c>
      <c r="BR92" s="22">
        <f t="shared" si="176"/>
        <v>134.03225806451613</v>
      </c>
      <c r="BS92" s="21">
        <v>3728</v>
      </c>
      <c r="BT92" s="22">
        <f t="shared" si="177"/>
        <v>120.25806451612904</v>
      </c>
      <c r="BU92" s="21">
        <v>3769</v>
      </c>
      <c r="BV92" s="22">
        <f t="shared" si="178"/>
        <v>125.63333333333334</v>
      </c>
      <c r="BW92" s="21">
        <v>4441</v>
      </c>
      <c r="BX92" s="22">
        <f t="shared" si="179"/>
        <v>143.25806451612902</v>
      </c>
      <c r="BY92" s="21">
        <v>4204</v>
      </c>
      <c r="BZ92" s="22">
        <f t="shared" si="180"/>
        <v>140.13333333333333</v>
      </c>
      <c r="CA92" s="21">
        <v>5584</v>
      </c>
      <c r="CB92" s="22">
        <f t="shared" si="181"/>
        <v>180.12903225806451</v>
      </c>
      <c r="CC92" s="23">
        <f t="shared" si="182"/>
        <v>53270.339938556062</v>
      </c>
      <c r="CD92" s="24">
        <f t="shared" si="183"/>
        <v>27.434267364891646</v>
      </c>
      <c r="CE92" s="21">
        <v>3311</v>
      </c>
      <c r="CF92" s="22">
        <f t="shared" si="184"/>
        <v>106.80645161290323</v>
      </c>
      <c r="CG92" s="21">
        <v>3185</v>
      </c>
      <c r="CH92" s="22">
        <f t="shared" si="185"/>
        <v>113.75</v>
      </c>
      <c r="CI92" s="21">
        <v>4568</v>
      </c>
      <c r="CJ92" s="22">
        <f t="shared" si="186"/>
        <v>147.35483870967741</v>
      </c>
      <c r="CK92" s="21">
        <v>3916</v>
      </c>
      <c r="CL92" s="22">
        <f t="shared" si="187"/>
        <v>130.53333333333333</v>
      </c>
      <c r="CM92" s="21">
        <v>4481</v>
      </c>
      <c r="CN92" s="22">
        <f t="shared" si="188"/>
        <v>144.54838709677421</v>
      </c>
      <c r="CO92" s="21">
        <v>3462</v>
      </c>
      <c r="CP92" s="22">
        <f t="shared" si="189"/>
        <v>115.4</v>
      </c>
      <c r="CQ92" s="21">
        <v>4490</v>
      </c>
      <c r="CR92" s="22">
        <f t="shared" si="190"/>
        <v>144.83870967741936</v>
      </c>
      <c r="CS92" s="21">
        <v>3781</v>
      </c>
      <c r="CT92" s="22">
        <f t="shared" si="191"/>
        <v>121.96774193548387</v>
      </c>
      <c r="CU92" s="21">
        <v>2880</v>
      </c>
      <c r="CV92" s="22">
        <f t="shared" si="192"/>
        <v>96</v>
      </c>
      <c r="CW92" s="21">
        <v>4126</v>
      </c>
      <c r="CX92" s="22">
        <f t="shared" si="193"/>
        <v>133.09677419354838</v>
      </c>
      <c r="CY92" s="21">
        <v>2418</v>
      </c>
      <c r="CZ92" s="22">
        <f t="shared" si="194"/>
        <v>80.599999999999994</v>
      </c>
      <c r="DA92" s="21">
        <v>4909</v>
      </c>
      <c r="DB92" s="22">
        <f t="shared" si="195"/>
        <v>158.35483870967741</v>
      </c>
      <c r="DC92" s="23">
        <f t="shared" si="196"/>
        <v>46861.896236559136</v>
      </c>
      <c r="DD92" s="24">
        <f t="shared" si="197"/>
        <v>23.064455288718445</v>
      </c>
      <c r="DE92" s="21">
        <v>4512</v>
      </c>
      <c r="DF92" s="22">
        <f t="shared" si="198"/>
        <v>145.54838709677421</v>
      </c>
      <c r="DG92" s="21">
        <v>4214</v>
      </c>
      <c r="DH92" s="22">
        <f t="shared" si="199"/>
        <v>150.5</v>
      </c>
      <c r="DI92" s="21">
        <v>4574</v>
      </c>
      <c r="DJ92" s="22">
        <f t="shared" si="200"/>
        <v>147.54838709677421</v>
      </c>
      <c r="DK92" s="21">
        <v>4133</v>
      </c>
      <c r="DL92" s="22">
        <f t="shared" si="201"/>
        <v>137.76666666666668</v>
      </c>
      <c r="DM92" s="21">
        <v>4447</v>
      </c>
      <c r="DN92" s="22">
        <f t="shared" si="202"/>
        <v>143.45161290322579</v>
      </c>
      <c r="DO92" s="21">
        <v>5357</v>
      </c>
      <c r="DP92" s="22">
        <f t="shared" si="203"/>
        <v>178.56666666666666</v>
      </c>
      <c r="DQ92" s="21">
        <v>3156</v>
      </c>
      <c r="DR92" s="22">
        <f t="shared" si="204"/>
        <v>101.80645161290323</v>
      </c>
      <c r="DS92" s="21">
        <v>5813</v>
      </c>
      <c r="DT92" s="22">
        <f t="shared" si="205"/>
        <v>187.51612903225808</v>
      </c>
      <c r="DU92" s="21">
        <v>2793</v>
      </c>
      <c r="DV92" s="22">
        <f t="shared" si="206"/>
        <v>93.1</v>
      </c>
      <c r="DW92" s="21">
        <v>2926</v>
      </c>
      <c r="DX92" s="22">
        <f t="shared" si="207"/>
        <v>94.387096774193552</v>
      </c>
      <c r="DY92" s="21">
        <v>5330</v>
      </c>
      <c r="DZ92" s="22">
        <f t="shared" si="208"/>
        <v>177.66666666666666</v>
      </c>
      <c r="EA92" s="21">
        <v>5184</v>
      </c>
      <c r="EB92" s="22">
        <f t="shared" si="209"/>
        <v>167.2258064516129</v>
      </c>
      <c r="EC92" s="23">
        <f t="shared" si="210"/>
        <v>53996.858064516127</v>
      </c>
      <c r="ED92" s="24">
        <f t="shared" si="211"/>
        <v>32.598969905487358</v>
      </c>
      <c r="EE92" s="25">
        <f t="shared" si="212"/>
        <v>2177.735780831908</v>
      </c>
    </row>
    <row r="93" spans="1:135" ht="15" customHeight="1" x14ac:dyDescent="0.35">
      <c r="A93" s="17">
        <v>88</v>
      </c>
      <c r="B93" s="18" t="s">
        <v>210</v>
      </c>
      <c r="C93" s="19" t="s">
        <v>211</v>
      </c>
      <c r="D93" s="20" t="s">
        <v>36</v>
      </c>
      <c r="E93" s="21">
        <v>3324</v>
      </c>
      <c r="F93" s="22">
        <f t="shared" si="142"/>
        <v>107.2258064516129</v>
      </c>
      <c r="G93" s="21">
        <v>3664</v>
      </c>
      <c r="H93" s="22">
        <f t="shared" si="143"/>
        <v>130.85714285714286</v>
      </c>
      <c r="I93" s="21">
        <v>4152</v>
      </c>
      <c r="J93" s="22">
        <f t="shared" si="144"/>
        <v>133.93548387096774</v>
      </c>
      <c r="K93" s="21">
        <v>2475</v>
      </c>
      <c r="L93" s="22">
        <f t="shared" si="145"/>
        <v>82.5</v>
      </c>
      <c r="M93" s="21">
        <v>4614</v>
      </c>
      <c r="N93" s="22">
        <f t="shared" si="146"/>
        <v>148.83870967741936</v>
      </c>
      <c r="O93" s="21">
        <v>4821</v>
      </c>
      <c r="P93" s="22">
        <f t="shared" si="147"/>
        <v>160.69999999999999</v>
      </c>
      <c r="Q93" s="21">
        <v>4868</v>
      </c>
      <c r="R93" s="22">
        <f t="shared" si="148"/>
        <v>157.03225806451613</v>
      </c>
      <c r="S93" s="21">
        <v>4081</v>
      </c>
      <c r="T93" s="22">
        <f t="shared" si="149"/>
        <v>131.64516129032259</v>
      </c>
      <c r="U93" s="21">
        <v>2209</v>
      </c>
      <c r="V93" s="22">
        <f t="shared" si="150"/>
        <v>73.63333333333334</v>
      </c>
      <c r="W93" s="21">
        <v>2640</v>
      </c>
      <c r="X93" s="22">
        <f t="shared" si="151"/>
        <v>85.161290322580641</v>
      </c>
      <c r="Y93" s="21">
        <v>2648</v>
      </c>
      <c r="Z93" s="22">
        <f t="shared" si="152"/>
        <v>88.266666666666666</v>
      </c>
      <c r="AA93" s="21">
        <v>3773</v>
      </c>
      <c r="AB93" s="22">
        <f t="shared" si="153"/>
        <v>121.70967741935483</v>
      </c>
      <c r="AC93" s="23">
        <f t="shared" si="154"/>
        <v>44568.795852534568</v>
      </c>
      <c r="AD93" s="24">
        <f t="shared" si="155"/>
        <v>30.483514923703989</v>
      </c>
      <c r="AE93" s="21">
        <v>3498</v>
      </c>
      <c r="AF93" s="22">
        <f t="shared" si="156"/>
        <v>112.83870967741936</v>
      </c>
      <c r="AG93" s="21">
        <v>4075</v>
      </c>
      <c r="AH93" s="22">
        <f t="shared" si="157"/>
        <v>145.53571428571428</v>
      </c>
      <c r="AI93" s="21">
        <v>2902</v>
      </c>
      <c r="AJ93" s="22">
        <f t="shared" si="158"/>
        <v>93.612903225806448</v>
      </c>
      <c r="AK93" s="21">
        <v>4393</v>
      </c>
      <c r="AL93" s="22">
        <f t="shared" si="159"/>
        <v>146.43333333333334</v>
      </c>
      <c r="AM93" s="21">
        <v>3273</v>
      </c>
      <c r="AN93" s="22">
        <f t="shared" si="160"/>
        <v>105.58064516129032</v>
      </c>
      <c r="AO93" s="21">
        <v>4052</v>
      </c>
      <c r="AP93" s="22">
        <f t="shared" si="161"/>
        <v>135.06666666666666</v>
      </c>
      <c r="AQ93" s="21">
        <v>5104</v>
      </c>
      <c r="AR93" s="22">
        <f t="shared" si="162"/>
        <v>164.64516129032259</v>
      </c>
      <c r="AS93" s="21">
        <v>3236</v>
      </c>
      <c r="AT93" s="22">
        <f t="shared" si="163"/>
        <v>104.38709677419355</v>
      </c>
      <c r="AU93" s="21">
        <v>5197</v>
      </c>
      <c r="AV93" s="22">
        <f t="shared" si="164"/>
        <v>173.23333333333332</v>
      </c>
      <c r="AW93" s="21">
        <v>3636</v>
      </c>
      <c r="AX93" s="22">
        <f t="shared" si="165"/>
        <v>117.29032258064517</v>
      </c>
      <c r="AY93" s="21">
        <v>5317</v>
      </c>
      <c r="AZ93" s="22">
        <f t="shared" si="166"/>
        <v>177.23333333333332</v>
      </c>
      <c r="BA93" s="21">
        <v>3358</v>
      </c>
      <c r="BB93" s="22">
        <f t="shared" si="167"/>
        <v>108.3225806451613</v>
      </c>
      <c r="BC93" s="23">
        <f t="shared" si="168"/>
        <v>49516.857219662044</v>
      </c>
      <c r="BD93" s="24">
        <f t="shared" si="169"/>
        <v>29.06272366948329</v>
      </c>
      <c r="BE93" s="21">
        <v>2818</v>
      </c>
      <c r="BF93" s="22">
        <f t="shared" si="170"/>
        <v>90.903225806451616</v>
      </c>
      <c r="BG93" s="21">
        <v>2545</v>
      </c>
      <c r="BH93" s="22">
        <f t="shared" si="171"/>
        <v>90.892857142857139</v>
      </c>
      <c r="BI93" s="21">
        <v>5829</v>
      </c>
      <c r="BJ93" s="22">
        <f t="shared" si="172"/>
        <v>188.03225806451613</v>
      </c>
      <c r="BK93" s="21">
        <v>3875</v>
      </c>
      <c r="BL93" s="22">
        <f t="shared" si="173"/>
        <v>129.16666666666666</v>
      </c>
      <c r="BM93" s="21">
        <v>2946</v>
      </c>
      <c r="BN93" s="22">
        <f t="shared" si="174"/>
        <v>95.032258064516128</v>
      </c>
      <c r="BO93" s="21">
        <v>3505</v>
      </c>
      <c r="BP93" s="22">
        <f t="shared" si="175"/>
        <v>116.83333333333333</v>
      </c>
      <c r="BQ93" s="21">
        <v>3757</v>
      </c>
      <c r="BR93" s="22">
        <f t="shared" si="176"/>
        <v>121.19354838709677</v>
      </c>
      <c r="BS93" s="21">
        <v>4361</v>
      </c>
      <c r="BT93" s="22">
        <f t="shared" si="177"/>
        <v>140.67741935483872</v>
      </c>
      <c r="BU93" s="21">
        <v>2696</v>
      </c>
      <c r="BV93" s="22">
        <f t="shared" si="178"/>
        <v>89.86666666666666</v>
      </c>
      <c r="BW93" s="21">
        <v>4879</v>
      </c>
      <c r="BX93" s="22">
        <f t="shared" si="179"/>
        <v>157.38709677419354</v>
      </c>
      <c r="BY93" s="21">
        <v>5273</v>
      </c>
      <c r="BZ93" s="22">
        <f t="shared" si="180"/>
        <v>175.76666666666668</v>
      </c>
      <c r="CA93" s="21">
        <v>3724</v>
      </c>
      <c r="CB93" s="22">
        <f t="shared" si="181"/>
        <v>120.12903225806451</v>
      </c>
      <c r="CC93" s="23">
        <f t="shared" si="182"/>
        <v>47603.751996927815</v>
      </c>
      <c r="CD93" s="24">
        <f t="shared" si="183"/>
        <v>33.581086515528135</v>
      </c>
      <c r="CE93" s="21">
        <v>4903</v>
      </c>
      <c r="CF93" s="22">
        <f t="shared" si="184"/>
        <v>158.16129032258064</v>
      </c>
      <c r="CG93" s="21">
        <v>4916</v>
      </c>
      <c r="CH93" s="22">
        <f t="shared" si="185"/>
        <v>175.57142857142858</v>
      </c>
      <c r="CI93" s="21">
        <v>2998</v>
      </c>
      <c r="CJ93" s="22">
        <f t="shared" si="186"/>
        <v>96.709677419354833</v>
      </c>
      <c r="CK93" s="21">
        <v>4419</v>
      </c>
      <c r="CL93" s="22">
        <f t="shared" si="187"/>
        <v>147.30000000000001</v>
      </c>
      <c r="CM93" s="21">
        <v>3482</v>
      </c>
      <c r="CN93" s="22">
        <f t="shared" si="188"/>
        <v>112.3225806451613</v>
      </c>
      <c r="CO93" s="21">
        <v>3250</v>
      </c>
      <c r="CP93" s="22">
        <f t="shared" si="189"/>
        <v>108.33333333333333</v>
      </c>
      <c r="CQ93" s="21">
        <v>3447</v>
      </c>
      <c r="CR93" s="22">
        <f t="shared" si="190"/>
        <v>111.19354838709677</v>
      </c>
      <c r="CS93" s="21">
        <v>3443</v>
      </c>
      <c r="CT93" s="22">
        <f t="shared" si="191"/>
        <v>111.06451612903226</v>
      </c>
      <c r="CU93" s="21">
        <v>3941</v>
      </c>
      <c r="CV93" s="22">
        <f t="shared" si="192"/>
        <v>131.36666666666667</v>
      </c>
      <c r="CW93" s="21">
        <v>4298</v>
      </c>
      <c r="CX93" s="22">
        <f t="shared" si="193"/>
        <v>138.64516129032259</v>
      </c>
      <c r="CY93" s="21">
        <v>3727</v>
      </c>
      <c r="CZ93" s="22">
        <f t="shared" si="194"/>
        <v>124.23333333333333</v>
      </c>
      <c r="DA93" s="21">
        <v>2855</v>
      </c>
      <c r="DB93" s="22">
        <f t="shared" si="195"/>
        <v>92.096774193548384</v>
      </c>
      <c r="DC93" s="23">
        <f t="shared" si="196"/>
        <v>47093.901536098318</v>
      </c>
      <c r="DD93" s="24">
        <f t="shared" si="197"/>
        <v>25.377042285123924</v>
      </c>
      <c r="DE93" s="21">
        <v>3115</v>
      </c>
      <c r="DF93" s="22">
        <f t="shared" si="198"/>
        <v>100.48387096774194</v>
      </c>
      <c r="DG93" s="21">
        <v>4597</v>
      </c>
      <c r="DH93" s="22">
        <f t="shared" si="199"/>
        <v>164.17857142857142</v>
      </c>
      <c r="DI93" s="21">
        <v>4365</v>
      </c>
      <c r="DJ93" s="22">
        <f t="shared" si="200"/>
        <v>140.80645161290323</v>
      </c>
      <c r="DK93" s="21">
        <v>2483</v>
      </c>
      <c r="DL93" s="22">
        <f t="shared" si="201"/>
        <v>82.766666666666666</v>
      </c>
      <c r="DM93" s="21">
        <v>4798</v>
      </c>
      <c r="DN93" s="22">
        <f t="shared" si="202"/>
        <v>154.7741935483871</v>
      </c>
      <c r="DO93" s="21">
        <v>3899</v>
      </c>
      <c r="DP93" s="22">
        <f t="shared" si="203"/>
        <v>129.96666666666667</v>
      </c>
      <c r="DQ93" s="21">
        <v>2428</v>
      </c>
      <c r="DR93" s="22">
        <f t="shared" si="204"/>
        <v>78.322580645161295</v>
      </c>
      <c r="DS93" s="21">
        <v>2256</v>
      </c>
      <c r="DT93" s="22">
        <f t="shared" si="205"/>
        <v>72.774193548387103</v>
      </c>
      <c r="DU93" s="21">
        <v>2102</v>
      </c>
      <c r="DV93" s="22">
        <f t="shared" si="206"/>
        <v>70.066666666666663</v>
      </c>
      <c r="DW93" s="21">
        <v>4040</v>
      </c>
      <c r="DX93" s="22">
        <f t="shared" si="207"/>
        <v>130.32258064516128</v>
      </c>
      <c r="DY93" s="21">
        <v>3395</v>
      </c>
      <c r="DZ93" s="22">
        <f t="shared" si="208"/>
        <v>113.16666666666667</v>
      </c>
      <c r="EA93" s="21">
        <v>3258</v>
      </c>
      <c r="EB93" s="22">
        <f t="shared" si="209"/>
        <v>105.09677419354838</v>
      </c>
      <c r="EC93" s="23">
        <f t="shared" si="210"/>
        <v>41973.629109062982</v>
      </c>
      <c r="ED93" s="24">
        <f t="shared" si="211"/>
        <v>32.344580760069704</v>
      </c>
      <c r="EE93" s="25">
        <f t="shared" si="212"/>
        <v>1925.0804279120559</v>
      </c>
    </row>
    <row r="94" spans="1:135" ht="15" customHeight="1" x14ac:dyDescent="0.35">
      <c r="A94" s="17">
        <v>89</v>
      </c>
      <c r="B94" s="18" t="s">
        <v>212</v>
      </c>
      <c r="C94" s="19" t="s">
        <v>213</v>
      </c>
      <c r="D94" s="20" t="s">
        <v>36</v>
      </c>
      <c r="E94" s="21">
        <v>2845</v>
      </c>
      <c r="F94" s="22">
        <f t="shared" si="142"/>
        <v>91.774193548387103</v>
      </c>
      <c r="G94" s="21">
        <v>1365</v>
      </c>
      <c r="H94" s="22">
        <f t="shared" si="143"/>
        <v>48.75</v>
      </c>
      <c r="I94" s="21">
        <v>2276</v>
      </c>
      <c r="J94" s="22">
        <f t="shared" si="144"/>
        <v>73.41935483870968</v>
      </c>
      <c r="K94" s="21">
        <v>1906</v>
      </c>
      <c r="L94" s="22">
        <f t="shared" si="145"/>
        <v>63.533333333333331</v>
      </c>
      <c r="M94" s="21">
        <v>1972</v>
      </c>
      <c r="N94" s="22">
        <f t="shared" si="146"/>
        <v>63.612903225806448</v>
      </c>
      <c r="O94" s="21">
        <v>2516</v>
      </c>
      <c r="P94" s="22">
        <f t="shared" si="147"/>
        <v>83.86666666666666</v>
      </c>
      <c r="Q94" s="21">
        <v>2214</v>
      </c>
      <c r="R94" s="22">
        <f t="shared" si="148"/>
        <v>71.41935483870968</v>
      </c>
      <c r="S94" s="21">
        <v>1922</v>
      </c>
      <c r="T94" s="22">
        <f t="shared" si="149"/>
        <v>62</v>
      </c>
      <c r="U94" s="21">
        <v>1520</v>
      </c>
      <c r="V94" s="22">
        <f t="shared" si="150"/>
        <v>50.666666666666664</v>
      </c>
      <c r="W94" s="21">
        <v>2059</v>
      </c>
      <c r="X94" s="22">
        <f t="shared" si="151"/>
        <v>66.41935483870968</v>
      </c>
      <c r="Y94" s="21">
        <v>2129</v>
      </c>
      <c r="Z94" s="22">
        <f t="shared" si="152"/>
        <v>70.966666666666669</v>
      </c>
      <c r="AA94" s="21">
        <v>1962</v>
      </c>
      <c r="AB94" s="22">
        <f t="shared" si="153"/>
        <v>63.29032258064516</v>
      </c>
      <c r="AC94" s="23">
        <f t="shared" si="154"/>
        <v>25432.428494623658</v>
      </c>
      <c r="AD94" s="24">
        <f t="shared" si="155"/>
        <v>12.189497335517563</v>
      </c>
      <c r="AE94" s="21">
        <v>2291</v>
      </c>
      <c r="AF94" s="22">
        <f t="shared" si="156"/>
        <v>73.903225806451616</v>
      </c>
      <c r="AG94" s="21">
        <v>1940</v>
      </c>
      <c r="AH94" s="22">
        <f t="shared" si="157"/>
        <v>69.285714285714292</v>
      </c>
      <c r="AI94" s="21">
        <v>2808</v>
      </c>
      <c r="AJ94" s="22">
        <f t="shared" si="158"/>
        <v>90.58064516129032</v>
      </c>
      <c r="AK94" s="21">
        <v>2753</v>
      </c>
      <c r="AL94" s="22">
        <f t="shared" si="159"/>
        <v>91.766666666666666</v>
      </c>
      <c r="AM94" s="21">
        <v>3310</v>
      </c>
      <c r="AN94" s="22">
        <f t="shared" si="160"/>
        <v>106.7741935483871</v>
      </c>
      <c r="AO94" s="21">
        <v>2046</v>
      </c>
      <c r="AP94" s="22">
        <f t="shared" si="161"/>
        <v>68.2</v>
      </c>
      <c r="AQ94" s="21">
        <v>2595</v>
      </c>
      <c r="AR94" s="22">
        <f t="shared" si="162"/>
        <v>83.709677419354833</v>
      </c>
      <c r="AS94" s="21">
        <v>2407</v>
      </c>
      <c r="AT94" s="22">
        <f t="shared" si="163"/>
        <v>77.645161290322577</v>
      </c>
      <c r="AU94" s="21">
        <v>2687</v>
      </c>
      <c r="AV94" s="22">
        <f t="shared" si="164"/>
        <v>89.566666666666663</v>
      </c>
      <c r="AW94" s="21">
        <v>2316</v>
      </c>
      <c r="AX94" s="22">
        <f t="shared" si="165"/>
        <v>74.709677419354833</v>
      </c>
      <c r="AY94" s="21">
        <v>3583</v>
      </c>
      <c r="AZ94" s="22">
        <f t="shared" si="166"/>
        <v>119.43333333333334</v>
      </c>
      <c r="BA94" s="21">
        <v>2733</v>
      </c>
      <c r="BB94" s="22">
        <f t="shared" si="167"/>
        <v>88.161290322580641</v>
      </c>
      <c r="BC94" s="23">
        <f t="shared" si="168"/>
        <v>32414.574961597544</v>
      </c>
      <c r="BD94" s="24">
        <f t="shared" si="169"/>
        <v>15.272650263655837</v>
      </c>
      <c r="BE94" s="21">
        <v>2168</v>
      </c>
      <c r="BF94" s="22">
        <f t="shared" si="170"/>
        <v>69.935483870967744</v>
      </c>
      <c r="BG94" s="21">
        <v>1286</v>
      </c>
      <c r="BH94" s="22">
        <f t="shared" si="171"/>
        <v>45.928571428571431</v>
      </c>
      <c r="BI94" s="21">
        <v>1835</v>
      </c>
      <c r="BJ94" s="22">
        <f t="shared" si="172"/>
        <v>59.193548387096776</v>
      </c>
      <c r="BK94" s="21">
        <v>2146</v>
      </c>
      <c r="BL94" s="22">
        <f t="shared" si="173"/>
        <v>71.533333333333331</v>
      </c>
      <c r="BM94" s="21">
        <v>1329</v>
      </c>
      <c r="BN94" s="22">
        <f t="shared" si="174"/>
        <v>42.87096774193548</v>
      </c>
      <c r="BO94" s="21">
        <v>2207</v>
      </c>
      <c r="BP94" s="22">
        <f t="shared" si="175"/>
        <v>73.566666666666663</v>
      </c>
      <c r="BQ94" s="21">
        <v>2583</v>
      </c>
      <c r="BR94" s="22">
        <f t="shared" si="176"/>
        <v>83.322580645161295</v>
      </c>
      <c r="BS94" s="21">
        <v>2583</v>
      </c>
      <c r="BT94" s="22">
        <f t="shared" si="177"/>
        <v>83.322580645161295</v>
      </c>
      <c r="BU94" s="21">
        <v>2278</v>
      </c>
      <c r="BV94" s="22">
        <f t="shared" si="178"/>
        <v>75.933333333333337</v>
      </c>
      <c r="BW94" s="21">
        <v>1810</v>
      </c>
      <c r="BX94" s="22">
        <f t="shared" si="179"/>
        <v>58.387096774193552</v>
      </c>
      <c r="BY94" s="21">
        <v>1234</v>
      </c>
      <c r="BZ94" s="22">
        <f t="shared" si="180"/>
        <v>41.133333333333333</v>
      </c>
      <c r="CA94" s="21">
        <v>2443</v>
      </c>
      <c r="CB94" s="22">
        <f t="shared" si="181"/>
        <v>78.806451612903231</v>
      </c>
      <c r="CC94" s="23">
        <f t="shared" si="182"/>
        <v>24607.127496159759</v>
      </c>
      <c r="CD94" s="24">
        <f t="shared" si="183"/>
        <v>15.436697632310766</v>
      </c>
      <c r="CE94" s="21">
        <v>1549</v>
      </c>
      <c r="CF94" s="22">
        <f t="shared" si="184"/>
        <v>49.967741935483872</v>
      </c>
      <c r="CG94" s="21">
        <v>2258</v>
      </c>
      <c r="CH94" s="22">
        <f t="shared" si="185"/>
        <v>80.642857142857139</v>
      </c>
      <c r="CI94" s="21">
        <v>2756</v>
      </c>
      <c r="CJ94" s="22">
        <f t="shared" si="186"/>
        <v>88.903225806451616</v>
      </c>
      <c r="CK94" s="21">
        <v>3160</v>
      </c>
      <c r="CL94" s="22">
        <f t="shared" si="187"/>
        <v>105.33333333333333</v>
      </c>
      <c r="CM94" s="21">
        <v>1530</v>
      </c>
      <c r="CN94" s="22">
        <f t="shared" si="188"/>
        <v>49.354838709677416</v>
      </c>
      <c r="CO94" s="21">
        <v>2556</v>
      </c>
      <c r="CP94" s="22">
        <f t="shared" si="189"/>
        <v>85.2</v>
      </c>
      <c r="CQ94" s="21">
        <v>2860</v>
      </c>
      <c r="CR94" s="22">
        <f t="shared" si="190"/>
        <v>92.258064516129039</v>
      </c>
      <c r="CS94" s="21">
        <v>1963</v>
      </c>
      <c r="CT94" s="22">
        <f t="shared" si="191"/>
        <v>63.322580645161288</v>
      </c>
      <c r="CU94" s="21">
        <v>1483</v>
      </c>
      <c r="CV94" s="22">
        <f t="shared" si="192"/>
        <v>49.43333333333333</v>
      </c>
      <c r="CW94" s="21">
        <v>2020</v>
      </c>
      <c r="CX94" s="22">
        <f t="shared" si="193"/>
        <v>65.161290322580641</v>
      </c>
      <c r="CY94" s="21">
        <v>2824</v>
      </c>
      <c r="CZ94" s="22">
        <f t="shared" si="194"/>
        <v>94.13333333333334</v>
      </c>
      <c r="DA94" s="21">
        <v>2252</v>
      </c>
      <c r="DB94" s="22">
        <f t="shared" si="195"/>
        <v>72.645161290322577</v>
      </c>
      <c r="DC94" s="23">
        <f t="shared" si="196"/>
        <v>28034.710599078349</v>
      </c>
      <c r="DD94" s="24">
        <f t="shared" si="197"/>
        <v>19.279667684323989</v>
      </c>
      <c r="DE94" s="21">
        <v>2415</v>
      </c>
      <c r="DF94" s="22">
        <f t="shared" si="198"/>
        <v>77.903225806451616</v>
      </c>
      <c r="DG94" s="21">
        <v>2332</v>
      </c>
      <c r="DH94" s="22">
        <f t="shared" si="199"/>
        <v>83.285714285714292</v>
      </c>
      <c r="DI94" s="21">
        <v>2839</v>
      </c>
      <c r="DJ94" s="22">
        <f t="shared" si="200"/>
        <v>91.58064516129032</v>
      </c>
      <c r="DK94" s="21">
        <v>2240</v>
      </c>
      <c r="DL94" s="22">
        <f t="shared" si="201"/>
        <v>74.666666666666671</v>
      </c>
      <c r="DM94" s="21">
        <v>3272</v>
      </c>
      <c r="DN94" s="22">
        <f t="shared" si="202"/>
        <v>105.54838709677419</v>
      </c>
      <c r="DO94" s="21">
        <v>2962</v>
      </c>
      <c r="DP94" s="22">
        <f t="shared" si="203"/>
        <v>98.733333333333334</v>
      </c>
      <c r="DQ94" s="21">
        <v>1988</v>
      </c>
      <c r="DR94" s="22">
        <f t="shared" si="204"/>
        <v>64.129032258064512</v>
      </c>
      <c r="DS94" s="21">
        <v>1502</v>
      </c>
      <c r="DT94" s="22">
        <f t="shared" si="205"/>
        <v>48.451612903225808</v>
      </c>
      <c r="DU94" s="21">
        <v>3200</v>
      </c>
      <c r="DV94" s="22">
        <f t="shared" si="206"/>
        <v>106.66666666666667</v>
      </c>
      <c r="DW94" s="21">
        <v>2868</v>
      </c>
      <c r="DX94" s="22">
        <f t="shared" si="207"/>
        <v>92.516129032258064</v>
      </c>
      <c r="DY94" s="21">
        <v>2825</v>
      </c>
      <c r="DZ94" s="22">
        <f t="shared" si="208"/>
        <v>94.166666666666671</v>
      </c>
      <c r="EA94" s="21">
        <v>2513</v>
      </c>
      <c r="EB94" s="22">
        <f t="shared" si="209"/>
        <v>81.064516129032256</v>
      </c>
      <c r="EC94" s="23">
        <f t="shared" si="210"/>
        <v>31893.648079877115</v>
      </c>
      <c r="ED94" s="24">
        <f t="shared" si="211"/>
        <v>17.085141158048941</v>
      </c>
      <c r="EE94" s="25">
        <f t="shared" si="212"/>
        <v>1183.4053230695285</v>
      </c>
    </row>
    <row r="95" spans="1:135" ht="15" customHeight="1" x14ac:dyDescent="0.35">
      <c r="A95" s="17">
        <v>90</v>
      </c>
      <c r="B95" s="18" t="s">
        <v>214</v>
      </c>
      <c r="C95" s="19" t="s">
        <v>215</v>
      </c>
      <c r="D95" s="20" t="s">
        <v>36</v>
      </c>
      <c r="E95" s="21">
        <v>2825</v>
      </c>
      <c r="F95" s="22">
        <f t="shared" si="142"/>
        <v>91.129032258064512</v>
      </c>
      <c r="G95" s="21">
        <v>4259</v>
      </c>
      <c r="H95" s="22">
        <f t="shared" si="143"/>
        <v>152.10714285714286</v>
      </c>
      <c r="I95" s="21">
        <v>3200</v>
      </c>
      <c r="J95" s="22">
        <f t="shared" si="144"/>
        <v>103.2258064516129</v>
      </c>
      <c r="K95" s="21">
        <v>2791</v>
      </c>
      <c r="L95" s="22">
        <f t="shared" si="145"/>
        <v>93.033333333333331</v>
      </c>
      <c r="M95" s="21">
        <v>6060</v>
      </c>
      <c r="N95" s="22">
        <f t="shared" si="146"/>
        <v>195.48387096774192</v>
      </c>
      <c r="O95" s="21">
        <v>5428</v>
      </c>
      <c r="P95" s="22">
        <f t="shared" si="147"/>
        <v>180.93333333333334</v>
      </c>
      <c r="Q95" s="21">
        <v>4785</v>
      </c>
      <c r="R95" s="22">
        <f t="shared" si="148"/>
        <v>154.35483870967741</v>
      </c>
      <c r="S95" s="21">
        <v>3610</v>
      </c>
      <c r="T95" s="22">
        <f t="shared" si="149"/>
        <v>116.45161290322581</v>
      </c>
      <c r="U95" s="21">
        <v>2899</v>
      </c>
      <c r="V95" s="22">
        <f t="shared" si="150"/>
        <v>96.63333333333334</v>
      </c>
      <c r="W95" s="21">
        <v>4372</v>
      </c>
      <c r="X95" s="22">
        <f t="shared" si="151"/>
        <v>141.03225806451613</v>
      </c>
      <c r="Y95" s="21">
        <v>5576</v>
      </c>
      <c r="Z95" s="22">
        <f t="shared" si="152"/>
        <v>185.86666666666667</v>
      </c>
      <c r="AA95" s="21">
        <v>3579</v>
      </c>
      <c r="AB95" s="22">
        <f t="shared" si="153"/>
        <v>115.45161290322581</v>
      </c>
      <c r="AC95" s="23">
        <f t="shared" si="154"/>
        <v>50894.251228878653</v>
      </c>
      <c r="AD95" s="24">
        <f t="shared" si="155"/>
        <v>38.079074546859779</v>
      </c>
      <c r="AE95" s="21">
        <v>2715</v>
      </c>
      <c r="AF95" s="22">
        <f t="shared" si="156"/>
        <v>87.58064516129032</v>
      </c>
      <c r="AG95" s="21">
        <v>3172</v>
      </c>
      <c r="AH95" s="22">
        <f t="shared" si="157"/>
        <v>113.28571428571429</v>
      </c>
      <c r="AI95" s="21">
        <v>4947</v>
      </c>
      <c r="AJ95" s="22">
        <f t="shared" si="158"/>
        <v>159.58064516129033</v>
      </c>
      <c r="AK95" s="21">
        <v>2351</v>
      </c>
      <c r="AL95" s="22">
        <f t="shared" si="159"/>
        <v>78.36666666666666</v>
      </c>
      <c r="AM95" s="21">
        <v>2651</v>
      </c>
      <c r="AN95" s="22">
        <f t="shared" si="160"/>
        <v>85.516129032258064</v>
      </c>
      <c r="AO95" s="21">
        <v>2845</v>
      </c>
      <c r="AP95" s="22">
        <f t="shared" si="161"/>
        <v>94.833333333333329</v>
      </c>
      <c r="AQ95" s="21">
        <v>4128</v>
      </c>
      <c r="AR95" s="22">
        <f t="shared" si="162"/>
        <v>133.16129032258064</v>
      </c>
      <c r="AS95" s="21">
        <v>2773</v>
      </c>
      <c r="AT95" s="22">
        <f t="shared" si="163"/>
        <v>89.451612903225808</v>
      </c>
      <c r="AU95" s="21">
        <v>3682</v>
      </c>
      <c r="AV95" s="22">
        <f t="shared" si="164"/>
        <v>122.73333333333333</v>
      </c>
      <c r="AW95" s="21">
        <v>4793</v>
      </c>
      <c r="AX95" s="22">
        <f t="shared" si="165"/>
        <v>154.61290322580646</v>
      </c>
      <c r="AY95" s="21">
        <v>3111</v>
      </c>
      <c r="AZ95" s="22">
        <f t="shared" si="166"/>
        <v>103.7</v>
      </c>
      <c r="BA95" s="21">
        <v>4464</v>
      </c>
      <c r="BB95" s="22">
        <f t="shared" si="167"/>
        <v>144</v>
      </c>
      <c r="BC95" s="23">
        <f t="shared" si="168"/>
        <v>42854.822273425496</v>
      </c>
      <c r="BD95" s="24">
        <f t="shared" si="169"/>
        <v>28.485955035483318</v>
      </c>
      <c r="BE95" s="21">
        <v>2929</v>
      </c>
      <c r="BF95" s="22">
        <f t="shared" si="170"/>
        <v>94.483870967741936</v>
      </c>
      <c r="BG95" s="21">
        <v>3675</v>
      </c>
      <c r="BH95" s="22">
        <f t="shared" si="171"/>
        <v>131.25</v>
      </c>
      <c r="BI95" s="21">
        <v>3823</v>
      </c>
      <c r="BJ95" s="22">
        <f t="shared" si="172"/>
        <v>123.3225806451613</v>
      </c>
      <c r="BK95" s="21">
        <v>2592</v>
      </c>
      <c r="BL95" s="22">
        <f t="shared" si="173"/>
        <v>86.4</v>
      </c>
      <c r="BM95" s="21">
        <v>1979</v>
      </c>
      <c r="BN95" s="22">
        <f t="shared" si="174"/>
        <v>63.838709677419352</v>
      </c>
      <c r="BO95" s="21">
        <v>2123</v>
      </c>
      <c r="BP95" s="22">
        <f t="shared" si="175"/>
        <v>70.766666666666666</v>
      </c>
      <c r="BQ95" s="21">
        <v>3994</v>
      </c>
      <c r="BR95" s="22">
        <f t="shared" si="176"/>
        <v>128.83870967741936</v>
      </c>
      <c r="BS95" s="21">
        <v>2145</v>
      </c>
      <c r="BT95" s="22">
        <f t="shared" si="177"/>
        <v>69.193548387096769</v>
      </c>
      <c r="BU95" s="21">
        <v>2955</v>
      </c>
      <c r="BV95" s="22">
        <f t="shared" si="178"/>
        <v>98.5</v>
      </c>
      <c r="BW95" s="21">
        <v>4136</v>
      </c>
      <c r="BX95" s="22">
        <f t="shared" si="179"/>
        <v>133.41935483870967</v>
      </c>
      <c r="BY95" s="21">
        <v>3606</v>
      </c>
      <c r="BZ95" s="22">
        <f t="shared" si="180"/>
        <v>120.2</v>
      </c>
      <c r="CA95" s="21">
        <v>2343</v>
      </c>
      <c r="CB95" s="22">
        <f t="shared" si="181"/>
        <v>75.58064516129032</v>
      </c>
      <c r="CC95" s="23">
        <f t="shared" si="182"/>
        <v>37420.213440860214</v>
      </c>
      <c r="CD95" s="24">
        <f t="shared" si="183"/>
        <v>26.630130416049436</v>
      </c>
      <c r="CE95" s="21">
        <v>3730</v>
      </c>
      <c r="CF95" s="22">
        <f t="shared" si="184"/>
        <v>120.3225806451613</v>
      </c>
      <c r="CG95" s="21">
        <v>4348</v>
      </c>
      <c r="CH95" s="22">
        <f t="shared" si="185"/>
        <v>155.28571428571428</v>
      </c>
      <c r="CI95" s="21">
        <v>3011</v>
      </c>
      <c r="CJ95" s="22">
        <f t="shared" si="186"/>
        <v>97.129032258064512</v>
      </c>
      <c r="CK95" s="21">
        <v>4652</v>
      </c>
      <c r="CL95" s="22">
        <f t="shared" si="187"/>
        <v>155.06666666666666</v>
      </c>
      <c r="CM95" s="21">
        <v>3432</v>
      </c>
      <c r="CN95" s="22">
        <f t="shared" si="188"/>
        <v>110.70967741935483</v>
      </c>
      <c r="CO95" s="21">
        <v>4363</v>
      </c>
      <c r="CP95" s="22">
        <f t="shared" si="189"/>
        <v>145.43333333333334</v>
      </c>
      <c r="CQ95" s="21">
        <v>4718</v>
      </c>
      <c r="CR95" s="22">
        <f t="shared" si="190"/>
        <v>152.19354838709677</v>
      </c>
      <c r="CS95" s="21">
        <v>2714</v>
      </c>
      <c r="CT95" s="22">
        <f t="shared" si="191"/>
        <v>87.548387096774192</v>
      </c>
      <c r="CU95" s="21">
        <v>2876</v>
      </c>
      <c r="CV95" s="22">
        <f t="shared" si="192"/>
        <v>95.86666666666666</v>
      </c>
      <c r="CW95" s="21">
        <v>3600</v>
      </c>
      <c r="CX95" s="22">
        <f t="shared" si="193"/>
        <v>116.12903225806451</v>
      </c>
      <c r="CY95" s="21">
        <v>3295</v>
      </c>
      <c r="CZ95" s="22">
        <f t="shared" si="194"/>
        <v>109.83333333333333</v>
      </c>
      <c r="DA95" s="21">
        <v>4689</v>
      </c>
      <c r="DB95" s="22">
        <f t="shared" si="195"/>
        <v>151.25806451612902</v>
      </c>
      <c r="DC95" s="23">
        <f t="shared" si="196"/>
        <v>46773.517972350237</v>
      </c>
      <c r="DD95" s="24">
        <f t="shared" si="197"/>
        <v>25.637042785452639</v>
      </c>
      <c r="DE95" s="21">
        <v>3428</v>
      </c>
      <c r="DF95" s="22">
        <f t="shared" si="198"/>
        <v>110.58064516129032</v>
      </c>
      <c r="DG95" s="21">
        <v>2926</v>
      </c>
      <c r="DH95" s="22">
        <f t="shared" si="199"/>
        <v>104.5</v>
      </c>
      <c r="DI95" s="21">
        <v>2577</v>
      </c>
      <c r="DJ95" s="22">
        <f t="shared" si="200"/>
        <v>83.129032258064512</v>
      </c>
      <c r="DK95" s="21">
        <v>3321</v>
      </c>
      <c r="DL95" s="22">
        <f t="shared" si="201"/>
        <v>110.7</v>
      </c>
      <c r="DM95" s="21">
        <v>2794</v>
      </c>
      <c r="DN95" s="22">
        <f t="shared" si="202"/>
        <v>90.129032258064512</v>
      </c>
      <c r="DO95" s="21">
        <v>2042</v>
      </c>
      <c r="DP95" s="22">
        <f t="shared" si="203"/>
        <v>68.066666666666663</v>
      </c>
      <c r="DQ95" s="21">
        <v>3696</v>
      </c>
      <c r="DR95" s="22">
        <f t="shared" si="204"/>
        <v>119.2258064516129</v>
      </c>
      <c r="DS95" s="21">
        <v>1738</v>
      </c>
      <c r="DT95" s="22">
        <f t="shared" si="205"/>
        <v>56.064516129032256</v>
      </c>
      <c r="DU95" s="21">
        <v>3826</v>
      </c>
      <c r="DV95" s="22">
        <f t="shared" si="206"/>
        <v>127.53333333333333</v>
      </c>
      <c r="DW95" s="21">
        <v>2735</v>
      </c>
      <c r="DX95" s="22">
        <f t="shared" si="207"/>
        <v>88.225806451612897</v>
      </c>
      <c r="DY95" s="21">
        <v>3259</v>
      </c>
      <c r="DZ95" s="22">
        <f t="shared" si="208"/>
        <v>108.63333333333334</v>
      </c>
      <c r="EA95" s="21">
        <v>3905</v>
      </c>
      <c r="EB95" s="22">
        <f t="shared" si="209"/>
        <v>125.96774193548387</v>
      </c>
      <c r="EC95" s="23">
        <f t="shared" si="210"/>
        <v>37313.788172043016</v>
      </c>
      <c r="ED95" s="24">
        <f t="shared" si="211"/>
        <v>22.542188410845629</v>
      </c>
      <c r="EE95" s="25">
        <f t="shared" si="212"/>
        <v>1833.1315939087706</v>
      </c>
    </row>
    <row r="96" spans="1:135" ht="15" customHeight="1" x14ac:dyDescent="0.35">
      <c r="A96" s="17">
        <v>91</v>
      </c>
      <c r="B96" s="18" t="s">
        <v>216</v>
      </c>
      <c r="C96" s="19" t="s">
        <v>217</v>
      </c>
      <c r="D96" s="20" t="s">
        <v>36</v>
      </c>
      <c r="E96" s="21">
        <v>1799</v>
      </c>
      <c r="F96" s="22">
        <f t="shared" si="142"/>
        <v>58.032258064516128</v>
      </c>
      <c r="G96" s="21">
        <v>993</v>
      </c>
      <c r="H96" s="22">
        <f t="shared" si="143"/>
        <v>35.464285714285715</v>
      </c>
      <c r="I96" s="21">
        <v>2094</v>
      </c>
      <c r="J96" s="22">
        <f t="shared" si="144"/>
        <v>67.548387096774192</v>
      </c>
      <c r="K96" s="21">
        <v>1742</v>
      </c>
      <c r="L96" s="22">
        <f t="shared" si="145"/>
        <v>58.06666666666667</v>
      </c>
      <c r="M96" s="21">
        <v>2142</v>
      </c>
      <c r="N96" s="22">
        <f t="shared" si="146"/>
        <v>69.096774193548384</v>
      </c>
      <c r="O96" s="21">
        <v>1484</v>
      </c>
      <c r="P96" s="22">
        <f t="shared" si="147"/>
        <v>49.466666666666669</v>
      </c>
      <c r="Q96" s="21">
        <v>2094</v>
      </c>
      <c r="R96" s="22">
        <f t="shared" si="148"/>
        <v>67.548387096774192</v>
      </c>
      <c r="S96" s="21">
        <v>2019</v>
      </c>
      <c r="T96" s="22">
        <f t="shared" si="149"/>
        <v>65.129032258064512</v>
      </c>
      <c r="U96" s="21">
        <v>1362</v>
      </c>
      <c r="V96" s="22">
        <f t="shared" si="150"/>
        <v>45.4</v>
      </c>
      <c r="W96" s="21">
        <v>1277</v>
      </c>
      <c r="X96" s="22">
        <f t="shared" si="151"/>
        <v>41.193548387096776</v>
      </c>
      <c r="Y96" s="21">
        <v>1065</v>
      </c>
      <c r="Z96" s="22">
        <f t="shared" si="152"/>
        <v>35.5</v>
      </c>
      <c r="AA96" s="21">
        <v>1763</v>
      </c>
      <c r="AB96" s="22">
        <f t="shared" si="153"/>
        <v>56.87096774193548</v>
      </c>
      <c r="AC96" s="23">
        <f t="shared" si="154"/>
        <v>20426.446006144397</v>
      </c>
      <c r="AD96" s="24">
        <f t="shared" si="155"/>
        <v>12.446683960142042</v>
      </c>
      <c r="AE96" s="21">
        <v>1126</v>
      </c>
      <c r="AF96" s="22">
        <f t="shared" si="156"/>
        <v>36.322580645161288</v>
      </c>
      <c r="AG96" s="21">
        <v>1502</v>
      </c>
      <c r="AH96" s="22">
        <f t="shared" si="157"/>
        <v>53.642857142857146</v>
      </c>
      <c r="AI96" s="21">
        <v>1479</v>
      </c>
      <c r="AJ96" s="22">
        <f t="shared" si="158"/>
        <v>47.70967741935484</v>
      </c>
      <c r="AK96" s="21">
        <v>1464</v>
      </c>
      <c r="AL96" s="22">
        <f t="shared" si="159"/>
        <v>48.8</v>
      </c>
      <c r="AM96" s="21">
        <v>1321</v>
      </c>
      <c r="AN96" s="22">
        <f t="shared" si="160"/>
        <v>42.612903225806448</v>
      </c>
      <c r="AO96" s="21">
        <v>932</v>
      </c>
      <c r="AP96" s="22">
        <f t="shared" si="161"/>
        <v>31.066666666666666</v>
      </c>
      <c r="AQ96" s="21">
        <v>1073</v>
      </c>
      <c r="AR96" s="22">
        <f t="shared" si="162"/>
        <v>34.612903225806448</v>
      </c>
      <c r="AS96" s="21">
        <v>1421</v>
      </c>
      <c r="AT96" s="22">
        <f t="shared" si="163"/>
        <v>45.838709677419352</v>
      </c>
      <c r="AU96" s="21">
        <v>917</v>
      </c>
      <c r="AV96" s="22">
        <f t="shared" si="164"/>
        <v>30.566666666666666</v>
      </c>
      <c r="AW96" s="21">
        <v>1280</v>
      </c>
      <c r="AX96" s="22">
        <f t="shared" si="165"/>
        <v>41.29032258064516</v>
      </c>
      <c r="AY96" s="21">
        <v>1403</v>
      </c>
      <c r="AZ96" s="22">
        <f t="shared" si="166"/>
        <v>46.766666666666666</v>
      </c>
      <c r="BA96" s="21">
        <v>1560</v>
      </c>
      <c r="BB96" s="22">
        <f t="shared" si="167"/>
        <v>50.322580645161288</v>
      </c>
      <c r="BC96" s="23">
        <f t="shared" si="168"/>
        <v>15937.229953917051</v>
      </c>
      <c r="BD96" s="24">
        <f t="shared" si="169"/>
        <v>7.7253416573176681</v>
      </c>
      <c r="BE96" s="21">
        <v>1088</v>
      </c>
      <c r="BF96" s="22">
        <f t="shared" si="170"/>
        <v>35.096774193548384</v>
      </c>
      <c r="BG96" s="21">
        <v>1211</v>
      </c>
      <c r="BH96" s="22">
        <f t="shared" si="171"/>
        <v>43.25</v>
      </c>
      <c r="BI96" s="21">
        <v>1220</v>
      </c>
      <c r="BJ96" s="22">
        <f t="shared" si="172"/>
        <v>39.354838709677416</v>
      </c>
      <c r="BK96" s="21">
        <v>1708</v>
      </c>
      <c r="BL96" s="22">
        <f t="shared" si="173"/>
        <v>56.93333333333333</v>
      </c>
      <c r="BM96" s="21">
        <v>1385</v>
      </c>
      <c r="BN96" s="22">
        <f t="shared" si="174"/>
        <v>44.677419354838712</v>
      </c>
      <c r="BO96" s="21">
        <v>1476</v>
      </c>
      <c r="BP96" s="22">
        <f t="shared" si="175"/>
        <v>49.2</v>
      </c>
      <c r="BQ96" s="21">
        <v>1347</v>
      </c>
      <c r="BR96" s="22">
        <f t="shared" si="176"/>
        <v>43.451612903225808</v>
      </c>
      <c r="BS96" s="21">
        <v>1105</v>
      </c>
      <c r="BT96" s="22">
        <f t="shared" si="177"/>
        <v>35.645161290322584</v>
      </c>
      <c r="BU96" s="21">
        <v>1203</v>
      </c>
      <c r="BV96" s="22">
        <f t="shared" si="178"/>
        <v>40.1</v>
      </c>
      <c r="BW96" s="21">
        <v>2412</v>
      </c>
      <c r="BX96" s="22">
        <f t="shared" si="179"/>
        <v>77.806451612903231</v>
      </c>
      <c r="BY96" s="21">
        <v>2009</v>
      </c>
      <c r="BZ96" s="22">
        <f t="shared" si="180"/>
        <v>66.966666666666669</v>
      </c>
      <c r="CA96" s="21">
        <v>2265</v>
      </c>
      <c r="CB96" s="22">
        <f t="shared" si="181"/>
        <v>73.064516129032256</v>
      </c>
      <c r="CC96" s="23">
        <f t="shared" si="182"/>
        <v>18961.48225806452</v>
      </c>
      <c r="CD96" s="24">
        <f t="shared" si="183"/>
        <v>14.75699028032354</v>
      </c>
      <c r="CE96" s="21">
        <v>1695</v>
      </c>
      <c r="CF96" s="22">
        <f t="shared" si="184"/>
        <v>54.677419354838712</v>
      </c>
      <c r="CG96" s="21">
        <v>1384</v>
      </c>
      <c r="CH96" s="22">
        <f t="shared" si="185"/>
        <v>49.428571428571431</v>
      </c>
      <c r="CI96" s="21">
        <v>1454</v>
      </c>
      <c r="CJ96" s="22">
        <f t="shared" si="186"/>
        <v>46.903225806451616</v>
      </c>
      <c r="CK96" s="21">
        <v>867</v>
      </c>
      <c r="CL96" s="22">
        <f t="shared" si="187"/>
        <v>28.9</v>
      </c>
      <c r="CM96" s="21">
        <v>1602</v>
      </c>
      <c r="CN96" s="22">
        <f t="shared" si="188"/>
        <v>51.677419354838712</v>
      </c>
      <c r="CO96" s="21">
        <v>877</v>
      </c>
      <c r="CP96" s="22">
        <f t="shared" si="189"/>
        <v>29.233333333333334</v>
      </c>
      <c r="CQ96" s="21">
        <v>1402</v>
      </c>
      <c r="CR96" s="22">
        <f t="shared" si="190"/>
        <v>45.225806451612904</v>
      </c>
      <c r="CS96" s="21">
        <v>1645</v>
      </c>
      <c r="CT96" s="22">
        <f t="shared" si="191"/>
        <v>53.064516129032256</v>
      </c>
      <c r="CU96" s="21">
        <v>1312</v>
      </c>
      <c r="CV96" s="22">
        <f t="shared" si="192"/>
        <v>43.733333333333334</v>
      </c>
      <c r="CW96" s="21">
        <v>1712</v>
      </c>
      <c r="CX96" s="22">
        <f t="shared" si="193"/>
        <v>55.225806451612904</v>
      </c>
      <c r="CY96" s="21">
        <v>1641</v>
      </c>
      <c r="CZ96" s="22">
        <f t="shared" si="194"/>
        <v>54.7</v>
      </c>
      <c r="DA96" s="21">
        <v>1441</v>
      </c>
      <c r="DB96" s="22">
        <f t="shared" si="195"/>
        <v>46.483870967741936</v>
      </c>
      <c r="DC96" s="23">
        <f t="shared" si="196"/>
        <v>17544.769431643628</v>
      </c>
      <c r="DD96" s="24">
        <f t="shared" si="197"/>
        <v>9.0751043302976786</v>
      </c>
      <c r="DE96" s="21">
        <v>1313</v>
      </c>
      <c r="DF96" s="22">
        <f t="shared" si="198"/>
        <v>42.354838709677416</v>
      </c>
      <c r="DG96" s="21">
        <v>1592</v>
      </c>
      <c r="DH96" s="22">
        <f t="shared" si="199"/>
        <v>56.857142857142854</v>
      </c>
      <c r="DI96" s="21">
        <v>2206</v>
      </c>
      <c r="DJ96" s="22">
        <f t="shared" si="200"/>
        <v>71.161290322580641</v>
      </c>
      <c r="DK96" s="21">
        <v>1817</v>
      </c>
      <c r="DL96" s="22">
        <f t="shared" si="201"/>
        <v>60.56666666666667</v>
      </c>
      <c r="DM96" s="21">
        <v>2188</v>
      </c>
      <c r="DN96" s="22">
        <f t="shared" si="202"/>
        <v>70.58064516129032</v>
      </c>
      <c r="DO96" s="21">
        <v>1343</v>
      </c>
      <c r="DP96" s="22">
        <f t="shared" si="203"/>
        <v>44.766666666666666</v>
      </c>
      <c r="DQ96" s="21">
        <v>1540</v>
      </c>
      <c r="DR96" s="22">
        <f t="shared" si="204"/>
        <v>49.677419354838712</v>
      </c>
      <c r="DS96" s="21">
        <v>2163</v>
      </c>
      <c r="DT96" s="22">
        <f t="shared" si="205"/>
        <v>69.774193548387103</v>
      </c>
      <c r="DU96" s="21">
        <v>1988</v>
      </c>
      <c r="DV96" s="22">
        <f t="shared" si="206"/>
        <v>66.266666666666666</v>
      </c>
      <c r="DW96" s="21">
        <v>1404</v>
      </c>
      <c r="DX96" s="22">
        <f t="shared" si="207"/>
        <v>45.29032258064516</v>
      </c>
      <c r="DY96" s="21">
        <v>1193</v>
      </c>
      <c r="DZ96" s="22">
        <f t="shared" si="208"/>
        <v>39.766666666666666</v>
      </c>
      <c r="EA96" s="21">
        <v>1078</v>
      </c>
      <c r="EB96" s="22">
        <f t="shared" si="209"/>
        <v>34.774193548387096</v>
      </c>
      <c r="EC96" s="23">
        <f t="shared" si="210"/>
        <v>20442.062519201223</v>
      </c>
      <c r="ED96" s="24">
        <f t="shared" si="211"/>
        <v>13.164720325270387</v>
      </c>
      <c r="EE96" s="25">
        <f t="shared" si="212"/>
        <v>784.44200808244784</v>
      </c>
    </row>
    <row r="97" spans="1:135" ht="15" customHeight="1" x14ac:dyDescent="0.35">
      <c r="A97" s="17">
        <v>92</v>
      </c>
      <c r="B97" s="18" t="s">
        <v>218</v>
      </c>
      <c r="C97" s="19" t="s">
        <v>219</v>
      </c>
      <c r="D97" s="20" t="s">
        <v>36</v>
      </c>
      <c r="E97" s="21">
        <v>667</v>
      </c>
      <c r="F97" s="22">
        <f t="shared" si="142"/>
        <v>21.516129032258064</v>
      </c>
      <c r="G97" s="21">
        <v>495</v>
      </c>
      <c r="H97" s="22">
        <f t="shared" si="143"/>
        <v>17.678571428571427</v>
      </c>
      <c r="I97" s="21">
        <v>473</v>
      </c>
      <c r="J97" s="22">
        <f t="shared" si="144"/>
        <v>15.258064516129032</v>
      </c>
      <c r="K97" s="21">
        <v>354</v>
      </c>
      <c r="L97" s="22">
        <f t="shared" si="145"/>
        <v>11.8</v>
      </c>
      <c r="M97" s="21">
        <v>746</v>
      </c>
      <c r="N97" s="22">
        <f t="shared" si="146"/>
        <v>24.06451612903226</v>
      </c>
      <c r="O97" s="21">
        <v>443</v>
      </c>
      <c r="P97" s="22">
        <f t="shared" si="147"/>
        <v>14.766666666666667</v>
      </c>
      <c r="Q97" s="21">
        <v>520</v>
      </c>
      <c r="R97" s="22">
        <f t="shared" si="148"/>
        <v>16.774193548387096</v>
      </c>
      <c r="S97" s="21">
        <v>543</v>
      </c>
      <c r="T97" s="22">
        <f t="shared" si="149"/>
        <v>17.516129032258064</v>
      </c>
      <c r="U97" s="21">
        <v>734</v>
      </c>
      <c r="V97" s="22">
        <f t="shared" si="150"/>
        <v>24.466666666666665</v>
      </c>
      <c r="W97" s="21">
        <v>595</v>
      </c>
      <c r="X97" s="22">
        <f t="shared" si="151"/>
        <v>19.193548387096776</v>
      </c>
      <c r="Y97" s="21">
        <v>406</v>
      </c>
      <c r="Z97" s="22">
        <f t="shared" si="152"/>
        <v>13.533333333333333</v>
      </c>
      <c r="AA97" s="21">
        <v>543</v>
      </c>
      <c r="AB97" s="22">
        <f t="shared" si="153"/>
        <v>17.516129032258064</v>
      </c>
      <c r="AC97" s="23">
        <f t="shared" si="154"/>
        <v>6715.5678187404001</v>
      </c>
      <c r="AD97" s="24">
        <f t="shared" si="155"/>
        <v>3.9371870730818159</v>
      </c>
      <c r="AE97" s="21">
        <v>397</v>
      </c>
      <c r="AF97" s="22">
        <f t="shared" si="156"/>
        <v>12.806451612903226</v>
      </c>
      <c r="AG97" s="21">
        <v>675</v>
      </c>
      <c r="AH97" s="22">
        <f t="shared" si="157"/>
        <v>24.107142857142858</v>
      </c>
      <c r="AI97" s="21">
        <v>431</v>
      </c>
      <c r="AJ97" s="22">
        <f t="shared" si="158"/>
        <v>13.903225806451612</v>
      </c>
      <c r="AK97" s="21">
        <v>619</v>
      </c>
      <c r="AL97" s="22">
        <f t="shared" si="159"/>
        <v>20.633333333333333</v>
      </c>
      <c r="AM97" s="21">
        <v>739</v>
      </c>
      <c r="AN97" s="22">
        <f t="shared" si="160"/>
        <v>23.838709677419356</v>
      </c>
      <c r="AO97" s="21">
        <v>651</v>
      </c>
      <c r="AP97" s="22">
        <f t="shared" si="161"/>
        <v>21.7</v>
      </c>
      <c r="AQ97" s="21">
        <v>379</v>
      </c>
      <c r="AR97" s="22">
        <f t="shared" si="162"/>
        <v>12.225806451612904</v>
      </c>
      <c r="AS97" s="21">
        <v>366</v>
      </c>
      <c r="AT97" s="22">
        <f t="shared" si="163"/>
        <v>11.806451612903226</v>
      </c>
      <c r="AU97" s="21">
        <v>587</v>
      </c>
      <c r="AV97" s="22">
        <f t="shared" si="164"/>
        <v>19.566666666666666</v>
      </c>
      <c r="AW97" s="21">
        <v>445</v>
      </c>
      <c r="AX97" s="22">
        <f t="shared" si="165"/>
        <v>14.35483870967742</v>
      </c>
      <c r="AY97" s="21">
        <v>532</v>
      </c>
      <c r="AZ97" s="22">
        <f t="shared" si="166"/>
        <v>17.733333333333334</v>
      </c>
      <c r="BA97" s="21">
        <v>732</v>
      </c>
      <c r="BB97" s="22">
        <f t="shared" si="167"/>
        <v>23.612903225806452</v>
      </c>
      <c r="BC97" s="23">
        <f t="shared" si="168"/>
        <v>6745.6759600614441</v>
      </c>
      <c r="BD97" s="24">
        <f t="shared" si="169"/>
        <v>4.8126774907450507</v>
      </c>
      <c r="BE97" s="21">
        <v>397</v>
      </c>
      <c r="BF97" s="22">
        <f t="shared" si="170"/>
        <v>12.806451612903226</v>
      </c>
      <c r="BG97" s="21">
        <v>614</v>
      </c>
      <c r="BH97" s="22">
        <f t="shared" si="171"/>
        <v>21.928571428571427</v>
      </c>
      <c r="BI97" s="21">
        <v>743</v>
      </c>
      <c r="BJ97" s="22">
        <f t="shared" si="172"/>
        <v>23.967741935483872</v>
      </c>
      <c r="BK97" s="21">
        <v>625</v>
      </c>
      <c r="BL97" s="22">
        <f t="shared" si="173"/>
        <v>20.833333333333332</v>
      </c>
      <c r="BM97" s="21">
        <v>449</v>
      </c>
      <c r="BN97" s="22">
        <f t="shared" si="174"/>
        <v>14.483870967741936</v>
      </c>
      <c r="BO97" s="21">
        <v>641</v>
      </c>
      <c r="BP97" s="22">
        <f t="shared" si="175"/>
        <v>21.366666666666667</v>
      </c>
      <c r="BQ97" s="21">
        <v>731</v>
      </c>
      <c r="BR97" s="22">
        <f t="shared" si="176"/>
        <v>23.580645161290324</v>
      </c>
      <c r="BS97" s="21">
        <v>585</v>
      </c>
      <c r="BT97" s="22">
        <f t="shared" si="177"/>
        <v>18.870967741935484</v>
      </c>
      <c r="BU97" s="21">
        <v>559</v>
      </c>
      <c r="BV97" s="22">
        <f t="shared" si="178"/>
        <v>18.633333333333333</v>
      </c>
      <c r="BW97" s="21">
        <v>747</v>
      </c>
      <c r="BX97" s="22">
        <f t="shared" si="179"/>
        <v>24.096774193548388</v>
      </c>
      <c r="BY97" s="21">
        <v>548</v>
      </c>
      <c r="BZ97" s="22">
        <f t="shared" si="180"/>
        <v>18.266666666666666</v>
      </c>
      <c r="CA97" s="21">
        <v>524</v>
      </c>
      <c r="CB97" s="22">
        <f t="shared" si="181"/>
        <v>16.903225806451612</v>
      </c>
      <c r="CC97" s="23">
        <f t="shared" si="182"/>
        <v>7381.8350230414744</v>
      </c>
      <c r="CD97" s="24">
        <f t="shared" si="183"/>
        <v>3.6683831637908209</v>
      </c>
      <c r="CE97" s="21">
        <v>730</v>
      </c>
      <c r="CF97" s="22">
        <f t="shared" si="184"/>
        <v>23.548387096774192</v>
      </c>
      <c r="CG97" s="21">
        <v>701</v>
      </c>
      <c r="CH97" s="22">
        <f t="shared" si="185"/>
        <v>25.035714285714285</v>
      </c>
      <c r="CI97" s="21">
        <v>703</v>
      </c>
      <c r="CJ97" s="22">
        <f t="shared" si="186"/>
        <v>22.677419354838708</v>
      </c>
      <c r="CK97" s="21">
        <v>591</v>
      </c>
      <c r="CL97" s="22">
        <f t="shared" si="187"/>
        <v>19.7</v>
      </c>
      <c r="CM97" s="21">
        <v>345</v>
      </c>
      <c r="CN97" s="22">
        <f t="shared" si="188"/>
        <v>11.129032258064516</v>
      </c>
      <c r="CO97" s="21">
        <v>780</v>
      </c>
      <c r="CP97" s="22">
        <f t="shared" si="189"/>
        <v>26</v>
      </c>
      <c r="CQ97" s="21">
        <v>718</v>
      </c>
      <c r="CR97" s="22">
        <f t="shared" si="190"/>
        <v>23.161290322580644</v>
      </c>
      <c r="CS97" s="21">
        <v>564</v>
      </c>
      <c r="CT97" s="22">
        <f t="shared" si="191"/>
        <v>18.193548387096776</v>
      </c>
      <c r="CU97" s="21">
        <v>603</v>
      </c>
      <c r="CV97" s="22">
        <f t="shared" si="192"/>
        <v>20.100000000000001</v>
      </c>
      <c r="CW97" s="21">
        <v>772</v>
      </c>
      <c r="CX97" s="22">
        <f t="shared" si="193"/>
        <v>24.903225806451612</v>
      </c>
      <c r="CY97" s="21">
        <v>508</v>
      </c>
      <c r="CZ97" s="22">
        <f t="shared" si="194"/>
        <v>16.933333333333334</v>
      </c>
      <c r="DA97" s="21">
        <v>656</v>
      </c>
      <c r="DB97" s="22">
        <f t="shared" si="195"/>
        <v>21.161290322580644</v>
      </c>
      <c r="DC97" s="23">
        <f t="shared" si="196"/>
        <v>7902.3819508448532</v>
      </c>
      <c r="DD97" s="24">
        <f t="shared" si="197"/>
        <v>4.2087865279984777</v>
      </c>
      <c r="DE97" s="21">
        <v>616</v>
      </c>
      <c r="DF97" s="22">
        <f t="shared" si="198"/>
        <v>19.870967741935484</v>
      </c>
      <c r="DG97" s="21">
        <v>741</v>
      </c>
      <c r="DH97" s="22">
        <f t="shared" si="199"/>
        <v>26.464285714285715</v>
      </c>
      <c r="DI97" s="21">
        <v>916</v>
      </c>
      <c r="DJ97" s="22">
        <f t="shared" si="200"/>
        <v>29.548387096774192</v>
      </c>
      <c r="DK97" s="21">
        <v>450</v>
      </c>
      <c r="DL97" s="22">
        <f t="shared" si="201"/>
        <v>15</v>
      </c>
      <c r="DM97" s="21">
        <v>688</v>
      </c>
      <c r="DN97" s="22">
        <f t="shared" si="202"/>
        <v>22.193548387096776</v>
      </c>
      <c r="DO97" s="21">
        <v>917</v>
      </c>
      <c r="DP97" s="22">
        <f t="shared" si="203"/>
        <v>30.566666666666666</v>
      </c>
      <c r="DQ97" s="21">
        <v>445</v>
      </c>
      <c r="DR97" s="22">
        <f t="shared" si="204"/>
        <v>14.35483870967742</v>
      </c>
      <c r="DS97" s="21">
        <v>648</v>
      </c>
      <c r="DT97" s="22">
        <f t="shared" si="205"/>
        <v>20.903225806451612</v>
      </c>
      <c r="DU97" s="21">
        <v>813</v>
      </c>
      <c r="DV97" s="22">
        <f t="shared" si="206"/>
        <v>27.1</v>
      </c>
      <c r="DW97" s="21">
        <v>749</v>
      </c>
      <c r="DX97" s="22">
        <f t="shared" si="207"/>
        <v>24.161290322580644</v>
      </c>
      <c r="DY97" s="21">
        <v>496</v>
      </c>
      <c r="DZ97" s="22">
        <f t="shared" si="208"/>
        <v>16.533333333333335</v>
      </c>
      <c r="EA97" s="21">
        <v>423</v>
      </c>
      <c r="EB97" s="22">
        <f t="shared" si="209"/>
        <v>13.64516129032258</v>
      </c>
      <c r="EC97" s="23">
        <f t="shared" si="210"/>
        <v>8148.6965437788022</v>
      </c>
      <c r="ED97" s="24">
        <f t="shared" si="211"/>
        <v>5.9754886191808119</v>
      </c>
      <c r="EE97" s="25">
        <f t="shared" si="212"/>
        <v>306.81432832523478</v>
      </c>
    </row>
    <row r="98" spans="1:135" ht="15" customHeight="1" x14ac:dyDescent="0.35">
      <c r="A98" s="17">
        <v>93</v>
      </c>
      <c r="B98" s="18" t="s">
        <v>220</v>
      </c>
      <c r="C98" s="19" t="s">
        <v>221</v>
      </c>
      <c r="D98" s="20" t="s">
        <v>36</v>
      </c>
      <c r="E98" s="21">
        <v>100</v>
      </c>
      <c r="F98" s="22">
        <f t="shared" si="142"/>
        <v>3.225806451612903</v>
      </c>
      <c r="G98" s="21">
        <v>83</v>
      </c>
      <c r="H98" s="22">
        <f t="shared" si="143"/>
        <v>2.9642857142857144</v>
      </c>
      <c r="I98" s="21">
        <v>128</v>
      </c>
      <c r="J98" s="22">
        <f t="shared" si="144"/>
        <v>4.129032258064516</v>
      </c>
      <c r="K98" s="21">
        <v>146</v>
      </c>
      <c r="L98" s="22">
        <f t="shared" si="145"/>
        <v>4.8666666666666663</v>
      </c>
      <c r="M98" s="21">
        <v>122</v>
      </c>
      <c r="N98" s="22">
        <f t="shared" si="146"/>
        <v>3.935483870967742</v>
      </c>
      <c r="O98" s="21">
        <v>98</v>
      </c>
      <c r="P98" s="22">
        <f t="shared" si="147"/>
        <v>3.2666666666666666</v>
      </c>
      <c r="Q98" s="21">
        <v>74</v>
      </c>
      <c r="R98" s="22">
        <f t="shared" si="148"/>
        <v>2.3870967741935485</v>
      </c>
      <c r="S98" s="21">
        <v>123</v>
      </c>
      <c r="T98" s="22">
        <f t="shared" si="149"/>
        <v>3.967741935483871</v>
      </c>
      <c r="U98" s="21">
        <v>132</v>
      </c>
      <c r="V98" s="22">
        <f t="shared" si="150"/>
        <v>4.4000000000000004</v>
      </c>
      <c r="W98" s="21">
        <v>79</v>
      </c>
      <c r="X98" s="22">
        <f t="shared" si="151"/>
        <v>2.5483870967741935</v>
      </c>
      <c r="Y98" s="21">
        <v>84</v>
      </c>
      <c r="Z98" s="22">
        <f t="shared" si="152"/>
        <v>2.8</v>
      </c>
      <c r="AA98" s="21">
        <v>130</v>
      </c>
      <c r="AB98" s="22">
        <f t="shared" si="153"/>
        <v>4.193548387096774</v>
      </c>
      <c r="AC98" s="23">
        <f t="shared" si="154"/>
        <v>1337.4911674347156</v>
      </c>
      <c r="AD98" s="24">
        <f t="shared" si="155"/>
        <v>0.79627341400373364</v>
      </c>
      <c r="AE98" s="21">
        <v>102</v>
      </c>
      <c r="AF98" s="22">
        <f t="shared" si="156"/>
        <v>3.2903225806451615</v>
      </c>
      <c r="AG98" s="21">
        <v>95</v>
      </c>
      <c r="AH98" s="22">
        <f t="shared" si="157"/>
        <v>3.3928571428571428</v>
      </c>
      <c r="AI98" s="21">
        <v>62</v>
      </c>
      <c r="AJ98" s="22">
        <f t="shared" si="158"/>
        <v>2</v>
      </c>
      <c r="AK98" s="21">
        <v>98</v>
      </c>
      <c r="AL98" s="22">
        <f t="shared" si="159"/>
        <v>3.2666666666666666</v>
      </c>
      <c r="AM98" s="21">
        <v>81</v>
      </c>
      <c r="AN98" s="22">
        <f t="shared" si="160"/>
        <v>2.6129032258064515</v>
      </c>
      <c r="AO98" s="21">
        <v>98</v>
      </c>
      <c r="AP98" s="22">
        <f t="shared" si="161"/>
        <v>3.2666666666666666</v>
      </c>
      <c r="AQ98" s="21">
        <v>121</v>
      </c>
      <c r="AR98" s="22">
        <f t="shared" si="162"/>
        <v>3.903225806451613</v>
      </c>
      <c r="AS98" s="21">
        <v>92</v>
      </c>
      <c r="AT98" s="22">
        <f t="shared" si="163"/>
        <v>2.967741935483871</v>
      </c>
      <c r="AU98" s="21">
        <v>133</v>
      </c>
      <c r="AV98" s="22">
        <f t="shared" si="164"/>
        <v>4.4333333333333336</v>
      </c>
      <c r="AW98" s="21">
        <v>60</v>
      </c>
      <c r="AX98" s="22">
        <f t="shared" si="165"/>
        <v>1.935483870967742</v>
      </c>
      <c r="AY98" s="21">
        <v>62</v>
      </c>
      <c r="AZ98" s="22">
        <f t="shared" si="166"/>
        <v>2.0666666666666669</v>
      </c>
      <c r="BA98" s="21">
        <v>117</v>
      </c>
      <c r="BB98" s="22">
        <f t="shared" si="167"/>
        <v>3.774193548387097</v>
      </c>
      <c r="BC98" s="23">
        <f t="shared" si="168"/>
        <v>1154.1358678955453</v>
      </c>
      <c r="BD98" s="24">
        <f t="shared" si="169"/>
        <v>0.79410645340598363</v>
      </c>
      <c r="BE98" s="21">
        <v>63</v>
      </c>
      <c r="BF98" s="22">
        <f t="shared" si="170"/>
        <v>2.032258064516129</v>
      </c>
      <c r="BG98" s="21">
        <v>69</v>
      </c>
      <c r="BH98" s="22">
        <f t="shared" si="171"/>
        <v>2.4642857142857144</v>
      </c>
      <c r="BI98" s="21">
        <v>123</v>
      </c>
      <c r="BJ98" s="22">
        <f t="shared" si="172"/>
        <v>3.967741935483871</v>
      </c>
      <c r="BK98" s="21">
        <v>112</v>
      </c>
      <c r="BL98" s="22">
        <f t="shared" si="173"/>
        <v>3.7333333333333334</v>
      </c>
      <c r="BM98" s="21">
        <v>96</v>
      </c>
      <c r="BN98" s="22">
        <f t="shared" si="174"/>
        <v>3.096774193548387</v>
      </c>
      <c r="BO98" s="21">
        <v>113</v>
      </c>
      <c r="BP98" s="22">
        <f t="shared" si="175"/>
        <v>3.7666666666666666</v>
      </c>
      <c r="BQ98" s="21">
        <v>129</v>
      </c>
      <c r="BR98" s="22">
        <f t="shared" si="176"/>
        <v>4.161290322580645</v>
      </c>
      <c r="BS98" s="21">
        <v>71</v>
      </c>
      <c r="BT98" s="22">
        <f t="shared" si="177"/>
        <v>2.2903225806451615</v>
      </c>
      <c r="BU98" s="21">
        <v>105</v>
      </c>
      <c r="BV98" s="22">
        <f t="shared" si="178"/>
        <v>3.5</v>
      </c>
      <c r="BW98" s="21">
        <v>133</v>
      </c>
      <c r="BX98" s="22">
        <f t="shared" si="179"/>
        <v>4.290322580645161</v>
      </c>
      <c r="BY98" s="21">
        <v>62</v>
      </c>
      <c r="BZ98" s="22">
        <f t="shared" si="180"/>
        <v>2.0666666666666669</v>
      </c>
      <c r="CA98" s="21">
        <v>71</v>
      </c>
      <c r="CB98" s="22">
        <f t="shared" si="181"/>
        <v>2.2903225806451615</v>
      </c>
      <c r="CC98" s="23">
        <f t="shared" si="182"/>
        <v>1182.3696620583717</v>
      </c>
      <c r="CD98" s="24">
        <f t="shared" si="183"/>
        <v>0.86377886403847826</v>
      </c>
      <c r="CE98" s="21">
        <v>102</v>
      </c>
      <c r="CF98" s="22">
        <f t="shared" si="184"/>
        <v>3.2903225806451615</v>
      </c>
      <c r="CG98" s="21">
        <v>89</v>
      </c>
      <c r="CH98" s="22">
        <f t="shared" si="185"/>
        <v>3.1785714285714284</v>
      </c>
      <c r="CI98" s="21">
        <v>122</v>
      </c>
      <c r="CJ98" s="22">
        <f t="shared" si="186"/>
        <v>3.935483870967742</v>
      </c>
      <c r="CK98" s="21">
        <v>58</v>
      </c>
      <c r="CL98" s="22">
        <f t="shared" si="187"/>
        <v>1.9333333333333333</v>
      </c>
      <c r="CM98" s="21">
        <v>106</v>
      </c>
      <c r="CN98" s="22">
        <f t="shared" si="188"/>
        <v>3.4193548387096775</v>
      </c>
      <c r="CO98" s="21">
        <v>64</v>
      </c>
      <c r="CP98" s="22">
        <f t="shared" si="189"/>
        <v>2.1333333333333333</v>
      </c>
      <c r="CQ98" s="21">
        <v>67</v>
      </c>
      <c r="CR98" s="22">
        <f t="shared" si="190"/>
        <v>2.161290322580645</v>
      </c>
      <c r="CS98" s="21">
        <v>58</v>
      </c>
      <c r="CT98" s="22">
        <f t="shared" si="191"/>
        <v>1.8709677419354838</v>
      </c>
      <c r="CU98" s="21">
        <v>77</v>
      </c>
      <c r="CV98" s="22">
        <f t="shared" si="192"/>
        <v>2.5666666666666669</v>
      </c>
      <c r="CW98" s="21">
        <v>113</v>
      </c>
      <c r="CX98" s="22">
        <f t="shared" si="193"/>
        <v>3.6451612903225805</v>
      </c>
      <c r="CY98" s="21">
        <v>88</v>
      </c>
      <c r="CZ98" s="22">
        <f t="shared" si="194"/>
        <v>2.9333333333333331</v>
      </c>
      <c r="DA98" s="21">
        <v>67</v>
      </c>
      <c r="DB98" s="22">
        <f t="shared" si="195"/>
        <v>2.161290322580645</v>
      </c>
      <c r="DC98" s="23">
        <f t="shared" si="196"/>
        <v>1042.0678187403994</v>
      </c>
      <c r="DD98" s="24">
        <f t="shared" si="197"/>
        <v>0.72024425664337233</v>
      </c>
      <c r="DE98" s="21">
        <v>115</v>
      </c>
      <c r="DF98" s="22">
        <f t="shared" si="198"/>
        <v>3.7096774193548385</v>
      </c>
      <c r="DG98" s="21">
        <v>135</v>
      </c>
      <c r="DH98" s="22">
        <f t="shared" si="199"/>
        <v>4.8214285714285712</v>
      </c>
      <c r="DI98" s="21">
        <v>74</v>
      </c>
      <c r="DJ98" s="22">
        <f t="shared" si="200"/>
        <v>2.3870967741935485</v>
      </c>
      <c r="DK98" s="21">
        <v>107</v>
      </c>
      <c r="DL98" s="22">
        <f t="shared" si="201"/>
        <v>3.5666666666666669</v>
      </c>
      <c r="DM98" s="21">
        <v>133</v>
      </c>
      <c r="DN98" s="22">
        <f t="shared" si="202"/>
        <v>4.290322580645161</v>
      </c>
      <c r="DO98" s="21">
        <v>84</v>
      </c>
      <c r="DP98" s="22">
        <f t="shared" si="203"/>
        <v>2.8</v>
      </c>
      <c r="DQ98" s="21">
        <v>134</v>
      </c>
      <c r="DR98" s="22">
        <f t="shared" si="204"/>
        <v>4.32258064516129</v>
      </c>
      <c r="DS98" s="21">
        <v>101</v>
      </c>
      <c r="DT98" s="22">
        <f t="shared" si="205"/>
        <v>3.2580645161290325</v>
      </c>
      <c r="DU98" s="21">
        <v>134</v>
      </c>
      <c r="DV98" s="22">
        <f t="shared" si="206"/>
        <v>4.4666666666666668</v>
      </c>
      <c r="DW98" s="21">
        <v>149</v>
      </c>
      <c r="DX98" s="22">
        <f t="shared" si="207"/>
        <v>4.806451612903226</v>
      </c>
      <c r="DY98" s="21">
        <v>123</v>
      </c>
      <c r="DZ98" s="22">
        <f t="shared" si="208"/>
        <v>4.0999999999999996</v>
      </c>
      <c r="EA98" s="21">
        <v>93</v>
      </c>
      <c r="EB98" s="22">
        <f t="shared" si="209"/>
        <v>3</v>
      </c>
      <c r="EC98" s="23">
        <f t="shared" si="210"/>
        <v>1424.5289554531489</v>
      </c>
      <c r="ED98" s="24">
        <f t="shared" si="211"/>
        <v>0.80319724626211231</v>
      </c>
      <c r="EE98" s="25">
        <f t="shared" si="212"/>
        <v>51.688314817594581</v>
      </c>
    </row>
    <row r="99" spans="1:135" ht="15" customHeight="1" x14ac:dyDescent="0.35">
      <c r="A99" s="17">
        <v>94</v>
      </c>
      <c r="B99" s="18" t="s">
        <v>222</v>
      </c>
      <c r="C99" s="19" t="s">
        <v>223</v>
      </c>
      <c r="D99" s="20" t="s">
        <v>36</v>
      </c>
      <c r="E99" s="21">
        <v>243</v>
      </c>
      <c r="F99" s="22">
        <f t="shared" si="142"/>
        <v>7.838709677419355</v>
      </c>
      <c r="G99" s="21">
        <v>187</v>
      </c>
      <c r="H99" s="22">
        <f t="shared" si="143"/>
        <v>6.6785714285714288</v>
      </c>
      <c r="I99" s="21">
        <v>125</v>
      </c>
      <c r="J99" s="22">
        <f t="shared" si="144"/>
        <v>4.032258064516129</v>
      </c>
      <c r="K99" s="21">
        <v>224</v>
      </c>
      <c r="L99" s="22">
        <f t="shared" si="145"/>
        <v>7.4666666666666668</v>
      </c>
      <c r="M99" s="21">
        <v>217</v>
      </c>
      <c r="N99" s="22">
        <f t="shared" si="146"/>
        <v>7</v>
      </c>
      <c r="O99" s="21">
        <v>213</v>
      </c>
      <c r="P99" s="22">
        <f t="shared" si="147"/>
        <v>7.1</v>
      </c>
      <c r="Q99" s="21">
        <v>189</v>
      </c>
      <c r="R99" s="22">
        <f t="shared" si="148"/>
        <v>6.096774193548387</v>
      </c>
      <c r="S99" s="21">
        <v>153</v>
      </c>
      <c r="T99" s="22">
        <f t="shared" si="149"/>
        <v>4.935483870967742</v>
      </c>
      <c r="U99" s="21">
        <v>123</v>
      </c>
      <c r="V99" s="22">
        <f t="shared" si="150"/>
        <v>4.0999999999999996</v>
      </c>
      <c r="W99" s="21">
        <v>126</v>
      </c>
      <c r="X99" s="22">
        <f t="shared" si="151"/>
        <v>4.064516129032258</v>
      </c>
      <c r="Y99" s="21">
        <v>164</v>
      </c>
      <c r="Z99" s="22">
        <f t="shared" si="152"/>
        <v>5.4666666666666668</v>
      </c>
      <c r="AA99" s="21">
        <v>204</v>
      </c>
      <c r="AB99" s="22">
        <f t="shared" si="153"/>
        <v>6.580645161290323</v>
      </c>
      <c r="AC99" s="23">
        <f t="shared" si="154"/>
        <v>2232.7796466973887</v>
      </c>
      <c r="AD99" s="24">
        <f t="shared" si="155"/>
        <v>1.3869712124068996</v>
      </c>
      <c r="AE99" s="21">
        <v>181</v>
      </c>
      <c r="AF99" s="22">
        <f t="shared" si="156"/>
        <v>5.838709677419355</v>
      </c>
      <c r="AG99" s="21">
        <v>165</v>
      </c>
      <c r="AH99" s="22">
        <f t="shared" si="157"/>
        <v>5.8928571428571432</v>
      </c>
      <c r="AI99" s="21">
        <v>233</v>
      </c>
      <c r="AJ99" s="22">
        <f t="shared" si="158"/>
        <v>7.5161290322580649</v>
      </c>
      <c r="AK99" s="21">
        <v>110</v>
      </c>
      <c r="AL99" s="22">
        <f t="shared" si="159"/>
        <v>3.6666666666666665</v>
      </c>
      <c r="AM99" s="21">
        <v>118</v>
      </c>
      <c r="AN99" s="22">
        <f t="shared" si="160"/>
        <v>3.806451612903226</v>
      </c>
      <c r="AO99" s="21">
        <v>222</v>
      </c>
      <c r="AP99" s="22">
        <f t="shared" si="161"/>
        <v>7.4</v>
      </c>
      <c r="AQ99" s="21">
        <v>189</v>
      </c>
      <c r="AR99" s="22">
        <f t="shared" si="162"/>
        <v>6.096774193548387</v>
      </c>
      <c r="AS99" s="21">
        <v>212</v>
      </c>
      <c r="AT99" s="22">
        <f t="shared" si="163"/>
        <v>6.838709677419355</v>
      </c>
      <c r="AU99" s="21">
        <v>106</v>
      </c>
      <c r="AV99" s="22">
        <f t="shared" si="164"/>
        <v>3.5333333333333332</v>
      </c>
      <c r="AW99" s="21">
        <v>172</v>
      </c>
      <c r="AX99" s="22">
        <f t="shared" si="165"/>
        <v>5.5483870967741939</v>
      </c>
      <c r="AY99" s="21">
        <v>105</v>
      </c>
      <c r="AZ99" s="22">
        <f t="shared" si="166"/>
        <v>3.5</v>
      </c>
      <c r="BA99" s="21">
        <v>129</v>
      </c>
      <c r="BB99" s="22">
        <f t="shared" si="167"/>
        <v>4.161290322580645</v>
      </c>
      <c r="BC99" s="23">
        <f t="shared" si="168"/>
        <v>2001.6380184331795</v>
      </c>
      <c r="BD99" s="24">
        <f t="shared" si="169"/>
        <v>1.5249445117771416</v>
      </c>
      <c r="BE99" s="21">
        <v>119</v>
      </c>
      <c r="BF99" s="22">
        <f t="shared" si="170"/>
        <v>3.838709677419355</v>
      </c>
      <c r="BG99" s="21">
        <v>199</v>
      </c>
      <c r="BH99" s="22">
        <f t="shared" si="171"/>
        <v>7.1071428571428568</v>
      </c>
      <c r="BI99" s="21">
        <v>232</v>
      </c>
      <c r="BJ99" s="22">
        <f t="shared" si="172"/>
        <v>7.4838709677419351</v>
      </c>
      <c r="BK99" s="21">
        <v>165</v>
      </c>
      <c r="BL99" s="22">
        <f t="shared" si="173"/>
        <v>5.5</v>
      </c>
      <c r="BM99" s="21">
        <v>221</v>
      </c>
      <c r="BN99" s="22">
        <f t="shared" si="174"/>
        <v>7.129032258064516</v>
      </c>
      <c r="BO99" s="21">
        <v>216</v>
      </c>
      <c r="BP99" s="22">
        <f t="shared" si="175"/>
        <v>7.2</v>
      </c>
      <c r="BQ99" s="21">
        <v>204</v>
      </c>
      <c r="BR99" s="22">
        <f t="shared" si="176"/>
        <v>6.580645161290323</v>
      </c>
      <c r="BS99" s="21">
        <v>135</v>
      </c>
      <c r="BT99" s="22">
        <f t="shared" si="177"/>
        <v>4.354838709677419</v>
      </c>
      <c r="BU99" s="21">
        <v>197</v>
      </c>
      <c r="BV99" s="22">
        <f t="shared" si="178"/>
        <v>6.5666666666666664</v>
      </c>
      <c r="BW99" s="21">
        <v>180</v>
      </c>
      <c r="BX99" s="22">
        <f t="shared" si="179"/>
        <v>5.806451612903226</v>
      </c>
      <c r="BY99" s="21">
        <v>165</v>
      </c>
      <c r="BZ99" s="22">
        <f t="shared" si="180"/>
        <v>5.5</v>
      </c>
      <c r="CA99" s="21">
        <v>239</v>
      </c>
      <c r="CB99" s="22">
        <f t="shared" si="181"/>
        <v>7.709677419354839</v>
      </c>
      <c r="CC99" s="23">
        <f t="shared" si="182"/>
        <v>2339.0673579109061</v>
      </c>
      <c r="CD99" s="24">
        <f t="shared" si="183"/>
        <v>1.2430220161810073</v>
      </c>
      <c r="CE99" s="21">
        <v>193</v>
      </c>
      <c r="CF99" s="22">
        <f t="shared" si="184"/>
        <v>6.225806451612903</v>
      </c>
      <c r="CG99" s="21">
        <v>111</v>
      </c>
      <c r="CH99" s="22">
        <f t="shared" si="185"/>
        <v>3.9642857142857144</v>
      </c>
      <c r="CI99" s="21">
        <v>132</v>
      </c>
      <c r="CJ99" s="22">
        <f t="shared" si="186"/>
        <v>4.258064516129032</v>
      </c>
      <c r="CK99" s="21">
        <v>177</v>
      </c>
      <c r="CL99" s="22">
        <f t="shared" si="187"/>
        <v>5.9</v>
      </c>
      <c r="CM99" s="21">
        <v>241</v>
      </c>
      <c r="CN99" s="22">
        <f t="shared" si="188"/>
        <v>7.774193548387097</v>
      </c>
      <c r="CO99" s="21">
        <v>195</v>
      </c>
      <c r="CP99" s="22">
        <f t="shared" si="189"/>
        <v>6.5</v>
      </c>
      <c r="CQ99" s="21">
        <v>217</v>
      </c>
      <c r="CR99" s="22">
        <f t="shared" si="190"/>
        <v>7</v>
      </c>
      <c r="CS99" s="21">
        <v>155</v>
      </c>
      <c r="CT99" s="22">
        <f t="shared" si="191"/>
        <v>5</v>
      </c>
      <c r="CU99" s="21">
        <v>107</v>
      </c>
      <c r="CV99" s="22">
        <f t="shared" si="192"/>
        <v>3.5666666666666669</v>
      </c>
      <c r="CW99" s="21">
        <v>140</v>
      </c>
      <c r="CX99" s="22">
        <f t="shared" si="193"/>
        <v>4.5161290322580649</v>
      </c>
      <c r="CY99" s="21">
        <v>123</v>
      </c>
      <c r="CZ99" s="22">
        <f t="shared" si="194"/>
        <v>4.0999999999999996</v>
      </c>
      <c r="DA99" s="21">
        <v>181</v>
      </c>
      <c r="DB99" s="22">
        <f t="shared" si="195"/>
        <v>5.838709677419355</v>
      </c>
      <c r="DC99" s="23">
        <f t="shared" si="196"/>
        <v>2030.8051459293392</v>
      </c>
      <c r="DD99" s="24">
        <f t="shared" si="197"/>
        <v>1.3445789095503584</v>
      </c>
      <c r="DE99" s="21">
        <v>149</v>
      </c>
      <c r="DF99" s="22">
        <f t="shared" si="198"/>
        <v>4.806451612903226</v>
      </c>
      <c r="DG99" s="21">
        <v>196</v>
      </c>
      <c r="DH99" s="22">
        <f t="shared" si="199"/>
        <v>7</v>
      </c>
      <c r="DI99" s="21">
        <v>266</v>
      </c>
      <c r="DJ99" s="22">
        <f t="shared" si="200"/>
        <v>8.5806451612903221</v>
      </c>
      <c r="DK99" s="21">
        <v>227</v>
      </c>
      <c r="DL99" s="22">
        <f t="shared" si="201"/>
        <v>7.5666666666666664</v>
      </c>
      <c r="DM99" s="21">
        <v>171</v>
      </c>
      <c r="DN99" s="22">
        <f t="shared" si="202"/>
        <v>5.5161290322580649</v>
      </c>
      <c r="DO99" s="21">
        <v>268</v>
      </c>
      <c r="DP99" s="22">
        <f t="shared" si="203"/>
        <v>8.9333333333333336</v>
      </c>
      <c r="DQ99" s="21">
        <v>248</v>
      </c>
      <c r="DR99" s="22">
        <f t="shared" si="204"/>
        <v>8</v>
      </c>
      <c r="DS99" s="21">
        <v>181</v>
      </c>
      <c r="DT99" s="22">
        <f t="shared" si="205"/>
        <v>5.838709677419355</v>
      </c>
      <c r="DU99" s="21">
        <v>166</v>
      </c>
      <c r="DV99" s="22">
        <f t="shared" si="206"/>
        <v>5.5333333333333332</v>
      </c>
      <c r="DW99" s="21">
        <v>273</v>
      </c>
      <c r="DX99" s="22">
        <f t="shared" si="207"/>
        <v>8.806451612903226</v>
      </c>
      <c r="DY99" s="21">
        <v>253</v>
      </c>
      <c r="DZ99" s="22">
        <f t="shared" si="208"/>
        <v>8.4333333333333336</v>
      </c>
      <c r="EA99" s="21">
        <v>303</v>
      </c>
      <c r="EB99" s="22">
        <f t="shared" si="209"/>
        <v>9.7741935483870961</v>
      </c>
      <c r="EC99" s="23">
        <f t="shared" si="210"/>
        <v>2780.0150537634408</v>
      </c>
      <c r="ED99" s="24">
        <f t="shared" si="211"/>
        <v>1.6285246013242785</v>
      </c>
      <c r="EE99" s="25">
        <f t="shared" si="212"/>
        <v>95.884917047815392</v>
      </c>
    </row>
    <row r="100" spans="1:135" ht="15" customHeight="1" x14ac:dyDescent="0.35">
      <c r="A100" s="17">
        <v>95</v>
      </c>
      <c r="B100" s="18" t="s">
        <v>224</v>
      </c>
      <c r="C100" s="19" t="s">
        <v>225</v>
      </c>
      <c r="D100" s="20" t="s">
        <v>36</v>
      </c>
      <c r="E100" s="21">
        <v>1759</v>
      </c>
      <c r="F100" s="22">
        <f t="shared" si="142"/>
        <v>56.741935483870968</v>
      </c>
      <c r="G100" s="21">
        <v>1331</v>
      </c>
      <c r="H100" s="22">
        <f t="shared" si="143"/>
        <v>47.535714285714285</v>
      </c>
      <c r="I100" s="21">
        <v>2040</v>
      </c>
      <c r="J100" s="22">
        <f t="shared" si="144"/>
        <v>65.806451612903231</v>
      </c>
      <c r="K100" s="21">
        <v>1140</v>
      </c>
      <c r="L100" s="22">
        <f t="shared" si="145"/>
        <v>38</v>
      </c>
      <c r="M100" s="21">
        <v>2004</v>
      </c>
      <c r="N100" s="22">
        <f t="shared" si="146"/>
        <v>64.645161290322577</v>
      </c>
      <c r="O100" s="21">
        <v>1487</v>
      </c>
      <c r="P100" s="22">
        <f t="shared" si="147"/>
        <v>49.56666666666667</v>
      </c>
      <c r="Q100" s="21">
        <v>1702</v>
      </c>
      <c r="R100" s="22">
        <f t="shared" si="148"/>
        <v>54.903225806451616</v>
      </c>
      <c r="S100" s="21">
        <v>1558</v>
      </c>
      <c r="T100" s="22">
        <f t="shared" si="149"/>
        <v>50.258064516129032</v>
      </c>
      <c r="U100" s="21">
        <v>2234</v>
      </c>
      <c r="V100" s="22">
        <f t="shared" si="150"/>
        <v>74.466666666666669</v>
      </c>
      <c r="W100" s="21">
        <v>2167</v>
      </c>
      <c r="X100" s="22">
        <f t="shared" si="151"/>
        <v>69.903225806451616</v>
      </c>
      <c r="Y100" s="21">
        <v>1140</v>
      </c>
      <c r="Z100" s="22">
        <f t="shared" si="152"/>
        <v>38</v>
      </c>
      <c r="AA100" s="21">
        <v>2141</v>
      </c>
      <c r="AB100" s="22">
        <f t="shared" si="153"/>
        <v>69.064516129032256</v>
      </c>
      <c r="AC100" s="23">
        <f t="shared" si="154"/>
        <v>21312.827112135175</v>
      </c>
      <c r="AD100" s="24">
        <f t="shared" si="155"/>
        <v>12.312970217479474</v>
      </c>
      <c r="AE100" s="21">
        <v>2073</v>
      </c>
      <c r="AF100" s="22">
        <f t="shared" si="156"/>
        <v>66.870967741935488</v>
      </c>
      <c r="AG100" s="21">
        <v>1146</v>
      </c>
      <c r="AH100" s="22">
        <f t="shared" si="157"/>
        <v>40.928571428571431</v>
      </c>
      <c r="AI100" s="21">
        <v>1901</v>
      </c>
      <c r="AJ100" s="22">
        <f t="shared" si="158"/>
        <v>61.322580645161288</v>
      </c>
      <c r="AK100" s="21">
        <v>1529</v>
      </c>
      <c r="AL100" s="22">
        <f t="shared" si="159"/>
        <v>50.966666666666669</v>
      </c>
      <c r="AM100" s="21">
        <v>1072</v>
      </c>
      <c r="AN100" s="22">
        <f t="shared" si="160"/>
        <v>34.58064516129032</v>
      </c>
      <c r="AO100" s="21">
        <v>2036</v>
      </c>
      <c r="AP100" s="22">
        <f t="shared" si="161"/>
        <v>67.86666666666666</v>
      </c>
      <c r="AQ100" s="21">
        <v>1821</v>
      </c>
      <c r="AR100" s="22">
        <f t="shared" si="162"/>
        <v>58.741935483870968</v>
      </c>
      <c r="AS100" s="21">
        <v>1662</v>
      </c>
      <c r="AT100" s="22">
        <f t="shared" si="163"/>
        <v>53.612903225806448</v>
      </c>
      <c r="AU100" s="21">
        <v>1332</v>
      </c>
      <c r="AV100" s="22">
        <f t="shared" si="164"/>
        <v>44.4</v>
      </c>
      <c r="AW100" s="21">
        <v>1174</v>
      </c>
      <c r="AX100" s="22">
        <f t="shared" si="165"/>
        <v>37.87096774193548</v>
      </c>
      <c r="AY100" s="21">
        <v>1766</v>
      </c>
      <c r="AZ100" s="22">
        <f t="shared" si="166"/>
        <v>58.866666666666667</v>
      </c>
      <c r="BA100" s="21">
        <v>1331</v>
      </c>
      <c r="BB100" s="22">
        <f t="shared" si="167"/>
        <v>42.935483870967744</v>
      </c>
      <c r="BC100" s="23">
        <f t="shared" si="168"/>
        <v>19419.028571428571</v>
      </c>
      <c r="BD100" s="24">
        <f t="shared" si="169"/>
        <v>11.359951209261821</v>
      </c>
      <c r="BE100" s="21">
        <v>1888</v>
      </c>
      <c r="BF100" s="22">
        <f t="shared" si="170"/>
        <v>60.903225806451616</v>
      </c>
      <c r="BG100" s="21">
        <v>1329</v>
      </c>
      <c r="BH100" s="22">
        <f t="shared" si="171"/>
        <v>47.464285714285715</v>
      </c>
      <c r="BI100" s="21">
        <v>1047</v>
      </c>
      <c r="BJ100" s="22">
        <f t="shared" si="172"/>
        <v>33.774193548387096</v>
      </c>
      <c r="BK100" s="21">
        <v>1837</v>
      </c>
      <c r="BL100" s="22">
        <f t="shared" si="173"/>
        <v>61.233333333333334</v>
      </c>
      <c r="BM100" s="21">
        <v>2000</v>
      </c>
      <c r="BN100" s="22">
        <f t="shared" si="174"/>
        <v>64.516129032258064</v>
      </c>
      <c r="BO100" s="21">
        <v>1390</v>
      </c>
      <c r="BP100" s="22">
        <f t="shared" si="175"/>
        <v>46.333333333333336</v>
      </c>
      <c r="BQ100" s="21">
        <v>1198</v>
      </c>
      <c r="BR100" s="22">
        <f t="shared" si="176"/>
        <v>38.645161290322584</v>
      </c>
      <c r="BS100" s="21">
        <v>1507</v>
      </c>
      <c r="BT100" s="22">
        <f t="shared" si="177"/>
        <v>48.612903225806448</v>
      </c>
      <c r="BU100" s="21">
        <v>1524</v>
      </c>
      <c r="BV100" s="22">
        <f t="shared" si="178"/>
        <v>50.8</v>
      </c>
      <c r="BW100" s="21">
        <v>2025</v>
      </c>
      <c r="BX100" s="22">
        <f t="shared" si="179"/>
        <v>65.322580645161295</v>
      </c>
      <c r="BY100" s="21">
        <v>1105</v>
      </c>
      <c r="BZ100" s="22">
        <f t="shared" si="180"/>
        <v>36.833333333333336</v>
      </c>
      <c r="CA100" s="21">
        <v>2072</v>
      </c>
      <c r="CB100" s="22">
        <f t="shared" si="181"/>
        <v>66.838709677419359</v>
      </c>
      <c r="CC100" s="23">
        <f t="shared" si="182"/>
        <v>19476.43847926267</v>
      </c>
      <c r="CD100" s="24">
        <f t="shared" si="183"/>
        <v>11.772046114948559</v>
      </c>
      <c r="CE100" s="21">
        <v>1684</v>
      </c>
      <c r="CF100" s="22">
        <f t="shared" si="184"/>
        <v>54.322580645161288</v>
      </c>
      <c r="CG100" s="21">
        <v>1589</v>
      </c>
      <c r="CH100" s="22">
        <f t="shared" si="185"/>
        <v>56.75</v>
      </c>
      <c r="CI100" s="21">
        <v>1239</v>
      </c>
      <c r="CJ100" s="22">
        <f t="shared" si="186"/>
        <v>39.967741935483872</v>
      </c>
      <c r="CK100" s="21">
        <v>2054</v>
      </c>
      <c r="CL100" s="22">
        <f t="shared" si="187"/>
        <v>68.466666666666669</v>
      </c>
      <c r="CM100" s="21">
        <v>1931</v>
      </c>
      <c r="CN100" s="22">
        <f t="shared" si="188"/>
        <v>62.29032258064516</v>
      </c>
      <c r="CO100" s="21">
        <v>2411</v>
      </c>
      <c r="CP100" s="22">
        <f t="shared" si="189"/>
        <v>80.36666666666666</v>
      </c>
      <c r="CQ100" s="21">
        <v>1331</v>
      </c>
      <c r="CR100" s="22">
        <f t="shared" si="190"/>
        <v>42.935483870967744</v>
      </c>
      <c r="CS100" s="21">
        <v>1226</v>
      </c>
      <c r="CT100" s="22">
        <f t="shared" si="191"/>
        <v>39.548387096774192</v>
      </c>
      <c r="CU100" s="21">
        <v>2015</v>
      </c>
      <c r="CV100" s="22">
        <f t="shared" si="192"/>
        <v>67.166666666666671</v>
      </c>
      <c r="CW100" s="21">
        <v>1131</v>
      </c>
      <c r="CX100" s="22">
        <f t="shared" si="193"/>
        <v>36.483870967741936</v>
      </c>
      <c r="CY100" s="21">
        <v>1239</v>
      </c>
      <c r="CZ100" s="22">
        <f t="shared" si="194"/>
        <v>41.3</v>
      </c>
      <c r="DA100" s="21">
        <v>2238</v>
      </c>
      <c r="DB100" s="22">
        <f t="shared" si="195"/>
        <v>72.193548387096769</v>
      </c>
      <c r="DC100" s="23">
        <f t="shared" si="196"/>
        <v>20677.598387096772</v>
      </c>
      <c r="DD100" s="24">
        <f t="shared" si="197"/>
        <v>14.971725153069741</v>
      </c>
      <c r="DE100" s="21">
        <v>1743</v>
      </c>
      <c r="DF100" s="22">
        <f t="shared" si="198"/>
        <v>56.225806451612904</v>
      </c>
      <c r="DG100" s="21">
        <v>1328</v>
      </c>
      <c r="DH100" s="22">
        <f t="shared" si="199"/>
        <v>47.428571428571431</v>
      </c>
      <c r="DI100" s="21">
        <v>1577</v>
      </c>
      <c r="DJ100" s="22">
        <f t="shared" si="200"/>
        <v>50.87096774193548</v>
      </c>
      <c r="DK100" s="21">
        <v>2360</v>
      </c>
      <c r="DL100" s="22">
        <f t="shared" si="201"/>
        <v>78.666666666666671</v>
      </c>
      <c r="DM100" s="21">
        <v>1952</v>
      </c>
      <c r="DN100" s="22">
        <f t="shared" si="202"/>
        <v>62.967741935483872</v>
      </c>
      <c r="DO100" s="21">
        <v>2220</v>
      </c>
      <c r="DP100" s="22">
        <f t="shared" si="203"/>
        <v>74</v>
      </c>
      <c r="DQ100" s="21">
        <v>2002</v>
      </c>
      <c r="DR100" s="22">
        <f t="shared" si="204"/>
        <v>64.58064516129032</v>
      </c>
      <c r="DS100" s="21">
        <v>1963</v>
      </c>
      <c r="DT100" s="22">
        <f t="shared" si="205"/>
        <v>63.322580645161288</v>
      </c>
      <c r="DU100" s="21">
        <v>1327</v>
      </c>
      <c r="DV100" s="22">
        <f t="shared" si="206"/>
        <v>44.233333333333334</v>
      </c>
      <c r="DW100" s="21">
        <v>2481</v>
      </c>
      <c r="DX100" s="22">
        <f t="shared" si="207"/>
        <v>80.032258064516128</v>
      </c>
      <c r="DY100" s="21">
        <v>2315</v>
      </c>
      <c r="DZ100" s="22">
        <f t="shared" si="208"/>
        <v>77.166666666666671</v>
      </c>
      <c r="EA100" s="21">
        <v>1206</v>
      </c>
      <c r="EB100" s="22">
        <f t="shared" si="209"/>
        <v>38.903225806451616</v>
      </c>
      <c r="EC100" s="23">
        <f t="shared" si="210"/>
        <v>23173.495238095238</v>
      </c>
      <c r="ED100" s="24">
        <f t="shared" si="211"/>
        <v>14.149645726512706</v>
      </c>
      <c r="EE100" s="25">
        <f t="shared" si="212"/>
        <v>860.21699441290991</v>
      </c>
    </row>
    <row r="101" spans="1:135" ht="15" customHeight="1" x14ac:dyDescent="0.35">
      <c r="A101" s="17">
        <v>96</v>
      </c>
      <c r="B101" s="18" t="s">
        <v>226</v>
      </c>
      <c r="C101" s="19" t="s">
        <v>227</v>
      </c>
      <c r="D101" s="20" t="s">
        <v>36</v>
      </c>
      <c r="E101" s="21">
        <v>3886</v>
      </c>
      <c r="F101" s="22">
        <f t="shared" si="142"/>
        <v>125.35483870967742</v>
      </c>
      <c r="G101" s="21">
        <v>2996</v>
      </c>
      <c r="H101" s="22">
        <f t="shared" si="143"/>
        <v>107</v>
      </c>
      <c r="I101" s="21">
        <v>4221</v>
      </c>
      <c r="J101" s="22">
        <f t="shared" si="144"/>
        <v>136.16129032258064</v>
      </c>
      <c r="K101" s="21">
        <v>3244</v>
      </c>
      <c r="L101" s="22">
        <f t="shared" si="145"/>
        <v>108.13333333333334</v>
      </c>
      <c r="M101" s="21">
        <v>3837</v>
      </c>
      <c r="N101" s="22">
        <f t="shared" si="146"/>
        <v>123.7741935483871</v>
      </c>
      <c r="O101" s="21">
        <v>2488</v>
      </c>
      <c r="P101" s="22">
        <f t="shared" si="147"/>
        <v>82.933333333333337</v>
      </c>
      <c r="Q101" s="21">
        <v>3579</v>
      </c>
      <c r="R101" s="22">
        <f t="shared" si="148"/>
        <v>115.45161290322581</v>
      </c>
      <c r="S101" s="21">
        <v>3594</v>
      </c>
      <c r="T101" s="22">
        <f t="shared" si="149"/>
        <v>115.93548387096774</v>
      </c>
      <c r="U101" s="21">
        <v>2410</v>
      </c>
      <c r="V101" s="22">
        <f t="shared" si="150"/>
        <v>80.333333333333329</v>
      </c>
      <c r="W101" s="21">
        <v>2605</v>
      </c>
      <c r="X101" s="22">
        <f t="shared" si="151"/>
        <v>84.032258064516128</v>
      </c>
      <c r="Y101" s="21">
        <v>3215</v>
      </c>
      <c r="Z101" s="22">
        <f t="shared" si="152"/>
        <v>107.16666666666667</v>
      </c>
      <c r="AA101" s="21">
        <v>3970</v>
      </c>
      <c r="AB101" s="22">
        <f t="shared" si="153"/>
        <v>128.06451612903226</v>
      </c>
      <c r="AC101" s="23">
        <f t="shared" si="154"/>
        <v>41231.276344086022</v>
      </c>
      <c r="AD101" s="24">
        <f t="shared" si="155"/>
        <v>18.601251089733296</v>
      </c>
      <c r="AE101" s="21">
        <v>3168</v>
      </c>
      <c r="AF101" s="22">
        <f t="shared" si="156"/>
        <v>102.19354838709677</v>
      </c>
      <c r="AG101" s="21">
        <v>2122</v>
      </c>
      <c r="AH101" s="22">
        <f t="shared" si="157"/>
        <v>75.785714285714292</v>
      </c>
      <c r="AI101" s="21">
        <v>3125</v>
      </c>
      <c r="AJ101" s="22">
        <f t="shared" si="158"/>
        <v>100.80645161290323</v>
      </c>
      <c r="AK101" s="21">
        <v>1783</v>
      </c>
      <c r="AL101" s="22">
        <f t="shared" si="159"/>
        <v>59.43333333333333</v>
      </c>
      <c r="AM101" s="21">
        <v>4084</v>
      </c>
      <c r="AN101" s="22">
        <f t="shared" si="160"/>
        <v>131.74193548387098</v>
      </c>
      <c r="AO101" s="21">
        <v>1865</v>
      </c>
      <c r="AP101" s="22">
        <f t="shared" si="161"/>
        <v>62.166666666666664</v>
      </c>
      <c r="AQ101" s="21">
        <v>2882</v>
      </c>
      <c r="AR101" s="22">
        <f t="shared" si="162"/>
        <v>92.967741935483872</v>
      </c>
      <c r="AS101" s="21">
        <v>3585</v>
      </c>
      <c r="AT101" s="22">
        <f t="shared" si="163"/>
        <v>115.64516129032258</v>
      </c>
      <c r="AU101" s="21">
        <v>1850</v>
      </c>
      <c r="AV101" s="22">
        <f t="shared" si="164"/>
        <v>61.666666666666664</v>
      </c>
      <c r="AW101" s="21">
        <v>3024</v>
      </c>
      <c r="AX101" s="22">
        <f t="shared" si="165"/>
        <v>97.548387096774192</v>
      </c>
      <c r="AY101" s="21">
        <v>2902</v>
      </c>
      <c r="AZ101" s="22">
        <f t="shared" si="166"/>
        <v>96.733333333333334</v>
      </c>
      <c r="BA101" s="21">
        <v>3654</v>
      </c>
      <c r="BB101" s="22">
        <f t="shared" si="167"/>
        <v>117.87096774193549</v>
      </c>
      <c r="BC101" s="23">
        <f t="shared" si="168"/>
        <v>35040.688940092165</v>
      </c>
      <c r="BD101" s="24">
        <f t="shared" si="169"/>
        <v>23.679194430133116</v>
      </c>
      <c r="BE101" s="21">
        <v>4280</v>
      </c>
      <c r="BF101" s="22">
        <f t="shared" si="170"/>
        <v>138.06451612903226</v>
      </c>
      <c r="BG101" s="21">
        <v>3275</v>
      </c>
      <c r="BH101" s="22">
        <f t="shared" si="171"/>
        <v>116.96428571428571</v>
      </c>
      <c r="BI101" s="21">
        <v>2698</v>
      </c>
      <c r="BJ101" s="22">
        <f t="shared" si="172"/>
        <v>87.032258064516128</v>
      </c>
      <c r="BK101" s="21">
        <v>3564</v>
      </c>
      <c r="BL101" s="22">
        <f t="shared" si="173"/>
        <v>118.8</v>
      </c>
      <c r="BM101" s="21">
        <v>2077</v>
      </c>
      <c r="BN101" s="22">
        <f t="shared" si="174"/>
        <v>67</v>
      </c>
      <c r="BO101" s="21">
        <v>4036</v>
      </c>
      <c r="BP101" s="22">
        <f t="shared" si="175"/>
        <v>134.53333333333333</v>
      </c>
      <c r="BQ101" s="21">
        <v>4630</v>
      </c>
      <c r="BR101" s="22">
        <f t="shared" si="176"/>
        <v>149.35483870967741</v>
      </c>
      <c r="BS101" s="21">
        <v>2404</v>
      </c>
      <c r="BT101" s="22">
        <f t="shared" si="177"/>
        <v>77.548387096774192</v>
      </c>
      <c r="BU101" s="21">
        <v>2848</v>
      </c>
      <c r="BV101" s="22">
        <f t="shared" si="178"/>
        <v>94.933333333333337</v>
      </c>
      <c r="BW101" s="21">
        <v>3807</v>
      </c>
      <c r="BX101" s="22">
        <f t="shared" si="179"/>
        <v>122.80645161290323</v>
      </c>
      <c r="BY101" s="21">
        <v>2290</v>
      </c>
      <c r="BZ101" s="22">
        <f t="shared" si="180"/>
        <v>76.333333333333329</v>
      </c>
      <c r="CA101" s="21">
        <v>3349</v>
      </c>
      <c r="CB101" s="22">
        <f t="shared" si="181"/>
        <v>108.03225806451613</v>
      </c>
      <c r="CC101" s="23">
        <f t="shared" si="182"/>
        <v>40441.37073732719</v>
      </c>
      <c r="CD101" s="24">
        <f t="shared" si="183"/>
        <v>26.890430046751977</v>
      </c>
      <c r="CE101" s="21">
        <v>2107</v>
      </c>
      <c r="CF101" s="22">
        <f t="shared" si="184"/>
        <v>67.967741935483872</v>
      </c>
      <c r="CG101" s="21">
        <v>2903</v>
      </c>
      <c r="CH101" s="22">
        <f t="shared" si="185"/>
        <v>103.67857142857143</v>
      </c>
      <c r="CI101" s="21">
        <v>3212</v>
      </c>
      <c r="CJ101" s="22">
        <f t="shared" si="186"/>
        <v>103.61290322580645</v>
      </c>
      <c r="CK101" s="21">
        <v>2991</v>
      </c>
      <c r="CL101" s="22">
        <f t="shared" si="187"/>
        <v>99.7</v>
      </c>
      <c r="CM101" s="21">
        <v>1547</v>
      </c>
      <c r="CN101" s="22">
        <f t="shared" si="188"/>
        <v>49.903225806451616</v>
      </c>
      <c r="CO101" s="21">
        <v>2407</v>
      </c>
      <c r="CP101" s="22">
        <f t="shared" si="189"/>
        <v>80.233333333333334</v>
      </c>
      <c r="CQ101" s="21">
        <v>3040</v>
      </c>
      <c r="CR101" s="22">
        <f t="shared" si="190"/>
        <v>98.064516129032256</v>
      </c>
      <c r="CS101" s="21">
        <v>3244</v>
      </c>
      <c r="CT101" s="22">
        <f t="shared" si="191"/>
        <v>104.64516129032258</v>
      </c>
      <c r="CU101" s="21">
        <v>2308</v>
      </c>
      <c r="CV101" s="22">
        <f t="shared" si="192"/>
        <v>76.933333333333337</v>
      </c>
      <c r="CW101" s="21">
        <v>3076</v>
      </c>
      <c r="CX101" s="22">
        <f t="shared" si="193"/>
        <v>99.225806451612897</v>
      </c>
      <c r="CY101" s="21">
        <v>2238</v>
      </c>
      <c r="CZ101" s="22">
        <f t="shared" si="194"/>
        <v>74.599999999999994</v>
      </c>
      <c r="DA101" s="21">
        <v>2426</v>
      </c>
      <c r="DB101" s="22">
        <f t="shared" si="195"/>
        <v>78.258064516129039</v>
      </c>
      <c r="DC101" s="23">
        <f t="shared" si="196"/>
        <v>32457.564592933952</v>
      </c>
      <c r="DD101" s="24">
        <f t="shared" si="197"/>
        <v>17.607102173251921</v>
      </c>
      <c r="DE101" s="21">
        <v>3467</v>
      </c>
      <c r="DF101" s="22">
        <f t="shared" si="198"/>
        <v>111.83870967741936</v>
      </c>
      <c r="DG101" s="21">
        <v>4036</v>
      </c>
      <c r="DH101" s="22">
        <f t="shared" si="199"/>
        <v>144.14285714285714</v>
      </c>
      <c r="DI101" s="21">
        <v>2057</v>
      </c>
      <c r="DJ101" s="22">
        <f t="shared" si="200"/>
        <v>66.354838709677423</v>
      </c>
      <c r="DK101" s="21">
        <v>4119</v>
      </c>
      <c r="DL101" s="22">
        <f t="shared" si="201"/>
        <v>137.30000000000001</v>
      </c>
      <c r="DM101" s="21">
        <v>2714</v>
      </c>
      <c r="DN101" s="22">
        <f t="shared" si="202"/>
        <v>87.548387096774192</v>
      </c>
      <c r="DO101" s="21">
        <v>1962</v>
      </c>
      <c r="DP101" s="22">
        <f t="shared" si="203"/>
        <v>65.400000000000006</v>
      </c>
      <c r="DQ101" s="21">
        <v>2947</v>
      </c>
      <c r="DR101" s="22">
        <f t="shared" si="204"/>
        <v>95.064516129032256</v>
      </c>
      <c r="DS101" s="21">
        <v>2556</v>
      </c>
      <c r="DT101" s="22">
        <f t="shared" si="205"/>
        <v>82.451612903225808</v>
      </c>
      <c r="DU101" s="21">
        <v>4251</v>
      </c>
      <c r="DV101" s="22">
        <f t="shared" si="206"/>
        <v>141.69999999999999</v>
      </c>
      <c r="DW101" s="21">
        <v>3239</v>
      </c>
      <c r="DX101" s="22">
        <f t="shared" si="207"/>
        <v>104.48387096774194</v>
      </c>
      <c r="DY101" s="21">
        <v>3871</v>
      </c>
      <c r="DZ101" s="22">
        <f t="shared" si="208"/>
        <v>129.03333333333333</v>
      </c>
      <c r="EA101" s="21">
        <v>3854</v>
      </c>
      <c r="EB101" s="22">
        <f t="shared" si="209"/>
        <v>124.3225806451613</v>
      </c>
      <c r="EC101" s="23">
        <f t="shared" si="210"/>
        <v>40238.318125960061</v>
      </c>
      <c r="ED101" s="24">
        <f t="shared" si="211"/>
        <v>28.317096397534545</v>
      </c>
      <c r="EE101" s="25">
        <f t="shared" si="212"/>
        <v>1559.364250679118</v>
      </c>
    </row>
    <row r="102" spans="1:135" ht="15" customHeight="1" x14ac:dyDescent="0.35">
      <c r="A102" s="17">
        <v>97</v>
      </c>
      <c r="B102" s="18" t="s">
        <v>228</v>
      </c>
      <c r="C102" s="19" t="s">
        <v>229</v>
      </c>
      <c r="D102" s="20" t="s">
        <v>36</v>
      </c>
      <c r="E102" s="21">
        <v>1228</v>
      </c>
      <c r="F102" s="22">
        <f t="shared" ref="F102:F133" si="213">E102/31</f>
        <v>39.612903225806448</v>
      </c>
      <c r="G102" s="21">
        <v>2410</v>
      </c>
      <c r="H102" s="22">
        <f t="shared" ref="H102:H133" si="214">G102/28</f>
        <v>86.071428571428569</v>
      </c>
      <c r="I102" s="21">
        <v>2195</v>
      </c>
      <c r="J102" s="22">
        <f t="shared" ref="J102:J133" si="215">I102/31</f>
        <v>70.806451612903231</v>
      </c>
      <c r="K102" s="21">
        <v>1189</v>
      </c>
      <c r="L102" s="22">
        <f t="shared" ref="L102:L133" si="216">K102/30</f>
        <v>39.633333333333333</v>
      </c>
      <c r="M102" s="21">
        <v>2505</v>
      </c>
      <c r="N102" s="22">
        <f t="shared" ref="N102:N133" si="217">M102/31</f>
        <v>80.806451612903231</v>
      </c>
      <c r="O102" s="21">
        <v>2105</v>
      </c>
      <c r="P102" s="22">
        <f t="shared" ref="P102:P133" si="218">O102/30</f>
        <v>70.166666666666671</v>
      </c>
      <c r="Q102" s="21">
        <v>2420</v>
      </c>
      <c r="R102" s="22">
        <f t="shared" ref="R102:R133" si="219">Q102/31</f>
        <v>78.064516129032256</v>
      </c>
      <c r="S102" s="21">
        <v>1272</v>
      </c>
      <c r="T102" s="22">
        <f t="shared" ref="T102:T133" si="220">S102/31</f>
        <v>41.032258064516128</v>
      </c>
      <c r="U102" s="21">
        <v>1649</v>
      </c>
      <c r="V102" s="22">
        <f t="shared" ref="V102:V133" si="221">U102/30</f>
        <v>54.966666666666669</v>
      </c>
      <c r="W102" s="21">
        <v>2023</v>
      </c>
      <c r="X102" s="22">
        <f t="shared" ref="X102:X133" si="222">W102/31</f>
        <v>65.258064516129039</v>
      </c>
      <c r="Y102" s="21">
        <v>1648</v>
      </c>
      <c r="Z102" s="22">
        <f t="shared" ref="Z102:Z133" si="223">Y102/30</f>
        <v>54.93333333333333</v>
      </c>
      <c r="AA102" s="21">
        <v>1367</v>
      </c>
      <c r="AB102" s="22">
        <f t="shared" ref="AB102:AB133" si="224">AA102/31</f>
        <v>44.096774193548384</v>
      </c>
      <c r="AC102" s="23">
        <f t="shared" si="154"/>
        <v>22692.35207373272</v>
      </c>
      <c r="AD102" s="24">
        <f t="shared" si="155"/>
        <v>16.998385897255844</v>
      </c>
      <c r="AE102" s="21">
        <v>2435</v>
      </c>
      <c r="AF102" s="22">
        <f t="shared" ref="AF102:AF133" si="225">AE102/31</f>
        <v>78.548387096774192</v>
      </c>
      <c r="AG102" s="21">
        <v>1520</v>
      </c>
      <c r="AH102" s="22">
        <f t="shared" ref="AH102:AH133" si="226">AG102/28</f>
        <v>54.285714285714285</v>
      </c>
      <c r="AI102" s="21">
        <v>2715</v>
      </c>
      <c r="AJ102" s="22">
        <f t="shared" ref="AJ102:AJ133" si="227">AI102/31</f>
        <v>87.58064516129032</v>
      </c>
      <c r="AK102" s="21">
        <v>1776</v>
      </c>
      <c r="AL102" s="22">
        <f t="shared" ref="AL102:AL133" si="228">AK102/30</f>
        <v>59.2</v>
      </c>
      <c r="AM102" s="21">
        <v>3221</v>
      </c>
      <c r="AN102" s="22">
        <f t="shared" ref="AN102:AN133" si="229">AM102/31</f>
        <v>103.90322580645162</v>
      </c>
      <c r="AO102" s="21">
        <v>1839</v>
      </c>
      <c r="AP102" s="22">
        <f t="shared" ref="AP102:AP133" si="230">AO102/30</f>
        <v>61.3</v>
      </c>
      <c r="AQ102" s="21">
        <v>1606</v>
      </c>
      <c r="AR102" s="22">
        <f t="shared" ref="AR102:AR133" si="231">AQ102/31</f>
        <v>51.806451612903224</v>
      </c>
      <c r="AS102" s="21">
        <v>2285</v>
      </c>
      <c r="AT102" s="22">
        <f t="shared" ref="AT102:AT133" si="232">AS102/31</f>
        <v>73.709677419354833</v>
      </c>
      <c r="AU102" s="21">
        <v>3142</v>
      </c>
      <c r="AV102" s="22">
        <f t="shared" ref="AV102:AV133" si="233">AU102/30</f>
        <v>104.73333333333333</v>
      </c>
      <c r="AW102" s="21">
        <v>2474</v>
      </c>
      <c r="AX102" s="22">
        <f t="shared" ref="AX102:AX133" si="234">AW102/31</f>
        <v>79.806451612903231</v>
      </c>
      <c r="AY102" s="21">
        <v>3179</v>
      </c>
      <c r="AZ102" s="22">
        <f t="shared" ref="AZ102:AZ133" si="235">AY102/30</f>
        <v>105.96666666666667</v>
      </c>
      <c r="BA102" s="21">
        <v>1786</v>
      </c>
      <c r="BB102" s="22">
        <f t="shared" ref="BB102:BB133" si="236">BA102/31</f>
        <v>57.612903225806448</v>
      </c>
      <c r="BC102" s="23">
        <f t="shared" si="168"/>
        <v>28838.840552995392</v>
      </c>
      <c r="BD102" s="24">
        <f t="shared" si="169"/>
        <v>20.343233318820442</v>
      </c>
      <c r="BE102" s="21">
        <v>2871</v>
      </c>
      <c r="BF102" s="22">
        <f t="shared" ref="BF102:BF133" si="237">BE102/31</f>
        <v>92.612903225806448</v>
      </c>
      <c r="BG102" s="21">
        <v>1873</v>
      </c>
      <c r="BH102" s="22">
        <f t="shared" ref="BH102:BH133" si="238">BG102/28</f>
        <v>66.892857142857139</v>
      </c>
      <c r="BI102" s="21">
        <v>2117</v>
      </c>
      <c r="BJ102" s="22">
        <f t="shared" ref="BJ102:BJ133" si="239">BI102/31</f>
        <v>68.290322580645167</v>
      </c>
      <c r="BK102" s="21">
        <v>1953</v>
      </c>
      <c r="BL102" s="22">
        <f t="shared" ref="BL102:BL133" si="240">BK102/30</f>
        <v>65.099999999999994</v>
      </c>
      <c r="BM102" s="21">
        <v>2746</v>
      </c>
      <c r="BN102" s="22">
        <f t="shared" ref="BN102:BN133" si="241">BM102/31</f>
        <v>88.58064516129032</v>
      </c>
      <c r="BO102" s="21">
        <v>1972</v>
      </c>
      <c r="BP102" s="22">
        <f t="shared" ref="BP102:BP133" si="242">BO102/30</f>
        <v>65.733333333333334</v>
      </c>
      <c r="BQ102" s="21">
        <v>1562</v>
      </c>
      <c r="BR102" s="22">
        <f t="shared" ref="BR102:BR133" si="243">BQ102/31</f>
        <v>50.387096774193552</v>
      </c>
      <c r="BS102" s="21">
        <v>2103</v>
      </c>
      <c r="BT102" s="22">
        <f t="shared" ref="BT102:BT133" si="244">BS102/31</f>
        <v>67.838709677419359</v>
      </c>
      <c r="BU102" s="21">
        <v>2374</v>
      </c>
      <c r="BV102" s="22">
        <f t="shared" ref="BV102:BV133" si="245">BU102/30</f>
        <v>79.13333333333334</v>
      </c>
      <c r="BW102" s="21">
        <v>2451</v>
      </c>
      <c r="BX102" s="22">
        <f t="shared" ref="BX102:BX133" si="246">BW102/31</f>
        <v>79.064516129032256</v>
      </c>
      <c r="BY102" s="21">
        <v>1676</v>
      </c>
      <c r="BZ102" s="22">
        <f t="shared" ref="BZ102:BZ133" si="247">BY102/30</f>
        <v>55.866666666666667</v>
      </c>
      <c r="CA102" s="21">
        <v>2803</v>
      </c>
      <c r="CB102" s="22">
        <f t="shared" ref="CB102:CB133" si="248">CA102/31</f>
        <v>90.41935483870968</v>
      </c>
      <c r="CC102" s="23">
        <f t="shared" si="182"/>
        <v>27280.500384024581</v>
      </c>
      <c r="CD102" s="24">
        <f t="shared" si="183"/>
        <v>13.512276761941774</v>
      </c>
      <c r="CE102" s="21">
        <v>2183</v>
      </c>
      <c r="CF102" s="22">
        <f t="shared" ref="CF102:CF133" si="249">CE102/31</f>
        <v>70.41935483870968</v>
      </c>
      <c r="CG102" s="21">
        <v>1961</v>
      </c>
      <c r="CH102" s="22">
        <f t="shared" ref="CH102:CH133" si="250">CG102/28</f>
        <v>70.035714285714292</v>
      </c>
      <c r="CI102" s="21">
        <v>1593</v>
      </c>
      <c r="CJ102" s="22">
        <f t="shared" ref="CJ102:CJ133" si="251">CI102/31</f>
        <v>51.387096774193552</v>
      </c>
      <c r="CK102" s="21">
        <v>2095</v>
      </c>
      <c r="CL102" s="22">
        <f t="shared" ref="CL102:CL133" si="252">CK102/30</f>
        <v>69.833333333333329</v>
      </c>
      <c r="CM102" s="21">
        <v>2369</v>
      </c>
      <c r="CN102" s="22">
        <f t="shared" ref="CN102:CN133" si="253">CM102/31</f>
        <v>76.41935483870968</v>
      </c>
      <c r="CO102" s="21">
        <v>2591</v>
      </c>
      <c r="CP102" s="22">
        <f t="shared" ref="CP102:CP133" si="254">CO102/30</f>
        <v>86.36666666666666</v>
      </c>
      <c r="CQ102" s="21">
        <v>2382</v>
      </c>
      <c r="CR102" s="22">
        <f t="shared" ref="CR102:CR133" si="255">CQ102/31</f>
        <v>76.838709677419359</v>
      </c>
      <c r="CS102" s="21">
        <v>2584</v>
      </c>
      <c r="CT102" s="22">
        <f t="shared" ref="CT102:CT133" si="256">CS102/31</f>
        <v>83.354838709677423</v>
      </c>
      <c r="CU102" s="21">
        <v>1247</v>
      </c>
      <c r="CV102" s="22">
        <f t="shared" ref="CV102:CV133" si="257">CU102/30</f>
        <v>41.56666666666667</v>
      </c>
      <c r="CW102" s="21">
        <v>2509</v>
      </c>
      <c r="CX102" s="22">
        <f t="shared" ref="CX102:CX133" si="258">CW102/31</f>
        <v>80.935483870967744</v>
      </c>
      <c r="CY102" s="21">
        <v>1846</v>
      </c>
      <c r="CZ102" s="22">
        <f t="shared" ref="CZ102:CZ133" si="259">CY102/30</f>
        <v>61.533333333333331</v>
      </c>
      <c r="DA102" s="21">
        <v>1269</v>
      </c>
      <c r="DB102" s="22">
        <f t="shared" ref="DB102:DB133" si="260">DA102/31</f>
        <v>40.935483870967744</v>
      </c>
      <c r="DC102" s="23">
        <f t="shared" si="196"/>
        <v>25397.690552995387</v>
      </c>
      <c r="DD102" s="24">
        <f t="shared" si="197"/>
        <v>15.516644916437111</v>
      </c>
      <c r="DE102" s="21">
        <v>2634</v>
      </c>
      <c r="DF102" s="22">
        <f t="shared" ref="DF102:DF133" si="261">DE102/31</f>
        <v>84.967741935483872</v>
      </c>
      <c r="DG102" s="21">
        <v>1660</v>
      </c>
      <c r="DH102" s="22">
        <f t="shared" ref="DH102:DH133" si="262">DG102/28</f>
        <v>59.285714285714285</v>
      </c>
      <c r="DI102" s="21">
        <v>2728</v>
      </c>
      <c r="DJ102" s="22">
        <f t="shared" ref="DJ102:DJ133" si="263">DI102/31</f>
        <v>88</v>
      </c>
      <c r="DK102" s="21">
        <v>1374</v>
      </c>
      <c r="DL102" s="22">
        <f t="shared" ref="DL102:DL133" si="264">DK102/30</f>
        <v>45.8</v>
      </c>
      <c r="DM102" s="21">
        <v>1640</v>
      </c>
      <c r="DN102" s="22">
        <f t="shared" ref="DN102:DN133" si="265">DM102/31</f>
        <v>52.903225806451616</v>
      </c>
      <c r="DO102" s="21">
        <v>2313</v>
      </c>
      <c r="DP102" s="22">
        <f t="shared" ref="DP102:DP133" si="266">DO102/30</f>
        <v>77.099999999999994</v>
      </c>
      <c r="DQ102" s="21">
        <v>1992</v>
      </c>
      <c r="DR102" s="22">
        <f t="shared" ref="DR102:DR133" si="267">DQ102/31</f>
        <v>64.258064516129039</v>
      </c>
      <c r="DS102" s="21">
        <v>2598</v>
      </c>
      <c r="DT102" s="22">
        <f t="shared" ref="DT102:DT133" si="268">DS102/31</f>
        <v>83.806451612903231</v>
      </c>
      <c r="DU102" s="21">
        <v>2031</v>
      </c>
      <c r="DV102" s="22">
        <f t="shared" ref="DV102:DV133" si="269">DU102/30</f>
        <v>67.7</v>
      </c>
      <c r="DW102" s="21">
        <v>2202</v>
      </c>
      <c r="DX102" s="22">
        <f t="shared" ref="DX102:DX133" si="270">DW102/31</f>
        <v>71.032258064516128</v>
      </c>
      <c r="DY102" s="21">
        <v>1668</v>
      </c>
      <c r="DZ102" s="22">
        <f t="shared" ref="DZ102:DZ133" si="271">DY102/30</f>
        <v>55.6</v>
      </c>
      <c r="EA102" s="21">
        <v>2749</v>
      </c>
      <c r="EB102" s="22">
        <f t="shared" ref="EB102:EB133" si="272">EA102/31</f>
        <v>88.677419354838705</v>
      </c>
      <c r="EC102" s="23">
        <f t="shared" si="210"/>
        <v>26339.453456221196</v>
      </c>
      <c r="ED102" s="24">
        <f t="shared" si="211"/>
        <v>14.700851665010415</v>
      </c>
      <c r="EE102" s="25">
        <f t="shared" si="212"/>
        <v>1077.1311814218252</v>
      </c>
    </row>
    <row r="103" spans="1:135" ht="15" customHeight="1" x14ac:dyDescent="0.35">
      <c r="A103" s="17">
        <v>98</v>
      </c>
      <c r="B103" s="18" t="s">
        <v>230</v>
      </c>
      <c r="C103" s="19" t="s">
        <v>231</v>
      </c>
      <c r="D103" s="20" t="s">
        <v>36</v>
      </c>
      <c r="E103" s="21">
        <v>1220</v>
      </c>
      <c r="F103" s="22">
        <f t="shared" si="213"/>
        <v>39.354838709677416</v>
      </c>
      <c r="G103" s="21">
        <v>833</v>
      </c>
      <c r="H103" s="22">
        <f t="shared" si="214"/>
        <v>29.75</v>
      </c>
      <c r="I103" s="21">
        <v>1036</v>
      </c>
      <c r="J103" s="22">
        <f t="shared" si="215"/>
        <v>33.41935483870968</v>
      </c>
      <c r="K103" s="21">
        <v>1128</v>
      </c>
      <c r="L103" s="22">
        <f t="shared" si="216"/>
        <v>37.6</v>
      </c>
      <c r="M103" s="21">
        <v>1318</v>
      </c>
      <c r="N103" s="22">
        <f t="shared" si="217"/>
        <v>42.516129032258064</v>
      </c>
      <c r="O103" s="21">
        <v>984</v>
      </c>
      <c r="P103" s="22">
        <f t="shared" si="218"/>
        <v>32.799999999999997</v>
      </c>
      <c r="Q103" s="21">
        <v>768</v>
      </c>
      <c r="R103" s="22">
        <f t="shared" si="219"/>
        <v>24.774193548387096</v>
      </c>
      <c r="S103" s="21">
        <v>1532</v>
      </c>
      <c r="T103" s="22">
        <f t="shared" si="220"/>
        <v>49.41935483870968</v>
      </c>
      <c r="U103" s="21">
        <v>928</v>
      </c>
      <c r="V103" s="22">
        <f t="shared" si="221"/>
        <v>30.933333333333334</v>
      </c>
      <c r="W103" s="21">
        <v>1604</v>
      </c>
      <c r="X103" s="22">
        <f t="shared" si="222"/>
        <v>51.741935483870968</v>
      </c>
      <c r="Y103" s="21">
        <v>1318</v>
      </c>
      <c r="Z103" s="22">
        <f t="shared" si="223"/>
        <v>43.93333333333333</v>
      </c>
      <c r="AA103" s="21">
        <v>1098</v>
      </c>
      <c r="AB103" s="22">
        <f t="shared" si="224"/>
        <v>35.41935483870968</v>
      </c>
      <c r="AC103" s="23">
        <f t="shared" si="154"/>
        <v>14183.242473118278</v>
      </c>
      <c r="AD103" s="24">
        <f t="shared" si="155"/>
        <v>8.106528636121352</v>
      </c>
      <c r="AE103" s="21">
        <v>793</v>
      </c>
      <c r="AF103" s="22">
        <f t="shared" si="225"/>
        <v>25.580645161290324</v>
      </c>
      <c r="AG103" s="21">
        <v>1014</v>
      </c>
      <c r="AH103" s="22">
        <f t="shared" si="226"/>
        <v>36.214285714285715</v>
      </c>
      <c r="AI103" s="21">
        <v>781</v>
      </c>
      <c r="AJ103" s="22">
        <f t="shared" si="227"/>
        <v>25.193548387096776</v>
      </c>
      <c r="AK103" s="21">
        <v>975</v>
      </c>
      <c r="AL103" s="22">
        <f t="shared" si="228"/>
        <v>32.5</v>
      </c>
      <c r="AM103" s="21">
        <v>1050</v>
      </c>
      <c r="AN103" s="22">
        <f t="shared" si="229"/>
        <v>33.87096774193548</v>
      </c>
      <c r="AO103" s="21">
        <v>1156</v>
      </c>
      <c r="AP103" s="22">
        <f t="shared" si="230"/>
        <v>38.533333333333331</v>
      </c>
      <c r="AQ103" s="21">
        <v>868</v>
      </c>
      <c r="AR103" s="22">
        <f t="shared" si="231"/>
        <v>28</v>
      </c>
      <c r="AS103" s="21">
        <v>765</v>
      </c>
      <c r="AT103" s="22">
        <f t="shared" si="232"/>
        <v>24.677419354838708</v>
      </c>
      <c r="AU103" s="21">
        <v>640</v>
      </c>
      <c r="AV103" s="22">
        <f t="shared" si="233"/>
        <v>21.333333333333332</v>
      </c>
      <c r="AW103" s="21">
        <v>1118</v>
      </c>
      <c r="AX103" s="22">
        <f t="shared" si="234"/>
        <v>36.064516129032256</v>
      </c>
      <c r="AY103" s="21">
        <v>669</v>
      </c>
      <c r="AZ103" s="22">
        <f t="shared" si="235"/>
        <v>22.3</v>
      </c>
      <c r="BA103" s="21">
        <v>733</v>
      </c>
      <c r="BB103" s="22">
        <f t="shared" si="236"/>
        <v>23.64516129032258</v>
      </c>
      <c r="BC103" s="23">
        <f t="shared" si="168"/>
        <v>10886.268049155147</v>
      </c>
      <c r="BD103" s="24">
        <f t="shared" si="169"/>
        <v>6.0829216231155518</v>
      </c>
      <c r="BE103" s="21">
        <v>1065</v>
      </c>
      <c r="BF103" s="22">
        <f t="shared" si="237"/>
        <v>34.354838709677416</v>
      </c>
      <c r="BG103" s="21">
        <v>1484</v>
      </c>
      <c r="BH103" s="22">
        <f t="shared" si="238"/>
        <v>53</v>
      </c>
      <c r="BI103" s="21">
        <v>1311</v>
      </c>
      <c r="BJ103" s="22">
        <f t="shared" si="239"/>
        <v>42.29032258064516</v>
      </c>
      <c r="BK103" s="21">
        <v>688</v>
      </c>
      <c r="BL103" s="22">
        <f t="shared" si="240"/>
        <v>22.933333333333334</v>
      </c>
      <c r="BM103" s="21">
        <v>952</v>
      </c>
      <c r="BN103" s="22">
        <f t="shared" si="241"/>
        <v>30.70967741935484</v>
      </c>
      <c r="BO103" s="21">
        <v>1040</v>
      </c>
      <c r="BP103" s="22">
        <f t="shared" si="242"/>
        <v>34.666666666666664</v>
      </c>
      <c r="BQ103" s="21">
        <v>790</v>
      </c>
      <c r="BR103" s="22">
        <f t="shared" si="243"/>
        <v>25.483870967741936</v>
      </c>
      <c r="BS103" s="21">
        <v>1444</v>
      </c>
      <c r="BT103" s="22">
        <f t="shared" si="244"/>
        <v>46.58064516129032</v>
      </c>
      <c r="BU103" s="21">
        <v>1261</v>
      </c>
      <c r="BV103" s="22">
        <f t="shared" si="245"/>
        <v>42.033333333333331</v>
      </c>
      <c r="BW103" s="21">
        <v>893</v>
      </c>
      <c r="BX103" s="22">
        <f t="shared" si="246"/>
        <v>28.806451612903224</v>
      </c>
      <c r="BY103" s="21">
        <v>1486</v>
      </c>
      <c r="BZ103" s="22">
        <f t="shared" si="247"/>
        <v>49.533333333333331</v>
      </c>
      <c r="CA103" s="21">
        <v>1371</v>
      </c>
      <c r="CB103" s="22">
        <f t="shared" si="248"/>
        <v>44.225806451612904</v>
      </c>
      <c r="CC103" s="23">
        <f t="shared" si="182"/>
        <v>14195.392473118278</v>
      </c>
      <c r="CD103" s="24">
        <f t="shared" si="183"/>
        <v>9.7730977801718346</v>
      </c>
      <c r="CE103" s="21">
        <v>1155</v>
      </c>
      <c r="CF103" s="22">
        <f t="shared" si="249"/>
        <v>37.258064516129032</v>
      </c>
      <c r="CG103" s="21">
        <v>1134</v>
      </c>
      <c r="CH103" s="22">
        <f t="shared" si="250"/>
        <v>40.5</v>
      </c>
      <c r="CI103" s="21">
        <v>723</v>
      </c>
      <c r="CJ103" s="22">
        <f t="shared" si="251"/>
        <v>23.322580645161292</v>
      </c>
      <c r="CK103" s="21">
        <v>791</v>
      </c>
      <c r="CL103" s="22">
        <f t="shared" si="252"/>
        <v>26.366666666666667</v>
      </c>
      <c r="CM103" s="21">
        <v>633</v>
      </c>
      <c r="CN103" s="22">
        <f t="shared" si="253"/>
        <v>20.419354838709676</v>
      </c>
      <c r="CO103" s="21">
        <v>854</v>
      </c>
      <c r="CP103" s="22">
        <f t="shared" si="254"/>
        <v>28.466666666666665</v>
      </c>
      <c r="CQ103" s="21">
        <v>702</v>
      </c>
      <c r="CR103" s="22">
        <f t="shared" si="255"/>
        <v>22.64516129032258</v>
      </c>
      <c r="CS103" s="21">
        <v>809</v>
      </c>
      <c r="CT103" s="22">
        <f t="shared" si="256"/>
        <v>26.096774193548388</v>
      </c>
      <c r="CU103" s="21">
        <v>748</v>
      </c>
      <c r="CV103" s="22">
        <f t="shared" si="257"/>
        <v>24.933333333333334</v>
      </c>
      <c r="CW103" s="21">
        <v>1051</v>
      </c>
      <c r="CX103" s="22">
        <f t="shared" si="258"/>
        <v>33.903225806451616</v>
      </c>
      <c r="CY103" s="21">
        <v>628</v>
      </c>
      <c r="CZ103" s="22">
        <f t="shared" si="259"/>
        <v>20.933333333333334</v>
      </c>
      <c r="DA103" s="21">
        <v>854</v>
      </c>
      <c r="DB103" s="22">
        <f t="shared" si="260"/>
        <v>27.548387096774192</v>
      </c>
      <c r="DC103" s="23">
        <f t="shared" si="196"/>
        <v>10386.845161290321</v>
      </c>
      <c r="DD103" s="24">
        <f t="shared" si="197"/>
        <v>6.3945906829129582</v>
      </c>
      <c r="DE103" s="21">
        <v>1063</v>
      </c>
      <c r="DF103" s="22">
        <f t="shared" si="261"/>
        <v>34.29032258064516</v>
      </c>
      <c r="DG103" s="21">
        <v>1091</v>
      </c>
      <c r="DH103" s="22">
        <f t="shared" si="262"/>
        <v>38.964285714285715</v>
      </c>
      <c r="DI103" s="21">
        <v>1253</v>
      </c>
      <c r="DJ103" s="22">
        <f t="shared" si="263"/>
        <v>40.41935483870968</v>
      </c>
      <c r="DK103" s="21">
        <v>887</v>
      </c>
      <c r="DL103" s="22">
        <f t="shared" si="264"/>
        <v>29.566666666666666</v>
      </c>
      <c r="DM103" s="21">
        <v>1022</v>
      </c>
      <c r="DN103" s="22">
        <f t="shared" si="265"/>
        <v>32.967741935483872</v>
      </c>
      <c r="DO103" s="21">
        <v>1623</v>
      </c>
      <c r="DP103" s="22">
        <f t="shared" si="266"/>
        <v>54.1</v>
      </c>
      <c r="DQ103" s="21">
        <v>1122</v>
      </c>
      <c r="DR103" s="22">
        <f t="shared" si="267"/>
        <v>36.193548387096776</v>
      </c>
      <c r="DS103" s="21">
        <v>1214</v>
      </c>
      <c r="DT103" s="22">
        <f t="shared" si="268"/>
        <v>39.161290322580648</v>
      </c>
      <c r="DU103" s="21">
        <v>870</v>
      </c>
      <c r="DV103" s="22">
        <f t="shared" si="269"/>
        <v>29</v>
      </c>
      <c r="DW103" s="21">
        <v>1174</v>
      </c>
      <c r="DX103" s="22">
        <f t="shared" si="270"/>
        <v>37.87096774193548</v>
      </c>
      <c r="DY103" s="21">
        <v>1040</v>
      </c>
      <c r="DZ103" s="22">
        <f t="shared" si="271"/>
        <v>34.666666666666664</v>
      </c>
      <c r="EA103" s="21">
        <v>733</v>
      </c>
      <c r="EB103" s="22">
        <f t="shared" si="272"/>
        <v>23.64516129032258</v>
      </c>
      <c r="EC103" s="23">
        <f t="shared" si="210"/>
        <v>13499.200844854071</v>
      </c>
      <c r="ED103" s="24">
        <f t="shared" si="211"/>
        <v>7.5454599869042376</v>
      </c>
      <c r="EE103" s="25">
        <f t="shared" si="212"/>
        <v>526.97802110933003</v>
      </c>
    </row>
    <row r="104" spans="1:135" ht="15" customHeight="1" x14ac:dyDescent="0.35">
      <c r="A104" s="17">
        <v>99</v>
      </c>
      <c r="B104" s="18" t="s">
        <v>232</v>
      </c>
      <c r="C104" s="19" t="s">
        <v>233</v>
      </c>
      <c r="D104" s="20" t="s">
        <v>36</v>
      </c>
      <c r="E104" s="21">
        <v>3639</v>
      </c>
      <c r="F104" s="22">
        <f t="shared" si="213"/>
        <v>117.38709677419355</v>
      </c>
      <c r="G104" s="21">
        <v>4218</v>
      </c>
      <c r="H104" s="22">
        <f t="shared" si="214"/>
        <v>150.64285714285714</v>
      </c>
      <c r="I104" s="21">
        <v>2643</v>
      </c>
      <c r="J104" s="22">
        <f t="shared" si="215"/>
        <v>85.258064516129039</v>
      </c>
      <c r="K104" s="21">
        <v>3558</v>
      </c>
      <c r="L104" s="22">
        <f t="shared" si="216"/>
        <v>118.6</v>
      </c>
      <c r="M104" s="21">
        <v>2992</v>
      </c>
      <c r="N104" s="22">
        <f t="shared" si="217"/>
        <v>96.516129032258064</v>
      </c>
      <c r="O104" s="21">
        <v>2542</v>
      </c>
      <c r="P104" s="22">
        <f t="shared" si="218"/>
        <v>84.733333333333334</v>
      </c>
      <c r="Q104" s="21">
        <v>4141</v>
      </c>
      <c r="R104" s="22">
        <f t="shared" si="219"/>
        <v>133.58064516129033</v>
      </c>
      <c r="S104" s="21">
        <v>4231</v>
      </c>
      <c r="T104" s="22">
        <f t="shared" si="220"/>
        <v>136.48387096774192</v>
      </c>
      <c r="U104" s="21">
        <v>3236</v>
      </c>
      <c r="V104" s="22">
        <f t="shared" si="221"/>
        <v>107.86666666666666</v>
      </c>
      <c r="W104" s="21">
        <v>2193</v>
      </c>
      <c r="X104" s="22">
        <f t="shared" si="222"/>
        <v>70.741935483870961</v>
      </c>
      <c r="Y104" s="21">
        <v>3215</v>
      </c>
      <c r="Z104" s="22">
        <f t="shared" si="223"/>
        <v>107.16666666666667</v>
      </c>
      <c r="AA104" s="21">
        <v>4050</v>
      </c>
      <c r="AB104" s="22">
        <f t="shared" si="224"/>
        <v>130.64516129032259</v>
      </c>
      <c r="AC104" s="23">
        <f t="shared" si="154"/>
        <v>41866.977265745008</v>
      </c>
      <c r="AD104" s="24">
        <f t="shared" si="155"/>
        <v>24.155004077078196</v>
      </c>
      <c r="AE104" s="21">
        <v>3772</v>
      </c>
      <c r="AF104" s="22">
        <f t="shared" si="225"/>
        <v>121.6774193548387</v>
      </c>
      <c r="AG104" s="21">
        <v>4554</v>
      </c>
      <c r="AH104" s="22">
        <f t="shared" si="226"/>
        <v>162.64285714285714</v>
      </c>
      <c r="AI104" s="21">
        <v>4688</v>
      </c>
      <c r="AJ104" s="22">
        <f t="shared" si="227"/>
        <v>151.2258064516129</v>
      </c>
      <c r="AK104" s="21">
        <v>5222</v>
      </c>
      <c r="AL104" s="22">
        <f t="shared" si="228"/>
        <v>174.06666666666666</v>
      </c>
      <c r="AM104" s="21">
        <v>2814</v>
      </c>
      <c r="AN104" s="22">
        <f t="shared" si="229"/>
        <v>90.774193548387103</v>
      </c>
      <c r="AO104" s="21">
        <v>4117</v>
      </c>
      <c r="AP104" s="22">
        <f t="shared" si="230"/>
        <v>137.23333333333332</v>
      </c>
      <c r="AQ104" s="21">
        <v>3348</v>
      </c>
      <c r="AR104" s="22">
        <f t="shared" si="231"/>
        <v>108</v>
      </c>
      <c r="AS104" s="21">
        <v>3644</v>
      </c>
      <c r="AT104" s="22">
        <f t="shared" si="232"/>
        <v>117.54838709677419</v>
      </c>
      <c r="AU104" s="21">
        <v>5034</v>
      </c>
      <c r="AV104" s="22">
        <f t="shared" si="233"/>
        <v>167.8</v>
      </c>
      <c r="AW104" s="21">
        <v>3785</v>
      </c>
      <c r="AX104" s="22">
        <f t="shared" si="234"/>
        <v>122.09677419354838</v>
      </c>
      <c r="AY104" s="21">
        <v>2666</v>
      </c>
      <c r="AZ104" s="22">
        <f t="shared" si="235"/>
        <v>88.86666666666666</v>
      </c>
      <c r="BA104" s="21">
        <v>2547</v>
      </c>
      <c r="BB104" s="22">
        <f t="shared" si="236"/>
        <v>82.161290322580641</v>
      </c>
      <c r="BC104" s="23">
        <f t="shared" si="168"/>
        <v>47632.932104454681</v>
      </c>
      <c r="BD104" s="24">
        <f t="shared" si="169"/>
        <v>31.797096755835788</v>
      </c>
      <c r="BE104" s="21">
        <v>4713</v>
      </c>
      <c r="BF104" s="22">
        <f t="shared" si="237"/>
        <v>152.03225806451613</v>
      </c>
      <c r="BG104" s="21">
        <v>4517</v>
      </c>
      <c r="BH104" s="22">
        <f t="shared" si="238"/>
        <v>161.32142857142858</v>
      </c>
      <c r="BI104" s="21">
        <v>3293</v>
      </c>
      <c r="BJ104" s="22">
        <f t="shared" si="239"/>
        <v>106.2258064516129</v>
      </c>
      <c r="BK104" s="21">
        <v>5710</v>
      </c>
      <c r="BL104" s="22">
        <f t="shared" si="240"/>
        <v>190.33333333333334</v>
      </c>
      <c r="BM104" s="21">
        <v>3482</v>
      </c>
      <c r="BN104" s="22">
        <f t="shared" si="241"/>
        <v>112.3225806451613</v>
      </c>
      <c r="BO104" s="21">
        <v>2617</v>
      </c>
      <c r="BP104" s="22">
        <f t="shared" si="242"/>
        <v>87.233333333333334</v>
      </c>
      <c r="BQ104" s="21">
        <v>4365</v>
      </c>
      <c r="BR104" s="22">
        <f t="shared" si="243"/>
        <v>140.80645161290323</v>
      </c>
      <c r="BS104" s="21">
        <v>4050</v>
      </c>
      <c r="BT104" s="22">
        <f t="shared" si="244"/>
        <v>130.64516129032259</v>
      </c>
      <c r="BU104" s="21">
        <v>4816</v>
      </c>
      <c r="BV104" s="22">
        <f t="shared" si="245"/>
        <v>160.53333333333333</v>
      </c>
      <c r="BW104" s="21">
        <v>2837</v>
      </c>
      <c r="BX104" s="22">
        <f t="shared" si="246"/>
        <v>91.516129032258064</v>
      </c>
      <c r="BY104" s="21">
        <v>4274</v>
      </c>
      <c r="BZ104" s="22">
        <f t="shared" si="247"/>
        <v>142.46666666666667</v>
      </c>
      <c r="CA104" s="21">
        <v>3199</v>
      </c>
      <c r="CB104" s="22">
        <f t="shared" si="248"/>
        <v>103.19354838709677</v>
      </c>
      <c r="CC104" s="23">
        <f t="shared" si="182"/>
        <v>49348.436482334866</v>
      </c>
      <c r="CD104" s="24">
        <f t="shared" si="183"/>
        <v>31.893036373176148</v>
      </c>
      <c r="CE104" s="21">
        <v>3466</v>
      </c>
      <c r="CF104" s="22">
        <f t="shared" si="249"/>
        <v>111.80645161290323</v>
      </c>
      <c r="CG104" s="21">
        <v>4398</v>
      </c>
      <c r="CH104" s="22">
        <f t="shared" si="250"/>
        <v>157.07142857142858</v>
      </c>
      <c r="CI104" s="21">
        <v>5496</v>
      </c>
      <c r="CJ104" s="22">
        <f t="shared" si="251"/>
        <v>177.29032258064515</v>
      </c>
      <c r="CK104" s="21">
        <v>5383</v>
      </c>
      <c r="CL104" s="22">
        <f t="shared" si="252"/>
        <v>179.43333333333334</v>
      </c>
      <c r="CM104" s="21">
        <v>3606</v>
      </c>
      <c r="CN104" s="22">
        <f t="shared" si="253"/>
        <v>116.3225806451613</v>
      </c>
      <c r="CO104" s="21">
        <v>2914</v>
      </c>
      <c r="CP104" s="22">
        <f t="shared" si="254"/>
        <v>97.13333333333334</v>
      </c>
      <c r="CQ104" s="21">
        <v>5205</v>
      </c>
      <c r="CR104" s="22">
        <f t="shared" si="255"/>
        <v>167.90322580645162</v>
      </c>
      <c r="CS104" s="21">
        <v>3634</v>
      </c>
      <c r="CT104" s="22">
        <f t="shared" si="256"/>
        <v>117.2258064516129</v>
      </c>
      <c r="CU104" s="21">
        <v>3644</v>
      </c>
      <c r="CV104" s="22">
        <f t="shared" si="257"/>
        <v>121.46666666666667</v>
      </c>
      <c r="CW104" s="21">
        <v>3358</v>
      </c>
      <c r="CX104" s="22">
        <f t="shared" si="258"/>
        <v>108.3225806451613</v>
      </c>
      <c r="CY104" s="21">
        <v>3575</v>
      </c>
      <c r="CZ104" s="22">
        <f t="shared" si="259"/>
        <v>119.16666666666667</v>
      </c>
      <c r="DA104" s="21">
        <v>5607</v>
      </c>
      <c r="DB104" s="22">
        <f t="shared" si="260"/>
        <v>180.87096774193549</v>
      </c>
      <c r="DC104" s="23">
        <f t="shared" si="196"/>
        <v>51759.142396313371</v>
      </c>
      <c r="DD104" s="24">
        <f t="shared" si="197"/>
        <v>31.798259910551987</v>
      </c>
      <c r="DE104" s="21">
        <v>5191</v>
      </c>
      <c r="DF104" s="22">
        <f t="shared" si="261"/>
        <v>167.45161290322579</v>
      </c>
      <c r="DG104" s="21">
        <v>2677</v>
      </c>
      <c r="DH104" s="22">
        <f t="shared" si="262"/>
        <v>95.607142857142861</v>
      </c>
      <c r="DI104" s="21">
        <v>4723</v>
      </c>
      <c r="DJ104" s="22">
        <f t="shared" si="263"/>
        <v>152.35483870967741</v>
      </c>
      <c r="DK104" s="21">
        <v>3817</v>
      </c>
      <c r="DL104" s="22">
        <f t="shared" si="264"/>
        <v>127.23333333333333</v>
      </c>
      <c r="DM104" s="21">
        <v>5569</v>
      </c>
      <c r="DN104" s="22">
        <f t="shared" si="265"/>
        <v>179.64516129032259</v>
      </c>
      <c r="DO104" s="21">
        <v>4966</v>
      </c>
      <c r="DP104" s="22">
        <f t="shared" si="266"/>
        <v>165.53333333333333</v>
      </c>
      <c r="DQ104" s="21">
        <v>3319</v>
      </c>
      <c r="DR104" s="22">
        <f t="shared" si="267"/>
        <v>107.06451612903226</v>
      </c>
      <c r="DS104" s="21">
        <v>4972</v>
      </c>
      <c r="DT104" s="22">
        <f t="shared" si="268"/>
        <v>160.38709677419354</v>
      </c>
      <c r="DU104" s="21">
        <v>5498</v>
      </c>
      <c r="DV104" s="22">
        <f t="shared" si="269"/>
        <v>183.26666666666668</v>
      </c>
      <c r="DW104" s="21">
        <v>3752</v>
      </c>
      <c r="DX104" s="22">
        <f t="shared" si="270"/>
        <v>121.03225806451613</v>
      </c>
      <c r="DY104" s="21">
        <v>5262</v>
      </c>
      <c r="DZ104" s="22">
        <f t="shared" si="271"/>
        <v>175.4</v>
      </c>
      <c r="EA104" s="21">
        <v>2843</v>
      </c>
      <c r="EB104" s="22">
        <f t="shared" si="272"/>
        <v>91.709677419354833</v>
      </c>
      <c r="EC104" s="23">
        <f t="shared" si="210"/>
        <v>54223.975960061449</v>
      </c>
      <c r="ED104" s="24">
        <f t="shared" si="211"/>
        <v>33.573910653722727</v>
      </c>
      <c r="EE104" s="25">
        <f t="shared" si="212"/>
        <v>2024.9363478719129</v>
      </c>
    </row>
    <row r="105" spans="1:135" ht="15" customHeight="1" x14ac:dyDescent="0.35">
      <c r="A105" s="17">
        <v>100</v>
      </c>
      <c r="B105" s="18" t="s">
        <v>234</v>
      </c>
      <c r="C105" s="19" t="s">
        <v>235</v>
      </c>
      <c r="D105" s="20" t="s">
        <v>36</v>
      </c>
      <c r="E105" s="21">
        <v>2890</v>
      </c>
      <c r="F105" s="22">
        <f t="shared" si="213"/>
        <v>93.225806451612897</v>
      </c>
      <c r="G105" s="21">
        <v>1807</v>
      </c>
      <c r="H105" s="22">
        <f t="shared" si="214"/>
        <v>64.535714285714292</v>
      </c>
      <c r="I105" s="21">
        <v>2070</v>
      </c>
      <c r="J105" s="22">
        <f t="shared" si="215"/>
        <v>66.774193548387103</v>
      </c>
      <c r="K105" s="21">
        <v>2646</v>
      </c>
      <c r="L105" s="22">
        <f t="shared" si="216"/>
        <v>88.2</v>
      </c>
      <c r="M105" s="21">
        <v>3495</v>
      </c>
      <c r="N105" s="22">
        <f t="shared" si="217"/>
        <v>112.74193548387096</v>
      </c>
      <c r="O105" s="21">
        <v>3753</v>
      </c>
      <c r="P105" s="22">
        <f t="shared" si="218"/>
        <v>125.1</v>
      </c>
      <c r="Q105" s="21">
        <v>1764</v>
      </c>
      <c r="R105" s="22">
        <f t="shared" si="219"/>
        <v>56.903225806451616</v>
      </c>
      <c r="S105" s="21">
        <v>3695</v>
      </c>
      <c r="T105" s="22">
        <f t="shared" si="220"/>
        <v>119.19354838709677</v>
      </c>
      <c r="U105" s="21">
        <v>3255</v>
      </c>
      <c r="V105" s="22">
        <f t="shared" si="221"/>
        <v>108.5</v>
      </c>
      <c r="W105" s="21">
        <v>1812</v>
      </c>
      <c r="X105" s="22">
        <f t="shared" si="222"/>
        <v>58.451612903225808</v>
      </c>
      <c r="Y105" s="21">
        <v>2506</v>
      </c>
      <c r="Z105" s="22">
        <f t="shared" si="223"/>
        <v>83.533333333333331</v>
      </c>
      <c r="AA105" s="21">
        <v>3597</v>
      </c>
      <c r="AB105" s="22">
        <f t="shared" si="224"/>
        <v>116.03225806451613</v>
      </c>
      <c r="AC105" s="23">
        <f t="shared" si="154"/>
        <v>34267.15937019969</v>
      </c>
      <c r="AD105" s="24">
        <f t="shared" si="155"/>
        <v>25.119576749170875</v>
      </c>
      <c r="AE105" s="21">
        <v>2627</v>
      </c>
      <c r="AF105" s="22">
        <f t="shared" si="225"/>
        <v>84.741935483870961</v>
      </c>
      <c r="AG105" s="21">
        <v>2945</v>
      </c>
      <c r="AH105" s="22">
        <f t="shared" si="226"/>
        <v>105.17857142857143</v>
      </c>
      <c r="AI105" s="21">
        <v>3294</v>
      </c>
      <c r="AJ105" s="22">
        <f t="shared" si="227"/>
        <v>106.25806451612904</v>
      </c>
      <c r="AK105" s="21">
        <v>3395</v>
      </c>
      <c r="AL105" s="22">
        <f t="shared" si="228"/>
        <v>113.16666666666667</v>
      </c>
      <c r="AM105" s="21">
        <v>2001</v>
      </c>
      <c r="AN105" s="22">
        <f t="shared" si="229"/>
        <v>64.548387096774192</v>
      </c>
      <c r="AO105" s="21">
        <v>2111</v>
      </c>
      <c r="AP105" s="22">
        <f t="shared" si="230"/>
        <v>70.36666666666666</v>
      </c>
      <c r="AQ105" s="21">
        <v>2553</v>
      </c>
      <c r="AR105" s="22">
        <f t="shared" si="231"/>
        <v>82.354838709677423</v>
      </c>
      <c r="AS105" s="21">
        <v>2941</v>
      </c>
      <c r="AT105" s="22">
        <f t="shared" si="232"/>
        <v>94.870967741935488</v>
      </c>
      <c r="AU105" s="21">
        <v>1787</v>
      </c>
      <c r="AV105" s="22">
        <f t="shared" si="233"/>
        <v>59.56666666666667</v>
      </c>
      <c r="AW105" s="21">
        <v>3555</v>
      </c>
      <c r="AX105" s="22">
        <f t="shared" si="234"/>
        <v>114.6774193548387</v>
      </c>
      <c r="AY105" s="21">
        <v>3574</v>
      </c>
      <c r="AZ105" s="22">
        <f t="shared" si="235"/>
        <v>119.13333333333334</v>
      </c>
      <c r="BA105" s="21">
        <v>2377</v>
      </c>
      <c r="BB105" s="22">
        <f t="shared" si="236"/>
        <v>76.677419354838705</v>
      </c>
      <c r="BC105" s="23">
        <f t="shared" si="168"/>
        <v>34174.86351766513</v>
      </c>
      <c r="BD105" s="24">
        <f t="shared" si="169"/>
        <v>20.725013891247848</v>
      </c>
      <c r="BE105" s="21">
        <v>2342</v>
      </c>
      <c r="BF105" s="22">
        <f t="shared" si="237"/>
        <v>75.548387096774192</v>
      </c>
      <c r="BG105" s="21">
        <v>2171</v>
      </c>
      <c r="BH105" s="22">
        <f t="shared" si="238"/>
        <v>77.535714285714292</v>
      </c>
      <c r="BI105" s="21">
        <v>1390</v>
      </c>
      <c r="BJ105" s="22">
        <f t="shared" si="239"/>
        <v>44.838709677419352</v>
      </c>
      <c r="BK105" s="21">
        <v>1346</v>
      </c>
      <c r="BL105" s="22">
        <f t="shared" si="240"/>
        <v>44.866666666666667</v>
      </c>
      <c r="BM105" s="21">
        <v>1812</v>
      </c>
      <c r="BN105" s="22">
        <f t="shared" si="241"/>
        <v>58.451612903225808</v>
      </c>
      <c r="BO105" s="21">
        <v>3052</v>
      </c>
      <c r="BP105" s="22">
        <f t="shared" si="242"/>
        <v>101.73333333333333</v>
      </c>
      <c r="BQ105" s="21">
        <v>2834</v>
      </c>
      <c r="BR105" s="22">
        <f t="shared" si="243"/>
        <v>91.41935483870968</v>
      </c>
      <c r="BS105" s="21">
        <v>2187</v>
      </c>
      <c r="BT105" s="22">
        <f t="shared" si="244"/>
        <v>70.548387096774192</v>
      </c>
      <c r="BU105" s="21">
        <v>2511</v>
      </c>
      <c r="BV105" s="22">
        <f t="shared" si="245"/>
        <v>83.7</v>
      </c>
      <c r="BW105" s="21">
        <v>2939</v>
      </c>
      <c r="BX105" s="22">
        <f t="shared" si="246"/>
        <v>94.806451612903231</v>
      </c>
      <c r="BY105" s="21">
        <v>2088</v>
      </c>
      <c r="BZ105" s="22">
        <f t="shared" si="247"/>
        <v>69.599999999999994</v>
      </c>
      <c r="CA105" s="21">
        <v>2222</v>
      </c>
      <c r="CB105" s="22">
        <f t="shared" si="248"/>
        <v>71.677419354838705</v>
      </c>
      <c r="CC105" s="23">
        <f t="shared" si="182"/>
        <v>27707.048617511518</v>
      </c>
      <c r="CD105" s="24">
        <f t="shared" si="183"/>
        <v>18.068375158564084</v>
      </c>
      <c r="CE105" s="21">
        <v>2544</v>
      </c>
      <c r="CF105" s="22">
        <f t="shared" si="249"/>
        <v>82.064516129032256</v>
      </c>
      <c r="CG105" s="21">
        <v>1760</v>
      </c>
      <c r="CH105" s="22">
        <f t="shared" si="250"/>
        <v>62.857142857142854</v>
      </c>
      <c r="CI105" s="21">
        <v>1538</v>
      </c>
      <c r="CJ105" s="22">
        <f t="shared" si="251"/>
        <v>49.612903225806448</v>
      </c>
      <c r="CK105" s="21">
        <v>1817</v>
      </c>
      <c r="CL105" s="22">
        <f t="shared" si="252"/>
        <v>60.56666666666667</v>
      </c>
      <c r="CM105" s="21">
        <v>3086</v>
      </c>
      <c r="CN105" s="22">
        <f t="shared" si="253"/>
        <v>99.548387096774192</v>
      </c>
      <c r="CO105" s="21">
        <v>1445</v>
      </c>
      <c r="CP105" s="22">
        <f t="shared" si="254"/>
        <v>48.166666666666664</v>
      </c>
      <c r="CQ105" s="21">
        <v>2646</v>
      </c>
      <c r="CR105" s="22">
        <f t="shared" si="255"/>
        <v>85.354838709677423</v>
      </c>
      <c r="CS105" s="21">
        <v>2355</v>
      </c>
      <c r="CT105" s="22">
        <f t="shared" si="256"/>
        <v>75.967741935483872</v>
      </c>
      <c r="CU105" s="21">
        <v>2327</v>
      </c>
      <c r="CV105" s="22">
        <f t="shared" si="257"/>
        <v>77.566666666666663</v>
      </c>
      <c r="CW105" s="21">
        <v>2863</v>
      </c>
      <c r="CX105" s="22">
        <f t="shared" si="258"/>
        <v>92.354838709677423</v>
      </c>
      <c r="CY105" s="21">
        <v>2438</v>
      </c>
      <c r="CZ105" s="22">
        <f t="shared" si="259"/>
        <v>81.266666666666666</v>
      </c>
      <c r="DA105" s="21">
        <v>2169</v>
      </c>
      <c r="DB105" s="22">
        <f t="shared" si="260"/>
        <v>69.967741935483872</v>
      </c>
      <c r="DC105" s="23">
        <f t="shared" si="196"/>
        <v>27803.327035330261</v>
      </c>
      <c r="DD105" s="24">
        <f t="shared" si="197"/>
        <v>16.054863596810893</v>
      </c>
      <c r="DE105" s="21">
        <v>3500</v>
      </c>
      <c r="DF105" s="22">
        <f t="shared" si="261"/>
        <v>112.90322580645162</v>
      </c>
      <c r="DG105" s="21">
        <v>2107</v>
      </c>
      <c r="DH105" s="22">
        <f t="shared" si="262"/>
        <v>75.25</v>
      </c>
      <c r="DI105" s="21">
        <v>3060</v>
      </c>
      <c r="DJ105" s="22">
        <f t="shared" si="263"/>
        <v>98.709677419354833</v>
      </c>
      <c r="DK105" s="21">
        <v>3212</v>
      </c>
      <c r="DL105" s="22">
        <f t="shared" si="264"/>
        <v>107.06666666666666</v>
      </c>
      <c r="DM105" s="21">
        <v>3866</v>
      </c>
      <c r="DN105" s="22">
        <f t="shared" si="265"/>
        <v>124.70967741935483</v>
      </c>
      <c r="DO105" s="21">
        <v>2212</v>
      </c>
      <c r="DP105" s="22">
        <f t="shared" si="266"/>
        <v>73.733333333333334</v>
      </c>
      <c r="DQ105" s="21">
        <v>1959</v>
      </c>
      <c r="DR105" s="22">
        <f t="shared" si="267"/>
        <v>63.193548387096776</v>
      </c>
      <c r="DS105" s="21">
        <v>2592</v>
      </c>
      <c r="DT105" s="22">
        <f t="shared" si="268"/>
        <v>83.612903225806448</v>
      </c>
      <c r="DU105" s="21">
        <v>3946</v>
      </c>
      <c r="DV105" s="22">
        <f t="shared" si="269"/>
        <v>131.53333333333333</v>
      </c>
      <c r="DW105" s="21">
        <v>2146</v>
      </c>
      <c r="DX105" s="22">
        <f t="shared" si="270"/>
        <v>69.225806451612897</v>
      </c>
      <c r="DY105" s="21">
        <v>2213</v>
      </c>
      <c r="DZ105" s="22">
        <f t="shared" si="271"/>
        <v>73.766666666666666</v>
      </c>
      <c r="EA105" s="21">
        <v>2478</v>
      </c>
      <c r="EB105" s="22">
        <f t="shared" si="272"/>
        <v>79.935483870967744</v>
      </c>
      <c r="EC105" s="23">
        <f t="shared" si="210"/>
        <v>34304.704838709673</v>
      </c>
      <c r="ED105" s="24">
        <f t="shared" si="211"/>
        <v>23.049142112196492</v>
      </c>
      <c r="EE105" s="25">
        <f t="shared" si="212"/>
        <v>1320.8107363652189</v>
      </c>
    </row>
  </sheetData>
  <mergeCells count="82">
    <mergeCell ref="DW4:DX4"/>
    <mergeCell ref="DY4:DZ4"/>
    <mergeCell ref="EA4:EB4"/>
    <mergeCell ref="EC4:EC5"/>
    <mergeCell ref="ED4:ED5"/>
    <mergeCell ref="DM4:DN4"/>
    <mergeCell ref="DO4:DP4"/>
    <mergeCell ref="DQ4:DR4"/>
    <mergeCell ref="DS4:DT4"/>
    <mergeCell ref="DU4:DV4"/>
    <mergeCell ref="DD4:DD5"/>
    <mergeCell ref="DE4:DF4"/>
    <mergeCell ref="DG4:DH4"/>
    <mergeCell ref="DI4:DJ4"/>
    <mergeCell ref="DK4:DL4"/>
    <mergeCell ref="CU4:CV4"/>
    <mergeCell ref="CW4:CX4"/>
    <mergeCell ref="CY4:CZ4"/>
    <mergeCell ref="DA4:DB4"/>
    <mergeCell ref="DC4:DC5"/>
    <mergeCell ref="CK4:CL4"/>
    <mergeCell ref="CM4:CN4"/>
    <mergeCell ref="CO4:CP4"/>
    <mergeCell ref="CQ4:CR4"/>
    <mergeCell ref="CS4:CT4"/>
    <mergeCell ref="CC4:CC5"/>
    <mergeCell ref="CD4:CD5"/>
    <mergeCell ref="CE4:CF4"/>
    <mergeCell ref="CG4:CH4"/>
    <mergeCell ref="CI4:CJ4"/>
    <mergeCell ref="BS4:BT4"/>
    <mergeCell ref="BU4:BV4"/>
    <mergeCell ref="BW4:BX4"/>
    <mergeCell ref="BY4:BZ4"/>
    <mergeCell ref="CA4:CB4"/>
    <mergeCell ref="BI4:BJ4"/>
    <mergeCell ref="BK4:BL4"/>
    <mergeCell ref="BM4:BN4"/>
    <mergeCell ref="BO4:BP4"/>
    <mergeCell ref="BQ4:BR4"/>
    <mergeCell ref="BA4:BB4"/>
    <mergeCell ref="BC4:BC5"/>
    <mergeCell ref="BD4:BD5"/>
    <mergeCell ref="BE4:BF4"/>
    <mergeCell ref="BG4:BH4"/>
    <mergeCell ref="AQ4:AR4"/>
    <mergeCell ref="AS4:AT4"/>
    <mergeCell ref="AU4:AV4"/>
    <mergeCell ref="AW4:AX4"/>
    <mergeCell ref="AY4:AZ4"/>
    <mergeCell ref="CE3:DD3"/>
    <mergeCell ref="DE3:ED3"/>
    <mergeCell ref="EE3:EE5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C5"/>
    <mergeCell ref="A1:BZ1"/>
    <mergeCell ref="A2:BZ2"/>
    <mergeCell ref="A3:A5"/>
    <mergeCell ref="B3:B5"/>
    <mergeCell ref="C3:C5"/>
    <mergeCell ref="D3:D5"/>
    <mergeCell ref="E3:AD3"/>
    <mergeCell ref="AE3:BD3"/>
    <mergeCell ref="BE3:CD3"/>
    <mergeCell ref="AD4:AD5"/>
    <mergeCell ref="AE4:AF4"/>
    <mergeCell ref="AG4:AH4"/>
    <mergeCell ref="AI4:AJ4"/>
    <mergeCell ref="AK4:AL4"/>
    <mergeCell ref="AM4:AN4"/>
    <mergeCell ref="AO4:AP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5"/>
  <sheetViews>
    <sheetView showGridLines="0" zoomScaleNormal="100" workbookViewId="0">
      <pane ySplit="6" topLeftCell="A9" activePane="bottomLeft" state="frozen"/>
      <selection pane="bottomLeft" activeCell="V9" sqref="V9"/>
    </sheetView>
  </sheetViews>
  <sheetFormatPr defaultColWidth="8.6328125" defaultRowHeight="14.5" x14ac:dyDescent="0.35"/>
  <cols>
    <col min="1" max="1" width="5" customWidth="1"/>
    <col min="2" max="2" width="7" customWidth="1"/>
    <col min="3" max="4" width="9" customWidth="1"/>
    <col min="5" max="5" width="26" customWidth="1"/>
    <col min="6" max="6" width="7" customWidth="1"/>
    <col min="7" max="7" width="13" customWidth="1"/>
    <col min="8" max="8" width="12" customWidth="1"/>
    <col min="9" max="9" width="18" customWidth="1"/>
    <col min="10" max="11" width="17" customWidth="1"/>
    <col min="12" max="12" width="14" customWidth="1"/>
    <col min="13" max="14" width="18" customWidth="1"/>
    <col min="15" max="15" width="14" customWidth="1"/>
    <col min="16" max="16" width="16" customWidth="1"/>
    <col min="17" max="19" width="14" customWidth="1"/>
    <col min="20" max="20" width="12" customWidth="1"/>
    <col min="21" max="21" width="16" customWidth="1"/>
    <col min="22" max="22" width="14" customWidth="1"/>
  </cols>
  <sheetData>
    <row r="1" spans="1:22" ht="24" customHeight="1" x14ac:dyDescent="0.35">
      <c r="A1" s="81" t="s">
        <v>236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3.5" customHeight="1" x14ac:dyDescent="0.35">
      <c r="A2" s="82" t="s">
        <v>237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2" ht="13.5" customHeight="1" x14ac:dyDescent="0.35">
      <c r="A3" s="83" t="s">
        <v>238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 spans="1:22" ht="4.5" customHeight="1" x14ac:dyDescent="0.35">
      <c r="A4" s="84" t="s">
        <v>239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</row>
    <row r="5" spans="1:22" ht="24" customHeight="1" x14ac:dyDescent="0.35">
      <c r="A5" s="85" t="s">
        <v>240</v>
      </c>
      <c r="B5" s="85"/>
      <c r="C5" s="85"/>
      <c r="D5" s="85"/>
      <c r="E5" s="85"/>
      <c r="F5" s="85"/>
      <c r="G5" s="85"/>
      <c r="H5" s="85"/>
      <c r="I5" s="86" t="s">
        <v>241</v>
      </c>
      <c r="J5" s="86"/>
      <c r="K5" s="86"/>
      <c r="L5" s="86"/>
      <c r="M5" s="87" t="s">
        <v>242</v>
      </c>
      <c r="N5" s="87"/>
      <c r="O5" s="87"/>
      <c r="P5" s="87"/>
      <c r="Q5" s="11" t="s">
        <v>243</v>
      </c>
      <c r="R5" s="11"/>
      <c r="S5" s="11"/>
      <c r="T5" s="88" t="s">
        <v>244</v>
      </c>
      <c r="U5" s="88"/>
      <c r="V5" s="88"/>
    </row>
    <row r="6" spans="1:22" ht="42" customHeight="1" x14ac:dyDescent="0.35">
      <c r="A6" s="26" t="s">
        <v>2</v>
      </c>
      <c r="B6" s="26" t="s">
        <v>245</v>
      </c>
      <c r="C6" s="26" t="s">
        <v>246</v>
      </c>
      <c r="D6" s="26" t="s">
        <v>3</v>
      </c>
      <c r="E6" s="26" t="s">
        <v>4</v>
      </c>
      <c r="F6" s="26" t="s">
        <v>5</v>
      </c>
      <c r="G6" s="26" t="s">
        <v>247</v>
      </c>
      <c r="H6" s="26" t="s">
        <v>248</v>
      </c>
      <c r="I6" s="27" t="s">
        <v>249</v>
      </c>
      <c r="J6" s="27" t="s">
        <v>250</v>
      </c>
      <c r="K6" s="27" t="s">
        <v>251</v>
      </c>
      <c r="L6" s="27" t="s">
        <v>252</v>
      </c>
      <c r="M6" s="28" t="s">
        <v>253</v>
      </c>
      <c r="N6" s="28" t="s">
        <v>254</v>
      </c>
      <c r="O6" s="28" t="s">
        <v>255</v>
      </c>
      <c r="P6" s="28" t="s">
        <v>256</v>
      </c>
      <c r="Q6" s="29" t="s">
        <v>257</v>
      </c>
      <c r="R6" s="29" t="s">
        <v>258</v>
      </c>
      <c r="S6" s="29" t="s">
        <v>259</v>
      </c>
      <c r="T6" s="30" t="s">
        <v>260</v>
      </c>
      <c r="U6" s="30" t="s">
        <v>261</v>
      </c>
      <c r="V6" s="30" t="s">
        <v>262</v>
      </c>
    </row>
    <row r="7" spans="1:22" ht="15" customHeight="1" x14ac:dyDescent="0.35">
      <c r="A7" s="31">
        <v>1</v>
      </c>
      <c r="B7" s="32">
        <v>2021</v>
      </c>
      <c r="C7" s="31" t="s">
        <v>263</v>
      </c>
      <c r="D7" s="31" t="s">
        <v>34</v>
      </c>
      <c r="E7" s="33" t="s">
        <v>35</v>
      </c>
      <c r="F7" s="31" t="s">
        <v>36</v>
      </c>
      <c r="G7" s="34">
        <v>0</v>
      </c>
      <c r="H7" s="34">
        <v>6</v>
      </c>
      <c r="I7" s="34">
        <f>IFERROR(ROUND('Data Bulanan'!AC6,0),0)</f>
        <v>37912</v>
      </c>
      <c r="J7" s="34">
        <v>2168498</v>
      </c>
      <c r="K7" s="34">
        <v>87265</v>
      </c>
      <c r="L7" s="35">
        <f t="shared" ref="L7:L70" si="0">IFERROR(ROUND(SQRT(2*I7*J7/K7),0),0)</f>
        <v>1373</v>
      </c>
      <c r="M7" s="36">
        <f>IFERROR(AVERAGE('Data Bulanan'!F6,'Data Bulanan'!H6,'Data Bulanan'!J6,'Data Bulanan'!L6,'Data Bulanan'!N6,'Data Bulanan'!P6,'Data Bulanan'!R6,'Data Bulanan'!T6,'Data Bulanan'!V6,'Data Bulanan'!X6,'Data Bulanan'!Z6,'Data Bulanan'!AB6),0)</f>
        <v>100.6489503328213</v>
      </c>
      <c r="N7" s="37">
        <f>'Data Bulanan'!AD6</f>
        <v>24.865921552935649</v>
      </c>
      <c r="O7" s="38">
        <f t="shared" ref="O7:O70" si="1">IFERROR(N7*SQRT(H7),0)</f>
        <v>60.908819788767026</v>
      </c>
      <c r="P7" s="39">
        <f t="shared" ref="P7:P70" si="2">IFERROR(ROUND(1.65*O7,0),0)</f>
        <v>100</v>
      </c>
      <c r="Q7" s="40">
        <f t="shared" ref="Q7:Q70" si="3">IFERROR(ROUND(M7*H7+P7,0),0)</f>
        <v>704</v>
      </c>
      <c r="R7" s="41">
        <f t="shared" ref="R7:R70" si="4">G7-Q7</f>
        <v>-704</v>
      </c>
      <c r="S7" s="42" t="str">
        <f t="shared" ref="S7:S70" si="5">IF(G7=0,"Stockout ⚠",IF(G7&lt;Q7,"Reorder 🔄",IF(G7&gt;Q7+L7,"Overstock 📦","Aman ✅")))</f>
        <v>Stockout ⚠</v>
      </c>
      <c r="T7" s="43">
        <f>IFERROR(N7/AVERAGE(M7:M11),0)</f>
        <v>0.25176056928877721</v>
      </c>
      <c r="U7" s="44">
        <v>-826.12</v>
      </c>
      <c r="V7" s="45">
        <v>0.14979999999999999</v>
      </c>
    </row>
    <row r="8" spans="1:22" ht="15" customHeight="1" x14ac:dyDescent="0.35">
      <c r="A8" s="31">
        <v>2</v>
      </c>
      <c r="B8" s="32">
        <v>2022</v>
      </c>
      <c r="C8" s="31" t="s">
        <v>263</v>
      </c>
      <c r="D8" s="31" t="s">
        <v>34</v>
      </c>
      <c r="E8" s="33" t="s">
        <v>35</v>
      </c>
      <c r="F8" s="31" t="s">
        <v>36</v>
      </c>
      <c r="G8" s="34">
        <v>611</v>
      </c>
      <c r="H8" s="34">
        <v>6</v>
      </c>
      <c r="I8" s="34">
        <f>IFERROR(ROUND('Data Bulanan'!BC6,0),0)</f>
        <v>36654</v>
      </c>
      <c r="J8" s="34">
        <v>2246093</v>
      </c>
      <c r="K8" s="34">
        <v>88264</v>
      </c>
      <c r="L8" s="35">
        <f t="shared" si="0"/>
        <v>1366</v>
      </c>
      <c r="M8" s="36">
        <f>IFERROR(AVERAGE('Data Bulanan'!AF6,'Data Bulanan'!AH6,'Data Bulanan'!AJ6,'Data Bulanan'!AL6,'Data Bulanan'!AN6,'Data Bulanan'!AP6,'Data Bulanan'!AR6,'Data Bulanan'!AT6,'Data Bulanan'!AV6,'Data Bulanan'!AX6,'Data Bulanan'!AZ6,'Data Bulanan'!BB6),0)</f>
        <v>97.475691244239627</v>
      </c>
      <c r="N8" s="37">
        <f>'Data Bulanan'!BD6</f>
        <v>24.533339831039825</v>
      </c>
      <c r="O8" s="38">
        <f t="shared" si="1"/>
        <v>60.094164272346035</v>
      </c>
      <c r="P8" s="39">
        <f t="shared" si="2"/>
        <v>99</v>
      </c>
      <c r="Q8" s="40">
        <f t="shared" si="3"/>
        <v>684</v>
      </c>
      <c r="R8" s="41">
        <f t="shared" si="4"/>
        <v>-73</v>
      </c>
      <c r="S8" s="42" t="str">
        <f t="shared" si="5"/>
        <v>Reorder 🔄</v>
      </c>
      <c r="T8" s="43">
        <f>IFERROR(N8/AVERAGE(M7:M11),0)</f>
        <v>0.24839327146065188</v>
      </c>
      <c r="U8" s="44">
        <v>-826.12</v>
      </c>
      <c r="V8" s="45">
        <v>0.14979999999999999</v>
      </c>
    </row>
    <row r="9" spans="1:22" ht="15" customHeight="1" x14ac:dyDescent="0.35">
      <c r="A9" s="31">
        <v>3</v>
      </c>
      <c r="B9" s="32">
        <v>2023</v>
      </c>
      <c r="C9" s="31" t="s">
        <v>263</v>
      </c>
      <c r="D9" s="31" t="s">
        <v>34</v>
      </c>
      <c r="E9" s="33" t="s">
        <v>35</v>
      </c>
      <c r="F9" s="31" t="s">
        <v>36</v>
      </c>
      <c r="G9" s="34">
        <v>5530</v>
      </c>
      <c r="H9" s="34">
        <v>6</v>
      </c>
      <c r="I9" s="34">
        <f>IFERROR(ROUND('Data Bulanan'!CC6,0),0)</f>
        <v>38822</v>
      </c>
      <c r="J9" s="34">
        <v>2073806</v>
      </c>
      <c r="K9" s="34">
        <v>84691</v>
      </c>
      <c r="L9" s="35">
        <f t="shared" si="0"/>
        <v>1379</v>
      </c>
      <c r="M9" s="36">
        <f>IFERROR(AVERAGE('Data Bulanan'!BF6,'Data Bulanan'!BH6,'Data Bulanan'!BJ6,'Data Bulanan'!BL6,'Data Bulanan'!BN6,'Data Bulanan'!BP6,'Data Bulanan'!BR6,'Data Bulanan'!BT6,'Data Bulanan'!BV6,'Data Bulanan'!BX6,'Data Bulanan'!BZ6,'Data Bulanan'!CB6),0)</f>
        <v>103.02451356886841</v>
      </c>
      <c r="N9" s="37">
        <f>'Data Bulanan'!CD6</f>
        <v>22.230842838297818</v>
      </c>
      <c r="O9" s="38">
        <f t="shared" si="1"/>
        <v>54.45422150583537</v>
      </c>
      <c r="P9" s="39">
        <f t="shared" si="2"/>
        <v>90</v>
      </c>
      <c r="Q9" s="40">
        <f t="shared" si="3"/>
        <v>708</v>
      </c>
      <c r="R9" s="41">
        <f t="shared" si="4"/>
        <v>4822</v>
      </c>
      <c r="S9" s="42" t="str">
        <f t="shared" si="5"/>
        <v>Overstock 📦</v>
      </c>
      <c r="T9" s="43">
        <f>IFERROR(N9/AVERAGE(M7:M11),0)</f>
        <v>0.2250811270688029</v>
      </c>
      <c r="U9" s="44">
        <v>-826.12</v>
      </c>
      <c r="V9" s="45">
        <v>0.14979999999999999</v>
      </c>
    </row>
    <row r="10" spans="1:22" ht="15" customHeight="1" x14ac:dyDescent="0.35">
      <c r="A10" s="31">
        <v>4</v>
      </c>
      <c r="B10" s="32">
        <v>2024</v>
      </c>
      <c r="C10" s="31" t="s">
        <v>263</v>
      </c>
      <c r="D10" s="31" t="s">
        <v>34</v>
      </c>
      <c r="E10" s="33" t="s">
        <v>35</v>
      </c>
      <c r="F10" s="31" t="s">
        <v>36</v>
      </c>
      <c r="G10" s="34">
        <v>0</v>
      </c>
      <c r="H10" s="34">
        <v>6</v>
      </c>
      <c r="I10" s="34">
        <f>IFERROR(ROUND('Data Bulanan'!DC6,0),0)</f>
        <v>40721</v>
      </c>
      <c r="J10" s="34">
        <v>2187510</v>
      </c>
      <c r="K10" s="34">
        <v>76011</v>
      </c>
      <c r="L10" s="35">
        <f t="shared" si="0"/>
        <v>1531</v>
      </c>
      <c r="M10" s="36">
        <f>IFERROR(AVERAGE('Data Bulanan'!CF6,'Data Bulanan'!CH6,'Data Bulanan'!CJ6,'Data Bulanan'!CL6,'Data Bulanan'!CN6,'Data Bulanan'!CP6,'Data Bulanan'!CR6,'Data Bulanan'!CT6,'Data Bulanan'!CV6,'Data Bulanan'!CX6,'Data Bulanan'!CZ6,'Data Bulanan'!DB6),0)</f>
        <v>108.32356630824374</v>
      </c>
      <c r="N10" s="37">
        <f>'Data Bulanan'!DD6</f>
        <v>27.966487943685237</v>
      </c>
      <c r="O10" s="38">
        <f t="shared" si="1"/>
        <v>68.503625359726399</v>
      </c>
      <c r="P10" s="39">
        <f t="shared" si="2"/>
        <v>113</v>
      </c>
      <c r="Q10" s="40">
        <f t="shared" si="3"/>
        <v>763</v>
      </c>
      <c r="R10" s="41">
        <f t="shared" si="4"/>
        <v>-763</v>
      </c>
      <c r="S10" s="42" t="str">
        <f t="shared" si="5"/>
        <v>Stockout ⚠</v>
      </c>
      <c r="T10" s="43">
        <f>IFERROR(N10/AVERAGE(M7:M11),0)</f>
        <v>0.28315294531598334</v>
      </c>
      <c r="U10" s="44">
        <v>-826.12</v>
      </c>
      <c r="V10" s="45">
        <v>0.14979999999999999</v>
      </c>
    </row>
    <row r="11" spans="1:22" ht="15" customHeight="1" x14ac:dyDescent="0.35">
      <c r="A11" s="31">
        <v>5</v>
      </c>
      <c r="B11" s="32">
        <v>2025</v>
      </c>
      <c r="C11" s="31" t="s">
        <v>263</v>
      </c>
      <c r="D11" s="31" t="s">
        <v>34</v>
      </c>
      <c r="E11" s="33" t="s">
        <v>35</v>
      </c>
      <c r="F11" s="31" t="s">
        <v>36</v>
      </c>
      <c r="G11" s="34">
        <v>4121</v>
      </c>
      <c r="H11" s="34">
        <v>6</v>
      </c>
      <c r="I11" s="34">
        <f>IFERROR(ROUND('Data Bulanan'!EC6,0),0)</f>
        <v>31748</v>
      </c>
      <c r="J11" s="34">
        <v>2141357</v>
      </c>
      <c r="K11" s="34">
        <v>84902</v>
      </c>
      <c r="L11" s="35">
        <f t="shared" si="0"/>
        <v>1265</v>
      </c>
      <c r="M11" s="36">
        <f>IFERROR(AVERAGE('Data Bulanan'!DF6,'Data Bulanan'!DH6,'Data Bulanan'!DJ6,'Data Bulanan'!DL6,'Data Bulanan'!DN6,'Data Bulanan'!DP6,'Data Bulanan'!DR6,'Data Bulanan'!DT6,'Data Bulanan'!DV6,'Data Bulanan'!DX6,'Data Bulanan'!DZ6,'Data Bulanan'!EB6),0)</f>
        <v>84.367946748591905</v>
      </c>
      <c r="N11" s="37">
        <f>'Data Bulanan'!ED6</f>
        <v>17.037134700470919</v>
      </c>
      <c r="O11" s="38">
        <f t="shared" si="1"/>
        <v>41.732286695218868</v>
      </c>
      <c r="P11" s="39">
        <f t="shared" si="2"/>
        <v>69</v>
      </c>
      <c r="Q11" s="40">
        <f t="shared" si="3"/>
        <v>575</v>
      </c>
      <c r="R11" s="41">
        <f t="shared" si="4"/>
        <v>3546</v>
      </c>
      <c r="S11" s="42" t="str">
        <f t="shared" si="5"/>
        <v>Overstock 📦</v>
      </c>
      <c r="T11" s="43">
        <f>IFERROR(N11/AVERAGE(M7:M11),0)</f>
        <v>0.17249627053270222</v>
      </c>
      <c r="U11" s="44">
        <v>-826.12</v>
      </c>
      <c r="V11" s="45">
        <v>0.14979999999999999</v>
      </c>
    </row>
    <row r="12" spans="1:22" ht="15" customHeight="1" x14ac:dyDescent="0.35">
      <c r="A12" s="46">
        <v>1</v>
      </c>
      <c r="B12" s="32">
        <v>2021</v>
      </c>
      <c r="C12" s="46" t="s">
        <v>263</v>
      </c>
      <c r="D12" s="46" t="s">
        <v>37</v>
      </c>
      <c r="E12" s="47" t="s">
        <v>38</v>
      </c>
      <c r="F12" s="46" t="s">
        <v>36</v>
      </c>
      <c r="G12" s="34">
        <v>15322</v>
      </c>
      <c r="H12" s="34">
        <v>41</v>
      </c>
      <c r="I12" s="34">
        <f>IFERROR(ROUND('Data Bulanan'!AC7,0),0)</f>
        <v>40423</v>
      </c>
      <c r="J12" s="34">
        <v>10459221</v>
      </c>
      <c r="K12" s="34">
        <v>103961</v>
      </c>
      <c r="L12" s="35">
        <f t="shared" si="0"/>
        <v>2852</v>
      </c>
      <c r="M12" s="36">
        <f>IFERROR(AVERAGE('Data Bulanan'!F7,'Data Bulanan'!H7,'Data Bulanan'!J7,'Data Bulanan'!L7,'Data Bulanan'!N7,'Data Bulanan'!P7,'Data Bulanan'!R7,'Data Bulanan'!T7,'Data Bulanan'!V7,'Data Bulanan'!X7,'Data Bulanan'!Z7,'Data Bulanan'!AB7),0)</f>
        <v>107.70977982590887</v>
      </c>
      <c r="N12" s="37">
        <f>'Data Bulanan'!AD7</f>
        <v>26.80913110493309</v>
      </c>
      <c r="O12" s="38">
        <f t="shared" si="1"/>
        <v>171.66219716251194</v>
      </c>
      <c r="P12" s="39">
        <f t="shared" si="2"/>
        <v>283</v>
      </c>
      <c r="Q12" s="40">
        <f t="shared" si="3"/>
        <v>4699</v>
      </c>
      <c r="R12" s="41">
        <f t="shared" si="4"/>
        <v>10623</v>
      </c>
      <c r="S12" s="42" t="str">
        <f t="shared" si="5"/>
        <v>Overstock 📦</v>
      </c>
      <c r="T12" s="43">
        <f>IFERROR(N12/AVERAGE(M12:M16),0)</f>
        <v>0.24972803085787909</v>
      </c>
      <c r="U12" s="44">
        <v>-2010.59</v>
      </c>
      <c r="V12" s="45">
        <v>0.42799999999999999</v>
      </c>
    </row>
    <row r="13" spans="1:22" ht="15" customHeight="1" x14ac:dyDescent="0.35">
      <c r="A13" s="46">
        <v>2</v>
      </c>
      <c r="B13" s="32">
        <v>2022</v>
      </c>
      <c r="C13" s="46" t="s">
        <v>263</v>
      </c>
      <c r="D13" s="46" t="s">
        <v>37</v>
      </c>
      <c r="E13" s="47" t="s">
        <v>38</v>
      </c>
      <c r="F13" s="46" t="s">
        <v>36</v>
      </c>
      <c r="G13" s="34">
        <v>6496</v>
      </c>
      <c r="H13" s="34">
        <v>41</v>
      </c>
      <c r="I13" s="34">
        <f>IFERROR(ROUND('Data Bulanan'!BC7,0),0)</f>
        <v>45365</v>
      </c>
      <c r="J13" s="34">
        <v>10897733</v>
      </c>
      <c r="K13" s="34">
        <v>103809</v>
      </c>
      <c r="L13" s="35">
        <f t="shared" si="0"/>
        <v>3086</v>
      </c>
      <c r="M13" s="36">
        <f>IFERROR(AVERAGE('Data Bulanan'!AF7,'Data Bulanan'!AH7,'Data Bulanan'!AJ7,'Data Bulanan'!AL7,'Data Bulanan'!AN7,'Data Bulanan'!AP7,'Data Bulanan'!AR7,'Data Bulanan'!AT7,'Data Bulanan'!AV7,'Data Bulanan'!AX7,'Data Bulanan'!AZ7,'Data Bulanan'!BB7),0)</f>
        <v>120.62002048131079</v>
      </c>
      <c r="N13" s="37">
        <f>'Data Bulanan'!BD7</f>
        <v>22.668063059471102</v>
      </c>
      <c r="O13" s="38">
        <f t="shared" si="1"/>
        <v>145.14642399175563</v>
      </c>
      <c r="P13" s="39">
        <f t="shared" si="2"/>
        <v>239</v>
      </c>
      <c r="Q13" s="40">
        <f t="shared" si="3"/>
        <v>5184</v>
      </c>
      <c r="R13" s="41">
        <f t="shared" si="4"/>
        <v>1312</v>
      </c>
      <c r="S13" s="42" t="str">
        <f t="shared" si="5"/>
        <v>Aman ✅</v>
      </c>
      <c r="T13" s="43">
        <f>IFERROR(N13/AVERAGE(M12:M16),0)</f>
        <v>0.2111538314705883</v>
      </c>
      <c r="U13" s="44">
        <v>-2010.59</v>
      </c>
      <c r="V13" s="45">
        <v>0.42799999999999999</v>
      </c>
    </row>
    <row r="14" spans="1:22" ht="15" customHeight="1" x14ac:dyDescent="0.35">
      <c r="A14" s="46">
        <v>3</v>
      </c>
      <c r="B14" s="32">
        <v>2023</v>
      </c>
      <c r="C14" s="46" t="s">
        <v>263</v>
      </c>
      <c r="D14" s="46" t="s">
        <v>37</v>
      </c>
      <c r="E14" s="47" t="s">
        <v>38</v>
      </c>
      <c r="F14" s="46" t="s">
        <v>36</v>
      </c>
      <c r="G14" s="34">
        <v>16278</v>
      </c>
      <c r="H14" s="34">
        <v>41</v>
      </c>
      <c r="I14" s="34">
        <f>IFERROR(ROUND('Data Bulanan'!CC7,0),0)</f>
        <v>45017</v>
      </c>
      <c r="J14" s="34">
        <v>10242342</v>
      </c>
      <c r="K14" s="34">
        <v>124568</v>
      </c>
      <c r="L14" s="35">
        <f t="shared" si="0"/>
        <v>2721</v>
      </c>
      <c r="M14" s="36">
        <f>IFERROR(AVERAGE('Data Bulanan'!BF7,'Data Bulanan'!BH7,'Data Bulanan'!BJ7,'Data Bulanan'!BL7,'Data Bulanan'!BN7,'Data Bulanan'!BP7,'Data Bulanan'!BR7,'Data Bulanan'!BT7,'Data Bulanan'!BV7,'Data Bulanan'!BX7,'Data Bulanan'!BZ7,'Data Bulanan'!CB7),0)</f>
        <v>119.62558243727598</v>
      </c>
      <c r="N14" s="37">
        <f>'Data Bulanan'!CD7</f>
        <v>31.361782120043909</v>
      </c>
      <c r="O14" s="38">
        <f t="shared" si="1"/>
        <v>200.8133872219413</v>
      </c>
      <c r="P14" s="39">
        <f t="shared" si="2"/>
        <v>331</v>
      </c>
      <c r="Q14" s="40">
        <f t="shared" si="3"/>
        <v>5236</v>
      </c>
      <c r="R14" s="41">
        <f t="shared" si="4"/>
        <v>11042</v>
      </c>
      <c r="S14" s="42" t="str">
        <f t="shared" si="5"/>
        <v>Overstock 📦</v>
      </c>
      <c r="T14" s="43">
        <f>IFERROR(N14/AVERAGE(M12:M16),0)</f>
        <v>0.29213614057007886</v>
      </c>
      <c r="U14" s="44">
        <v>-2010.59</v>
      </c>
      <c r="V14" s="45">
        <v>0.42799999999999999</v>
      </c>
    </row>
    <row r="15" spans="1:22" ht="15" customHeight="1" x14ac:dyDescent="0.35">
      <c r="A15" s="46">
        <v>4</v>
      </c>
      <c r="B15" s="32">
        <v>2024</v>
      </c>
      <c r="C15" s="46" t="s">
        <v>263</v>
      </c>
      <c r="D15" s="46" t="s">
        <v>37</v>
      </c>
      <c r="E15" s="47" t="s">
        <v>38</v>
      </c>
      <c r="F15" s="46" t="s">
        <v>36</v>
      </c>
      <c r="G15" s="34">
        <v>23217</v>
      </c>
      <c r="H15" s="34">
        <v>41</v>
      </c>
      <c r="I15" s="34">
        <f>IFERROR(ROUND('Data Bulanan'!DC7,0),0)</f>
        <v>35851</v>
      </c>
      <c r="J15" s="34">
        <v>10188565</v>
      </c>
      <c r="K15" s="34">
        <v>116830</v>
      </c>
      <c r="L15" s="35">
        <f t="shared" si="0"/>
        <v>2501</v>
      </c>
      <c r="M15" s="36">
        <f>IFERROR(AVERAGE('Data Bulanan'!CF7,'Data Bulanan'!CH7,'Data Bulanan'!CJ7,'Data Bulanan'!CL7,'Data Bulanan'!CN7,'Data Bulanan'!CP7,'Data Bulanan'!CR7,'Data Bulanan'!CT7,'Data Bulanan'!CV7,'Data Bulanan'!CX7,'Data Bulanan'!CZ7,'Data Bulanan'!DB7),0)</f>
        <v>95.32105094726063</v>
      </c>
      <c r="N15" s="37">
        <f>'Data Bulanan'!DD7</f>
        <v>22.635774257177481</v>
      </c>
      <c r="O15" s="38">
        <f t="shared" si="1"/>
        <v>144.93967477919165</v>
      </c>
      <c r="P15" s="39">
        <f t="shared" si="2"/>
        <v>239</v>
      </c>
      <c r="Q15" s="40">
        <f t="shared" si="3"/>
        <v>4147</v>
      </c>
      <c r="R15" s="41">
        <f t="shared" si="4"/>
        <v>19070</v>
      </c>
      <c r="S15" s="42" t="str">
        <f t="shared" si="5"/>
        <v>Overstock 📦</v>
      </c>
      <c r="T15" s="43">
        <f>IFERROR(N15/AVERAGE(M12:M16),0)</f>
        <v>0.2108530601034006</v>
      </c>
      <c r="U15" s="44">
        <v>-2010.59</v>
      </c>
      <c r="V15" s="45">
        <v>0.42799999999999999</v>
      </c>
    </row>
    <row r="16" spans="1:22" ht="15" customHeight="1" x14ac:dyDescent="0.35">
      <c r="A16" s="46">
        <v>5</v>
      </c>
      <c r="B16" s="32">
        <v>2025</v>
      </c>
      <c r="C16" s="46" t="s">
        <v>263</v>
      </c>
      <c r="D16" s="46" t="s">
        <v>37</v>
      </c>
      <c r="E16" s="47" t="s">
        <v>38</v>
      </c>
      <c r="F16" s="46" t="s">
        <v>36</v>
      </c>
      <c r="G16" s="34">
        <v>12645</v>
      </c>
      <c r="H16" s="34">
        <v>41</v>
      </c>
      <c r="I16" s="34">
        <f>IFERROR(ROUND('Data Bulanan'!EC7,0),0)</f>
        <v>35127</v>
      </c>
      <c r="J16" s="34">
        <v>11280718</v>
      </c>
      <c r="K16" s="34">
        <v>117450</v>
      </c>
      <c r="L16" s="35">
        <f t="shared" si="0"/>
        <v>2598</v>
      </c>
      <c r="M16" s="36">
        <f>IFERROR(AVERAGE('Data Bulanan'!DF7,'Data Bulanan'!DH7,'Data Bulanan'!DJ7,'Data Bulanan'!DL7,'Data Bulanan'!DN7,'Data Bulanan'!DP7,'Data Bulanan'!DR7,'Data Bulanan'!DT7,'Data Bulanan'!DV7,'Data Bulanan'!DX7,'Data Bulanan'!DZ7,'Data Bulanan'!EB7),0)</f>
        <v>93.490124167946746</v>
      </c>
      <c r="N16" s="37">
        <f>'Data Bulanan'!ED7</f>
        <v>21.954359729024947</v>
      </c>
      <c r="O16" s="38">
        <f t="shared" si="1"/>
        <v>140.57649289823931</v>
      </c>
      <c r="P16" s="39">
        <f t="shared" si="2"/>
        <v>232</v>
      </c>
      <c r="Q16" s="40">
        <f t="shared" si="3"/>
        <v>4065</v>
      </c>
      <c r="R16" s="41">
        <f t="shared" si="4"/>
        <v>8580</v>
      </c>
      <c r="S16" s="42" t="str">
        <f t="shared" si="5"/>
        <v>Overstock 📦</v>
      </c>
      <c r="T16" s="43">
        <f>IFERROR(N16/AVERAGE(M12:M16),0)</f>
        <v>0.20450565900161066</v>
      </c>
      <c r="U16" s="44">
        <v>-2010.59</v>
      </c>
      <c r="V16" s="45">
        <v>0.42799999999999999</v>
      </c>
    </row>
    <row r="17" spans="1:22" ht="15" customHeight="1" x14ac:dyDescent="0.35">
      <c r="A17" s="31">
        <v>1</v>
      </c>
      <c r="B17" s="32">
        <v>2021</v>
      </c>
      <c r="C17" s="31" t="s">
        <v>263</v>
      </c>
      <c r="D17" s="31" t="s">
        <v>39</v>
      </c>
      <c r="E17" s="33" t="s">
        <v>40</v>
      </c>
      <c r="F17" s="31" t="s">
        <v>36</v>
      </c>
      <c r="G17" s="34">
        <v>2265</v>
      </c>
      <c r="H17" s="34">
        <v>9</v>
      </c>
      <c r="I17" s="34">
        <f>IFERROR(ROUND('Data Bulanan'!AC8,0),0)</f>
        <v>35615</v>
      </c>
      <c r="J17" s="34">
        <v>732974</v>
      </c>
      <c r="K17" s="34">
        <v>417580</v>
      </c>
      <c r="L17" s="35">
        <f t="shared" si="0"/>
        <v>354</v>
      </c>
      <c r="M17" s="36">
        <f>IFERROR(AVERAGE('Data Bulanan'!F8,'Data Bulanan'!H8,'Data Bulanan'!J8,'Data Bulanan'!L8,'Data Bulanan'!N8,'Data Bulanan'!P8,'Data Bulanan'!R8,'Data Bulanan'!T8,'Data Bulanan'!V8,'Data Bulanan'!X8,'Data Bulanan'!Z8,'Data Bulanan'!AB8),0)</f>
        <v>94.744258832565279</v>
      </c>
      <c r="N17" s="37">
        <f>'Data Bulanan'!AD8</f>
        <v>26.375842298868374</v>
      </c>
      <c r="O17" s="38">
        <f t="shared" si="1"/>
        <v>79.127526896605119</v>
      </c>
      <c r="P17" s="39">
        <f t="shared" si="2"/>
        <v>131</v>
      </c>
      <c r="Q17" s="40">
        <f t="shared" si="3"/>
        <v>984</v>
      </c>
      <c r="R17" s="41">
        <f t="shared" si="4"/>
        <v>1281</v>
      </c>
      <c r="S17" s="42" t="str">
        <f t="shared" si="5"/>
        <v>Overstock 📦</v>
      </c>
      <c r="T17" s="43">
        <f>IFERROR(N17/AVERAGE(M17:M21),0)</f>
        <v>0.32343262905217107</v>
      </c>
      <c r="U17" s="44">
        <v>-706.58</v>
      </c>
      <c r="V17" s="45">
        <v>0.1042</v>
      </c>
    </row>
    <row r="18" spans="1:22" ht="15" customHeight="1" x14ac:dyDescent="0.35">
      <c r="A18" s="31">
        <v>2</v>
      </c>
      <c r="B18" s="32">
        <v>2022</v>
      </c>
      <c r="C18" s="31" t="s">
        <v>263</v>
      </c>
      <c r="D18" s="31" t="s">
        <v>39</v>
      </c>
      <c r="E18" s="33" t="s">
        <v>40</v>
      </c>
      <c r="F18" s="31" t="s">
        <v>36</v>
      </c>
      <c r="G18" s="34">
        <v>1928</v>
      </c>
      <c r="H18" s="34">
        <v>9</v>
      </c>
      <c r="I18" s="34">
        <f>IFERROR(ROUND('Data Bulanan'!BC8,0),0)</f>
        <v>28394</v>
      </c>
      <c r="J18" s="34">
        <v>760393</v>
      </c>
      <c r="K18" s="34">
        <v>402234</v>
      </c>
      <c r="L18" s="35">
        <f t="shared" si="0"/>
        <v>328</v>
      </c>
      <c r="M18" s="36">
        <f>IFERROR(AVERAGE('Data Bulanan'!AF8,'Data Bulanan'!AH8,'Data Bulanan'!AJ8,'Data Bulanan'!AL8,'Data Bulanan'!AN8,'Data Bulanan'!AP8,'Data Bulanan'!AR8,'Data Bulanan'!AT8,'Data Bulanan'!AV8,'Data Bulanan'!AX8,'Data Bulanan'!AZ8,'Data Bulanan'!BB8),0)</f>
        <v>75.825371223758324</v>
      </c>
      <c r="N18" s="37">
        <f>'Data Bulanan'!BD8</f>
        <v>20.395967989509789</v>
      </c>
      <c r="O18" s="38">
        <f t="shared" si="1"/>
        <v>61.187903968529369</v>
      </c>
      <c r="P18" s="39">
        <f t="shared" si="2"/>
        <v>101</v>
      </c>
      <c r="Q18" s="40">
        <f t="shared" si="3"/>
        <v>783</v>
      </c>
      <c r="R18" s="41">
        <f t="shared" si="4"/>
        <v>1145</v>
      </c>
      <c r="S18" s="42" t="str">
        <f t="shared" si="5"/>
        <v>Overstock 📦</v>
      </c>
      <c r="T18" s="43">
        <f>IFERROR(N18/AVERAGE(M17:M21),0)</f>
        <v>0.25010467814307868</v>
      </c>
      <c r="U18" s="44">
        <v>-706.58</v>
      </c>
      <c r="V18" s="45">
        <v>0.1042</v>
      </c>
    </row>
    <row r="19" spans="1:22" ht="15" customHeight="1" x14ac:dyDescent="0.35">
      <c r="A19" s="31">
        <v>3</v>
      </c>
      <c r="B19" s="32">
        <v>2023</v>
      </c>
      <c r="C19" s="31" t="s">
        <v>263</v>
      </c>
      <c r="D19" s="31" t="s">
        <v>39</v>
      </c>
      <c r="E19" s="33" t="s">
        <v>40</v>
      </c>
      <c r="F19" s="31" t="s">
        <v>36</v>
      </c>
      <c r="G19" s="34">
        <v>1837</v>
      </c>
      <c r="H19" s="34">
        <v>9</v>
      </c>
      <c r="I19" s="34">
        <f>IFERROR(ROUND('Data Bulanan'!CC8,0),0)</f>
        <v>29339</v>
      </c>
      <c r="J19" s="34">
        <v>703207</v>
      </c>
      <c r="K19" s="34">
        <v>390435</v>
      </c>
      <c r="L19" s="35">
        <f t="shared" si="0"/>
        <v>325</v>
      </c>
      <c r="M19" s="36">
        <f>IFERROR(AVERAGE('Data Bulanan'!BF8,'Data Bulanan'!BH8,'Data Bulanan'!BJ8,'Data Bulanan'!BL8,'Data Bulanan'!BN8,'Data Bulanan'!BP8,'Data Bulanan'!BR8,'Data Bulanan'!BT8,'Data Bulanan'!BV8,'Data Bulanan'!BX8,'Data Bulanan'!BZ8,'Data Bulanan'!CB8),0)</f>
        <v>77.89018177163338</v>
      </c>
      <c r="N19" s="37">
        <f>'Data Bulanan'!CD8</f>
        <v>15.981744236802045</v>
      </c>
      <c r="O19" s="38">
        <f t="shared" si="1"/>
        <v>47.945232710406138</v>
      </c>
      <c r="P19" s="39">
        <f t="shared" si="2"/>
        <v>79</v>
      </c>
      <c r="Q19" s="40">
        <f t="shared" si="3"/>
        <v>780</v>
      </c>
      <c r="R19" s="41">
        <f t="shared" si="4"/>
        <v>1057</v>
      </c>
      <c r="S19" s="42" t="str">
        <f t="shared" si="5"/>
        <v>Overstock 📦</v>
      </c>
      <c r="T19" s="43">
        <f>IFERROR(N19/AVERAGE(M17:M21),0)</f>
        <v>0.19597544968526143</v>
      </c>
      <c r="U19" s="44">
        <v>-706.58</v>
      </c>
      <c r="V19" s="45">
        <v>0.1042</v>
      </c>
    </row>
    <row r="20" spans="1:22" ht="15" customHeight="1" x14ac:dyDescent="0.35">
      <c r="A20" s="31">
        <v>4</v>
      </c>
      <c r="B20" s="32">
        <v>2024</v>
      </c>
      <c r="C20" s="31" t="s">
        <v>263</v>
      </c>
      <c r="D20" s="31" t="s">
        <v>39</v>
      </c>
      <c r="E20" s="33" t="s">
        <v>40</v>
      </c>
      <c r="F20" s="31" t="s">
        <v>36</v>
      </c>
      <c r="G20" s="34">
        <v>0</v>
      </c>
      <c r="H20" s="34">
        <v>9</v>
      </c>
      <c r="I20" s="34">
        <f>IFERROR(ROUND('Data Bulanan'!DC8,0),0)</f>
        <v>27151</v>
      </c>
      <c r="J20" s="34">
        <v>710824</v>
      </c>
      <c r="K20" s="34">
        <v>443142</v>
      </c>
      <c r="L20" s="35">
        <f t="shared" si="0"/>
        <v>295</v>
      </c>
      <c r="M20" s="36">
        <f>IFERROR(AVERAGE('Data Bulanan'!CF8,'Data Bulanan'!CH8,'Data Bulanan'!CJ8,'Data Bulanan'!CL8,'Data Bulanan'!CN8,'Data Bulanan'!CP8,'Data Bulanan'!CR8,'Data Bulanan'!CT8,'Data Bulanan'!CV8,'Data Bulanan'!CX8,'Data Bulanan'!CZ8,'Data Bulanan'!DB8),0)</f>
        <v>72.437192780337938</v>
      </c>
      <c r="N20" s="37">
        <f>'Data Bulanan'!DD8</f>
        <v>18.874728367222961</v>
      </c>
      <c r="O20" s="38">
        <f t="shared" si="1"/>
        <v>56.624185101668886</v>
      </c>
      <c r="P20" s="39">
        <f t="shared" si="2"/>
        <v>93</v>
      </c>
      <c r="Q20" s="40">
        <f t="shared" si="3"/>
        <v>745</v>
      </c>
      <c r="R20" s="41">
        <f t="shared" si="4"/>
        <v>-745</v>
      </c>
      <c r="S20" s="42" t="str">
        <f t="shared" si="5"/>
        <v>Stockout ⚠</v>
      </c>
      <c r="T20" s="43">
        <f>IFERROR(N20/AVERAGE(M17:M21),0)</f>
        <v>0.23145054285976033</v>
      </c>
      <c r="U20" s="44">
        <v>-706.58</v>
      </c>
      <c r="V20" s="45">
        <v>0.1042</v>
      </c>
    </row>
    <row r="21" spans="1:22" ht="15" customHeight="1" x14ac:dyDescent="0.35">
      <c r="A21" s="31">
        <v>5</v>
      </c>
      <c r="B21" s="32">
        <v>2025</v>
      </c>
      <c r="C21" s="31" t="s">
        <v>263</v>
      </c>
      <c r="D21" s="31" t="s">
        <v>39</v>
      </c>
      <c r="E21" s="33" t="s">
        <v>40</v>
      </c>
      <c r="F21" s="31" t="s">
        <v>36</v>
      </c>
      <c r="G21" s="34">
        <v>1365</v>
      </c>
      <c r="H21" s="34">
        <v>9</v>
      </c>
      <c r="I21" s="34">
        <f>IFERROR(ROUND('Data Bulanan'!EC8,0),0)</f>
        <v>32703</v>
      </c>
      <c r="J21" s="34">
        <v>753745</v>
      </c>
      <c r="K21" s="34">
        <v>450334</v>
      </c>
      <c r="L21" s="35">
        <f t="shared" si="0"/>
        <v>331</v>
      </c>
      <c r="M21" s="36">
        <f>IFERROR(AVERAGE('Data Bulanan'!DF8,'Data Bulanan'!DH8,'Data Bulanan'!DJ8,'Data Bulanan'!DL8,'Data Bulanan'!DN8,'Data Bulanan'!DP8,'Data Bulanan'!DR8,'Data Bulanan'!DT8,'Data Bulanan'!DV8,'Data Bulanan'!DX8,'Data Bulanan'!DZ8,'Data Bulanan'!EB8),0)</f>
        <v>86.851625704045048</v>
      </c>
      <c r="N21" s="37">
        <f>'Data Bulanan'!ED8</f>
        <v>19.094294052307074</v>
      </c>
      <c r="O21" s="38">
        <f t="shared" si="1"/>
        <v>57.282882156921218</v>
      </c>
      <c r="P21" s="39">
        <f t="shared" si="2"/>
        <v>95</v>
      </c>
      <c r="Q21" s="40">
        <f t="shared" si="3"/>
        <v>877</v>
      </c>
      <c r="R21" s="41">
        <f t="shared" si="4"/>
        <v>488</v>
      </c>
      <c r="S21" s="42" t="str">
        <f t="shared" si="5"/>
        <v>Overstock 📦</v>
      </c>
      <c r="T21" s="43">
        <f>IFERROR(N21/AVERAGE(M17:M21),0)</f>
        <v>0.23414295760700207</v>
      </c>
      <c r="U21" s="44">
        <v>-706.58</v>
      </c>
      <c r="V21" s="45">
        <v>0.1042</v>
      </c>
    </row>
    <row r="22" spans="1:22" ht="15" customHeight="1" x14ac:dyDescent="0.35">
      <c r="A22" s="46">
        <v>1</v>
      </c>
      <c r="B22" s="32">
        <v>2021</v>
      </c>
      <c r="C22" s="46" t="s">
        <v>263</v>
      </c>
      <c r="D22" s="46" t="s">
        <v>41</v>
      </c>
      <c r="E22" s="47" t="s">
        <v>42</v>
      </c>
      <c r="F22" s="46" t="s">
        <v>36</v>
      </c>
      <c r="G22" s="34">
        <v>0</v>
      </c>
      <c r="H22" s="34">
        <v>7</v>
      </c>
      <c r="I22" s="34">
        <f>IFERROR(ROUND('Data Bulanan'!AC9,0),0)</f>
        <v>36990</v>
      </c>
      <c r="J22" s="34">
        <v>2367078</v>
      </c>
      <c r="K22" s="34">
        <v>157936</v>
      </c>
      <c r="L22" s="35">
        <f t="shared" si="0"/>
        <v>1053</v>
      </c>
      <c r="M22" s="36">
        <f>IFERROR(AVERAGE('Data Bulanan'!F9,'Data Bulanan'!H9,'Data Bulanan'!J9,'Data Bulanan'!L9,'Data Bulanan'!N9,'Data Bulanan'!P9,'Data Bulanan'!R9,'Data Bulanan'!T9,'Data Bulanan'!V9,'Data Bulanan'!X9,'Data Bulanan'!Z9,'Data Bulanan'!AB9),0)</f>
        <v>98.371230158730143</v>
      </c>
      <c r="N22" s="37">
        <f>'Data Bulanan'!AD9</f>
        <v>22.338619772899033</v>
      </c>
      <c r="O22" s="38">
        <f t="shared" si="1"/>
        <v>59.102432551521005</v>
      </c>
      <c r="P22" s="39">
        <f t="shared" si="2"/>
        <v>98</v>
      </c>
      <c r="Q22" s="40">
        <f t="shared" si="3"/>
        <v>787</v>
      </c>
      <c r="R22" s="41">
        <f t="shared" si="4"/>
        <v>-787</v>
      </c>
      <c r="S22" s="42" t="str">
        <f t="shared" si="5"/>
        <v>Stockout ⚠</v>
      </c>
      <c r="T22" s="43">
        <f>IFERROR(N22/AVERAGE(M22:M26),0)</f>
        <v>0.22581135736436062</v>
      </c>
      <c r="U22" s="44">
        <v>-1118.42</v>
      </c>
      <c r="V22" s="45">
        <v>0.3911</v>
      </c>
    </row>
    <row r="23" spans="1:22" ht="15" customHeight="1" x14ac:dyDescent="0.35">
      <c r="A23" s="46">
        <v>2</v>
      </c>
      <c r="B23" s="32">
        <v>2022</v>
      </c>
      <c r="C23" s="46" t="s">
        <v>263</v>
      </c>
      <c r="D23" s="46" t="s">
        <v>41</v>
      </c>
      <c r="E23" s="47" t="s">
        <v>42</v>
      </c>
      <c r="F23" s="46" t="s">
        <v>36</v>
      </c>
      <c r="G23" s="34">
        <v>3034</v>
      </c>
      <c r="H23" s="34">
        <v>7</v>
      </c>
      <c r="I23" s="34">
        <f>IFERROR(ROUND('Data Bulanan'!BC9,0),0)</f>
        <v>40631</v>
      </c>
      <c r="J23" s="34">
        <v>2351416</v>
      </c>
      <c r="K23" s="34">
        <v>158162</v>
      </c>
      <c r="L23" s="35">
        <f t="shared" si="0"/>
        <v>1099</v>
      </c>
      <c r="M23" s="36">
        <f>IFERROR(AVERAGE('Data Bulanan'!AF9,'Data Bulanan'!AH9,'Data Bulanan'!AJ9,'Data Bulanan'!AL9,'Data Bulanan'!AN9,'Data Bulanan'!AP9,'Data Bulanan'!AR9,'Data Bulanan'!AT9,'Data Bulanan'!AV9,'Data Bulanan'!AX9,'Data Bulanan'!AZ9,'Data Bulanan'!BB9),0)</f>
        <v>108.24783026113671</v>
      </c>
      <c r="N23" s="37">
        <f>'Data Bulanan'!BD9</f>
        <v>27.668651638431687</v>
      </c>
      <c r="O23" s="38">
        <f t="shared" si="1"/>
        <v>73.204371347770078</v>
      </c>
      <c r="P23" s="39">
        <f t="shared" si="2"/>
        <v>121</v>
      </c>
      <c r="Q23" s="40">
        <f t="shared" si="3"/>
        <v>879</v>
      </c>
      <c r="R23" s="41">
        <f t="shared" si="4"/>
        <v>2155</v>
      </c>
      <c r="S23" s="42" t="str">
        <f t="shared" si="5"/>
        <v>Overstock 📦</v>
      </c>
      <c r="T23" s="43">
        <f>IFERROR(N23/AVERAGE(M22:M26),0)</f>
        <v>0.27969032314591691</v>
      </c>
      <c r="U23" s="44">
        <v>-1118.42</v>
      </c>
      <c r="V23" s="45">
        <v>0.3911</v>
      </c>
    </row>
    <row r="24" spans="1:22" ht="15" customHeight="1" x14ac:dyDescent="0.35">
      <c r="A24" s="46">
        <v>3</v>
      </c>
      <c r="B24" s="32">
        <v>2023</v>
      </c>
      <c r="C24" s="46" t="s">
        <v>263</v>
      </c>
      <c r="D24" s="46" t="s">
        <v>41</v>
      </c>
      <c r="E24" s="47" t="s">
        <v>42</v>
      </c>
      <c r="F24" s="46" t="s">
        <v>36</v>
      </c>
      <c r="G24" s="34">
        <v>1488</v>
      </c>
      <c r="H24" s="34">
        <v>7</v>
      </c>
      <c r="I24" s="34">
        <f>IFERROR(ROUND('Data Bulanan'!CC9,0),0)</f>
        <v>39262</v>
      </c>
      <c r="J24" s="34">
        <v>1956089</v>
      </c>
      <c r="K24" s="34">
        <v>156198</v>
      </c>
      <c r="L24" s="35">
        <f t="shared" si="0"/>
        <v>992</v>
      </c>
      <c r="M24" s="36">
        <f>IFERROR(AVERAGE('Data Bulanan'!BF9,'Data Bulanan'!BH9,'Data Bulanan'!BJ9,'Data Bulanan'!BL9,'Data Bulanan'!BN9,'Data Bulanan'!BP9,'Data Bulanan'!BR9,'Data Bulanan'!BT9,'Data Bulanan'!BV9,'Data Bulanan'!BX9,'Data Bulanan'!BZ9,'Data Bulanan'!CB9),0)</f>
        <v>104.44672939068101</v>
      </c>
      <c r="N24" s="37">
        <f>'Data Bulanan'!CD9</f>
        <v>25.684574437565505</v>
      </c>
      <c r="O24" s="38">
        <f t="shared" si="1"/>
        <v>67.954996492325009</v>
      </c>
      <c r="P24" s="39">
        <f t="shared" si="2"/>
        <v>112</v>
      </c>
      <c r="Q24" s="40">
        <f t="shared" si="3"/>
        <v>843</v>
      </c>
      <c r="R24" s="41">
        <f t="shared" si="4"/>
        <v>645</v>
      </c>
      <c r="S24" s="42" t="str">
        <f t="shared" si="5"/>
        <v>Aman ✅</v>
      </c>
      <c r="T24" s="43">
        <f>IFERROR(N24/AVERAGE(M22:M26),0)</f>
        <v>0.25963415269321888</v>
      </c>
      <c r="U24" s="44">
        <v>-1118.42</v>
      </c>
      <c r="V24" s="45">
        <v>0.3911</v>
      </c>
    </row>
    <row r="25" spans="1:22" ht="15" customHeight="1" x14ac:dyDescent="0.35">
      <c r="A25" s="46">
        <v>4</v>
      </c>
      <c r="B25" s="32">
        <v>2024</v>
      </c>
      <c r="C25" s="46" t="s">
        <v>263</v>
      </c>
      <c r="D25" s="46" t="s">
        <v>41</v>
      </c>
      <c r="E25" s="47" t="s">
        <v>42</v>
      </c>
      <c r="F25" s="46" t="s">
        <v>36</v>
      </c>
      <c r="G25" s="34">
        <v>0</v>
      </c>
      <c r="H25" s="34">
        <v>7</v>
      </c>
      <c r="I25" s="34">
        <f>IFERROR(ROUND('Data Bulanan'!DC9,0),0)</f>
        <v>34129</v>
      </c>
      <c r="J25" s="34">
        <v>2321241</v>
      </c>
      <c r="K25" s="34">
        <v>172692</v>
      </c>
      <c r="L25" s="35">
        <f t="shared" si="0"/>
        <v>958</v>
      </c>
      <c r="M25" s="36">
        <f>IFERROR(AVERAGE('Data Bulanan'!CF9,'Data Bulanan'!CH9,'Data Bulanan'!CJ9,'Data Bulanan'!CL9,'Data Bulanan'!CN9,'Data Bulanan'!CP9,'Data Bulanan'!CR9,'Data Bulanan'!CT9,'Data Bulanan'!CV9,'Data Bulanan'!CX9,'Data Bulanan'!CZ9,'Data Bulanan'!DB9),0)</f>
        <v>90.858000512032774</v>
      </c>
      <c r="N25" s="37">
        <f>'Data Bulanan'!DD9</f>
        <v>18.918225000389924</v>
      </c>
      <c r="O25" s="38">
        <f t="shared" si="1"/>
        <v>50.052918597796562</v>
      </c>
      <c r="P25" s="39">
        <f t="shared" si="2"/>
        <v>83</v>
      </c>
      <c r="Q25" s="40">
        <f t="shared" si="3"/>
        <v>719</v>
      </c>
      <c r="R25" s="41">
        <f t="shared" si="4"/>
        <v>-719</v>
      </c>
      <c r="S25" s="42" t="str">
        <f t="shared" si="5"/>
        <v>Stockout ⚠</v>
      </c>
      <c r="T25" s="43">
        <f>IFERROR(N25/AVERAGE(M22:M26),0)</f>
        <v>0.19123607947547022</v>
      </c>
      <c r="U25" s="44">
        <v>-1118.42</v>
      </c>
      <c r="V25" s="45">
        <v>0.3911</v>
      </c>
    </row>
    <row r="26" spans="1:22" ht="15" customHeight="1" x14ac:dyDescent="0.35">
      <c r="A26" s="46">
        <v>5</v>
      </c>
      <c r="B26" s="32">
        <v>2025</v>
      </c>
      <c r="C26" s="46" t="s">
        <v>263</v>
      </c>
      <c r="D26" s="46" t="s">
        <v>41</v>
      </c>
      <c r="E26" s="47" t="s">
        <v>42</v>
      </c>
      <c r="F26" s="46" t="s">
        <v>36</v>
      </c>
      <c r="G26" s="34">
        <v>518</v>
      </c>
      <c r="H26" s="34">
        <v>7</v>
      </c>
      <c r="I26" s="34">
        <f>IFERROR(ROUND('Data Bulanan'!EC9,0),0)</f>
        <v>34649</v>
      </c>
      <c r="J26" s="34">
        <v>2352427</v>
      </c>
      <c r="K26" s="34">
        <v>163758</v>
      </c>
      <c r="L26" s="35">
        <f t="shared" si="0"/>
        <v>998</v>
      </c>
      <c r="M26" s="36">
        <f>IFERROR(AVERAGE('Data Bulanan'!DF9,'Data Bulanan'!DH9,'Data Bulanan'!DJ9,'Data Bulanan'!DL9,'Data Bulanan'!DN9,'Data Bulanan'!DP9,'Data Bulanan'!DR9,'Data Bulanan'!DT9,'Data Bulanan'!DV9,'Data Bulanan'!DX9,'Data Bulanan'!DZ9,'Data Bulanan'!EB9),0)</f>
        <v>92.706330005120321</v>
      </c>
      <c r="N26" s="37">
        <f>'Data Bulanan'!ED9</f>
        <v>26.479448105969702</v>
      </c>
      <c r="O26" s="38">
        <f t="shared" si="1"/>
        <v>70.058034542636136</v>
      </c>
      <c r="P26" s="39">
        <f t="shared" si="2"/>
        <v>116</v>
      </c>
      <c r="Q26" s="40">
        <f t="shared" si="3"/>
        <v>765</v>
      </c>
      <c r="R26" s="41">
        <f t="shared" si="4"/>
        <v>-247</v>
      </c>
      <c r="S26" s="42" t="str">
        <f t="shared" si="5"/>
        <v>Reorder 🔄</v>
      </c>
      <c r="T26" s="43">
        <f>IFERROR(N26/AVERAGE(M22:M26),0)</f>
        <v>0.26766918367634601</v>
      </c>
      <c r="U26" s="44">
        <v>-1118.42</v>
      </c>
      <c r="V26" s="45">
        <v>0.3911</v>
      </c>
    </row>
    <row r="27" spans="1:22" ht="15" customHeight="1" x14ac:dyDescent="0.35">
      <c r="A27" s="31">
        <v>1</v>
      </c>
      <c r="B27" s="32">
        <v>2021</v>
      </c>
      <c r="C27" s="31" t="s">
        <v>263</v>
      </c>
      <c r="D27" s="31" t="s">
        <v>43</v>
      </c>
      <c r="E27" s="33" t="s">
        <v>44</v>
      </c>
      <c r="F27" s="31" t="s">
        <v>36</v>
      </c>
      <c r="G27" s="34">
        <v>2953</v>
      </c>
      <c r="H27" s="34">
        <v>11</v>
      </c>
      <c r="I27" s="34">
        <f>IFERROR(ROUND('Data Bulanan'!AC10,0),0)</f>
        <v>12885</v>
      </c>
      <c r="J27" s="34">
        <v>1421350</v>
      </c>
      <c r="K27" s="34">
        <v>198494</v>
      </c>
      <c r="L27" s="35">
        <f t="shared" si="0"/>
        <v>430</v>
      </c>
      <c r="M27" s="36">
        <f>IFERROR(AVERAGE('Data Bulanan'!F10,'Data Bulanan'!H10,'Data Bulanan'!J10,'Data Bulanan'!L10,'Data Bulanan'!N10,'Data Bulanan'!P10,'Data Bulanan'!R10,'Data Bulanan'!T10,'Data Bulanan'!V10,'Data Bulanan'!X10,'Data Bulanan'!Z10,'Data Bulanan'!AB10),0)</f>
        <v>34.376203277009729</v>
      </c>
      <c r="N27" s="37">
        <f>'Data Bulanan'!AD10</f>
        <v>6.7479737641140707</v>
      </c>
      <c r="O27" s="38">
        <f t="shared" si="1"/>
        <v>22.380497070728566</v>
      </c>
      <c r="P27" s="39">
        <f t="shared" si="2"/>
        <v>37</v>
      </c>
      <c r="Q27" s="40">
        <f t="shared" si="3"/>
        <v>415</v>
      </c>
      <c r="R27" s="41">
        <f t="shared" si="4"/>
        <v>2538</v>
      </c>
      <c r="S27" s="42" t="str">
        <f t="shared" si="5"/>
        <v>Overstock 📦</v>
      </c>
      <c r="T27" s="43">
        <f>IFERROR(N27/AVERAGE(M27:M31),0)</f>
        <v>0.17644683861363653</v>
      </c>
      <c r="U27" s="44">
        <v>285.25</v>
      </c>
      <c r="V27" s="45">
        <v>0.23330000000000001</v>
      </c>
    </row>
    <row r="28" spans="1:22" ht="15" customHeight="1" x14ac:dyDescent="0.35">
      <c r="A28" s="31">
        <v>2</v>
      </c>
      <c r="B28" s="32">
        <v>2022</v>
      </c>
      <c r="C28" s="31" t="s">
        <v>263</v>
      </c>
      <c r="D28" s="31" t="s">
        <v>43</v>
      </c>
      <c r="E28" s="33" t="s">
        <v>44</v>
      </c>
      <c r="F28" s="31" t="s">
        <v>36</v>
      </c>
      <c r="G28" s="34">
        <v>2881</v>
      </c>
      <c r="H28" s="34">
        <v>11</v>
      </c>
      <c r="I28" s="34">
        <f>IFERROR(ROUND('Data Bulanan'!BC10,0),0)</f>
        <v>15398</v>
      </c>
      <c r="J28" s="34">
        <v>1321594</v>
      </c>
      <c r="K28" s="34">
        <v>188023</v>
      </c>
      <c r="L28" s="35">
        <f t="shared" si="0"/>
        <v>465</v>
      </c>
      <c r="M28" s="36">
        <f>IFERROR(AVERAGE('Data Bulanan'!AF10,'Data Bulanan'!AH10,'Data Bulanan'!AJ10,'Data Bulanan'!AL10,'Data Bulanan'!AN10,'Data Bulanan'!AP10,'Data Bulanan'!AR10,'Data Bulanan'!AT10,'Data Bulanan'!AV10,'Data Bulanan'!AX10,'Data Bulanan'!AZ10,'Data Bulanan'!BB10),0)</f>
        <v>40.965309779825908</v>
      </c>
      <c r="N28" s="37">
        <f>'Data Bulanan'!BD10</f>
        <v>12.25089993732028</v>
      </c>
      <c r="O28" s="38">
        <f t="shared" si="1"/>
        <v>40.631638436279857</v>
      </c>
      <c r="P28" s="39">
        <f t="shared" si="2"/>
        <v>67</v>
      </c>
      <c r="Q28" s="40">
        <f t="shared" si="3"/>
        <v>518</v>
      </c>
      <c r="R28" s="41">
        <f t="shared" si="4"/>
        <v>2363</v>
      </c>
      <c r="S28" s="42" t="str">
        <f t="shared" si="5"/>
        <v>Overstock 📦</v>
      </c>
      <c r="T28" s="43">
        <f>IFERROR(N28/AVERAGE(M27:M31),0)</f>
        <v>0.32033802140840989</v>
      </c>
      <c r="U28" s="44">
        <v>285.25</v>
      </c>
      <c r="V28" s="45">
        <v>0.23330000000000001</v>
      </c>
    </row>
    <row r="29" spans="1:22" ht="15" customHeight="1" x14ac:dyDescent="0.35">
      <c r="A29" s="31">
        <v>3</v>
      </c>
      <c r="B29" s="32">
        <v>2023</v>
      </c>
      <c r="C29" s="31" t="s">
        <v>263</v>
      </c>
      <c r="D29" s="31" t="s">
        <v>43</v>
      </c>
      <c r="E29" s="33" t="s">
        <v>44</v>
      </c>
      <c r="F29" s="31" t="s">
        <v>36</v>
      </c>
      <c r="G29" s="34">
        <v>465</v>
      </c>
      <c r="H29" s="34">
        <v>11</v>
      </c>
      <c r="I29" s="34">
        <f>IFERROR(ROUND('Data Bulanan'!CC10,0),0)</f>
        <v>14375</v>
      </c>
      <c r="J29" s="34">
        <v>1364040</v>
      </c>
      <c r="K29" s="34">
        <v>197313</v>
      </c>
      <c r="L29" s="35">
        <f t="shared" si="0"/>
        <v>446</v>
      </c>
      <c r="M29" s="36">
        <f>IFERROR(AVERAGE('Data Bulanan'!BF10,'Data Bulanan'!BH10,'Data Bulanan'!BJ10,'Data Bulanan'!BL10,'Data Bulanan'!BN10,'Data Bulanan'!BP10,'Data Bulanan'!BR10,'Data Bulanan'!BT10,'Data Bulanan'!BV10,'Data Bulanan'!BX10,'Data Bulanan'!BZ10,'Data Bulanan'!CB10),0)</f>
        <v>38.225659242191504</v>
      </c>
      <c r="N29" s="37">
        <f>'Data Bulanan'!CD10</f>
        <v>9.9282350783280364</v>
      </c>
      <c r="O29" s="38">
        <f t="shared" si="1"/>
        <v>32.928230585258852</v>
      </c>
      <c r="P29" s="39">
        <f t="shared" si="2"/>
        <v>54</v>
      </c>
      <c r="Q29" s="40">
        <f t="shared" si="3"/>
        <v>474</v>
      </c>
      <c r="R29" s="41">
        <f t="shared" si="4"/>
        <v>-9</v>
      </c>
      <c r="S29" s="42" t="str">
        <f t="shared" si="5"/>
        <v>Reorder 🔄</v>
      </c>
      <c r="T29" s="43">
        <f>IFERROR(N29/AVERAGE(M27:M31),0)</f>
        <v>0.25960469821328408</v>
      </c>
      <c r="U29" s="44">
        <v>285.25</v>
      </c>
      <c r="V29" s="45">
        <v>0.23330000000000001</v>
      </c>
    </row>
    <row r="30" spans="1:22" ht="15" customHeight="1" x14ac:dyDescent="0.35">
      <c r="A30" s="31">
        <v>4</v>
      </c>
      <c r="B30" s="32">
        <v>2024</v>
      </c>
      <c r="C30" s="31" t="s">
        <v>263</v>
      </c>
      <c r="D30" s="31" t="s">
        <v>43</v>
      </c>
      <c r="E30" s="33" t="s">
        <v>44</v>
      </c>
      <c r="F30" s="31" t="s">
        <v>36</v>
      </c>
      <c r="G30" s="34">
        <v>1130</v>
      </c>
      <c r="H30" s="34">
        <v>11</v>
      </c>
      <c r="I30" s="34">
        <f>IFERROR(ROUND('Data Bulanan'!DC10,0),0)</f>
        <v>14331</v>
      </c>
      <c r="J30" s="34">
        <v>1404580</v>
      </c>
      <c r="K30" s="34">
        <v>193105</v>
      </c>
      <c r="L30" s="35">
        <f t="shared" si="0"/>
        <v>457</v>
      </c>
      <c r="M30" s="36">
        <f>IFERROR(AVERAGE('Data Bulanan'!CF10,'Data Bulanan'!CH10,'Data Bulanan'!CJ10,'Data Bulanan'!CL10,'Data Bulanan'!CN10,'Data Bulanan'!CP10,'Data Bulanan'!CR10,'Data Bulanan'!CT10,'Data Bulanan'!CV10,'Data Bulanan'!CX10,'Data Bulanan'!CZ10,'Data Bulanan'!DB10),0)</f>
        <v>38.154051459293392</v>
      </c>
      <c r="N30" s="37">
        <f>'Data Bulanan'!DD10</f>
        <v>8.9586731554414225</v>
      </c>
      <c r="O30" s="38">
        <f t="shared" si="1"/>
        <v>29.712557476028454</v>
      </c>
      <c r="P30" s="39">
        <f t="shared" si="2"/>
        <v>49</v>
      </c>
      <c r="Q30" s="40">
        <f t="shared" si="3"/>
        <v>469</v>
      </c>
      <c r="R30" s="41">
        <f t="shared" si="4"/>
        <v>661</v>
      </c>
      <c r="S30" s="42" t="str">
        <f t="shared" si="5"/>
        <v>Overstock 📦</v>
      </c>
      <c r="T30" s="43">
        <f>IFERROR(N30/AVERAGE(M27:M31),0)</f>
        <v>0.23425247514399927</v>
      </c>
      <c r="U30" s="44">
        <v>285.25</v>
      </c>
      <c r="V30" s="45">
        <v>0.23330000000000001</v>
      </c>
    </row>
    <row r="31" spans="1:22" ht="15" customHeight="1" x14ac:dyDescent="0.35">
      <c r="A31" s="31">
        <v>5</v>
      </c>
      <c r="B31" s="32">
        <v>2025</v>
      </c>
      <c r="C31" s="31" t="s">
        <v>263</v>
      </c>
      <c r="D31" s="31" t="s">
        <v>43</v>
      </c>
      <c r="E31" s="33" t="s">
        <v>44</v>
      </c>
      <c r="F31" s="31" t="s">
        <v>36</v>
      </c>
      <c r="G31" s="34">
        <v>3097</v>
      </c>
      <c r="H31" s="34">
        <v>11</v>
      </c>
      <c r="I31" s="34">
        <f>IFERROR(ROUND('Data Bulanan'!EC10,0),0)</f>
        <v>14845</v>
      </c>
      <c r="J31" s="34">
        <v>1442234</v>
      </c>
      <c r="K31" s="34">
        <v>200121</v>
      </c>
      <c r="L31" s="35">
        <f t="shared" si="0"/>
        <v>463</v>
      </c>
      <c r="M31" s="36">
        <f>IFERROR(AVERAGE('Data Bulanan'!DF10,'Data Bulanan'!DH10,'Data Bulanan'!DJ10,'Data Bulanan'!DL10,'Data Bulanan'!DN10,'Data Bulanan'!DP10,'Data Bulanan'!DR10,'Data Bulanan'!DT10,'Data Bulanan'!DV10,'Data Bulanan'!DX10,'Data Bulanan'!DZ10,'Data Bulanan'!EB10),0)</f>
        <v>39.497100614439326</v>
      </c>
      <c r="N31" s="37">
        <f>'Data Bulanan'!ED10</f>
        <v>9.9657000760102505</v>
      </c>
      <c r="O31" s="38">
        <f t="shared" si="1"/>
        <v>33.052487925342291</v>
      </c>
      <c r="P31" s="39">
        <f t="shared" si="2"/>
        <v>55</v>
      </c>
      <c r="Q31" s="40">
        <f t="shared" si="3"/>
        <v>489</v>
      </c>
      <c r="R31" s="41">
        <f t="shared" si="4"/>
        <v>2608</v>
      </c>
      <c r="S31" s="42" t="str">
        <f t="shared" si="5"/>
        <v>Overstock 📦</v>
      </c>
      <c r="T31" s="43">
        <f>IFERROR(N31/AVERAGE(M27:M31),0)</f>
        <v>0.26058433752884413</v>
      </c>
      <c r="U31" s="44">
        <v>285.25</v>
      </c>
      <c r="V31" s="45">
        <v>0.23330000000000001</v>
      </c>
    </row>
    <row r="32" spans="1:22" ht="15" customHeight="1" x14ac:dyDescent="0.35">
      <c r="A32" s="46">
        <v>1</v>
      </c>
      <c r="B32" s="32">
        <v>2021</v>
      </c>
      <c r="C32" s="46" t="s">
        <v>263</v>
      </c>
      <c r="D32" s="46" t="s">
        <v>45</v>
      </c>
      <c r="E32" s="47" t="s">
        <v>46</v>
      </c>
      <c r="F32" s="46" t="s">
        <v>36</v>
      </c>
      <c r="G32" s="34">
        <v>131</v>
      </c>
      <c r="H32" s="34">
        <v>10</v>
      </c>
      <c r="I32" s="34">
        <f>IFERROR(ROUND('Data Bulanan'!AC11,0),0)</f>
        <v>5398</v>
      </c>
      <c r="J32" s="34">
        <v>2021087</v>
      </c>
      <c r="K32" s="34">
        <v>281391</v>
      </c>
      <c r="L32" s="35">
        <f t="shared" si="0"/>
        <v>278</v>
      </c>
      <c r="M32" s="36">
        <f>IFERROR(AVERAGE('Data Bulanan'!F11,'Data Bulanan'!H11,'Data Bulanan'!J11,'Data Bulanan'!L11,'Data Bulanan'!N11,'Data Bulanan'!P11,'Data Bulanan'!R11,'Data Bulanan'!T11,'Data Bulanan'!V11,'Data Bulanan'!X11,'Data Bulanan'!Z11,'Data Bulanan'!AB11),0)</f>
        <v>14.35387224782386</v>
      </c>
      <c r="N32" s="37">
        <f>'Data Bulanan'!AD11</f>
        <v>3.3610678040114799</v>
      </c>
      <c r="O32" s="38">
        <f t="shared" si="1"/>
        <v>10.628629630936697</v>
      </c>
      <c r="P32" s="39">
        <f t="shared" si="2"/>
        <v>18</v>
      </c>
      <c r="Q32" s="40">
        <f t="shared" si="3"/>
        <v>162</v>
      </c>
      <c r="R32" s="41">
        <f t="shared" si="4"/>
        <v>-31</v>
      </c>
      <c r="S32" s="42" t="str">
        <f t="shared" si="5"/>
        <v>Reorder 🔄</v>
      </c>
      <c r="T32" s="43">
        <f>IFERROR(N32/AVERAGE(M32:M36),0)</f>
        <v>0.20721730092170293</v>
      </c>
      <c r="U32" s="44">
        <v>263.60000000000002</v>
      </c>
      <c r="V32" s="45">
        <v>0.32969999999999999</v>
      </c>
    </row>
    <row r="33" spans="1:22" ht="15" customHeight="1" x14ac:dyDescent="0.35">
      <c r="A33" s="46">
        <v>2</v>
      </c>
      <c r="B33" s="32">
        <v>2022</v>
      </c>
      <c r="C33" s="46" t="s">
        <v>263</v>
      </c>
      <c r="D33" s="46" t="s">
        <v>45</v>
      </c>
      <c r="E33" s="47" t="s">
        <v>46</v>
      </c>
      <c r="F33" s="46" t="s">
        <v>36</v>
      </c>
      <c r="G33" s="34">
        <v>0</v>
      </c>
      <c r="H33" s="34">
        <v>10</v>
      </c>
      <c r="I33" s="34">
        <f>IFERROR(ROUND('Data Bulanan'!BC11,0),0)</f>
        <v>6522</v>
      </c>
      <c r="J33" s="34">
        <v>1932789</v>
      </c>
      <c r="K33" s="34">
        <v>299039</v>
      </c>
      <c r="L33" s="35">
        <f t="shared" si="0"/>
        <v>290</v>
      </c>
      <c r="M33" s="36">
        <f>IFERROR(AVERAGE('Data Bulanan'!AF11,'Data Bulanan'!AH11,'Data Bulanan'!AJ11,'Data Bulanan'!AL11,'Data Bulanan'!AN11,'Data Bulanan'!AP11,'Data Bulanan'!AR11,'Data Bulanan'!AT11,'Data Bulanan'!AV11,'Data Bulanan'!AX11,'Data Bulanan'!AZ11,'Data Bulanan'!BB11),0)</f>
        <v>17.330683563748078</v>
      </c>
      <c r="N33" s="37">
        <f>'Data Bulanan'!BD11</f>
        <v>3.9240656365036255</v>
      </c>
      <c r="O33" s="38">
        <f t="shared" si="1"/>
        <v>12.408985099349827</v>
      </c>
      <c r="P33" s="39">
        <f t="shared" si="2"/>
        <v>20</v>
      </c>
      <c r="Q33" s="40">
        <f t="shared" si="3"/>
        <v>193</v>
      </c>
      <c r="R33" s="41">
        <f t="shared" si="4"/>
        <v>-193</v>
      </c>
      <c r="S33" s="42" t="str">
        <f t="shared" si="5"/>
        <v>Stockout ⚠</v>
      </c>
      <c r="T33" s="43">
        <f>IFERROR(N33/AVERAGE(M32:M36),0)</f>
        <v>0.24192736869675724</v>
      </c>
      <c r="U33" s="44">
        <v>263.60000000000002</v>
      </c>
      <c r="V33" s="45">
        <v>0.32969999999999999</v>
      </c>
    </row>
    <row r="34" spans="1:22" ht="15" customHeight="1" x14ac:dyDescent="0.35">
      <c r="A34" s="46">
        <v>3</v>
      </c>
      <c r="B34" s="32">
        <v>2023</v>
      </c>
      <c r="C34" s="46" t="s">
        <v>263</v>
      </c>
      <c r="D34" s="46" t="s">
        <v>45</v>
      </c>
      <c r="E34" s="47" t="s">
        <v>46</v>
      </c>
      <c r="F34" s="46" t="s">
        <v>36</v>
      </c>
      <c r="G34" s="34">
        <v>0</v>
      </c>
      <c r="H34" s="34">
        <v>10</v>
      </c>
      <c r="I34" s="34">
        <f>IFERROR(ROUND('Data Bulanan'!CC11,0),0)</f>
        <v>5213</v>
      </c>
      <c r="J34" s="34">
        <v>1981160</v>
      </c>
      <c r="K34" s="34">
        <v>327575</v>
      </c>
      <c r="L34" s="35">
        <f t="shared" si="0"/>
        <v>251</v>
      </c>
      <c r="M34" s="36">
        <f>IFERROR(AVERAGE('Data Bulanan'!BF11,'Data Bulanan'!BH11,'Data Bulanan'!BJ11,'Data Bulanan'!BL11,'Data Bulanan'!BN11,'Data Bulanan'!BP11,'Data Bulanan'!BR11,'Data Bulanan'!BT11,'Data Bulanan'!BV11,'Data Bulanan'!BX11,'Data Bulanan'!BZ11,'Data Bulanan'!CB11),0)</f>
        <v>13.918311571940604</v>
      </c>
      <c r="N34" s="37">
        <f>'Data Bulanan'!CD11</f>
        <v>3.5324472051193774</v>
      </c>
      <c r="O34" s="38">
        <f t="shared" si="1"/>
        <v>11.170578882473237</v>
      </c>
      <c r="P34" s="39">
        <f t="shared" si="2"/>
        <v>18</v>
      </c>
      <c r="Q34" s="40">
        <f t="shared" si="3"/>
        <v>157</v>
      </c>
      <c r="R34" s="41">
        <f t="shared" si="4"/>
        <v>-157</v>
      </c>
      <c r="S34" s="42" t="str">
        <f t="shared" si="5"/>
        <v>Stockout ⚠</v>
      </c>
      <c r="T34" s="43">
        <f>IFERROR(N34/AVERAGE(M32:M36),0)</f>
        <v>0.21778322193310634</v>
      </c>
      <c r="U34" s="44">
        <v>263.60000000000002</v>
      </c>
      <c r="V34" s="45">
        <v>0.32969999999999999</v>
      </c>
    </row>
    <row r="35" spans="1:22" ht="15" customHeight="1" x14ac:dyDescent="0.35">
      <c r="A35" s="46">
        <v>4</v>
      </c>
      <c r="B35" s="32">
        <v>2024</v>
      </c>
      <c r="C35" s="46" t="s">
        <v>263</v>
      </c>
      <c r="D35" s="46" t="s">
        <v>45</v>
      </c>
      <c r="E35" s="47" t="s">
        <v>46</v>
      </c>
      <c r="F35" s="46" t="s">
        <v>36</v>
      </c>
      <c r="G35" s="34">
        <v>1299</v>
      </c>
      <c r="H35" s="34">
        <v>10</v>
      </c>
      <c r="I35" s="34">
        <f>IFERROR(ROUND('Data Bulanan'!DC11,0),0)</f>
        <v>6718</v>
      </c>
      <c r="J35" s="34">
        <v>1881500</v>
      </c>
      <c r="K35" s="34">
        <v>288276</v>
      </c>
      <c r="L35" s="35">
        <f t="shared" si="0"/>
        <v>296</v>
      </c>
      <c r="M35" s="36">
        <f>IFERROR(AVERAGE('Data Bulanan'!CF11,'Data Bulanan'!CH11,'Data Bulanan'!CJ11,'Data Bulanan'!CL11,'Data Bulanan'!CN11,'Data Bulanan'!CP11,'Data Bulanan'!CR11,'Data Bulanan'!CT11,'Data Bulanan'!CV11,'Data Bulanan'!CX11,'Data Bulanan'!CZ11,'Data Bulanan'!DB11),0)</f>
        <v>17.919271633384536</v>
      </c>
      <c r="N35" s="37">
        <f>'Data Bulanan'!DD11</f>
        <v>4.948077235835183</v>
      </c>
      <c r="O35" s="38">
        <f t="shared" si="1"/>
        <v>15.647194103669305</v>
      </c>
      <c r="P35" s="39">
        <f t="shared" si="2"/>
        <v>26</v>
      </c>
      <c r="Q35" s="40">
        <f t="shared" si="3"/>
        <v>205</v>
      </c>
      <c r="R35" s="41">
        <f t="shared" si="4"/>
        <v>1094</v>
      </c>
      <c r="S35" s="42" t="str">
        <f t="shared" si="5"/>
        <v>Overstock 📦</v>
      </c>
      <c r="T35" s="43">
        <f>IFERROR(N35/AVERAGE(M32:M36),0)</f>
        <v>0.30505995991456797</v>
      </c>
      <c r="U35" s="44">
        <v>263.60000000000002</v>
      </c>
      <c r="V35" s="45">
        <v>0.32969999999999999</v>
      </c>
    </row>
    <row r="36" spans="1:22" ht="15" customHeight="1" x14ac:dyDescent="0.35">
      <c r="A36" s="46">
        <v>5</v>
      </c>
      <c r="B36" s="32">
        <v>2025</v>
      </c>
      <c r="C36" s="46" t="s">
        <v>263</v>
      </c>
      <c r="D36" s="46" t="s">
        <v>45</v>
      </c>
      <c r="E36" s="47" t="s">
        <v>46</v>
      </c>
      <c r="F36" s="46" t="s">
        <v>36</v>
      </c>
      <c r="G36" s="34">
        <v>540</v>
      </c>
      <c r="H36" s="34">
        <v>10</v>
      </c>
      <c r="I36" s="34">
        <f>IFERROR(ROUND('Data Bulanan'!EC11,0),0)</f>
        <v>6618</v>
      </c>
      <c r="J36" s="34">
        <v>1902503</v>
      </c>
      <c r="K36" s="34">
        <v>313993</v>
      </c>
      <c r="L36" s="35">
        <f t="shared" si="0"/>
        <v>283</v>
      </c>
      <c r="M36" s="36">
        <f>IFERROR(AVERAGE('Data Bulanan'!DF11,'Data Bulanan'!DH11,'Data Bulanan'!DJ11,'Data Bulanan'!DL11,'Data Bulanan'!DN11,'Data Bulanan'!DP11,'Data Bulanan'!DR11,'Data Bulanan'!DT11,'Data Bulanan'!DV11,'Data Bulanan'!DX11,'Data Bulanan'!DZ11,'Data Bulanan'!EB11),0)</f>
        <v>17.577937788018435</v>
      </c>
      <c r="N36" s="37">
        <f>'Data Bulanan'!ED11</f>
        <v>4.5989747442936206</v>
      </c>
      <c r="O36" s="38">
        <f t="shared" si="1"/>
        <v>14.543235093558302</v>
      </c>
      <c r="P36" s="39">
        <f t="shared" si="2"/>
        <v>24</v>
      </c>
      <c r="Q36" s="40">
        <f t="shared" si="3"/>
        <v>200</v>
      </c>
      <c r="R36" s="41">
        <f t="shared" si="4"/>
        <v>340</v>
      </c>
      <c r="S36" s="42" t="str">
        <f t="shared" si="5"/>
        <v>Overstock 📦</v>
      </c>
      <c r="T36" s="43">
        <f>IFERROR(N36/AVERAGE(M32:M36),0)</f>
        <v>0.28353701534440928</v>
      </c>
      <c r="U36" s="44">
        <v>263.60000000000002</v>
      </c>
      <c r="V36" s="45">
        <v>0.32969999999999999</v>
      </c>
    </row>
    <row r="37" spans="1:22" ht="15" customHeight="1" x14ac:dyDescent="0.35">
      <c r="A37" s="31">
        <v>1</v>
      </c>
      <c r="B37" s="32">
        <v>2021</v>
      </c>
      <c r="C37" s="31" t="s">
        <v>263</v>
      </c>
      <c r="D37" s="31" t="s">
        <v>47</v>
      </c>
      <c r="E37" s="33" t="s">
        <v>48</v>
      </c>
      <c r="F37" s="31" t="s">
        <v>36</v>
      </c>
      <c r="G37" s="34">
        <v>0</v>
      </c>
      <c r="H37" s="34">
        <v>39</v>
      </c>
      <c r="I37" s="34">
        <f>IFERROR(ROUND('Data Bulanan'!AC12,0),0)</f>
        <v>16553</v>
      </c>
      <c r="J37" s="34">
        <v>7335190</v>
      </c>
      <c r="K37" s="34">
        <v>218719</v>
      </c>
      <c r="L37" s="35">
        <f t="shared" si="0"/>
        <v>1054</v>
      </c>
      <c r="M37" s="36">
        <f>IFERROR(AVERAGE('Data Bulanan'!F12,'Data Bulanan'!H12,'Data Bulanan'!J12,'Data Bulanan'!L12,'Data Bulanan'!N12,'Data Bulanan'!P12,'Data Bulanan'!R12,'Data Bulanan'!T12,'Data Bulanan'!V12,'Data Bulanan'!X12,'Data Bulanan'!Z12,'Data Bulanan'!AB12),0)</f>
        <v>43.971415770609326</v>
      </c>
      <c r="N37" s="37">
        <f>'Data Bulanan'!AD12</f>
        <v>8.1840076592009989</v>
      </c>
      <c r="O37" s="38">
        <f t="shared" si="1"/>
        <v>51.109111450587399</v>
      </c>
      <c r="P37" s="39">
        <f t="shared" si="2"/>
        <v>84</v>
      </c>
      <c r="Q37" s="40">
        <f t="shared" si="3"/>
        <v>1799</v>
      </c>
      <c r="R37" s="41">
        <f t="shared" si="4"/>
        <v>-1799</v>
      </c>
      <c r="S37" s="42" t="str">
        <f t="shared" si="5"/>
        <v>Stockout ⚠</v>
      </c>
      <c r="T37" s="43">
        <f>IFERROR(N37/AVERAGE(M37:M41),0)</f>
        <v>0.16033802888786516</v>
      </c>
      <c r="U37" s="44">
        <v>78.400000000000006</v>
      </c>
      <c r="V37" s="45">
        <v>3.0000000000000001E-3</v>
      </c>
    </row>
    <row r="38" spans="1:22" ht="15" customHeight="1" x14ac:dyDescent="0.35">
      <c r="A38" s="31">
        <v>2</v>
      </c>
      <c r="B38" s="32">
        <v>2022</v>
      </c>
      <c r="C38" s="31" t="s">
        <v>263</v>
      </c>
      <c r="D38" s="31" t="s">
        <v>47</v>
      </c>
      <c r="E38" s="33" t="s">
        <v>48</v>
      </c>
      <c r="F38" s="31" t="s">
        <v>36</v>
      </c>
      <c r="G38" s="34">
        <v>7175</v>
      </c>
      <c r="H38" s="34">
        <v>39</v>
      </c>
      <c r="I38" s="34">
        <f>IFERROR(ROUND('Data Bulanan'!BC12,0),0)</f>
        <v>20975</v>
      </c>
      <c r="J38" s="34">
        <v>7169624</v>
      </c>
      <c r="K38" s="34">
        <v>218599</v>
      </c>
      <c r="L38" s="35">
        <f t="shared" si="0"/>
        <v>1173</v>
      </c>
      <c r="M38" s="36">
        <f>IFERROR(AVERAGE('Data Bulanan'!AF12,'Data Bulanan'!AH12,'Data Bulanan'!AJ12,'Data Bulanan'!AL12,'Data Bulanan'!AN12,'Data Bulanan'!AP12,'Data Bulanan'!AR12,'Data Bulanan'!AT12,'Data Bulanan'!AV12,'Data Bulanan'!AX12,'Data Bulanan'!AZ12,'Data Bulanan'!BB12),0)</f>
        <v>55.836328725038406</v>
      </c>
      <c r="N38" s="37">
        <f>'Data Bulanan'!BD12</f>
        <v>11.14803860331941</v>
      </c>
      <c r="O38" s="38">
        <f t="shared" si="1"/>
        <v>69.619478763797787</v>
      </c>
      <c r="P38" s="39">
        <f t="shared" si="2"/>
        <v>115</v>
      </c>
      <c r="Q38" s="40">
        <f t="shared" si="3"/>
        <v>2293</v>
      </c>
      <c r="R38" s="41">
        <f t="shared" si="4"/>
        <v>4882</v>
      </c>
      <c r="S38" s="42" t="str">
        <f t="shared" si="5"/>
        <v>Overstock 📦</v>
      </c>
      <c r="T38" s="43">
        <f>IFERROR(N38/AVERAGE(M37:M41),0)</f>
        <v>0.21840821881593547</v>
      </c>
      <c r="U38" s="44">
        <v>78.400000000000006</v>
      </c>
      <c r="V38" s="45">
        <v>3.0000000000000001E-3</v>
      </c>
    </row>
    <row r="39" spans="1:22" ht="15" customHeight="1" x14ac:dyDescent="0.35">
      <c r="A39" s="31">
        <v>3</v>
      </c>
      <c r="B39" s="32">
        <v>2023</v>
      </c>
      <c r="C39" s="31" t="s">
        <v>263</v>
      </c>
      <c r="D39" s="31" t="s">
        <v>47</v>
      </c>
      <c r="E39" s="33" t="s">
        <v>48</v>
      </c>
      <c r="F39" s="31" t="s">
        <v>36</v>
      </c>
      <c r="G39" s="34">
        <v>7360</v>
      </c>
      <c r="H39" s="34">
        <v>39</v>
      </c>
      <c r="I39" s="34">
        <f>IFERROR(ROUND('Data Bulanan'!CC12,0),0)</f>
        <v>20497</v>
      </c>
      <c r="J39" s="34">
        <v>8167110</v>
      </c>
      <c r="K39" s="34">
        <v>235846</v>
      </c>
      <c r="L39" s="35">
        <f t="shared" si="0"/>
        <v>1191</v>
      </c>
      <c r="M39" s="36">
        <f>IFERROR(AVERAGE('Data Bulanan'!BF12,'Data Bulanan'!BH12,'Data Bulanan'!BJ12,'Data Bulanan'!BL12,'Data Bulanan'!BN12,'Data Bulanan'!BP12,'Data Bulanan'!BR12,'Data Bulanan'!BT12,'Data Bulanan'!BV12,'Data Bulanan'!BX12,'Data Bulanan'!BZ12,'Data Bulanan'!CB12),0)</f>
        <v>54.420436507936508</v>
      </c>
      <c r="N39" s="37">
        <f>'Data Bulanan'!CD12</f>
        <v>12.456611466408891</v>
      </c>
      <c r="O39" s="38">
        <f t="shared" si="1"/>
        <v>77.79151367455006</v>
      </c>
      <c r="P39" s="39">
        <f t="shared" si="2"/>
        <v>128</v>
      </c>
      <c r="Q39" s="40">
        <f t="shared" si="3"/>
        <v>2250</v>
      </c>
      <c r="R39" s="41">
        <f t="shared" si="4"/>
        <v>5110</v>
      </c>
      <c r="S39" s="42" t="str">
        <f t="shared" si="5"/>
        <v>Overstock 📦</v>
      </c>
      <c r="T39" s="43">
        <f>IFERROR(N39/AVERAGE(M37:M41),0)</f>
        <v>0.24404529080572412</v>
      </c>
      <c r="U39" s="44">
        <v>78.400000000000006</v>
      </c>
      <c r="V39" s="45">
        <v>3.0000000000000001E-3</v>
      </c>
    </row>
    <row r="40" spans="1:22" ht="15" customHeight="1" x14ac:dyDescent="0.35">
      <c r="A40" s="31">
        <v>4</v>
      </c>
      <c r="B40" s="32">
        <v>2024</v>
      </c>
      <c r="C40" s="31" t="s">
        <v>263</v>
      </c>
      <c r="D40" s="31" t="s">
        <v>47</v>
      </c>
      <c r="E40" s="33" t="s">
        <v>48</v>
      </c>
      <c r="F40" s="31" t="s">
        <v>36</v>
      </c>
      <c r="G40" s="34">
        <v>4147</v>
      </c>
      <c r="H40" s="34">
        <v>39</v>
      </c>
      <c r="I40" s="34">
        <f>IFERROR(ROUND('Data Bulanan'!DC12,0),0)</f>
        <v>21045</v>
      </c>
      <c r="J40" s="34">
        <v>8040961</v>
      </c>
      <c r="K40" s="34">
        <v>237595</v>
      </c>
      <c r="L40" s="35">
        <f t="shared" si="0"/>
        <v>1194</v>
      </c>
      <c r="M40" s="36">
        <f>IFERROR(AVERAGE('Data Bulanan'!CF12,'Data Bulanan'!CH12,'Data Bulanan'!CJ12,'Data Bulanan'!CL12,'Data Bulanan'!CN12,'Data Bulanan'!CP12,'Data Bulanan'!CR12,'Data Bulanan'!CT12,'Data Bulanan'!CV12,'Data Bulanan'!CX12,'Data Bulanan'!CZ12,'Data Bulanan'!DB12),0)</f>
        <v>56.014816948284697</v>
      </c>
      <c r="N40" s="37">
        <f>'Data Bulanan'!DD12</f>
        <v>11.195380053462502</v>
      </c>
      <c r="O40" s="38">
        <f t="shared" si="1"/>
        <v>69.915126025182673</v>
      </c>
      <c r="P40" s="39">
        <f t="shared" si="2"/>
        <v>115</v>
      </c>
      <c r="Q40" s="40">
        <f t="shared" si="3"/>
        <v>2300</v>
      </c>
      <c r="R40" s="41">
        <f t="shared" si="4"/>
        <v>1847</v>
      </c>
      <c r="S40" s="42" t="str">
        <f t="shared" si="5"/>
        <v>Overstock 📦</v>
      </c>
      <c r="T40" s="43">
        <f>IFERROR(N40/AVERAGE(M37:M41),0)</f>
        <v>0.21933571486881401</v>
      </c>
      <c r="U40" s="44">
        <v>78.400000000000006</v>
      </c>
      <c r="V40" s="45">
        <v>3.0000000000000001E-3</v>
      </c>
    </row>
    <row r="41" spans="1:22" ht="15" customHeight="1" x14ac:dyDescent="0.35">
      <c r="A41" s="31">
        <v>5</v>
      </c>
      <c r="B41" s="32">
        <v>2025</v>
      </c>
      <c r="C41" s="31" t="s">
        <v>263</v>
      </c>
      <c r="D41" s="31" t="s">
        <v>47</v>
      </c>
      <c r="E41" s="33" t="s">
        <v>48</v>
      </c>
      <c r="F41" s="31" t="s">
        <v>36</v>
      </c>
      <c r="G41" s="34">
        <v>10845</v>
      </c>
      <c r="H41" s="34">
        <v>39</v>
      </c>
      <c r="I41" s="34">
        <f>IFERROR(ROUND('Data Bulanan'!EC12,0),0)</f>
        <v>16910</v>
      </c>
      <c r="J41" s="34">
        <v>7642331</v>
      </c>
      <c r="K41" s="34">
        <v>233568</v>
      </c>
      <c r="L41" s="35">
        <f t="shared" si="0"/>
        <v>1052</v>
      </c>
      <c r="M41" s="36">
        <f>IFERROR(AVERAGE('Data Bulanan'!DF12,'Data Bulanan'!DH12,'Data Bulanan'!DJ12,'Data Bulanan'!DL12,'Data Bulanan'!DN12,'Data Bulanan'!DP12,'Data Bulanan'!DR12,'Data Bulanan'!DT12,'Data Bulanan'!DV12,'Data Bulanan'!DX12,'Data Bulanan'!DZ12,'Data Bulanan'!EB12),0)</f>
        <v>44.968061955965176</v>
      </c>
      <c r="N41" s="37">
        <f>'Data Bulanan'!ED12</f>
        <v>11.145780817831245</v>
      </c>
      <c r="O41" s="38">
        <f t="shared" si="1"/>
        <v>69.605378897943382</v>
      </c>
      <c r="P41" s="39">
        <f t="shared" si="2"/>
        <v>115</v>
      </c>
      <c r="Q41" s="40">
        <f t="shared" si="3"/>
        <v>1869</v>
      </c>
      <c r="R41" s="41">
        <f t="shared" si="4"/>
        <v>8976</v>
      </c>
      <c r="S41" s="42" t="str">
        <f t="shared" si="5"/>
        <v>Overstock 📦</v>
      </c>
      <c r="T41" s="43">
        <f>IFERROR(N41/AVERAGE(M37:M41),0)</f>
        <v>0.21836398512384977</v>
      </c>
      <c r="U41" s="44">
        <v>78.400000000000006</v>
      </c>
      <c r="V41" s="45">
        <v>3.0000000000000001E-3</v>
      </c>
    </row>
    <row r="42" spans="1:22" ht="15" customHeight="1" x14ac:dyDescent="0.35">
      <c r="A42" s="46">
        <v>1</v>
      </c>
      <c r="B42" s="32">
        <v>2021</v>
      </c>
      <c r="C42" s="46" t="s">
        <v>263</v>
      </c>
      <c r="D42" s="46" t="s">
        <v>49</v>
      </c>
      <c r="E42" s="47" t="s">
        <v>50</v>
      </c>
      <c r="F42" s="46" t="s">
        <v>36</v>
      </c>
      <c r="G42" s="34">
        <v>0</v>
      </c>
      <c r="H42" s="34">
        <v>8</v>
      </c>
      <c r="I42" s="34">
        <f>IFERROR(ROUND('Data Bulanan'!AC13,0),0)</f>
        <v>39448</v>
      </c>
      <c r="J42" s="34">
        <v>852402</v>
      </c>
      <c r="K42" s="34">
        <v>147934</v>
      </c>
      <c r="L42" s="35">
        <f t="shared" si="0"/>
        <v>674</v>
      </c>
      <c r="M42" s="36">
        <f>IFERROR(AVERAGE('Data Bulanan'!F13,'Data Bulanan'!H13,'Data Bulanan'!J13,'Data Bulanan'!L13,'Data Bulanan'!N13,'Data Bulanan'!P13,'Data Bulanan'!R13,'Data Bulanan'!T13,'Data Bulanan'!V13,'Data Bulanan'!X13,'Data Bulanan'!Z13,'Data Bulanan'!AB13),0)</f>
        <v>105.12364311315923</v>
      </c>
      <c r="N42" s="37">
        <f>'Data Bulanan'!AD13</f>
        <v>23.872844189069184</v>
      </c>
      <c r="O42" s="38">
        <f t="shared" si="1"/>
        <v>67.522600049202751</v>
      </c>
      <c r="P42" s="39">
        <f t="shared" si="2"/>
        <v>111</v>
      </c>
      <c r="Q42" s="40">
        <f t="shared" si="3"/>
        <v>952</v>
      </c>
      <c r="R42" s="41">
        <f t="shared" si="4"/>
        <v>-952</v>
      </c>
      <c r="S42" s="42" t="str">
        <f t="shared" si="5"/>
        <v>Stockout ⚠</v>
      </c>
      <c r="T42" s="43">
        <f>IFERROR(N42/AVERAGE(M42:M46),0)</f>
        <v>0.19124955104293004</v>
      </c>
      <c r="U42" s="44">
        <v>3721.03</v>
      </c>
      <c r="V42" s="45">
        <v>0.84379999999999999</v>
      </c>
    </row>
    <row r="43" spans="1:22" ht="15" customHeight="1" x14ac:dyDescent="0.35">
      <c r="A43" s="46">
        <v>2</v>
      </c>
      <c r="B43" s="32">
        <v>2022</v>
      </c>
      <c r="C43" s="46" t="s">
        <v>263</v>
      </c>
      <c r="D43" s="46" t="s">
        <v>49</v>
      </c>
      <c r="E43" s="47" t="s">
        <v>50</v>
      </c>
      <c r="F43" s="46" t="s">
        <v>36</v>
      </c>
      <c r="G43" s="34">
        <v>0</v>
      </c>
      <c r="H43" s="34">
        <v>8</v>
      </c>
      <c r="I43" s="34">
        <f>IFERROR(ROUND('Data Bulanan'!BC13,0),0)</f>
        <v>44605</v>
      </c>
      <c r="J43" s="34">
        <v>794896</v>
      </c>
      <c r="K43" s="34">
        <v>143692</v>
      </c>
      <c r="L43" s="35">
        <f t="shared" si="0"/>
        <v>702</v>
      </c>
      <c r="M43" s="36">
        <f>IFERROR(AVERAGE('Data Bulanan'!AF13,'Data Bulanan'!AH13,'Data Bulanan'!AJ13,'Data Bulanan'!AL13,'Data Bulanan'!AN13,'Data Bulanan'!AP13,'Data Bulanan'!AR13,'Data Bulanan'!AT13,'Data Bulanan'!AV13,'Data Bulanan'!AX13,'Data Bulanan'!AZ13,'Data Bulanan'!BB13),0)</f>
        <v>119.00279697900665</v>
      </c>
      <c r="N43" s="37">
        <f>'Data Bulanan'!BD13</f>
        <v>29.567777217246043</v>
      </c>
      <c r="O43" s="38">
        <f t="shared" si="1"/>
        <v>83.630303099711142</v>
      </c>
      <c r="P43" s="39">
        <f t="shared" si="2"/>
        <v>138</v>
      </c>
      <c r="Q43" s="40">
        <f t="shared" si="3"/>
        <v>1090</v>
      </c>
      <c r="R43" s="41">
        <f t="shared" si="4"/>
        <v>-1090</v>
      </c>
      <c r="S43" s="42" t="str">
        <f t="shared" si="5"/>
        <v>Stockout ⚠</v>
      </c>
      <c r="T43" s="43">
        <f>IFERROR(N43/AVERAGE(M42:M46),0)</f>
        <v>0.23687266055734121</v>
      </c>
      <c r="U43" s="44">
        <v>3721.03</v>
      </c>
      <c r="V43" s="45">
        <v>0.84379999999999999</v>
      </c>
    </row>
    <row r="44" spans="1:22" ht="15" customHeight="1" x14ac:dyDescent="0.35">
      <c r="A44" s="46">
        <v>3</v>
      </c>
      <c r="B44" s="32">
        <v>2023</v>
      </c>
      <c r="C44" s="46" t="s">
        <v>263</v>
      </c>
      <c r="D44" s="46" t="s">
        <v>49</v>
      </c>
      <c r="E44" s="47" t="s">
        <v>50</v>
      </c>
      <c r="F44" s="46" t="s">
        <v>36</v>
      </c>
      <c r="G44" s="34">
        <v>6679</v>
      </c>
      <c r="H44" s="34">
        <v>8</v>
      </c>
      <c r="I44" s="34">
        <f>IFERROR(ROUND('Data Bulanan'!CC13,0),0)</f>
        <v>43229</v>
      </c>
      <c r="J44" s="34">
        <v>750715</v>
      </c>
      <c r="K44" s="34">
        <v>134390</v>
      </c>
      <c r="L44" s="35">
        <f t="shared" si="0"/>
        <v>695</v>
      </c>
      <c r="M44" s="36">
        <f>IFERROR(AVERAGE('Data Bulanan'!BF13,'Data Bulanan'!BH13,'Data Bulanan'!BJ13,'Data Bulanan'!BL13,'Data Bulanan'!BN13,'Data Bulanan'!BP13,'Data Bulanan'!BR13,'Data Bulanan'!BT13,'Data Bulanan'!BV13,'Data Bulanan'!BX13,'Data Bulanan'!BZ13,'Data Bulanan'!CB13),0)</f>
        <v>114.91242959549412</v>
      </c>
      <c r="N44" s="37">
        <f>'Data Bulanan'!CD13</f>
        <v>17.595176216206038</v>
      </c>
      <c r="O44" s="38">
        <f t="shared" si="1"/>
        <v>49.766673674606196</v>
      </c>
      <c r="P44" s="39">
        <f t="shared" si="2"/>
        <v>82</v>
      </c>
      <c r="Q44" s="40">
        <f t="shared" si="3"/>
        <v>1001</v>
      </c>
      <c r="R44" s="41">
        <f t="shared" si="4"/>
        <v>5678</v>
      </c>
      <c r="S44" s="42" t="str">
        <f t="shared" si="5"/>
        <v>Overstock 📦</v>
      </c>
      <c r="T44" s="43">
        <f>IFERROR(N44/AVERAGE(M42:M46),0)</f>
        <v>0.14095804945652146</v>
      </c>
      <c r="U44" s="44">
        <v>3721.03</v>
      </c>
      <c r="V44" s="45">
        <v>0.84379999999999999</v>
      </c>
    </row>
    <row r="45" spans="1:22" ht="15" customHeight="1" x14ac:dyDescent="0.35">
      <c r="A45" s="46">
        <v>4</v>
      </c>
      <c r="B45" s="32">
        <v>2024</v>
      </c>
      <c r="C45" s="46" t="s">
        <v>263</v>
      </c>
      <c r="D45" s="46" t="s">
        <v>49</v>
      </c>
      <c r="E45" s="47" t="s">
        <v>50</v>
      </c>
      <c r="F45" s="46" t="s">
        <v>36</v>
      </c>
      <c r="G45" s="34">
        <v>4599</v>
      </c>
      <c r="H45" s="34">
        <v>8</v>
      </c>
      <c r="I45" s="34">
        <f>IFERROR(ROUND('Data Bulanan'!DC13,0),0)</f>
        <v>53692</v>
      </c>
      <c r="J45" s="34">
        <v>729890</v>
      </c>
      <c r="K45" s="34">
        <v>139923</v>
      </c>
      <c r="L45" s="35">
        <f t="shared" si="0"/>
        <v>748</v>
      </c>
      <c r="M45" s="36">
        <f>IFERROR(AVERAGE('Data Bulanan'!CF13,'Data Bulanan'!CH13,'Data Bulanan'!CJ13,'Data Bulanan'!CL13,'Data Bulanan'!CN13,'Data Bulanan'!CP13,'Data Bulanan'!CR13,'Data Bulanan'!CT13,'Data Bulanan'!CV13,'Data Bulanan'!CX13,'Data Bulanan'!CZ13,'Data Bulanan'!DB13),0)</f>
        <v>143.05524193548388</v>
      </c>
      <c r="N45" s="37">
        <f>'Data Bulanan'!DD13</f>
        <v>28.485186318860368</v>
      </c>
      <c r="O45" s="38">
        <f t="shared" si="1"/>
        <v>80.568273637713745</v>
      </c>
      <c r="P45" s="39">
        <f t="shared" si="2"/>
        <v>133</v>
      </c>
      <c r="Q45" s="40">
        <f t="shared" si="3"/>
        <v>1277</v>
      </c>
      <c r="R45" s="41">
        <f t="shared" si="4"/>
        <v>3322</v>
      </c>
      <c r="S45" s="42" t="str">
        <f t="shared" si="5"/>
        <v>Overstock 📦</v>
      </c>
      <c r="T45" s="43">
        <f>IFERROR(N45/AVERAGE(M42:M46),0)</f>
        <v>0.22819983457818019</v>
      </c>
      <c r="U45" s="44">
        <v>3721.03</v>
      </c>
      <c r="V45" s="45">
        <v>0.84379999999999999</v>
      </c>
    </row>
    <row r="46" spans="1:22" ht="15" customHeight="1" x14ac:dyDescent="0.35">
      <c r="A46" s="46">
        <v>5</v>
      </c>
      <c r="B46" s="32">
        <v>2025</v>
      </c>
      <c r="C46" s="46" t="s">
        <v>263</v>
      </c>
      <c r="D46" s="46" t="s">
        <v>49</v>
      </c>
      <c r="E46" s="47" t="s">
        <v>50</v>
      </c>
      <c r="F46" s="46" t="s">
        <v>36</v>
      </c>
      <c r="G46" s="34">
        <v>4757</v>
      </c>
      <c r="H46" s="34">
        <v>8</v>
      </c>
      <c r="I46" s="34">
        <f>IFERROR(ROUND('Data Bulanan'!EC13,0),0)</f>
        <v>53509</v>
      </c>
      <c r="J46" s="34">
        <v>799643</v>
      </c>
      <c r="K46" s="34">
        <v>142565</v>
      </c>
      <c r="L46" s="35">
        <f t="shared" si="0"/>
        <v>775</v>
      </c>
      <c r="M46" s="36">
        <f>IFERROR(AVERAGE('Data Bulanan'!DF13,'Data Bulanan'!DH13,'Data Bulanan'!DJ13,'Data Bulanan'!DL13,'Data Bulanan'!DN13,'Data Bulanan'!DP13,'Data Bulanan'!DR13,'Data Bulanan'!DT13,'Data Bulanan'!DV13,'Data Bulanan'!DX13,'Data Bulanan'!DZ13,'Data Bulanan'!EB13),0)</f>
        <v>142.03399897593448</v>
      </c>
      <c r="N46" s="37">
        <f>'Data Bulanan'!ED13</f>
        <v>26.407244670670362</v>
      </c>
      <c r="O46" s="38">
        <f t="shared" si="1"/>
        <v>74.690967116333326</v>
      </c>
      <c r="P46" s="39">
        <f t="shared" si="2"/>
        <v>123</v>
      </c>
      <c r="Q46" s="40">
        <f t="shared" si="3"/>
        <v>1259</v>
      </c>
      <c r="R46" s="41">
        <f t="shared" si="4"/>
        <v>3498</v>
      </c>
      <c r="S46" s="42" t="str">
        <f t="shared" si="5"/>
        <v>Overstock 📦</v>
      </c>
      <c r="T46" s="43">
        <f>IFERROR(N46/AVERAGE(M42:M46),0)</f>
        <v>0.21155307878476254</v>
      </c>
      <c r="U46" s="44">
        <v>3721.03</v>
      </c>
      <c r="V46" s="45">
        <v>0.84379999999999999</v>
      </c>
    </row>
    <row r="47" spans="1:22" ht="15" customHeight="1" x14ac:dyDescent="0.35">
      <c r="A47" s="31">
        <v>1</v>
      </c>
      <c r="B47" s="32">
        <v>2021</v>
      </c>
      <c r="C47" s="31" t="s">
        <v>263</v>
      </c>
      <c r="D47" s="31" t="s">
        <v>51</v>
      </c>
      <c r="E47" s="33" t="s">
        <v>52</v>
      </c>
      <c r="F47" s="31" t="s">
        <v>36</v>
      </c>
      <c r="G47" s="34">
        <v>2352</v>
      </c>
      <c r="H47" s="34">
        <v>6</v>
      </c>
      <c r="I47" s="34">
        <f>IFERROR(ROUND('Data Bulanan'!AC14,0),0)</f>
        <v>46102</v>
      </c>
      <c r="J47" s="34">
        <v>537137</v>
      </c>
      <c r="K47" s="34">
        <v>371408</v>
      </c>
      <c r="L47" s="35">
        <f t="shared" si="0"/>
        <v>365</v>
      </c>
      <c r="M47" s="36">
        <f>IFERROR(AVERAGE('Data Bulanan'!F14,'Data Bulanan'!H14,'Data Bulanan'!J14,'Data Bulanan'!L14,'Data Bulanan'!N14,'Data Bulanan'!P14,'Data Bulanan'!R14,'Data Bulanan'!T14,'Data Bulanan'!V14,'Data Bulanan'!X14,'Data Bulanan'!Z14,'Data Bulanan'!AB14),0)</f>
        <v>122.33801843317974</v>
      </c>
      <c r="N47" s="37">
        <f>'Data Bulanan'!AD14</f>
        <v>27.447935379282697</v>
      </c>
      <c r="O47" s="38">
        <f t="shared" si="1"/>
        <v>67.233436172128464</v>
      </c>
      <c r="P47" s="39">
        <f t="shared" si="2"/>
        <v>111</v>
      </c>
      <c r="Q47" s="40">
        <f t="shared" si="3"/>
        <v>845</v>
      </c>
      <c r="R47" s="41">
        <f t="shared" si="4"/>
        <v>1507</v>
      </c>
      <c r="S47" s="42" t="str">
        <f t="shared" si="5"/>
        <v>Overstock 📦</v>
      </c>
      <c r="T47" s="43">
        <f>IFERROR(N47/AVERAGE(M47:M51),0)</f>
        <v>0.23276738227626895</v>
      </c>
      <c r="U47" s="44">
        <v>401.8</v>
      </c>
      <c r="V47" s="45">
        <v>3.1399999999999997E-2</v>
      </c>
    </row>
    <row r="48" spans="1:22" ht="15" customHeight="1" x14ac:dyDescent="0.35">
      <c r="A48" s="31">
        <v>2</v>
      </c>
      <c r="B48" s="32">
        <v>2022</v>
      </c>
      <c r="C48" s="31" t="s">
        <v>263</v>
      </c>
      <c r="D48" s="31" t="s">
        <v>51</v>
      </c>
      <c r="E48" s="33" t="s">
        <v>52</v>
      </c>
      <c r="F48" s="31" t="s">
        <v>36</v>
      </c>
      <c r="G48" s="34">
        <v>987</v>
      </c>
      <c r="H48" s="34">
        <v>6</v>
      </c>
      <c r="I48" s="34">
        <f>IFERROR(ROUND('Data Bulanan'!BC14,0),0)</f>
        <v>38672</v>
      </c>
      <c r="J48" s="34">
        <v>636619</v>
      </c>
      <c r="K48" s="34">
        <v>393306</v>
      </c>
      <c r="L48" s="35">
        <f t="shared" si="0"/>
        <v>354</v>
      </c>
      <c r="M48" s="36">
        <f>IFERROR(AVERAGE('Data Bulanan'!AF14,'Data Bulanan'!AH14,'Data Bulanan'!AJ14,'Data Bulanan'!AL14,'Data Bulanan'!AN14,'Data Bulanan'!AP14,'Data Bulanan'!AR14,'Data Bulanan'!AT14,'Data Bulanan'!AV14,'Data Bulanan'!AX14,'Data Bulanan'!AZ14,'Data Bulanan'!BB14),0)</f>
        <v>102.83262928827446</v>
      </c>
      <c r="N48" s="37">
        <f>'Data Bulanan'!BD14</f>
        <v>20.386272075460617</v>
      </c>
      <c r="O48" s="38">
        <f t="shared" si="1"/>
        <v>49.935964342427908</v>
      </c>
      <c r="P48" s="39">
        <f t="shared" si="2"/>
        <v>82</v>
      </c>
      <c r="Q48" s="40">
        <f t="shared" si="3"/>
        <v>699</v>
      </c>
      <c r="R48" s="41">
        <f t="shared" si="4"/>
        <v>288</v>
      </c>
      <c r="S48" s="42" t="str">
        <f t="shared" si="5"/>
        <v>Aman ✅</v>
      </c>
      <c r="T48" s="43">
        <f>IFERROR(N48/AVERAGE(M47:M51),0)</f>
        <v>0.17288219021961196</v>
      </c>
      <c r="U48" s="44">
        <v>401.8</v>
      </c>
      <c r="V48" s="45">
        <v>3.1399999999999997E-2</v>
      </c>
    </row>
    <row r="49" spans="1:22" ht="15" customHeight="1" x14ac:dyDescent="0.35">
      <c r="A49" s="31">
        <v>3</v>
      </c>
      <c r="B49" s="32">
        <v>2023</v>
      </c>
      <c r="C49" s="31" t="s">
        <v>263</v>
      </c>
      <c r="D49" s="31" t="s">
        <v>51</v>
      </c>
      <c r="E49" s="33" t="s">
        <v>52</v>
      </c>
      <c r="F49" s="31" t="s">
        <v>36</v>
      </c>
      <c r="G49" s="34">
        <v>1466</v>
      </c>
      <c r="H49" s="34">
        <v>6</v>
      </c>
      <c r="I49" s="34">
        <f>IFERROR(ROUND('Data Bulanan'!CC14,0),0)</f>
        <v>45462</v>
      </c>
      <c r="J49" s="34">
        <v>595125</v>
      </c>
      <c r="K49" s="34">
        <v>347955</v>
      </c>
      <c r="L49" s="35">
        <f t="shared" si="0"/>
        <v>394</v>
      </c>
      <c r="M49" s="36">
        <f>IFERROR(AVERAGE('Data Bulanan'!BF14,'Data Bulanan'!BH14,'Data Bulanan'!BJ14,'Data Bulanan'!BL14,'Data Bulanan'!BN14,'Data Bulanan'!BP14,'Data Bulanan'!BR14,'Data Bulanan'!BT14,'Data Bulanan'!BV14,'Data Bulanan'!BX14,'Data Bulanan'!BZ14,'Data Bulanan'!CB14),0)</f>
        <v>121.50995903737839</v>
      </c>
      <c r="N49" s="37">
        <f>'Data Bulanan'!CD14</f>
        <v>31.296676934274029</v>
      </c>
      <c r="O49" s="38">
        <f t="shared" si="1"/>
        <v>76.660889133703108</v>
      </c>
      <c r="P49" s="39">
        <f t="shared" si="2"/>
        <v>126</v>
      </c>
      <c r="Q49" s="40">
        <f t="shared" si="3"/>
        <v>855</v>
      </c>
      <c r="R49" s="41">
        <f t="shared" si="4"/>
        <v>611</v>
      </c>
      <c r="S49" s="42" t="str">
        <f t="shared" si="5"/>
        <v>Overstock 📦</v>
      </c>
      <c r="T49" s="43">
        <f>IFERROR(N49/AVERAGE(M47:M51),0)</f>
        <v>0.26540595725227289</v>
      </c>
      <c r="U49" s="44">
        <v>401.8</v>
      </c>
      <c r="V49" s="45">
        <v>3.1399999999999997E-2</v>
      </c>
    </row>
    <row r="50" spans="1:22" ht="15" customHeight="1" x14ac:dyDescent="0.35">
      <c r="A50" s="31">
        <v>4</v>
      </c>
      <c r="B50" s="32">
        <v>2024</v>
      </c>
      <c r="C50" s="31" t="s">
        <v>263</v>
      </c>
      <c r="D50" s="31" t="s">
        <v>51</v>
      </c>
      <c r="E50" s="33" t="s">
        <v>52</v>
      </c>
      <c r="F50" s="31" t="s">
        <v>36</v>
      </c>
      <c r="G50" s="34">
        <v>1824</v>
      </c>
      <c r="H50" s="34">
        <v>6</v>
      </c>
      <c r="I50" s="34">
        <f>IFERROR(ROUND('Data Bulanan'!DC14,0),0)</f>
        <v>48083</v>
      </c>
      <c r="J50" s="34">
        <v>604578</v>
      </c>
      <c r="K50" s="34">
        <v>403541</v>
      </c>
      <c r="L50" s="35">
        <f t="shared" si="0"/>
        <v>380</v>
      </c>
      <c r="M50" s="36">
        <f>IFERROR(AVERAGE('Data Bulanan'!CF14,'Data Bulanan'!CH14,'Data Bulanan'!CJ14,'Data Bulanan'!CL14,'Data Bulanan'!CN14,'Data Bulanan'!CP14,'Data Bulanan'!CR14,'Data Bulanan'!CT14,'Data Bulanan'!CV14,'Data Bulanan'!CX14,'Data Bulanan'!CZ14,'Data Bulanan'!DB14),0)</f>
        <v>127.63055555555553</v>
      </c>
      <c r="N50" s="37">
        <f>'Data Bulanan'!DD14</f>
        <v>32.651756148661001</v>
      </c>
      <c r="O50" s="38">
        <f t="shared" si="1"/>
        <v>79.980141770002675</v>
      </c>
      <c r="P50" s="39">
        <f t="shared" si="2"/>
        <v>132</v>
      </c>
      <c r="Q50" s="40">
        <f t="shared" si="3"/>
        <v>898</v>
      </c>
      <c r="R50" s="41">
        <f t="shared" si="4"/>
        <v>926</v>
      </c>
      <c r="S50" s="42" t="str">
        <f t="shared" si="5"/>
        <v>Overstock 📦</v>
      </c>
      <c r="T50" s="43">
        <f>IFERROR(N50/AVERAGE(M47:M51),0)</f>
        <v>0.27689746789419578</v>
      </c>
      <c r="U50" s="44">
        <v>401.8</v>
      </c>
      <c r="V50" s="45">
        <v>3.1399999999999997E-2</v>
      </c>
    </row>
    <row r="51" spans="1:22" ht="15" customHeight="1" x14ac:dyDescent="0.35">
      <c r="A51" s="31">
        <v>5</v>
      </c>
      <c r="B51" s="32">
        <v>2025</v>
      </c>
      <c r="C51" s="31" t="s">
        <v>263</v>
      </c>
      <c r="D51" s="31" t="s">
        <v>51</v>
      </c>
      <c r="E51" s="33" t="s">
        <v>52</v>
      </c>
      <c r="F51" s="31" t="s">
        <v>36</v>
      </c>
      <c r="G51" s="34">
        <v>1269</v>
      </c>
      <c r="H51" s="34">
        <v>6</v>
      </c>
      <c r="I51" s="34">
        <f>IFERROR(ROUND('Data Bulanan'!EC14,0),0)</f>
        <v>43406</v>
      </c>
      <c r="J51" s="34">
        <v>641761</v>
      </c>
      <c r="K51" s="34">
        <v>394193</v>
      </c>
      <c r="L51" s="35">
        <f t="shared" si="0"/>
        <v>376</v>
      </c>
      <c r="M51" s="36">
        <f>IFERROR(AVERAGE('Data Bulanan'!DF14,'Data Bulanan'!DH14,'Data Bulanan'!DJ14,'Data Bulanan'!DL14,'Data Bulanan'!DN14,'Data Bulanan'!DP14,'Data Bulanan'!DR14,'Data Bulanan'!DT14,'Data Bulanan'!DV14,'Data Bulanan'!DX14,'Data Bulanan'!DZ14,'Data Bulanan'!EB14),0)</f>
        <v>115.28895929339478</v>
      </c>
      <c r="N51" s="37">
        <f>'Data Bulanan'!ED14</f>
        <v>28.524724184025519</v>
      </c>
      <c r="O51" s="38">
        <f t="shared" si="1"/>
        <v>69.871019304489764</v>
      </c>
      <c r="P51" s="39">
        <f t="shared" si="2"/>
        <v>115</v>
      </c>
      <c r="Q51" s="40">
        <f t="shared" si="3"/>
        <v>807</v>
      </c>
      <c r="R51" s="41">
        <f t="shared" si="4"/>
        <v>462</v>
      </c>
      <c r="S51" s="42" t="str">
        <f t="shared" si="5"/>
        <v>Overstock 📦</v>
      </c>
      <c r="T51" s="43">
        <f>IFERROR(N51/AVERAGE(M47:M51),0)</f>
        <v>0.24189890010742648</v>
      </c>
      <c r="U51" s="44">
        <v>401.8</v>
      </c>
      <c r="V51" s="45">
        <v>3.1399999999999997E-2</v>
      </c>
    </row>
    <row r="52" spans="1:22" ht="15" customHeight="1" x14ac:dyDescent="0.35">
      <c r="A52" s="46">
        <v>1</v>
      </c>
      <c r="B52" s="32">
        <v>2021</v>
      </c>
      <c r="C52" s="46" t="s">
        <v>263</v>
      </c>
      <c r="D52" s="46" t="s">
        <v>53</v>
      </c>
      <c r="E52" s="47" t="s">
        <v>54</v>
      </c>
      <c r="F52" s="46" t="s">
        <v>36</v>
      </c>
      <c r="G52" s="34">
        <v>1331</v>
      </c>
      <c r="H52" s="34">
        <v>10</v>
      </c>
      <c r="I52" s="34">
        <f>IFERROR(ROUND('Data Bulanan'!AC15,0),0)</f>
        <v>39767</v>
      </c>
      <c r="J52" s="34">
        <v>361831</v>
      </c>
      <c r="K52" s="34">
        <v>489661</v>
      </c>
      <c r="L52" s="35">
        <f t="shared" si="0"/>
        <v>242</v>
      </c>
      <c r="M52" s="36">
        <f>IFERROR(AVERAGE('Data Bulanan'!F15,'Data Bulanan'!H15,'Data Bulanan'!J15,'Data Bulanan'!L15,'Data Bulanan'!N15,'Data Bulanan'!P15,'Data Bulanan'!R15,'Data Bulanan'!T15,'Data Bulanan'!V15,'Data Bulanan'!X15,'Data Bulanan'!Z15,'Data Bulanan'!AB15),0)</f>
        <v>106.16710829493086</v>
      </c>
      <c r="N52" s="37">
        <f>'Data Bulanan'!AD15</f>
        <v>29.542053127424136</v>
      </c>
      <c r="O52" s="38">
        <f t="shared" si="1"/>
        <v>93.420174640360756</v>
      </c>
      <c r="P52" s="39">
        <f t="shared" si="2"/>
        <v>154</v>
      </c>
      <c r="Q52" s="40">
        <f t="shared" si="3"/>
        <v>1216</v>
      </c>
      <c r="R52" s="41">
        <f t="shared" si="4"/>
        <v>115</v>
      </c>
      <c r="S52" s="42" t="str">
        <f t="shared" si="5"/>
        <v>Aman ✅</v>
      </c>
      <c r="T52" s="43">
        <f>IFERROR(N52/AVERAGE(M52:M56),0)</f>
        <v>0.30691832750333281</v>
      </c>
      <c r="U52" s="44">
        <v>-1450.41</v>
      </c>
      <c r="V52" s="45">
        <v>0.27150000000000002</v>
      </c>
    </row>
    <row r="53" spans="1:22" ht="15" customHeight="1" x14ac:dyDescent="0.35">
      <c r="A53" s="46">
        <v>2</v>
      </c>
      <c r="B53" s="32">
        <v>2022</v>
      </c>
      <c r="C53" s="46" t="s">
        <v>263</v>
      </c>
      <c r="D53" s="46" t="s">
        <v>53</v>
      </c>
      <c r="E53" s="47" t="s">
        <v>54</v>
      </c>
      <c r="F53" s="46" t="s">
        <v>36</v>
      </c>
      <c r="G53" s="34">
        <v>0</v>
      </c>
      <c r="H53" s="34">
        <v>10</v>
      </c>
      <c r="I53" s="34">
        <f>IFERROR(ROUND('Data Bulanan'!BC15,0),0)</f>
        <v>35803</v>
      </c>
      <c r="J53" s="34">
        <v>402435</v>
      </c>
      <c r="K53" s="34">
        <v>491251</v>
      </c>
      <c r="L53" s="35">
        <f t="shared" si="0"/>
        <v>242</v>
      </c>
      <c r="M53" s="36">
        <f>IFERROR(AVERAGE('Data Bulanan'!AF15,'Data Bulanan'!AH15,'Data Bulanan'!AJ15,'Data Bulanan'!AL15,'Data Bulanan'!AN15,'Data Bulanan'!AP15,'Data Bulanan'!AR15,'Data Bulanan'!AT15,'Data Bulanan'!AV15,'Data Bulanan'!AX15,'Data Bulanan'!AZ15,'Data Bulanan'!BB15),0)</f>
        <v>95.510419866871487</v>
      </c>
      <c r="N53" s="37">
        <f>'Data Bulanan'!BD15</f>
        <v>22.791449198674766</v>
      </c>
      <c r="O53" s="38">
        <f t="shared" si="1"/>
        <v>72.072890643831727</v>
      </c>
      <c r="P53" s="39">
        <f t="shared" si="2"/>
        <v>119</v>
      </c>
      <c r="Q53" s="40">
        <f t="shared" si="3"/>
        <v>1074</v>
      </c>
      <c r="R53" s="41">
        <f t="shared" si="4"/>
        <v>-1074</v>
      </c>
      <c r="S53" s="42" t="str">
        <f t="shared" si="5"/>
        <v>Stockout ⚠</v>
      </c>
      <c r="T53" s="43">
        <f>IFERROR(N53/AVERAGE(M52:M56),0)</f>
        <v>0.23678494650531959</v>
      </c>
      <c r="U53" s="44">
        <v>-1450.41</v>
      </c>
      <c r="V53" s="45">
        <v>0.27150000000000002</v>
      </c>
    </row>
    <row r="54" spans="1:22" ht="15" customHeight="1" x14ac:dyDescent="0.35">
      <c r="A54" s="46">
        <v>3</v>
      </c>
      <c r="B54" s="32">
        <v>2023</v>
      </c>
      <c r="C54" s="46" t="s">
        <v>263</v>
      </c>
      <c r="D54" s="46" t="s">
        <v>53</v>
      </c>
      <c r="E54" s="47" t="s">
        <v>54</v>
      </c>
      <c r="F54" s="46" t="s">
        <v>36</v>
      </c>
      <c r="G54" s="34">
        <v>2084</v>
      </c>
      <c r="H54" s="34">
        <v>10</v>
      </c>
      <c r="I54" s="34">
        <f>IFERROR(ROUND('Data Bulanan'!CC15,0),0)</f>
        <v>34164</v>
      </c>
      <c r="J54" s="34">
        <v>398182</v>
      </c>
      <c r="K54" s="34">
        <v>425432</v>
      </c>
      <c r="L54" s="35">
        <f t="shared" si="0"/>
        <v>253</v>
      </c>
      <c r="M54" s="36">
        <f>IFERROR(AVERAGE('Data Bulanan'!BF15,'Data Bulanan'!BH15,'Data Bulanan'!BJ15,'Data Bulanan'!BL15,'Data Bulanan'!BN15,'Data Bulanan'!BP15,'Data Bulanan'!BR15,'Data Bulanan'!BT15,'Data Bulanan'!BV15,'Data Bulanan'!BX15,'Data Bulanan'!BZ15,'Data Bulanan'!CB15),0)</f>
        <v>91.046838197644647</v>
      </c>
      <c r="N54" s="37">
        <f>'Data Bulanan'!CD15</f>
        <v>18.013106080168001</v>
      </c>
      <c r="O54" s="38">
        <f t="shared" si="1"/>
        <v>56.962442947558479</v>
      </c>
      <c r="P54" s="39">
        <f t="shared" si="2"/>
        <v>94</v>
      </c>
      <c r="Q54" s="40">
        <f t="shared" si="3"/>
        <v>1004</v>
      </c>
      <c r="R54" s="41">
        <f t="shared" si="4"/>
        <v>1080</v>
      </c>
      <c r="S54" s="42" t="str">
        <f t="shared" si="5"/>
        <v>Overstock 📦</v>
      </c>
      <c r="T54" s="43">
        <f>IFERROR(N54/AVERAGE(M52:M56),0)</f>
        <v>0.18714177946329247</v>
      </c>
      <c r="U54" s="44">
        <v>-1450.41</v>
      </c>
      <c r="V54" s="45">
        <v>0.27150000000000002</v>
      </c>
    </row>
    <row r="55" spans="1:22" ht="15" customHeight="1" x14ac:dyDescent="0.35">
      <c r="A55" s="46">
        <v>4</v>
      </c>
      <c r="B55" s="32">
        <v>2024</v>
      </c>
      <c r="C55" s="46" t="s">
        <v>263</v>
      </c>
      <c r="D55" s="46" t="s">
        <v>53</v>
      </c>
      <c r="E55" s="47" t="s">
        <v>54</v>
      </c>
      <c r="F55" s="46" t="s">
        <v>36</v>
      </c>
      <c r="G55" s="34">
        <v>4343</v>
      </c>
      <c r="H55" s="34">
        <v>10</v>
      </c>
      <c r="I55" s="34">
        <f>IFERROR(ROUND('Data Bulanan'!DC15,0),0)</f>
        <v>40871</v>
      </c>
      <c r="J55" s="34">
        <v>382618</v>
      </c>
      <c r="K55" s="34">
        <v>426511</v>
      </c>
      <c r="L55" s="35">
        <f t="shared" si="0"/>
        <v>271</v>
      </c>
      <c r="M55" s="36">
        <f>IFERROR(AVERAGE('Data Bulanan'!CF15,'Data Bulanan'!CH15,'Data Bulanan'!CJ15,'Data Bulanan'!CL15,'Data Bulanan'!CN15,'Data Bulanan'!CP15,'Data Bulanan'!CR15,'Data Bulanan'!CT15,'Data Bulanan'!CV15,'Data Bulanan'!CX15,'Data Bulanan'!CZ15,'Data Bulanan'!DB15),0)</f>
        <v>108.93897209421402</v>
      </c>
      <c r="N55" s="37">
        <f>'Data Bulanan'!DD15</f>
        <v>22.601584244939392</v>
      </c>
      <c r="O55" s="38">
        <f t="shared" si="1"/>
        <v>71.472484942185446</v>
      </c>
      <c r="P55" s="39">
        <f t="shared" si="2"/>
        <v>118</v>
      </c>
      <c r="Q55" s="40">
        <f t="shared" si="3"/>
        <v>1207</v>
      </c>
      <c r="R55" s="41">
        <f t="shared" si="4"/>
        <v>3136</v>
      </c>
      <c r="S55" s="42" t="str">
        <f t="shared" si="5"/>
        <v>Overstock 📦</v>
      </c>
      <c r="T55" s="43">
        <f>IFERROR(N55/AVERAGE(M52:M56),0)</f>
        <v>0.2348124013406146</v>
      </c>
      <c r="U55" s="44">
        <v>-1450.41</v>
      </c>
      <c r="V55" s="45">
        <v>0.27150000000000002</v>
      </c>
    </row>
    <row r="56" spans="1:22" ht="15" customHeight="1" x14ac:dyDescent="0.35">
      <c r="A56" s="46">
        <v>5</v>
      </c>
      <c r="B56" s="32">
        <v>2025</v>
      </c>
      <c r="C56" s="46" t="s">
        <v>263</v>
      </c>
      <c r="D56" s="46" t="s">
        <v>53</v>
      </c>
      <c r="E56" s="47" t="s">
        <v>54</v>
      </c>
      <c r="F56" s="46" t="s">
        <v>36</v>
      </c>
      <c r="G56" s="34">
        <v>2382</v>
      </c>
      <c r="H56" s="34">
        <v>10</v>
      </c>
      <c r="I56" s="34">
        <f>IFERROR(ROUND('Data Bulanan'!EC15,0),0)</f>
        <v>29981</v>
      </c>
      <c r="J56" s="34">
        <v>395099</v>
      </c>
      <c r="K56" s="34">
        <v>478272</v>
      </c>
      <c r="L56" s="35">
        <f t="shared" si="0"/>
        <v>223</v>
      </c>
      <c r="M56" s="36">
        <f>IFERROR(AVERAGE('Data Bulanan'!DF15,'Data Bulanan'!DH15,'Data Bulanan'!DJ15,'Data Bulanan'!DL15,'Data Bulanan'!DN15,'Data Bulanan'!DP15,'Data Bulanan'!DR15,'Data Bulanan'!DT15,'Data Bulanan'!DV15,'Data Bulanan'!DX15,'Data Bulanan'!DZ15,'Data Bulanan'!EB15),0)</f>
        <v>79.605625960061431</v>
      </c>
      <c r="N56" s="37">
        <f>'Data Bulanan'!ED15</f>
        <v>21.886007083839957</v>
      </c>
      <c r="O56" s="38">
        <f t="shared" si="1"/>
        <v>69.209631271513999</v>
      </c>
      <c r="P56" s="39">
        <f t="shared" si="2"/>
        <v>114</v>
      </c>
      <c r="Q56" s="40">
        <f t="shared" si="3"/>
        <v>910</v>
      </c>
      <c r="R56" s="41">
        <f t="shared" si="4"/>
        <v>1472</v>
      </c>
      <c r="S56" s="42" t="str">
        <f t="shared" si="5"/>
        <v>Overstock 📦</v>
      </c>
      <c r="T56" s="43">
        <f>IFERROR(N56/AVERAGE(M52:M56),0)</f>
        <v>0.22737812639239363</v>
      </c>
      <c r="U56" s="44">
        <v>-1450.41</v>
      </c>
      <c r="V56" s="45">
        <v>0.27150000000000002</v>
      </c>
    </row>
    <row r="57" spans="1:22" ht="15" customHeight="1" x14ac:dyDescent="0.35">
      <c r="A57" s="31">
        <v>1</v>
      </c>
      <c r="B57" s="32">
        <v>2021</v>
      </c>
      <c r="C57" s="31" t="s">
        <v>263</v>
      </c>
      <c r="D57" s="31" t="s">
        <v>55</v>
      </c>
      <c r="E57" s="33" t="s">
        <v>56</v>
      </c>
      <c r="F57" s="31" t="s">
        <v>57</v>
      </c>
      <c r="G57" s="34">
        <v>6960</v>
      </c>
      <c r="H57" s="34">
        <v>40</v>
      </c>
      <c r="I57" s="34">
        <f>IFERROR(ROUND('Data Bulanan'!AC16,0),0)</f>
        <v>9027</v>
      </c>
      <c r="J57" s="34">
        <v>8369633</v>
      </c>
      <c r="K57" s="34">
        <v>439383</v>
      </c>
      <c r="L57" s="35">
        <f t="shared" si="0"/>
        <v>586</v>
      </c>
      <c r="M57" s="36">
        <f>IFERROR(AVERAGE('Data Bulanan'!F16,'Data Bulanan'!H16,'Data Bulanan'!J16,'Data Bulanan'!L16,'Data Bulanan'!N16,'Data Bulanan'!P16,'Data Bulanan'!R16,'Data Bulanan'!T16,'Data Bulanan'!V16,'Data Bulanan'!X16,'Data Bulanan'!Z16,'Data Bulanan'!AB16),0)</f>
        <v>24.062192780337938</v>
      </c>
      <c r="N57" s="37">
        <f>'Data Bulanan'!AD16</f>
        <v>5.3226572532689467</v>
      </c>
      <c r="O57" s="38">
        <f t="shared" si="1"/>
        <v>33.66344024949116</v>
      </c>
      <c r="P57" s="39">
        <f t="shared" si="2"/>
        <v>56</v>
      </c>
      <c r="Q57" s="40">
        <f t="shared" si="3"/>
        <v>1018</v>
      </c>
      <c r="R57" s="41">
        <f t="shared" si="4"/>
        <v>5942</v>
      </c>
      <c r="S57" s="42" t="str">
        <f t="shared" si="5"/>
        <v>Overstock 📦</v>
      </c>
      <c r="T57" s="43">
        <f>IFERROR(N57/AVERAGE(M57:M61),0)</f>
        <v>0.21688595302654315</v>
      </c>
      <c r="U57" s="44">
        <v>295.42</v>
      </c>
      <c r="V57" s="45">
        <v>0.44290000000000002</v>
      </c>
    </row>
    <row r="58" spans="1:22" ht="15" customHeight="1" x14ac:dyDescent="0.35">
      <c r="A58" s="31">
        <v>2</v>
      </c>
      <c r="B58" s="32">
        <v>2022</v>
      </c>
      <c r="C58" s="31" t="s">
        <v>263</v>
      </c>
      <c r="D58" s="31" t="s">
        <v>55</v>
      </c>
      <c r="E58" s="33" t="s">
        <v>56</v>
      </c>
      <c r="F58" s="31" t="s">
        <v>57</v>
      </c>
      <c r="G58" s="34">
        <v>2826</v>
      </c>
      <c r="H58" s="34">
        <v>40</v>
      </c>
      <c r="I58" s="34">
        <f>IFERROR(ROUND('Data Bulanan'!BC16,0),0)</f>
        <v>8088</v>
      </c>
      <c r="J58" s="34">
        <v>9237774</v>
      </c>
      <c r="K58" s="34">
        <v>436771</v>
      </c>
      <c r="L58" s="35">
        <f t="shared" si="0"/>
        <v>585</v>
      </c>
      <c r="M58" s="36">
        <f>IFERROR(AVERAGE('Data Bulanan'!AF16,'Data Bulanan'!AH16,'Data Bulanan'!AJ16,'Data Bulanan'!AL16,'Data Bulanan'!AN16,'Data Bulanan'!AP16,'Data Bulanan'!AR16,'Data Bulanan'!AT16,'Data Bulanan'!AV16,'Data Bulanan'!AX16,'Data Bulanan'!AZ16,'Data Bulanan'!BB16),0)</f>
        <v>21.507309267793136</v>
      </c>
      <c r="N58" s="37">
        <f>'Data Bulanan'!BD16</f>
        <v>4.0102970064925527</v>
      </c>
      <c r="O58" s="38">
        <f t="shared" si="1"/>
        <v>25.363345268543053</v>
      </c>
      <c r="P58" s="39">
        <f t="shared" si="2"/>
        <v>42</v>
      </c>
      <c r="Q58" s="40">
        <f t="shared" si="3"/>
        <v>902</v>
      </c>
      <c r="R58" s="41">
        <f t="shared" si="4"/>
        <v>1924</v>
      </c>
      <c r="S58" s="42" t="str">
        <f t="shared" si="5"/>
        <v>Overstock 📦</v>
      </c>
      <c r="T58" s="43">
        <f>IFERROR(N58/AVERAGE(M57:M61),0)</f>
        <v>0.16341031307970297</v>
      </c>
      <c r="U58" s="44">
        <v>295.42</v>
      </c>
      <c r="V58" s="45">
        <v>0.44290000000000002</v>
      </c>
    </row>
    <row r="59" spans="1:22" ht="15" customHeight="1" x14ac:dyDescent="0.35">
      <c r="A59" s="31">
        <v>3</v>
      </c>
      <c r="B59" s="32">
        <v>2023</v>
      </c>
      <c r="C59" s="31" t="s">
        <v>263</v>
      </c>
      <c r="D59" s="31" t="s">
        <v>55</v>
      </c>
      <c r="E59" s="33" t="s">
        <v>56</v>
      </c>
      <c r="F59" s="31" t="s">
        <v>57</v>
      </c>
      <c r="G59" s="34">
        <v>3206</v>
      </c>
      <c r="H59" s="34">
        <v>40</v>
      </c>
      <c r="I59" s="34">
        <f>IFERROR(ROUND('Data Bulanan'!CC16,0),0)</f>
        <v>9710</v>
      </c>
      <c r="J59" s="34">
        <v>7776763</v>
      </c>
      <c r="K59" s="34">
        <v>498780</v>
      </c>
      <c r="L59" s="35">
        <f t="shared" si="0"/>
        <v>550</v>
      </c>
      <c r="M59" s="36">
        <f>IFERROR(AVERAGE('Data Bulanan'!BF16,'Data Bulanan'!BH16,'Data Bulanan'!BJ16,'Data Bulanan'!BL16,'Data Bulanan'!BN16,'Data Bulanan'!BP16,'Data Bulanan'!BR16,'Data Bulanan'!BT16,'Data Bulanan'!BV16,'Data Bulanan'!BX16,'Data Bulanan'!BZ16,'Data Bulanan'!CB16),0)</f>
        <v>25.873451100870454</v>
      </c>
      <c r="N59" s="37">
        <f>'Data Bulanan'!CD16</f>
        <v>6.3445796395929852</v>
      </c>
      <c r="O59" s="38">
        <f t="shared" si="1"/>
        <v>40.126644914888089</v>
      </c>
      <c r="P59" s="39">
        <f t="shared" si="2"/>
        <v>66</v>
      </c>
      <c r="Q59" s="40">
        <f t="shared" si="3"/>
        <v>1101</v>
      </c>
      <c r="R59" s="41">
        <f t="shared" si="4"/>
        <v>2105</v>
      </c>
      <c r="S59" s="42" t="str">
        <f t="shared" si="5"/>
        <v>Overstock 📦</v>
      </c>
      <c r="T59" s="43">
        <f>IFERROR(N59/AVERAGE(M57:M61),0)</f>
        <v>0.25852692296518165</v>
      </c>
      <c r="U59" s="44">
        <v>295.42</v>
      </c>
      <c r="V59" s="45">
        <v>0.44290000000000002</v>
      </c>
    </row>
    <row r="60" spans="1:22" ht="15" customHeight="1" x14ac:dyDescent="0.35">
      <c r="A60" s="31">
        <v>4</v>
      </c>
      <c r="B60" s="32">
        <v>2024</v>
      </c>
      <c r="C60" s="31" t="s">
        <v>263</v>
      </c>
      <c r="D60" s="31" t="s">
        <v>55</v>
      </c>
      <c r="E60" s="33" t="s">
        <v>56</v>
      </c>
      <c r="F60" s="31" t="s">
        <v>57</v>
      </c>
      <c r="G60" s="34">
        <v>0</v>
      </c>
      <c r="H60" s="34">
        <v>40</v>
      </c>
      <c r="I60" s="34">
        <f>IFERROR(ROUND('Data Bulanan'!DC16,0),0)</f>
        <v>9510</v>
      </c>
      <c r="J60" s="34">
        <v>8213905</v>
      </c>
      <c r="K60" s="34">
        <v>482546</v>
      </c>
      <c r="L60" s="35">
        <f t="shared" si="0"/>
        <v>569</v>
      </c>
      <c r="M60" s="36">
        <f>IFERROR(AVERAGE('Data Bulanan'!CF16,'Data Bulanan'!CH16,'Data Bulanan'!CJ16,'Data Bulanan'!CL16,'Data Bulanan'!CN16,'Data Bulanan'!CP16,'Data Bulanan'!CR16,'Data Bulanan'!CT16,'Data Bulanan'!CV16,'Data Bulanan'!CX16,'Data Bulanan'!CZ16,'Data Bulanan'!DB16),0)</f>
        <v>25.257763696876598</v>
      </c>
      <c r="N60" s="37">
        <f>'Data Bulanan'!DD16</f>
        <v>6.1213649510178145</v>
      </c>
      <c r="O60" s="38">
        <f t="shared" si="1"/>
        <v>38.714911268682684</v>
      </c>
      <c r="P60" s="39">
        <f t="shared" si="2"/>
        <v>64</v>
      </c>
      <c r="Q60" s="40">
        <f t="shared" si="3"/>
        <v>1074</v>
      </c>
      <c r="R60" s="41">
        <f t="shared" si="4"/>
        <v>-1074</v>
      </c>
      <c r="S60" s="42" t="str">
        <f t="shared" si="5"/>
        <v>Stockout ⚠</v>
      </c>
      <c r="T60" s="43">
        <f>IFERROR(N60/AVERAGE(M57:M61),0)</f>
        <v>0.24943144148712548</v>
      </c>
      <c r="U60" s="44">
        <v>295.42</v>
      </c>
      <c r="V60" s="45">
        <v>0.44290000000000002</v>
      </c>
    </row>
    <row r="61" spans="1:22" ht="15" customHeight="1" x14ac:dyDescent="0.35">
      <c r="A61" s="31">
        <v>5</v>
      </c>
      <c r="B61" s="32">
        <v>2025</v>
      </c>
      <c r="C61" s="31" t="s">
        <v>263</v>
      </c>
      <c r="D61" s="31" t="s">
        <v>55</v>
      </c>
      <c r="E61" s="33" t="s">
        <v>56</v>
      </c>
      <c r="F61" s="31" t="s">
        <v>57</v>
      </c>
      <c r="G61" s="34">
        <v>3079</v>
      </c>
      <c r="H61" s="34">
        <v>40</v>
      </c>
      <c r="I61" s="34">
        <f>IFERROR(ROUND('Data Bulanan'!EC16,0),0)</f>
        <v>9793</v>
      </c>
      <c r="J61" s="34">
        <v>8137115</v>
      </c>
      <c r="K61" s="34">
        <v>503751</v>
      </c>
      <c r="L61" s="35">
        <f t="shared" si="0"/>
        <v>562</v>
      </c>
      <c r="M61" s="36">
        <f>IFERROR(AVERAGE('Data Bulanan'!DF16,'Data Bulanan'!DH16,'Data Bulanan'!DJ16,'Data Bulanan'!DL16,'Data Bulanan'!DN16,'Data Bulanan'!DP16,'Data Bulanan'!DR16,'Data Bulanan'!DT16,'Data Bulanan'!DV16,'Data Bulanan'!DX16,'Data Bulanan'!DZ16,'Data Bulanan'!EB16),0)</f>
        <v>26.005645161290321</v>
      </c>
      <c r="N61" s="37">
        <f>'Data Bulanan'!ED16</f>
        <v>6.654946515642159</v>
      </c>
      <c r="O61" s="38">
        <f t="shared" si="1"/>
        <v>42.089577392061194</v>
      </c>
      <c r="P61" s="39">
        <f t="shared" si="2"/>
        <v>69</v>
      </c>
      <c r="Q61" s="40">
        <f t="shared" si="3"/>
        <v>1109</v>
      </c>
      <c r="R61" s="41">
        <f t="shared" si="4"/>
        <v>1970</v>
      </c>
      <c r="S61" s="42" t="str">
        <f t="shared" si="5"/>
        <v>Overstock 📦</v>
      </c>
      <c r="T61" s="43">
        <f>IFERROR(N61/AVERAGE(M57:M61),0)</f>
        <v>0.27117365419298228</v>
      </c>
      <c r="U61" s="44">
        <v>295.42</v>
      </c>
      <c r="V61" s="45">
        <v>0.44290000000000002</v>
      </c>
    </row>
    <row r="62" spans="1:22" ht="15" customHeight="1" x14ac:dyDescent="0.35">
      <c r="A62" s="46">
        <v>1</v>
      </c>
      <c r="B62" s="32">
        <v>2021</v>
      </c>
      <c r="C62" s="46" t="s">
        <v>263</v>
      </c>
      <c r="D62" s="46" t="s">
        <v>58</v>
      </c>
      <c r="E62" s="47" t="s">
        <v>59</v>
      </c>
      <c r="F62" s="46" t="s">
        <v>36</v>
      </c>
      <c r="G62" s="34">
        <v>3974</v>
      </c>
      <c r="H62" s="34">
        <v>30</v>
      </c>
      <c r="I62" s="34">
        <f>IFERROR(ROUND('Data Bulanan'!AC17,0),0)</f>
        <v>12092</v>
      </c>
      <c r="J62" s="34">
        <v>10084464</v>
      </c>
      <c r="K62" s="34">
        <v>280757</v>
      </c>
      <c r="L62" s="35">
        <f t="shared" si="0"/>
        <v>932</v>
      </c>
      <c r="M62" s="36">
        <f>IFERROR(AVERAGE('Data Bulanan'!F17,'Data Bulanan'!H17,'Data Bulanan'!J17,'Data Bulanan'!L17,'Data Bulanan'!N17,'Data Bulanan'!P17,'Data Bulanan'!R17,'Data Bulanan'!T17,'Data Bulanan'!V17,'Data Bulanan'!X17,'Data Bulanan'!Z17,'Data Bulanan'!AB17),0)</f>
        <v>32.118682795698923</v>
      </c>
      <c r="N62" s="37">
        <f>'Data Bulanan'!AD17</f>
        <v>6.1088493515635633</v>
      </c>
      <c r="O62" s="38">
        <f t="shared" si="1"/>
        <v>33.459545902521704</v>
      </c>
      <c r="P62" s="39">
        <f t="shared" si="2"/>
        <v>55</v>
      </c>
      <c r="Q62" s="40">
        <f t="shared" si="3"/>
        <v>1019</v>
      </c>
      <c r="R62" s="41">
        <f t="shared" si="4"/>
        <v>2955</v>
      </c>
      <c r="S62" s="42" t="str">
        <f t="shared" si="5"/>
        <v>Overstock 📦</v>
      </c>
      <c r="T62" s="43">
        <f>IFERROR(N62/AVERAGE(M62:M66),0)</f>
        <v>0.20395627263935265</v>
      </c>
      <c r="U62" s="44">
        <v>-200.59</v>
      </c>
      <c r="V62" s="45">
        <v>0.18029999999999999</v>
      </c>
    </row>
    <row r="63" spans="1:22" ht="15" customHeight="1" x14ac:dyDescent="0.35">
      <c r="A63" s="46">
        <v>2</v>
      </c>
      <c r="B63" s="32">
        <v>2022</v>
      </c>
      <c r="C63" s="46" t="s">
        <v>263</v>
      </c>
      <c r="D63" s="46" t="s">
        <v>58</v>
      </c>
      <c r="E63" s="47" t="s">
        <v>59</v>
      </c>
      <c r="F63" s="46" t="s">
        <v>36</v>
      </c>
      <c r="G63" s="34">
        <v>3332</v>
      </c>
      <c r="H63" s="34">
        <v>30</v>
      </c>
      <c r="I63" s="34">
        <f>IFERROR(ROUND('Data Bulanan'!BC17,0),0)</f>
        <v>11666</v>
      </c>
      <c r="J63" s="34">
        <v>10318371</v>
      </c>
      <c r="K63" s="34">
        <v>295775</v>
      </c>
      <c r="L63" s="35">
        <f t="shared" si="0"/>
        <v>902</v>
      </c>
      <c r="M63" s="36">
        <f>IFERROR(AVERAGE('Data Bulanan'!AF17,'Data Bulanan'!AH17,'Data Bulanan'!AJ17,'Data Bulanan'!AL17,'Data Bulanan'!AN17,'Data Bulanan'!AP17,'Data Bulanan'!AR17,'Data Bulanan'!AT17,'Data Bulanan'!AV17,'Data Bulanan'!AX17,'Data Bulanan'!AZ17,'Data Bulanan'!BB17),0)</f>
        <v>31.019802867383508</v>
      </c>
      <c r="N63" s="37">
        <f>'Data Bulanan'!BD17</f>
        <v>8.1849864371510819</v>
      </c>
      <c r="O63" s="38">
        <f t="shared" si="1"/>
        <v>44.831017045014882</v>
      </c>
      <c r="P63" s="39">
        <f t="shared" si="2"/>
        <v>74</v>
      </c>
      <c r="Q63" s="40">
        <f t="shared" si="3"/>
        <v>1005</v>
      </c>
      <c r="R63" s="41">
        <f t="shared" si="4"/>
        <v>2327</v>
      </c>
      <c r="S63" s="42" t="str">
        <f t="shared" si="5"/>
        <v>Overstock 📦</v>
      </c>
      <c r="T63" s="43">
        <f>IFERROR(N63/AVERAGE(M62:M66),0)</f>
        <v>0.27327230207399228</v>
      </c>
      <c r="U63" s="44">
        <v>-200.59</v>
      </c>
      <c r="V63" s="45">
        <v>0.18029999999999999</v>
      </c>
    </row>
    <row r="64" spans="1:22" ht="15" customHeight="1" x14ac:dyDescent="0.35">
      <c r="A64" s="46">
        <v>3</v>
      </c>
      <c r="B64" s="32">
        <v>2023</v>
      </c>
      <c r="C64" s="46" t="s">
        <v>263</v>
      </c>
      <c r="D64" s="46" t="s">
        <v>58</v>
      </c>
      <c r="E64" s="47" t="s">
        <v>59</v>
      </c>
      <c r="F64" s="46" t="s">
        <v>36</v>
      </c>
      <c r="G64" s="34">
        <v>2000</v>
      </c>
      <c r="H64" s="34">
        <v>30</v>
      </c>
      <c r="I64" s="34">
        <f>IFERROR(ROUND('Data Bulanan'!CC17,0),0)</f>
        <v>10144</v>
      </c>
      <c r="J64" s="34">
        <v>9376906</v>
      </c>
      <c r="K64" s="34">
        <v>244460</v>
      </c>
      <c r="L64" s="35">
        <f t="shared" si="0"/>
        <v>882</v>
      </c>
      <c r="M64" s="36">
        <f>IFERROR(AVERAGE('Data Bulanan'!BF17,'Data Bulanan'!BH17,'Data Bulanan'!BJ17,'Data Bulanan'!BL17,'Data Bulanan'!BN17,'Data Bulanan'!BP17,'Data Bulanan'!BR17,'Data Bulanan'!BT17,'Data Bulanan'!BV17,'Data Bulanan'!BX17,'Data Bulanan'!BZ17,'Data Bulanan'!CB17),0)</f>
        <v>27.005907578085001</v>
      </c>
      <c r="N64" s="37">
        <f>'Data Bulanan'!CD17</f>
        <v>5.5056799490541088</v>
      </c>
      <c r="O64" s="38">
        <f t="shared" si="1"/>
        <v>30.155851025008293</v>
      </c>
      <c r="P64" s="39">
        <f t="shared" si="2"/>
        <v>50</v>
      </c>
      <c r="Q64" s="40">
        <f t="shared" si="3"/>
        <v>860</v>
      </c>
      <c r="R64" s="41">
        <f t="shared" si="4"/>
        <v>1140</v>
      </c>
      <c r="S64" s="42" t="str">
        <f t="shared" si="5"/>
        <v>Overstock 📦</v>
      </c>
      <c r="T64" s="43">
        <f>IFERROR(N64/AVERAGE(M62:M66),0)</f>
        <v>0.18381824401462538</v>
      </c>
      <c r="U64" s="44">
        <v>-200.59</v>
      </c>
      <c r="V64" s="45">
        <v>0.18029999999999999</v>
      </c>
    </row>
    <row r="65" spans="1:22" ht="15" customHeight="1" x14ac:dyDescent="0.35">
      <c r="A65" s="46">
        <v>4</v>
      </c>
      <c r="B65" s="32">
        <v>2024</v>
      </c>
      <c r="C65" s="46" t="s">
        <v>263</v>
      </c>
      <c r="D65" s="46" t="s">
        <v>58</v>
      </c>
      <c r="E65" s="47" t="s">
        <v>59</v>
      </c>
      <c r="F65" s="46" t="s">
        <v>36</v>
      </c>
      <c r="G65" s="34">
        <v>771</v>
      </c>
      <c r="H65" s="34">
        <v>30</v>
      </c>
      <c r="I65" s="34">
        <f>IFERROR(ROUND('Data Bulanan'!DC17,0),0)</f>
        <v>10953</v>
      </c>
      <c r="J65" s="34">
        <v>10177260</v>
      </c>
      <c r="K65" s="34">
        <v>284079</v>
      </c>
      <c r="L65" s="35">
        <f t="shared" si="0"/>
        <v>886</v>
      </c>
      <c r="M65" s="36">
        <f>IFERROR(AVERAGE('Data Bulanan'!CF17,'Data Bulanan'!CH17,'Data Bulanan'!CJ17,'Data Bulanan'!CL17,'Data Bulanan'!CN17,'Data Bulanan'!CP17,'Data Bulanan'!CR17,'Data Bulanan'!CT17,'Data Bulanan'!CV17,'Data Bulanan'!CX17,'Data Bulanan'!CZ17,'Data Bulanan'!DB17),0)</f>
        <v>29.227470558115723</v>
      </c>
      <c r="N65" s="37">
        <f>'Data Bulanan'!DD17</f>
        <v>6.7111971600099265</v>
      </c>
      <c r="O65" s="38">
        <f t="shared" si="1"/>
        <v>36.758740724020448</v>
      </c>
      <c r="P65" s="39">
        <f t="shared" si="2"/>
        <v>61</v>
      </c>
      <c r="Q65" s="40">
        <f t="shared" si="3"/>
        <v>938</v>
      </c>
      <c r="R65" s="41">
        <f t="shared" si="4"/>
        <v>-167</v>
      </c>
      <c r="S65" s="42" t="str">
        <f t="shared" si="5"/>
        <v>Reorder 🔄</v>
      </c>
      <c r="T65" s="43">
        <f>IFERROR(N65/AVERAGE(M62:M66),0)</f>
        <v>0.22406687068704537</v>
      </c>
      <c r="U65" s="44">
        <v>-200.59</v>
      </c>
      <c r="V65" s="45">
        <v>0.18029999999999999</v>
      </c>
    </row>
    <row r="66" spans="1:22" ht="15" customHeight="1" x14ac:dyDescent="0.35">
      <c r="A66" s="46">
        <v>5</v>
      </c>
      <c r="B66" s="32">
        <v>2025</v>
      </c>
      <c r="C66" s="46" t="s">
        <v>263</v>
      </c>
      <c r="D66" s="46" t="s">
        <v>58</v>
      </c>
      <c r="E66" s="47" t="s">
        <v>59</v>
      </c>
      <c r="F66" s="46" t="s">
        <v>36</v>
      </c>
      <c r="G66" s="34">
        <v>7137</v>
      </c>
      <c r="H66" s="34">
        <v>30</v>
      </c>
      <c r="I66" s="34">
        <f>IFERROR(ROUND('Data Bulanan'!EC17,0),0)</f>
        <v>11446</v>
      </c>
      <c r="J66" s="34">
        <v>10571089</v>
      </c>
      <c r="K66" s="34">
        <v>260815</v>
      </c>
      <c r="L66" s="35">
        <f t="shared" si="0"/>
        <v>963</v>
      </c>
      <c r="M66" s="36">
        <f>IFERROR(AVERAGE('Data Bulanan'!DF17,'Data Bulanan'!DH17,'Data Bulanan'!DJ17,'Data Bulanan'!DL17,'Data Bulanan'!DN17,'Data Bulanan'!DP17,'Data Bulanan'!DR17,'Data Bulanan'!DT17,'Data Bulanan'!DV17,'Data Bulanan'!DX17,'Data Bulanan'!DZ17,'Data Bulanan'!EB17),0)</f>
        <v>30.386936763952892</v>
      </c>
      <c r="N66" s="37">
        <f>'Data Bulanan'!ED17</f>
        <v>6.9877823171769684</v>
      </c>
      <c r="O66" s="38">
        <f t="shared" si="1"/>
        <v>38.273660020535452</v>
      </c>
      <c r="P66" s="39">
        <f t="shared" si="2"/>
        <v>63</v>
      </c>
      <c r="Q66" s="40">
        <f t="shared" si="3"/>
        <v>975</v>
      </c>
      <c r="R66" s="41">
        <f t="shared" si="4"/>
        <v>6162</v>
      </c>
      <c r="S66" s="42" t="str">
        <f t="shared" si="5"/>
        <v>Overstock 📦</v>
      </c>
      <c r="T66" s="43">
        <f>IFERROR(N66/AVERAGE(M62:M66),0)</f>
        <v>0.23330122473257783</v>
      </c>
      <c r="U66" s="44">
        <v>-200.59</v>
      </c>
      <c r="V66" s="45">
        <v>0.18029999999999999</v>
      </c>
    </row>
    <row r="67" spans="1:22" ht="15" customHeight="1" x14ac:dyDescent="0.35">
      <c r="A67" s="31">
        <v>1</v>
      </c>
      <c r="B67" s="32">
        <v>2021</v>
      </c>
      <c r="C67" s="31" t="s">
        <v>264</v>
      </c>
      <c r="D67" s="31" t="s">
        <v>60</v>
      </c>
      <c r="E67" s="33" t="s">
        <v>61</v>
      </c>
      <c r="F67" s="31" t="s">
        <v>36</v>
      </c>
      <c r="G67" s="34">
        <v>12125</v>
      </c>
      <c r="H67" s="34">
        <v>32</v>
      </c>
      <c r="I67" s="34">
        <f>IFERROR(ROUND('Data Bulanan'!AC18,0),0)</f>
        <v>47460</v>
      </c>
      <c r="J67" s="34">
        <v>5815399</v>
      </c>
      <c r="K67" s="34">
        <v>353012</v>
      </c>
      <c r="L67" s="35">
        <f t="shared" si="0"/>
        <v>1250</v>
      </c>
      <c r="M67" s="36">
        <f>IFERROR(AVERAGE('Data Bulanan'!F18,'Data Bulanan'!H18,'Data Bulanan'!J18,'Data Bulanan'!L18,'Data Bulanan'!N18,'Data Bulanan'!P18,'Data Bulanan'!R18,'Data Bulanan'!T18,'Data Bulanan'!V18,'Data Bulanan'!X18,'Data Bulanan'!Z18,'Data Bulanan'!AB18),0)</f>
        <v>126.52978750640041</v>
      </c>
      <c r="N67" s="37">
        <f>'Data Bulanan'!AD18</f>
        <v>32.147566882883289</v>
      </c>
      <c r="O67" s="38">
        <f t="shared" si="1"/>
        <v>181.85410033227885</v>
      </c>
      <c r="P67" s="39">
        <f t="shared" si="2"/>
        <v>300</v>
      </c>
      <c r="Q67" s="40">
        <f t="shared" si="3"/>
        <v>4349</v>
      </c>
      <c r="R67" s="41">
        <f t="shared" si="4"/>
        <v>7776</v>
      </c>
      <c r="S67" s="42" t="str">
        <f t="shared" si="5"/>
        <v>Overstock 📦</v>
      </c>
      <c r="T67" s="43">
        <f>IFERROR(N67/AVERAGE(M67:M71),0)</f>
        <v>0.25869075127042923</v>
      </c>
      <c r="U67" s="44">
        <v>1438.68</v>
      </c>
      <c r="V67" s="45">
        <v>0.15429999999999999</v>
      </c>
    </row>
    <row r="68" spans="1:22" ht="15" customHeight="1" x14ac:dyDescent="0.35">
      <c r="A68" s="31">
        <v>2</v>
      </c>
      <c r="B68" s="32">
        <v>2022</v>
      </c>
      <c r="C68" s="31" t="s">
        <v>264</v>
      </c>
      <c r="D68" s="31" t="s">
        <v>60</v>
      </c>
      <c r="E68" s="33" t="s">
        <v>61</v>
      </c>
      <c r="F68" s="31" t="s">
        <v>36</v>
      </c>
      <c r="G68" s="34">
        <v>10813</v>
      </c>
      <c r="H68" s="34">
        <v>32</v>
      </c>
      <c r="I68" s="34">
        <f>IFERROR(ROUND('Data Bulanan'!BC18,0),0)</f>
        <v>44299</v>
      </c>
      <c r="J68" s="34">
        <v>5201709</v>
      </c>
      <c r="K68" s="34">
        <v>334890</v>
      </c>
      <c r="L68" s="35">
        <f t="shared" si="0"/>
        <v>1173</v>
      </c>
      <c r="M68" s="36">
        <f>IFERROR(AVERAGE('Data Bulanan'!AF18,'Data Bulanan'!AH18,'Data Bulanan'!AJ18,'Data Bulanan'!AL18,'Data Bulanan'!AN18,'Data Bulanan'!AP18,'Data Bulanan'!AR18,'Data Bulanan'!AT18,'Data Bulanan'!AV18,'Data Bulanan'!AX18,'Data Bulanan'!AZ18,'Data Bulanan'!BB18),0)</f>
        <v>117.61168714797748</v>
      </c>
      <c r="N68" s="37">
        <f>'Data Bulanan'!BD18</f>
        <v>22.714251935666628</v>
      </c>
      <c r="O68" s="38">
        <f t="shared" si="1"/>
        <v>128.49121258631629</v>
      </c>
      <c r="P68" s="39">
        <f t="shared" si="2"/>
        <v>212</v>
      </c>
      <c r="Q68" s="40">
        <f t="shared" si="3"/>
        <v>3976</v>
      </c>
      <c r="R68" s="41">
        <f t="shared" si="4"/>
        <v>6837</v>
      </c>
      <c r="S68" s="42" t="str">
        <f t="shared" si="5"/>
        <v>Overstock 📦</v>
      </c>
      <c r="T68" s="43">
        <f>IFERROR(N68/AVERAGE(M67:M71),0)</f>
        <v>0.18278107700001431</v>
      </c>
      <c r="U68" s="44">
        <v>1438.68</v>
      </c>
      <c r="V68" s="45">
        <v>0.15429999999999999</v>
      </c>
    </row>
    <row r="69" spans="1:22" ht="15" customHeight="1" x14ac:dyDescent="0.35">
      <c r="A69" s="31">
        <v>3</v>
      </c>
      <c r="B69" s="32">
        <v>2023</v>
      </c>
      <c r="C69" s="31" t="s">
        <v>264</v>
      </c>
      <c r="D69" s="31" t="s">
        <v>60</v>
      </c>
      <c r="E69" s="33" t="s">
        <v>61</v>
      </c>
      <c r="F69" s="31" t="s">
        <v>36</v>
      </c>
      <c r="G69" s="34">
        <v>9477</v>
      </c>
      <c r="H69" s="34">
        <v>32</v>
      </c>
      <c r="I69" s="34">
        <f>IFERROR(ROUND('Data Bulanan'!CC18,0),0)</f>
        <v>44095</v>
      </c>
      <c r="J69" s="34">
        <v>5277053</v>
      </c>
      <c r="K69" s="34">
        <v>320586</v>
      </c>
      <c r="L69" s="35">
        <f t="shared" si="0"/>
        <v>1205</v>
      </c>
      <c r="M69" s="36">
        <f>IFERROR(AVERAGE('Data Bulanan'!BF18,'Data Bulanan'!BH18,'Data Bulanan'!BJ18,'Data Bulanan'!BL18,'Data Bulanan'!BN18,'Data Bulanan'!BP18,'Data Bulanan'!BR18,'Data Bulanan'!BT18,'Data Bulanan'!BV18,'Data Bulanan'!BX18,'Data Bulanan'!BZ18,'Data Bulanan'!CB18),0)</f>
        <v>117.59527649769585</v>
      </c>
      <c r="N69" s="37">
        <f>'Data Bulanan'!CD18</f>
        <v>24.874831043565742</v>
      </c>
      <c r="O69" s="38">
        <f t="shared" si="1"/>
        <v>140.71329369419985</v>
      </c>
      <c r="P69" s="39">
        <f t="shared" si="2"/>
        <v>232</v>
      </c>
      <c r="Q69" s="40">
        <f t="shared" si="3"/>
        <v>3995</v>
      </c>
      <c r="R69" s="41">
        <f t="shared" si="4"/>
        <v>5482</v>
      </c>
      <c r="S69" s="42" t="str">
        <f t="shared" si="5"/>
        <v>Overstock 📦</v>
      </c>
      <c r="T69" s="43">
        <f>IFERROR(N69/AVERAGE(M67:M71),0)</f>
        <v>0.20016720872929331</v>
      </c>
      <c r="U69" s="44">
        <v>1438.68</v>
      </c>
      <c r="V69" s="45">
        <v>0.15429999999999999</v>
      </c>
    </row>
    <row r="70" spans="1:22" ht="15" customHeight="1" x14ac:dyDescent="0.35">
      <c r="A70" s="31">
        <v>4</v>
      </c>
      <c r="B70" s="32">
        <v>2024</v>
      </c>
      <c r="C70" s="31" t="s">
        <v>264</v>
      </c>
      <c r="D70" s="31" t="s">
        <v>60</v>
      </c>
      <c r="E70" s="33" t="s">
        <v>61</v>
      </c>
      <c r="F70" s="31" t="s">
        <v>36</v>
      </c>
      <c r="G70" s="34">
        <v>6588</v>
      </c>
      <c r="H70" s="34">
        <v>32</v>
      </c>
      <c r="I70" s="34">
        <f>IFERROR(ROUND('Data Bulanan'!DC18,0),0)</f>
        <v>41176</v>
      </c>
      <c r="J70" s="34">
        <v>6061940</v>
      </c>
      <c r="K70" s="34">
        <v>352899</v>
      </c>
      <c r="L70" s="35">
        <f t="shared" si="0"/>
        <v>1189</v>
      </c>
      <c r="M70" s="36">
        <f>IFERROR(AVERAGE('Data Bulanan'!CF18,'Data Bulanan'!CH18,'Data Bulanan'!CJ18,'Data Bulanan'!CL18,'Data Bulanan'!CN18,'Data Bulanan'!CP18,'Data Bulanan'!CR18,'Data Bulanan'!CT18,'Data Bulanan'!CV18,'Data Bulanan'!CX18,'Data Bulanan'!CZ18,'Data Bulanan'!DB18),0)</f>
        <v>109.50005120327701</v>
      </c>
      <c r="N70" s="37">
        <f>'Data Bulanan'!DD18</f>
        <v>18.576878532850994</v>
      </c>
      <c r="O70" s="38">
        <f t="shared" si="1"/>
        <v>105.08669427086193</v>
      </c>
      <c r="P70" s="39">
        <f t="shared" si="2"/>
        <v>173</v>
      </c>
      <c r="Q70" s="40">
        <f t="shared" si="3"/>
        <v>3677</v>
      </c>
      <c r="R70" s="41">
        <f t="shared" si="4"/>
        <v>2911</v>
      </c>
      <c r="S70" s="42" t="str">
        <f t="shared" si="5"/>
        <v>Overstock 📦</v>
      </c>
      <c r="T70" s="43">
        <f>IFERROR(N70/AVERAGE(M67:M71),0)</f>
        <v>0.14948772581857417</v>
      </c>
      <c r="U70" s="44">
        <v>1438.68</v>
      </c>
      <c r="V70" s="45">
        <v>0.15429999999999999</v>
      </c>
    </row>
    <row r="71" spans="1:22" ht="15" customHeight="1" x14ac:dyDescent="0.35">
      <c r="A71" s="31">
        <v>5</v>
      </c>
      <c r="B71" s="32">
        <v>2025</v>
      </c>
      <c r="C71" s="31" t="s">
        <v>264</v>
      </c>
      <c r="D71" s="31" t="s">
        <v>60</v>
      </c>
      <c r="E71" s="33" t="s">
        <v>61</v>
      </c>
      <c r="F71" s="31" t="s">
        <v>36</v>
      </c>
      <c r="G71" s="34">
        <v>23477</v>
      </c>
      <c r="H71" s="34">
        <v>32</v>
      </c>
      <c r="I71" s="34">
        <f>IFERROR(ROUND('Data Bulanan'!EC18,0),0)</f>
        <v>56215</v>
      </c>
      <c r="J71" s="34">
        <v>5620535</v>
      </c>
      <c r="K71" s="34">
        <v>300464</v>
      </c>
      <c r="L71" s="35">
        <f t="shared" ref="L71:L134" si="6">IFERROR(ROUND(SQRT(2*I71*J71/K71),0),0)</f>
        <v>1450</v>
      </c>
      <c r="M71" s="36">
        <f>IFERROR(AVERAGE('Data Bulanan'!DF18,'Data Bulanan'!DH18,'Data Bulanan'!DJ18,'Data Bulanan'!DL18,'Data Bulanan'!DN18,'Data Bulanan'!DP18,'Data Bulanan'!DR18,'Data Bulanan'!DT18,'Data Bulanan'!DV18,'Data Bulanan'!DX18,'Data Bulanan'!DZ18,'Data Bulanan'!EB18),0)</f>
        <v>150.1144969278034</v>
      </c>
      <c r="N71" s="37">
        <f>'Data Bulanan'!ED18</f>
        <v>44.682496152414714</v>
      </c>
      <c r="O71" s="38">
        <f t="shared" ref="O71:O134" si="7">IFERROR(N71*SQRT(H71),0)</f>
        <v>252.76236823771413</v>
      </c>
      <c r="P71" s="39">
        <f t="shared" ref="P71:P134" si="8">IFERROR(ROUND(1.65*O71,0),0)</f>
        <v>417</v>
      </c>
      <c r="Q71" s="40">
        <f t="shared" ref="Q71:Q134" si="9">IFERROR(ROUND(M71*H71+P71,0),0)</f>
        <v>5221</v>
      </c>
      <c r="R71" s="41">
        <f t="shared" ref="R71:R134" si="10">G71-Q71</f>
        <v>18256</v>
      </c>
      <c r="S71" s="42" t="str">
        <f t="shared" ref="S71:S134" si="11">IF(G71=0,"Stockout ⚠",IF(G71&lt;Q71,"Reorder 🔄",IF(G71&gt;Q71+L71,"Overstock 📦","Aman ✅")))</f>
        <v>Overstock 📦</v>
      </c>
      <c r="T71" s="43">
        <f>IFERROR(N71/AVERAGE(M67:M71),0)</f>
        <v>0.35955904658093091</v>
      </c>
      <c r="U71" s="44">
        <v>1438.68</v>
      </c>
      <c r="V71" s="45">
        <v>0.15429999999999999</v>
      </c>
    </row>
    <row r="72" spans="1:22" ht="15" customHeight="1" x14ac:dyDescent="0.35">
      <c r="A72" s="46">
        <v>1</v>
      </c>
      <c r="B72" s="32">
        <v>2021</v>
      </c>
      <c r="C72" s="46" t="s">
        <v>264</v>
      </c>
      <c r="D72" s="46" t="s">
        <v>62</v>
      </c>
      <c r="E72" s="47" t="s">
        <v>63</v>
      </c>
      <c r="F72" s="46" t="s">
        <v>36</v>
      </c>
      <c r="G72" s="34">
        <v>8340</v>
      </c>
      <c r="H72" s="34">
        <v>43</v>
      </c>
      <c r="I72" s="34">
        <f>IFERROR(ROUND('Data Bulanan'!AC19,0),0)</f>
        <v>32931</v>
      </c>
      <c r="J72" s="34">
        <v>6558270</v>
      </c>
      <c r="K72" s="34">
        <v>435909</v>
      </c>
      <c r="L72" s="35">
        <f t="shared" si="6"/>
        <v>995</v>
      </c>
      <c r="M72" s="36">
        <f>IFERROR(AVERAGE('Data Bulanan'!F19,'Data Bulanan'!H19,'Data Bulanan'!J19,'Data Bulanan'!L19,'Data Bulanan'!N19,'Data Bulanan'!P19,'Data Bulanan'!R19,'Data Bulanan'!T19,'Data Bulanan'!V19,'Data Bulanan'!X19,'Data Bulanan'!Z19,'Data Bulanan'!AB19),0)</f>
        <v>87.643285970302088</v>
      </c>
      <c r="N72" s="37">
        <f>'Data Bulanan'!AD19</f>
        <v>16.203799773563659</v>
      </c>
      <c r="O72" s="38">
        <f t="shared" si="7"/>
        <v>106.25542087524236</v>
      </c>
      <c r="P72" s="39">
        <f t="shared" si="8"/>
        <v>175</v>
      </c>
      <c r="Q72" s="40">
        <f t="shared" si="9"/>
        <v>3944</v>
      </c>
      <c r="R72" s="41">
        <f t="shared" si="10"/>
        <v>4396</v>
      </c>
      <c r="S72" s="42" t="str">
        <f t="shared" si="11"/>
        <v>Overstock 📦</v>
      </c>
      <c r="T72" s="43">
        <f>IFERROR(N72/AVERAGE(M72:M76),0)</f>
        <v>0.17265532323746371</v>
      </c>
      <c r="U72" s="44">
        <v>1934.33</v>
      </c>
      <c r="V72" s="45">
        <v>0.4667</v>
      </c>
    </row>
    <row r="73" spans="1:22" ht="15" customHeight="1" x14ac:dyDescent="0.35">
      <c r="A73" s="46">
        <v>2</v>
      </c>
      <c r="B73" s="32">
        <v>2022</v>
      </c>
      <c r="C73" s="46" t="s">
        <v>264</v>
      </c>
      <c r="D73" s="46" t="s">
        <v>62</v>
      </c>
      <c r="E73" s="47" t="s">
        <v>63</v>
      </c>
      <c r="F73" s="46" t="s">
        <v>36</v>
      </c>
      <c r="G73" s="34">
        <v>2660</v>
      </c>
      <c r="H73" s="34">
        <v>43</v>
      </c>
      <c r="I73" s="34">
        <f>IFERROR(ROUND('Data Bulanan'!BC19,0),0)</f>
        <v>32436</v>
      </c>
      <c r="J73" s="34">
        <v>7433505</v>
      </c>
      <c r="K73" s="34">
        <v>423594</v>
      </c>
      <c r="L73" s="35">
        <f t="shared" si="6"/>
        <v>1067</v>
      </c>
      <c r="M73" s="36">
        <f>IFERROR(AVERAGE('Data Bulanan'!AF19,'Data Bulanan'!AH19,'Data Bulanan'!AJ19,'Data Bulanan'!AL19,'Data Bulanan'!AN19,'Data Bulanan'!AP19,'Data Bulanan'!AR19,'Data Bulanan'!AT19,'Data Bulanan'!AV19,'Data Bulanan'!AX19,'Data Bulanan'!AZ19,'Data Bulanan'!BB19),0)</f>
        <v>86.518388376856123</v>
      </c>
      <c r="N73" s="37">
        <f>'Data Bulanan'!BD19</f>
        <v>17.946533131623148</v>
      </c>
      <c r="O73" s="38">
        <f t="shared" si="7"/>
        <v>117.68328773496786</v>
      </c>
      <c r="P73" s="39">
        <f t="shared" si="8"/>
        <v>194</v>
      </c>
      <c r="Q73" s="40">
        <f t="shared" si="9"/>
        <v>3914</v>
      </c>
      <c r="R73" s="41">
        <f t="shared" si="10"/>
        <v>-1254</v>
      </c>
      <c r="S73" s="42" t="str">
        <f t="shared" si="11"/>
        <v>Reorder 🔄</v>
      </c>
      <c r="T73" s="43">
        <f>IFERROR(N73/AVERAGE(M72:M76),0)</f>
        <v>0.19122455980278924</v>
      </c>
      <c r="U73" s="44">
        <v>1934.33</v>
      </c>
      <c r="V73" s="45">
        <v>0.4667</v>
      </c>
    </row>
    <row r="74" spans="1:22" ht="15" customHeight="1" x14ac:dyDescent="0.35">
      <c r="A74" s="46">
        <v>3</v>
      </c>
      <c r="B74" s="32">
        <v>2023</v>
      </c>
      <c r="C74" s="46" t="s">
        <v>264</v>
      </c>
      <c r="D74" s="46" t="s">
        <v>62</v>
      </c>
      <c r="E74" s="47" t="s">
        <v>63</v>
      </c>
      <c r="F74" s="46" t="s">
        <v>36</v>
      </c>
      <c r="G74" s="34">
        <v>9854</v>
      </c>
      <c r="H74" s="34">
        <v>43</v>
      </c>
      <c r="I74" s="34">
        <f>IFERROR(ROUND('Data Bulanan'!CC19,0),0)</f>
        <v>31277</v>
      </c>
      <c r="J74" s="34">
        <v>6442404</v>
      </c>
      <c r="K74" s="34">
        <v>476420</v>
      </c>
      <c r="L74" s="35">
        <f t="shared" si="6"/>
        <v>920</v>
      </c>
      <c r="M74" s="36">
        <f>IFERROR(AVERAGE('Data Bulanan'!BF19,'Data Bulanan'!BH19,'Data Bulanan'!BJ19,'Data Bulanan'!BL19,'Data Bulanan'!BN19,'Data Bulanan'!BP19,'Data Bulanan'!BR19,'Data Bulanan'!BT19,'Data Bulanan'!BV19,'Data Bulanan'!BX19,'Data Bulanan'!BZ19,'Data Bulanan'!CB19),0)</f>
        <v>83.03851766513057</v>
      </c>
      <c r="N74" s="37">
        <f>'Data Bulanan'!CD19</f>
        <v>11.286585844989217</v>
      </c>
      <c r="O74" s="38">
        <f t="shared" si="7"/>
        <v>74.011092827773936</v>
      </c>
      <c r="P74" s="39">
        <f t="shared" si="8"/>
        <v>122</v>
      </c>
      <c r="Q74" s="40">
        <f t="shared" si="9"/>
        <v>3693</v>
      </c>
      <c r="R74" s="41">
        <f t="shared" si="10"/>
        <v>6161</v>
      </c>
      <c r="S74" s="42" t="str">
        <f t="shared" si="11"/>
        <v>Overstock 📦</v>
      </c>
      <c r="T74" s="43">
        <f>IFERROR(N74/AVERAGE(M72:M76),0)</f>
        <v>0.12026124455655537</v>
      </c>
      <c r="U74" s="44">
        <v>1934.33</v>
      </c>
      <c r="V74" s="45">
        <v>0.4667</v>
      </c>
    </row>
    <row r="75" spans="1:22" ht="15" customHeight="1" x14ac:dyDescent="0.35">
      <c r="A75" s="46">
        <v>4</v>
      </c>
      <c r="B75" s="32">
        <v>2024</v>
      </c>
      <c r="C75" s="46" t="s">
        <v>264</v>
      </c>
      <c r="D75" s="46" t="s">
        <v>62</v>
      </c>
      <c r="E75" s="47" t="s">
        <v>63</v>
      </c>
      <c r="F75" s="46" t="s">
        <v>36</v>
      </c>
      <c r="G75" s="34">
        <v>11888</v>
      </c>
      <c r="H75" s="34">
        <v>43</v>
      </c>
      <c r="I75" s="34">
        <f>IFERROR(ROUND('Data Bulanan'!DC19,0),0)</f>
        <v>41901</v>
      </c>
      <c r="J75" s="34">
        <v>6254882</v>
      </c>
      <c r="K75" s="34">
        <v>456484</v>
      </c>
      <c r="L75" s="35">
        <f t="shared" si="6"/>
        <v>1072</v>
      </c>
      <c r="M75" s="36">
        <f>IFERROR(AVERAGE('Data Bulanan'!CF19,'Data Bulanan'!CH19,'Data Bulanan'!CJ19,'Data Bulanan'!CL19,'Data Bulanan'!CN19,'Data Bulanan'!CP19,'Data Bulanan'!CR19,'Data Bulanan'!CT19,'Data Bulanan'!CV19,'Data Bulanan'!CX19,'Data Bulanan'!CZ19,'Data Bulanan'!DB19),0)</f>
        <v>111.07923707117256</v>
      </c>
      <c r="N75" s="37">
        <f>'Data Bulanan'!DD19</f>
        <v>23.847852397530826</v>
      </c>
      <c r="O75" s="38">
        <f t="shared" si="7"/>
        <v>156.38082603343645</v>
      </c>
      <c r="P75" s="39">
        <f t="shared" si="8"/>
        <v>258</v>
      </c>
      <c r="Q75" s="40">
        <f t="shared" si="9"/>
        <v>5034</v>
      </c>
      <c r="R75" s="41">
        <f t="shared" si="10"/>
        <v>6854</v>
      </c>
      <c r="S75" s="42" t="str">
        <f t="shared" si="11"/>
        <v>Overstock 📦</v>
      </c>
      <c r="T75" s="43">
        <f>IFERROR(N75/AVERAGE(M72:M76),0)</f>
        <v>0.2541045138642482</v>
      </c>
      <c r="U75" s="44">
        <v>1934.33</v>
      </c>
      <c r="V75" s="45">
        <v>0.4667</v>
      </c>
    </row>
    <row r="76" spans="1:22" ht="15" customHeight="1" x14ac:dyDescent="0.35">
      <c r="A76" s="46">
        <v>5</v>
      </c>
      <c r="B76" s="32">
        <v>2025</v>
      </c>
      <c r="C76" s="46" t="s">
        <v>264</v>
      </c>
      <c r="D76" s="46" t="s">
        <v>62</v>
      </c>
      <c r="E76" s="47" t="s">
        <v>63</v>
      </c>
      <c r="F76" s="46" t="s">
        <v>36</v>
      </c>
      <c r="G76" s="34">
        <v>13111</v>
      </c>
      <c r="H76" s="34">
        <v>43</v>
      </c>
      <c r="I76" s="34">
        <f>IFERROR(ROUND('Data Bulanan'!EC19,0),0)</f>
        <v>37870</v>
      </c>
      <c r="J76" s="34">
        <v>7505409</v>
      </c>
      <c r="K76" s="34">
        <v>443183</v>
      </c>
      <c r="L76" s="35">
        <f t="shared" si="6"/>
        <v>1133</v>
      </c>
      <c r="M76" s="36">
        <f>IFERROR(AVERAGE('Data Bulanan'!DF19,'Data Bulanan'!DH19,'Data Bulanan'!DJ19,'Data Bulanan'!DL19,'Data Bulanan'!DN19,'Data Bulanan'!DP19,'Data Bulanan'!DR19,'Data Bulanan'!DT19,'Data Bulanan'!DV19,'Data Bulanan'!DX19,'Data Bulanan'!DZ19,'Data Bulanan'!EB19),0)</f>
        <v>100.97339989759347</v>
      </c>
      <c r="N76" s="37">
        <f>'Data Bulanan'!ED19</f>
        <v>18.547080913627646</v>
      </c>
      <c r="O76" s="38">
        <f t="shared" si="7"/>
        <v>121.62134289636826</v>
      </c>
      <c r="P76" s="39">
        <f t="shared" si="8"/>
        <v>201</v>
      </c>
      <c r="Q76" s="40">
        <f t="shared" si="9"/>
        <v>4543</v>
      </c>
      <c r="R76" s="41">
        <f t="shared" si="10"/>
        <v>8568</v>
      </c>
      <c r="S76" s="42" t="str">
        <f t="shared" si="11"/>
        <v>Overstock 📦</v>
      </c>
      <c r="T76" s="43">
        <f>IFERROR(N76/AVERAGE(M72:M76),0)</f>
        <v>0.19762353861457965</v>
      </c>
      <c r="U76" s="44">
        <v>1934.33</v>
      </c>
      <c r="V76" s="45">
        <v>0.4667</v>
      </c>
    </row>
    <row r="77" spans="1:22" ht="15" customHeight="1" x14ac:dyDescent="0.35">
      <c r="A77" s="31">
        <v>1</v>
      </c>
      <c r="B77" s="32">
        <v>2021</v>
      </c>
      <c r="C77" s="31" t="s">
        <v>264</v>
      </c>
      <c r="D77" s="31" t="s">
        <v>64</v>
      </c>
      <c r="E77" s="33" t="s">
        <v>65</v>
      </c>
      <c r="F77" s="31" t="s">
        <v>36</v>
      </c>
      <c r="G77" s="34">
        <v>0</v>
      </c>
      <c r="H77" s="34">
        <v>9</v>
      </c>
      <c r="I77" s="34">
        <f>IFERROR(ROUND('Data Bulanan'!AC20,0),0)</f>
        <v>42230</v>
      </c>
      <c r="J77" s="34">
        <v>328363</v>
      </c>
      <c r="K77" s="34">
        <v>445758</v>
      </c>
      <c r="L77" s="35">
        <f t="shared" si="6"/>
        <v>249</v>
      </c>
      <c r="M77" s="36">
        <f>IFERROR(AVERAGE('Data Bulanan'!F20,'Data Bulanan'!H20,'Data Bulanan'!J20,'Data Bulanan'!L20,'Data Bulanan'!N20,'Data Bulanan'!P20,'Data Bulanan'!R20,'Data Bulanan'!T20,'Data Bulanan'!V20,'Data Bulanan'!X20,'Data Bulanan'!Z20,'Data Bulanan'!AB20),0)</f>
        <v>112.519828469022</v>
      </c>
      <c r="N77" s="37">
        <f>'Data Bulanan'!AD20</f>
        <v>24.056608967636151</v>
      </c>
      <c r="O77" s="38">
        <f t="shared" si="7"/>
        <v>72.169826902908454</v>
      </c>
      <c r="P77" s="39">
        <f t="shared" si="8"/>
        <v>119</v>
      </c>
      <c r="Q77" s="40">
        <f t="shared" si="9"/>
        <v>1132</v>
      </c>
      <c r="R77" s="41">
        <f t="shared" si="10"/>
        <v>-1132</v>
      </c>
      <c r="S77" s="42" t="str">
        <f t="shared" si="11"/>
        <v>Stockout ⚠</v>
      </c>
      <c r="T77" s="43">
        <f>IFERROR(N77/AVERAGE(M77:M81),0)</f>
        <v>0.23524246417986111</v>
      </c>
      <c r="U77" s="44">
        <v>-379.55</v>
      </c>
      <c r="V77" s="45">
        <v>2.0799999999999999E-2</v>
      </c>
    </row>
    <row r="78" spans="1:22" ht="15" customHeight="1" x14ac:dyDescent="0.35">
      <c r="A78" s="31">
        <v>2</v>
      </c>
      <c r="B78" s="32">
        <v>2022</v>
      </c>
      <c r="C78" s="31" t="s">
        <v>264</v>
      </c>
      <c r="D78" s="31" t="s">
        <v>64</v>
      </c>
      <c r="E78" s="33" t="s">
        <v>65</v>
      </c>
      <c r="F78" s="31" t="s">
        <v>36</v>
      </c>
      <c r="G78" s="34">
        <v>1210</v>
      </c>
      <c r="H78" s="34">
        <v>9</v>
      </c>
      <c r="I78" s="34">
        <f>IFERROR(ROUND('Data Bulanan'!BC20,0),0)</f>
        <v>33787</v>
      </c>
      <c r="J78" s="34">
        <v>387836</v>
      </c>
      <c r="K78" s="34">
        <v>441719</v>
      </c>
      <c r="L78" s="35">
        <f t="shared" si="6"/>
        <v>244</v>
      </c>
      <c r="M78" s="36">
        <f>IFERROR(AVERAGE('Data Bulanan'!AF20,'Data Bulanan'!AH20,'Data Bulanan'!AJ20,'Data Bulanan'!AL20,'Data Bulanan'!AN20,'Data Bulanan'!AP20,'Data Bulanan'!AR20,'Data Bulanan'!AT20,'Data Bulanan'!AV20,'Data Bulanan'!AX20,'Data Bulanan'!AZ20,'Data Bulanan'!BB20),0)</f>
        <v>90.073169482846893</v>
      </c>
      <c r="N78" s="37">
        <f>'Data Bulanan'!BD20</f>
        <v>20.629522308292021</v>
      </c>
      <c r="O78" s="38">
        <f t="shared" si="7"/>
        <v>61.888566924876059</v>
      </c>
      <c r="P78" s="39">
        <f t="shared" si="8"/>
        <v>102</v>
      </c>
      <c r="Q78" s="40">
        <f t="shared" si="9"/>
        <v>913</v>
      </c>
      <c r="R78" s="41">
        <f t="shared" si="10"/>
        <v>297</v>
      </c>
      <c r="S78" s="42" t="str">
        <f t="shared" si="11"/>
        <v>Overstock 📦</v>
      </c>
      <c r="T78" s="43">
        <f>IFERROR(N78/AVERAGE(M77:M81),0)</f>
        <v>0.20172999732359578</v>
      </c>
      <c r="U78" s="44">
        <v>-379.55</v>
      </c>
      <c r="V78" s="45">
        <v>2.0799999999999999E-2</v>
      </c>
    </row>
    <row r="79" spans="1:22" ht="15" customHeight="1" x14ac:dyDescent="0.35">
      <c r="A79" s="31">
        <v>3</v>
      </c>
      <c r="B79" s="32">
        <v>2023</v>
      </c>
      <c r="C79" s="31" t="s">
        <v>264</v>
      </c>
      <c r="D79" s="31" t="s">
        <v>64</v>
      </c>
      <c r="E79" s="33" t="s">
        <v>65</v>
      </c>
      <c r="F79" s="31" t="s">
        <v>36</v>
      </c>
      <c r="G79" s="34">
        <v>1554</v>
      </c>
      <c r="H79" s="34">
        <v>9</v>
      </c>
      <c r="I79" s="34">
        <f>IFERROR(ROUND('Data Bulanan'!CC20,0),0)</f>
        <v>41480</v>
      </c>
      <c r="J79" s="34">
        <v>361615</v>
      </c>
      <c r="K79" s="34">
        <v>499962</v>
      </c>
      <c r="L79" s="35">
        <f t="shared" si="6"/>
        <v>245</v>
      </c>
      <c r="M79" s="36">
        <f>IFERROR(AVERAGE('Data Bulanan'!BF20,'Data Bulanan'!BH20,'Data Bulanan'!BJ20,'Data Bulanan'!BL20,'Data Bulanan'!BN20,'Data Bulanan'!BP20,'Data Bulanan'!BR20,'Data Bulanan'!BT20,'Data Bulanan'!BV20,'Data Bulanan'!BX20,'Data Bulanan'!BZ20,'Data Bulanan'!CB20),0)</f>
        <v>110.77133256528417</v>
      </c>
      <c r="N79" s="37">
        <f>'Data Bulanan'!CD20</f>
        <v>29.281438715784024</v>
      </c>
      <c r="O79" s="38">
        <f t="shared" si="7"/>
        <v>87.844316147352075</v>
      </c>
      <c r="P79" s="39">
        <f t="shared" si="8"/>
        <v>145</v>
      </c>
      <c r="Q79" s="40">
        <f t="shared" si="9"/>
        <v>1142</v>
      </c>
      <c r="R79" s="41">
        <f t="shared" si="10"/>
        <v>412</v>
      </c>
      <c r="S79" s="42" t="str">
        <f t="shared" si="11"/>
        <v>Overstock 📦</v>
      </c>
      <c r="T79" s="43">
        <f>IFERROR(N79/AVERAGE(M77:M81),0)</f>
        <v>0.28633452900612505</v>
      </c>
      <c r="U79" s="44">
        <v>-379.55</v>
      </c>
      <c r="V79" s="45">
        <v>2.0799999999999999E-2</v>
      </c>
    </row>
    <row r="80" spans="1:22" ht="15" customHeight="1" x14ac:dyDescent="0.35">
      <c r="A80" s="31">
        <v>4</v>
      </c>
      <c r="B80" s="32">
        <v>2024</v>
      </c>
      <c r="C80" s="31" t="s">
        <v>264</v>
      </c>
      <c r="D80" s="31" t="s">
        <v>64</v>
      </c>
      <c r="E80" s="33" t="s">
        <v>65</v>
      </c>
      <c r="F80" s="31" t="s">
        <v>36</v>
      </c>
      <c r="G80" s="34">
        <v>1096</v>
      </c>
      <c r="H80" s="34">
        <v>9</v>
      </c>
      <c r="I80" s="34">
        <f>IFERROR(ROUND('Data Bulanan'!DC20,0),0)</f>
        <v>33886</v>
      </c>
      <c r="J80" s="34">
        <v>332703</v>
      </c>
      <c r="K80" s="34">
        <v>468090</v>
      </c>
      <c r="L80" s="35">
        <f t="shared" si="6"/>
        <v>219</v>
      </c>
      <c r="M80" s="36">
        <f>IFERROR(AVERAGE('Data Bulanan'!CF20,'Data Bulanan'!CH20,'Data Bulanan'!CJ20,'Data Bulanan'!CL20,'Data Bulanan'!CN20,'Data Bulanan'!CP20,'Data Bulanan'!CR20,'Data Bulanan'!CT20,'Data Bulanan'!CV20,'Data Bulanan'!CX20,'Data Bulanan'!CZ20,'Data Bulanan'!DB20),0)</f>
        <v>90.502758576548899</v>
      </c>
      <c r="N80" s="37">
        <f>'Data Bulanan'!DD20</f>
        <v>25.667460729649708</v>
      </c>
      <c r="O80" s="38">
        <f t="shared" si="7"/>
        <v>77.002382188949127</v>
      </c>
      <c r="P80" s="39">
        <f t="shared" si="8"/>
        <v>127</v>
      </c>
      <c r="Q80" s="40">
        <f t="shared" si="9"/>
        <v>942</v>
      </c>
      <c r="R80" s="41">
        <f t="shared" si="10"/>
        <v>154</v>
      </c>
      <c r="S80" s="42" t="str">
        <f t="shared" si="11"/>
        <v>Aman ✅</v>
      </c>
      <c r="T80" s="43">
        <f>IFERROR(N80/AVERAGE(M77:M81),0)</f>
        <v>0.2509945071396289</v>
      </c>
      <c r="U80" s="44">
        <v>-379.55</v>
      </c>
      <c r="V80" s="45">
        <v>2.0799999999999999E-2</v>
      </c>
    </row>
    <row r="81" spans="1:22" ht="15" customHeight="1" x14ac:dyDescent="0.35">
      <c r="A81" s="31">
        <v>5</v>
      </c>
      <c r="B81" s="32">
        <v>2025</v>
      </c>
      <c r="C81" s="31" t="s">
        <v>264</v>
      </c>
      <c r="D81" s="31" t="s">
        <v>64</v>
      </c>
      <c r="E81" s="33" t="s">
        <v>65</v>
      </c>
      <c r="F81" s="31" t="s">
        <v>36</v>
      </c>
      <c r="G81" s="34">
        <v>1658</v>
      </c>
      <c r="H81" s="34">
        <v>9</v>
      </c>
      <c r="I81" s="34">
        <f>IFERROR(ROUND('Data Bulanan'!EC20,0),0)</f>
        <v>40282</v>
      </c>
      <c r="J81" s="34">
        <v>367549</v>
      </c>
      <c r="K81" s="34">
        <v>496205</v>
      </c>
      <c r="L81" s="35">
        <f t="shared" si="6"/>
        <v>244</v>
      </c>
      <c r="M81" s="36">
        <f>IFERROR(AVERAGE('Data Bulanan'!DF20,'Data Bulanan'!DH20,'Data Bulanan'!DJ20,'Data Bulanan'!DL20,'Data Bulanan'!DN20,'Data Bulanan'!DP20,'Data Bulanan'!DR20,'Data Bulanan'!DT20,'Data Bulanan'!DV20,'Data Bulanan'!DX20,'Data Bulanan'!DZ20,'Data Bulanan'!EB20),0)</f>
        <v>107.448099078341</v>
      </c>
      <c r="N81" s="37">
        <f>'Data Bulanan'!ED20</f>
        <v>18.677862990830736</v>
      </c>
      <c r="O81" s="38">
        <f t="shared" si="7"/>
        <v>56.033588972492211</v>
      </c>
      <c r="P81" s="39">
        <f t="shared" si="8"/>
        <v>92</v>
      </c>
      <c r="Q81" s="40">
        <f t="shared" si="9"/>
        <v>1059</v>
      </c>
      <c r="R81" s="41">
        <f t="shared" si="10"/>
        <v>599</v>
      </c>
      <c r="S81" s="42" t="str">
        <f t="shared" si="11"/>
        <v>Overstock 📦</v>
      </c>
      <c r="T81" s="43">
        <f>IFERROR(N81/AVERAGE(M77:M81),0)</f>
        <v>0.18264529807538368</v>
      </c>
      <c r="U81" s="44">
        <v>-379.55</v>
      </c>
      <c r="V81" s="45">
        <v>2.0799999999999999E-2</v>
      </c>
    </row>
    <row r="82" spans="1:22" ht="15" customHeight="1" x14ac:dyDescent="0.35">
      <c r="A82" s="46">
        <v>1</v>
      </c>
      <c r="B82" s="32">
        <v>2021</v>
      </c>
      <c r="C82" s="46" t="s">
        <v>263</v>
      </c>
      <c r="D82" s="46" t="s">
        <v>66</v>
      </c>
      <c r="E82" s="47" t="s">
        <v>67</v>
      </c>
      <c r="F82" s="46" t="s">
        <v>36</v>
      </c>
      <c r="G82" s="34">
        <v>0</v>
      </c>
      <c r="H82" s="34">
        <v>11</v>
      </c>
      <c r="I82" s="34">
        <f>IFERROR(ROUND('Data Bulanan'!AC21,0),0)</f>
        <v>22556</v>
      </c>
      <c r="J82" s="34">
        <v>1204942</v>
      </c>
      <c r="K82" s="34">
        <v>232786</v>
      </c>
      <c r="L82" s="35">
        <f t="shared" si="6"/>
        <v>483</v>
      </c>
      <c r="M82" s="36">
        <f>IFERROR(AVERAGE('Data Bulanan'!F21,'Data Bulanan'!H21,'Data Bulanan'!J21,'Data Bulanan'!L21,'Data Bulanan'!N21,'Data Bulanan'!P21,'Data Bulanan'!R21,'Data Bulanan'!T21,'Data Bulanan'!V21,'Data Bulanan'!X21,'Data Bulanan'!Z21,'Data Bulanan'!AB21),0)</f>
        <v>59.877144137224775</v>
      </c>
      <c r="N82" s="37">
        <f>'Data Bulanan'!AD21</f>
        <v>12.035435247364376</v>
      </c>
      <c r="O82" s="38">
        <f t="shared" si="7"/>
        <v>39.917022904125865</v>
      </c>
      <c r="P82" s="39">
        <f t="shared" si="8"/>
        <v>66</v>
      </c>
      <c r="Q82" s="40">
        <f t="shared" si="9"/>
        <v>725</v>
      </c>
      <c r="R82" s="41">
        <f t="shared" si="10"/>
        <v>-725</v>
      </c>
      <c r="S82" s="42" t="str">
        <f t="shared" si="11"/>
        <v>Stockout ⚠</v>
      </c>
      <c r="T82" s="43">
        <f>IFERROR(N82/AVERAGE(M82:M86),0)</f>
        <v>0.21506378557913711</v>
      </c>
      <c r="U82" s="44">
        <v>-341.51</v>
      </c>
      <c r="V82" s="45">
        <v>4.7199999999999999E-2</v>
      </c>
    </row>
    <row r="83" spans="1:22" ht="15" customHeight="1" x14ac:dyDescent="0.35">
      <c r="A83" s="46">
        <v>2</v>
      </c>
      <c r="B83" s="32">
        <v>2022</v>
      </c>
      <c r="C83" s="46" t="s">
        <v>263</v>
      </c>
      <c r="D83" s="46" t="s">
        <v>66</v>
      </c>
      <c r="E83" s="47" t="s">
        <v>67</v>
      </c>
      <c r="F83" s="46" t="s">
        <v>36</v>
      </c>
      <c r="G83" s="34">
        <v>0</v>
      </c>
      <c r="H83" s="34">
        <v>11</v>
      </c>
      <c r="I83" s="34">
        <f>IFERROR(ROUND('Data Bulanan'!BC21,0),0)</f>
        <v>22694</v>
      </c>
      <c r="J83" s="34">
        <v>1067386</v>
      </c>
      <c r="K83" s="34">
        <v>212972</v>
      </c>
      <c r="L83" s="35">
        <f t="shared" si="6"/>
        <v>477</v>
      </c>
      <c r="M83" s="36">
        <f>IFERROR(AVERAGE('Data Bulanan'!AF21,'Data Bulanan'!AH21,'Data Bulanan'!AJ21,'Data Bulanan'!AL21,'Data Bulanan'!AN21,'Data Bulanan'!AP21,'Data Bulanan'!AR21,'Data Bulanan'!AT21,'Data Bulanan'!AV21,'Data Bulanan'!AX21,'Data Bulanan'!AZ21,'Data Bulanan'!BB21),0)</f>
        <v>60.453149001536097</v>
      </c>
      <c r="N83" s="37">
        <f>'Data Bulanan'!BD21</f>
        <v>8.1504782662534812</v>
      </c>
      <c r="O83" s="38">
        <f t="shared" si="7"/>
        <v>27.032078271109196</v>
      </c>
      <c r="P83" s="39">
        <f t="shared" si="8"/>
        <v>45</v>
      </c>
      <c r="Q83" s="40">
        <f t="shared" si="9"/>
        <v>710</v>
      </c>
      <c r="R83" s="41">
        <f t="shared" si="10"/>
        <v>-710</v>
      </c>
      <c r="S83" s="42" t="str">
        <f t="shared" si="11"/>
        <v>Stockout ⚠</v>
      </c>
      <c r="T83" s="43">
        <f>IFERROR(N83/AVERAGE(M82:M86),0)</f>
        <v>0.14564265223435233</v>
      </c>
      <c r="U83" s="44">
        <v>-341.51</v>
      </c>
      <c r="V83" s="45">
        <v>4.7199999999999999E-2</v>
      </c>
    </row>
    <row r="84" spans="1:22" ht="15" customHeight="1" x14ac:dyDescent="0.35">
      <c r="A84" s="46">
        <v>3</v>
      </c>
      <c r="B84" s="32">
        <v>2023</v>
      </c>
      <c r="C84" s="46" t="s">
        <v>263</v>
      </c>
      <c r="D84" s="46" t="s">
        <v>66</v>
      </c>
      <c r="E84" s="47" t="s">
        <v>67</v>
      </c>
      <c r="F84" s="46" t="s">
        <v>36</v>
      </c>
      <c r="G84" s="34">
        <v>0</v>
      </c>
      <c r="H84" s="34">
        <v>11</v>
      </c>
      <c r="I84" s="34">
        <f>IFERROR(ROUND('Data Bulanan'!CC21,0),0)</f>
        <v>18764</v>
      </c>
      <c r="J84" s="34">
        <v>1101242</v>
      </c>
      <c r="K84" s="34">
        <v>223976</v>
      </c>
      <c r="L84" s="35">
        <f t="shared" si="6"/>
        <v>430</v>
      </c>
      <c r="M84" s="36">
        <f>IFERROR(AVERAGE('Data Bulanan'!BF21,'Data Bulanan'!BH21,'Data Bulanan'!BJ21,'Data Bulanan'!BL21,'Data Bulanan'!BN21,'Data Bulanan'!BP21,'Data Bulanan'!BR21,'Data Bulanan'!BT21,'Data Bulanan'!BV21,'Data Bulanan'!BX21,'Data Bulanan'!BZ21,'Data Bulanan'!CB21),0)</f>
        <v>49.884158986175123</v>
      </c>
      <c r="N84" s="37">
        <f>'Data Bulanan'!CD21</f>
        <v>10.819247230169339</v>
      </c>
      <c r="O84" s="38">
        <f t="shared" si="7"/>
        <v>35.883383576563624</v>
      </c>
      <c r="P84" s="39">
        <f t="shared" si="8"/>
        <v>59</v>
      </c>
      <c r="Q84" s="40">
        <f t="shared" si="9"/>
        <v>608</v>
      </c>
      <c r="R84" s="41">
        <f t="shared" si="10"/>
        <v>-608</v>
      </c>
      <c r="S84" s="42" t="str">
        <f t="shared" si="11"/>
        <v>Stockout ⚠</v>
      </c>
      <c r="T84" s="43">
        <f>IFERROR(N84/AVERAGE(M82:M86),0)</f>
        <v>0.19333145986110978</v>
      </c>
      <c r="U84" s="44">
        <v>-341.51</v>
      </c>
      <c r="V84" s="45">
        <v>4.7199999999999999E-2</v>
      </c>
    </row>
    <row r="85" spans="1:22" ht="15" customHeight="1" x14ac:dyDescent="0.35">
      <c r="A85" s="46">
        <v>4</v>
      </c>
      <c r="B85" s="32">
        <v>2024</v>
      </c>
      <c r="C85" s="46" t="s">
        <v>263</v>
      </c>
      <c r="D85" s="46" t="s">
        <v>66</v>
      </c>
      <c r="E85" s="47" t="s">
        <v>67</v>
      </c>
      <c r="F85" s="46" t="s">
        <v>36</v>
      </c>
      <c r="G85" s="34">
        <v>0</v>
      </c>
      <c r="H85" s="34">
        <v>11</v>
      </c>
      <c r="I85" s="34">
        <f>IFERROR(ROUND('Data Bulanan'!DC21,0),0)</f>
        <v>17927</v>
      </c>
      <c r="J85" s="34">
        <v>1088919</v>
      </c>
      <c r="K85" s="34">
        <v>198965</v>
      </c>
      <c r="L85" s="35">
        <f t="shared" si="6"/>
        <v>443</v>
      </c>
      <c r="M85" s="36">
        <f>IFERROR(AVERAGE('Data Bulanan'!CF21,'Data Bulanan'!CH21,'Data Bulanan'!CJ21,'Data Bulanan'!CL21,'Data Bulanan'!CN21,'Data Bulanan'!CP21,'Data Bulanan'!CR21,'Data Bulanan'!CT21,'Data Bulanan'!CV21,'Data Bulanan'!CX21,'Data Bulanan'!CZ21,'Data Bulanan'!DB21),0)</f>
        <v>47.748431899641581</v>
      </c>
      <c r="N85" s="37">
        <f>'Data Bulanan'!DD21</f>
        <v>11.553203773648834</v>
      </c>
      <c r="O85" s="38">
        <f t="shared" si="7"/>
        <v>38.317642043711274</v>
      </c>
      <c r="P85" s="39">
        <f t="shared" si="8"/>
        <v>63</v>
      </c>
      <c r="Q85" s="40">
        <f t="shared" si="9"/>
        <v>588</v>
      </c>
      <c r="R85" s="41">
        <f t="shared" si="10"/>
        <v>-588</v>
      </c>
      <c r="S85" s="42" t="str">
        <f t="shared" si="11"/>
        <v>Stockout ⚠</v>
      </c>
      <c r="T85" s="43">
        <f>IFERROR(N85/AVERAGE(M82:M86),0)</f>
        <v>0.20644668747415731</v>
      </c>
      <c r="U85" s="44">
        <v>-341.51</v>
      </c>
      <c r="V85" s="45">
        <v>4.7199999999999999E-2</v>
      </c>
    </row>
    <row r="86" spans="1:22" ht="15" customHeight="1" x14ac:dyDescent="0.35">
      <c r="A86" s="46">
        <v>5</v>
      </c>
      <c r="B86" s="32">
        <v>2025</v>
      </c>
      <c r="C86" s="46" t="s">
        <v>263</v>
      </c>
      <c r="D86" s="46" t="s">
        <v>66</v>
      </c>
      <c r="E86" s="47" t="s">
        <v>67</v>
      </c>
      <c r="F86" s="46" t="s">
        <v>36</v>
      </c>
      <c r="G86" s="34">
        <v>0</v>
      </c>
      <c r="H86" s="34">
        <v>11</v>
      </c>
      <c r="I86" s="34">
        <f>IFERROR(ROUND('Data Bulanan'!EC21,0),0)</f>
        <v>23232</v>
      </c>
      <c r="J86" s="34">
        <v>1105929</v>
      </c>
      <c r="K86" s="34">
        <v>200578</v>
      </c>
      <c r="L86" s="35">
        <f t="shared" si="6"/>
        <v>506</v>
      </c>
      <c r="M86" s="36">
        <f>IFERROR(AVERAGE('Data Bulanan'!DF21,'Data Bulanan'!DH21,'Data Bulanan'!DJ21,'Data Bulanan'!DL21,'Data Bulanan'!DN21,'Data Bulanan'!DP21,'Data Bulanan'!DR21,'Data Bulanan'!DT21,'Data Bulanan'!DV21,'Data Bulanan'!DX21,'Data Bulanan'!DZ21,'Data Bulanan'!EB21),0)</f>
        <v>61.847945468509998</v>
      </c>
      <c r="N86" s="37">
        <f>'Data Bulanan'!ED21</f>
        <v>12.91351421208387</v>
      </c>
      <c r="O86" s="38">
        <f t="shared" si="7"/>
        <v>42.829281366404139</v>
      </c>
      <c r="P86" s="39">
        <f t="shared" si="8"/>
        <v>71</v>
      </c>
      <c r="Q86" s="40">
        <f t="shared" si="9"/>
        <v>751</v>
      </c>
      <c r="R86" s="41">
        <f t="shared" si="10"/>
        <v>-751</v>
      </c>
      <c r="S86" s="42" t="str">
        <f t="shared" si="11"/>
        <v>Stockout ⚠</v>
      </c>
      <c r="T86" s="43">
        <f>IFERROR(N86/AVERAGE(M82:M86),0)</f>
        <v>0.2307543677898086</v>
      </c>
      <c r="U86" s="44">
        <v>-341.51</v>
      </c>
      <c r="V86" s="45">
        <v>4.7199999999999999E-2</v>
      </c>
    </row>
    <row r="87" spans="1:22" ht="15" customHeight="1" x14ac:dyDescent="0.35">
      <c r="A87" s="31">
        <v>1</v>
      </c>
      <c r="B87" s="32">
        <v>2021</v>
      </c>
      <c r="C87" s="31" t="s">
        <v>263</v>
      </c>
      <c r="D87" s="31" t="s">
        <v>68</v>
      </c>
      <c r="E87" s="33" t="s">
        <v>69</v>
      </c>
      <c r="F87" s="31" t="s">
        <v>36</v>
      </c>
      <c r="G87" s="34">
        <v>1006</v>
      </c>
      <c r="H87" s="34">
        <v>5</v>
      </c>
      <c r="I87" s="34">
        <f>IFERROR(ROUND('Data Bulanan'!AC22,0),0)</f>
        <v>8944</v>
      </c>
      <c r="J87" s="34">
        <v>1478942</v>
      </c>
      <c r="K87" s="34">
        <v>126725</v>
      </c>
      <c r="L87" s="35">
        <f t="shared" si="6"/>
        <v>457</v>
      </c>
      <c r="M87" s="36">
        <f>IFERROR(AVERAGE('Data Bulanan'!F22,'Data Bulanan'!H22,'Data Bulanan'!J22,'Data Bulanan'!L22,'Data Bulanan'!N22,'Data Bulanan'!P22,'Data Bulanan'!R22,'Data Bulanan'!T22,'Data Bulanan'!V22,'Data Bulanan'!X22,'Data Bulanan'!Z22,'Data Bulanan'!AB22),0)</f>
        <v>23.795340501792111</v>
      </c>
      <c r="N87" s="37">
        <f>'Data Bulanan'!AD22</f>
        <v>6.7305583321362477</v>
      </c>
      <c r="O87" s="38">
        <f t="shared" si="7"/>
        <v>15.049985957184258</v>
      </c>
      <c r="P87" s="39">
        <f t="shared" si="8"/>
        <v>25</v>
      </c>
      <c r="Q87" s="40">
        <f t="shared" si="9"/>
        <v>144</v>
      </c>
      <c r="R87" s="41">
        <f t="shared" si="10"/>
        <v>862</v>
      </c>
      <c r="S87" s="42" t="str">
        <f t="shared" si="11"/>
        <v>Overstock 📦</v>
      </c>
      <c r="T87" s="43">
        <f>IFERROR(N87/AVERAGE(M87:M91),0)</f>
        <v>0.30772336325745292</v>
      </c>
      <c r="U87" s="44">
        <v>-146.81</v>
      </c>
      <c r="V87" s="45">
        <v>0.12570000000000001</v>
      </c>
    </row>
    <row r="88" spans="1:22" ht="15" customHeight="1" x14ac:dyDescent="0.35">
      <c r="A88" s="31">
        <v>2</v>
      </c>
      <c r="B88" s="32">
        <v>2022</v>
      </c>
      <c r="C88" s="31" t="s">
        <v>263</v>
      </c>
      <c r="D88" s="31" t="s">
        <v>68</v>
      </c>
      <c r="E88" s="33" t="s">
        <v>69</v>
      </c>
      <c r="F88" s="31" t="s">
        <v>36</v>
      </c>
      <c r="G88" s="34">
        <v>724</v>
      </c>
      <c r="H88" s="34">
        <v>5</v>
      </c>
      <c r="I88" s="34">
        <f>IFERROR(ROUND('Data Bulanan'!BC22,0),0)</f>
        <v>7473</v>
      </c>
      <c r="J88" s="34">
        <v>1422228</v>
      </c>
      <c r="K88" s="34">
        <v>111696</v>
      </c>
      <c r="L88" s="35">
        <f t="shared" si="6"/>
        <v>436</v>
      </c>
      <c r="M88" s="36">
        <f>IFERROR(AVERAGE('Data Bulanan'!AF22,'Data Bulanan'!AH22,'Data Bulanan'!AJ22,'Data Bulanan'!AL22,'Data Bulanan'!AN22,'Data Bulanan'!AP22,'Data Bulanan'!AR22,'Data Bulanan'!AT22,'Data Bulanan'!AV22,'Data Bulanan'!AX22,'Data Bulanan'!AZ22,'Data Bulanan'!BB22),0)</f>
        <v>19.930120327700973</v>
      </c>
      <c r="N88" s="37">
        <f>'Data Bulanan'!BD22</f>
        <v>5.4292532260501405</v>
      </c>
      <c r="O88" s="38">
        <f t="shared" si="7"/>
        <v>12.140179280508146</v>
      </c>
      <c r="P88" s="39">
        <f t="shared" si="8"/>
        <v>20</v>
      </c>
      <c r="Q88" s="40">
        <f t="shared" si="9"/>
        <v>120</v>
      </c>
      <c r="R88" s="41">
        <f t="shared" si="10"/>
        <v>604</v>
      </c>
      <c r="S88" s="42" t="str">
        <f t="shared" si="11"/>
        <v>Overstock 📦</v>
      </c>
      <c r="T88" s="43">
        <f>IFERROR(N88/AVERAGE(M87:M91),0)</f>
        <v>0.24822726143229942</v>
      </c>
      <c r="U88" s="44">
        <v>-146.81</v>
      </c>
      <c r="V88" s="45">
        <v>0.12570000000000001</v>
      </c>
    </row>
    <row r="89" spans="1:22" ht="15" customHeight="1" x14ac:dyDescent="0.35">
      <c r="A89" s="31">
        <v>3</v>
      </c>
      <c r="B89" s="32">
        <v>2023</v>
      </c>
      <c r="C89" s="31" t="s">
        <v>263</v>
      </c>
      <c r="D89" s="31" t="s">
        <v>68</v>
      </c>
      <c r="E89" s="33" t="s">
        <v>69</v>
      </c>
      <c r="F89" s="31" t="s">
        <v>36</v>
      </c>
      <c r="G89" s="34">
        <v>1173</v>
      </c>
      <c r="H89" s="34">
        <v>5</v>
      </c>
      <c r="I89" s="34">
        <f>IFERROR(ROUND('Data Bulanan'!CC22,0),0)</f>
        <v>8850</v>
      </c>
      <c r="J89" s="34">
        <v>1474013</v>
      </c>
      <c r="K89" s="34">
        <v>123695</v>
      </c>
      <c r="L89" s="35">
        <f t="shared" si="6"/>
        <v>459</v>
      </c>
      <c r="M89" s="36">
        <f>IFERROR(AVERAGE('Data Bulanan'!BF22,'Data Bulanan'!BH22,'Data Bulanan'!BJ22,'Data Bulanan'!BL22,'Data Bulanan'!BN22,'Data Bulanan'!BP22,'Data Bulanan'!BR22,'Data Bulanan'!BT22,'Data Bulanan'!BV22,'Data Bulanan'!BX22,'Data Bulanan'!BZ22,'Data Bulanan'!CB22),0)</f>
        <v>23.570622119815667</v>
      </c>
      <c r="N89" s="37">
        <f>'Data Bulanan'!CD22</f>
        <v>6.0471973190474113</v>
      </c>
      <c r="O89" s="38">
        <f t="shared" si="7"/>
        <v>13.521944278744495</v>
      </c>
      <c r="P89" s="39">
        <f t="shared" si="8"/>
        <v>22</v>
      </c>
      <c r="Q89" s="40">
        <f t="shared" si="9"/>
        <v>140</v>
      </c>
      <c r="R89" s="41">
        <f t="shared" si="10"/>
        <v>1033</v>
      </c>
      <c r="S89" s="42" t="str">
        <f t="shared" si="11"/>
        <v>Overstock 📦</v>
      </c>
      <c r="T89" s="43">
        <f>IFERROR(N89/AVERAGE(M87:M91),0)</f>
        <v>0.27647987068378804</v>
      </c>
      <c r="U89" s="44">
        <v>-146.81</v>
      </c>
      <c r="V89" s="45">
        <v>0.12570000000000001</v>
      </c>
    </row>
    <row r="90" spans="1:22" ht="15" customHeight="1" x14ac:dyDescent="0.35">
      <c r="A90" s="31">
        <v>4</v>
      </c>
      <c r="B90" s="32">
        <v>2024</v>
      </c>
      <c r="C90" s="31" t="s">
        <v>263</v>
      </c>
      <c r="D90" s="31" t="s">
        <v>68</v>
      </c>
      <c r="E90" s="33" t="s">
        <v>69</v>
      </c>
      <c r="F90" s="31" t="s">
        <v>36</v>
      </c>
      <c r="G90" s="34">
        <v>364</v>
      </c>
      <c r="H90" s="34">
        <v>5</v>
      </c>
      <c r="I90" s="34">
        <f>IFERROR(ROUND('Data Bulanan'!DC22,0),0)</f>
        <v>7759</v>
      </c>
      <c r="J90" s="34">
        <v>1424689</v>
      </c>
      <c r="K90" s="34">
        <v>126253</v>
      </c>
      <c r="L90" s="35">
        <f t="shared" si="6"/>
        <v>418</v>
      </c>
      <c r="M90" s="36">
        <f>IFERROR(AVERAGE('Data Bulanan'!CF22,'Data Bulanan'!CH22,'Data Bulanan'!CJ22,'Data Bulanan'!CL22,'Data Bulanan'!CN22,'Data Bulanan'!CP22,'Data Bulanan'!CR22,'Data Bulanan'!CT22,'Data Bulanan'!CV22,'Data Bulanan'!CX22,'Data Bulanan'!CZ22,'Data Bulanan'!DB22),0)</f>
        <v>20.632648489503328</v>
      </c>
      <c r="N90" s="37">
        <f>'Data Bulanan'!DD22</f>
        <v>5.0539985963207101</v>
      </c>
      <c r="O90" s="38">
        <f t="shared" si="7"/>
        <v>11.301084419561628</v>
      </c>
      <c r="P90" s="39">
        <f t="shared" si="8"/>
        <v>19</v>
      </c>
      <c r="Q90" s="40">
        <f t="shared" si="9"/>
        <v>122</v>
      </c>
      <c r="R90" s="41">
        <f t="shared" si="10"/>
        <v>242</v>
      </c>
      <c r="S90" s="42" t="str">
        <f t="shared" si="11"/>
        <v>Aman ✅</v>
      </c>
      <c r="T90" s="43">
        <f>IFERROR(N90/AVERAGE(M87:M91),0)</f>
        <v>0.23107049507802591</v>
      </c>
      <c r="U90" s="44">
        <v>-146.81</v>
      </c>
      <c r="V90" s="45">
        <v>0.12570000000000001</v>
      </c>
    </row>
    <row r="91" spans="1:22" ht="15" customHeight="1" x14ac:dyDescent="0.35">
      <c r="A91" s="31">
        <v>5</v>
      </c>
      <c r="B91" s="32">
        <v>2025</v>
      </c>
      <c r="C91" s="31" t="s">
        <v>263</v>
      </c>
      <c r="D91" s="31" t="s">
        <v>68</v>
      </c>
      <c r="E91" s="33" t="s">
        <v>69</v>
      </c>
      <c r="F91" s="31" t="s">
        <v>36</v>
      </c>
      <c r="G91" s="34">
        <v>262</v>
      </c>
      <c r="H91" s="34">
        <v>5</v>
      </c>
      <c r="I91" s="34">
        <f>IFERROR(ROUND('Data Bulanan'!EC22,0),0)</f>
        <v>8067</v>
      </c>
      <c r="J91" s="34">
        <v>1507558</v>
      </c>
      <c r="K91" s="34">
        <v>118589</v>
      </c>
      <c r="L91" s="35">
        <f t="shared" si="6"/>
        <v>453</v>
      </c>
      <c r="M91" s="36">
        <f>IFERROR(AVERAGE('Data Bulanan'!DF22,'Data Bulanan'!DH22,'Data Bulanan'!DJ22,'Data Bulanan'!DL22,'Data Bulanan'!DN22,'Data Bulanan'!DP22,'Data Bulanan'!DR22,'Data Bulanan'!DT22,'Data Bulanan'!DV22,'Data Bulanan'!DX22,'Data Bulanan'!DZ22,'Data Bulanan'!EB22),0)</f>
        <v>21.431803635432669</v>
      </c>
      <c r="N91" s="37">
        <f>'Data Bulanan'!ED22</f>
        <v>4.9169467078868125</v>
      </c>
      <c r="O91" s="38">
        <f t="shared" si="7"/>
        <v>10.994627080578715</v>
      </c>
      <c r="P91" s="39">
        <f t="shared" si="8"/>
        <v>18</v>
      </c>
      <c r="Q91" s="40">
        <f t="shared" si="9"/>
        <v>125</v>
      </c>
      <c r="R91" s="41">
        <f t="shared" si="10"/>
        <v>137</v>
      </c>
      <c r="S91" s="42" t="str">
        <f t="shared" si="11"/>
        <v>Aman ✅</v>
      </c>
      <c r="T91" s="43">
        <f>IFERROR(N91/AVERAGE(M87:M91),0)</f>
        <v>0.2248044372016241</v>
      </c>
      <c r="U91" s="44">
        <v>-146.81</v>
      </c>
      <c r="V91" s="45">
        <v>0.12570000000000001</v>
      </c>
    </row>
    <row r="92" spans="1:22" ht="15" customHeight="1" x14ac:dyDescent="0.35">
      <c r="A92" s="46">
        <v>1</v>
      </c>
      <c r="B92" s="32">
        <v>2021</v>
      </c>
      <c r="C92" s="46" t="s">
        <v>263</v>
      </c>
      <c r="D92" s="46" t="s">
        <v>70</v>
      </c>
      <c r="E92" s="47" t="s">
        <v>71</v>
      </c>
      <c r="F92" s="46" t="s">
        <v>36</v>
      </c>
      <c r="G92" s="34">
        <v>15295</v>
      </c>
      <c r="H92" s="34">
        <v>41</v>
      </c>
      <c r="I92" s="34">
        <f>IFERROR(ROUND('Data Bulanan'!AC23,0),0)</f>
        <v>27609</v>
      </c>
      <c r="J92" s="34">
        <v>6643698</v>
      </c>
      <c r="K92" s="34">
        <v>190968</v>
      </c>
      <c r="L92" s="35">
        <f t="shared" si="6"/>
        <v>1386</v>
      </c>
      <c r="M92" s="36">
        <f>IFERROR(AVERAGE('Data Bulanan'!F23,'Data Bulanan'!H23,'Data Bulanan'!J23,'Data Bulanan'!L23,'Data Bulanan'!N23,'Data Bulanan'!P23,'Data Bulanan'!R23,'Data Bulanan'!T23,'Data Bulanan'!V23,'Data Bulanan'!X23,'Data Bulanan'!Z23,'Data Bulanan'!AB23),0)</f>
        <v>73.413095238095238</v>
      </c>
      <c r="N92" s="37">
        <f>'Data Bulanan'!AD23</f>
        <v>21.445949104402931</v>
      </c>
      <c r="O92" s="38">
        <f t="shared" si="7"/>
        <v>137.32107650515371</v>
      </c>
      <c r="P92" s="39">
        <f t="shared" si="8"/>
        <v>227</v>
      </c>
      <c r="Q92" s="40">
        <f t="shared" si="9"/>
        <v>3237</v>
      </c>
      <c r="R92" s="41">
        <f t="shared" si="10"/>
        <v>12058</v>
      </c>
      <c r="S92" s="42" t="str">
        <f t="shared" si="11"/>
        <v>Overstock 📦</v>
      </c>
      <c r="T92" s="43">
        <f>IFERROR(N92/AVERAGE(M92:M96),0)</f>
        <v>0.24826419513046011</v>
      </c>
      <c r="U92" s="44">
        <v>2123.0700000000002</v>
      </c>
      <c r="V92" s="45">
        <v>0.69389999999999996</v>
      </c>
    </row>
    <row r="93" spans="1:22" ht="15" customHeight="1" x14ac:dyDescent="0.35">
      <c r="A93" s="46">
        <v>2</v>
      </c>
      <c r="B93" s="32">
        <v>2022</v>
      </c>
      <c r="C93" s="46" t="s">
        <v>263</v>
      </c>
      <c r="D93" s="46" t="s">
        <v>70</v>
      </c>
      <c r="E93" s="47" t="s">
        <v>71</v>
      </c>
      <c r="F93" s="46" t="s">
        <v>36</v>
      </c>
      <c r="G93" s="34">
        <v>15231</v>
      </c>
      <c r="H93" s="34">
        <v>41</v>
      </c>
      <c r="I93" s="34">
        <f>IFERROR(ROUND('Data Bulanan'!BC23,0),0)</f>
        <v>33015</v>
      </c>
      <c r="J93" s="34">
        <v>5948418</v>
      </c>
      <c r="K93" s="34">
        <v>196330</v>
      </c>
      <c r="L93" s="35">
        <f t="shared" si="6"/>
        <v>1414</v>
      </c>
      <c r="M93" s="36">
        <f>IFERROR(AVERAGE('Data Bulanan'!AF23,'Data Bulanan'!AH23,'Data Bulanan'!AJ23,'Data Bulanan'!AL23,'Data Bulanan'!AN23,'Data Bulanan'!AP23,'Data Bulanan'!AR23,'Data Bulanan'!AT23,'Data Bulanan'!AV23,'Data Bulanan'!AX23,'Data Bulanan'!AZ23,'Data Bulanan'!BB23),0)</f>
        <v>87.852508960573459</v>
      </c>
      <c r="N93" s="37">
        <f>'Data Bulanan'!BD23</f>
        <v>22.893115547067911</v>
      </c>
      <c r="O93" s="38">
        <f t="shared" si="7"/>
        <v>146.5874630297813</v>
      </c>
      <c r="P93" s="39">
        <f t="shared" si="8"/>
        <v>242</v>
      </c>
      <c r="Q93" s="40">
        <f t="shared" si="9"/>
        <v>3844</v>
      </c>
      <c r="R93" s="41">
        <f t="shared" si="10"/>
        <v>11387</v>
      </c>
      <c r="S93" s="42" t="str">
        <f t="shared" si="11"/>
        <v>Overstock 📦</v>
      </c>
      <c r="T93" s="43">
        <f>IFERROR(N93/AVERAGE(M92:M96),0)</f>
        <v>0.26501699121138855</v>
      </c>
      <c r="U93" s="44">
        <v>2123.0700000000002</v>
      </c>
      <c r="V93" s="45">
        <v>0.69389999999999996</v>
      </c>
    </row>
    <row r="94" spans="1:22" ht="15" customHeight="1" x14ac:dyDescent="0.35">
      <c r="A94" s="46">
        <v>3</v>
      </c>
      <c r="B94" s="32">
        <v>2023</v>
      </c>
      <c r="C94" s="46" t="s">
        <v>263</v>
      </c>
      <c r="D94" s="46" t="s">
        <v>70</v>
      </c>
      <c r="E94" s="47" t="s">
        <v>71</v>
      </c>
      <c r="F94" s="46" t="s">
        <v>36</v>
      </c>
      <c r="G94" s="34">
        <v>9111</v>
      </c>
      <c r="H94" s="34">
        <v>41</v>
      </c>
      <c r="I94" s="34">
        <f>IFERROR(ROUND('Data Bulanan'!CC23,0),0)</f>
        <v>29138</v>
      </c>
      <c r="J94" s="34">
        <v>6081567</v>
      </c>
      <c r="K94" s="34">
        <v>196895</v>
      </c>
      <c r="L94" s="35">
        <f t="shared" si="6"/>
        <v>1342</v>
      </c>
      <c r="M94" s="36">
        <f>IFERROR(AVERAGE('Data Bulanan'!BF23,'Data Bulanan'!BH23,'Data Bulanan'!BJ23,'Data Bulanan'!BL23,'Data Bulanan'!BN23,'Data Bulanan'!BP23,'Data Bulanan'!BR23,'Data Bulanan'!BT23,'Data Bulanan'!BV23,'Data Bulanan'!BX23,'Data Bulanan'!BZ23,'Data Bulanan'!CB23),0)</f>
        <v>77.437903225806437</v>
      </c>
      <c r="N94" s="37">
        <f>'Data Bulanan'!CD23</f>
        <v>19.860517621979351</v>
      </c>
      <c r="O94" s="38">
        <f t="shared" si="7"/>
        <v>127.16936175325819</v>
      </c>
      <c r="P94" s="39">
        <f t="shared" si="8"/>
        <v>210</v>
      </c>
      <c r="Q94" s="40">
        <f t="shared" si="9"/>
        <v>3385</v>
      </c>
      <c r="R94" s="41">
        <f t="shared" si="10"/>
        <v>5726</v>
      </c>
      <c r="S94" s="42" t="str">
        <f t="shared" si="11"/>
        <v>Overstock 📦</v>
      </c>
      <c r="T94" s="43">
        <f>IFERROR(N94/AVERAGE(M92:M96),0)</f>
        <v>0.22991080498660429</v>
      </c>
      <c r="U94" s="44">
        <v>2123.0700000000002</v>
      </c>
      <c r="V94" s="45">
        <v>0.69389999999999996</v>
      </c>
    </row>
    <row r="95" spans="1:22" ht="15" customHeight="1" x14ac:dyDescent="0.35">
      <c r="A95" s="46">
        <v>4</v>
      </c>
      <c r="B95" s="32">
        <v>2024</v>
      </c>
      <c r="C95" s="46" t="s">
        <v>263</v>
      </c>
      <c r="D95" s="46" t="s">
        <v>70</v>
      </c>
      <c r="E95" s="47" t="s">
        <v>71</v>
      </c>
      <c r="F95" s="46" t="s">
        <v>36</v>
      </c>
      <c r="G95" s="34">
        <v>0</v>
      </c>
      <c r="H95" s="34">
        <v>41</v>
      </c>
      <c r="I95" s="34">
        <f>IFERROR(ROUND('Data Bulanan'!DC23,0),0)</f>
        <v>35712</v>
      </c>
      <c r="J95" s="34">
        <v>6651332</v>
      </c>
      <c r="K95" s="34">
        <v>200655</v>
      </c>
      <c r="L95" s="35">
        <f t="shared" si="6"/>
        <v>1539</v>
      </c>
      <c r="M95" s="36">
        <f>IFERROR(AVERAGE('Data Bulanan'!CF23,'Data Bulanan'!CH23,'Data Bulanan'!CJ23,'Data Bulanan'!CL23,'Data Bulanan'!CN23,'Data Bulanan'!CP23,'Data Bulanan'!CR23,'Data Bulanan'!CT23,'Data Bulanan'!CV23,'Data Bulanan'!CX23,'Data Bulanan'!CZ23,'Data Bulanan'!DB23),0)</f>
        <v>94.948783922171017</v>
      </c>
      <c r="N95" s="37">
        <f>'Data Bulanan'!DD23</f>
        <v>20.932377284853143</v>
      </c>
      <c r="O95" s="38">
        <f t="shared" si="7"/>
        <v>134.03261233973197</v>
      </c>
      <c r="P95" s="39">
        <f t="shared" si="8"/>
        <v>221</v>
      </c>
      <c r="Q95" s="40">
        <f t="shared" si="9"/>
        <v>4114</v>
      </c>
      <c r="R95" s="41">
        <f t="shared" si="10"/>
        <v>-4114</v>
      </c>
      <c r="S95" s="42" t="str">
        <f t="shared" si="11"/>
        <v>Stockout ⚠</v>
      </c>
      <c r="T95" s="43">
        <f>IFERROR(N95/AVERAGE(M92:M96),0)</f>
        <v>0.24231894673872362</v>
      </c>
      <c r="U95" s="44">
        <v>2123.0700000000002</v>
      </c>
      <c r="V95" s="45">
        <v>0.69389999999999996</v>
      </c>
    </row>
    <row r="96" spans="1:22" ht="15" customHeight="1" x14ac:dyDescent="0.35">
      <c r="A96" s="46">
        <v>5</v>
      </c>
      <c r="B96" s="32">
        <v>2025</v>
      </c>
      <c r="C96" s="46" t="s">
        <v>263</v>
      </c>
      <c r="D96" s="46" t="s">
        <v>70</v>
      </c>
      <c r="E96" s="47" t="s">
        <v>71</v>
      </c>
      <c r="F96" s="46" t="s">
        <v>36</v>
      </c>
      <c r="G96" s="34">
        <v>0</v>
      </c>
      <c r="H96" s="34">
        <v>41</v>
      </c>
      <c r="I96" s="34">
        <f>IFERROR(ROUND('Data Bulanan'!EC23,0),0)</f>
        <v>36875</v>
      </c>
      <c r="J96" s="34">
        <v>6751256</v>
      </c>
      <c r="K96" s="34">
        <v>218903</v>
      </c>
      <c r="L96" s="35">
        <f t="shared" si="6"/>
        <v>1508</v>
      </c>
      <c r="M96" s="36">
        <f>IFERROR(AVERAGE('Data Bulanan'!DF23,'Data Bulanan'!DH23,'Data Bulanan'!DJ23,'Data Bulanan'!DL23,'Data Bulanan'!DN23,'Data Bulanan'!DP23,'Data Bulanan'!DR23,'Data Bulanan'!DT23,'Data Bulanan'!DV23,'Data Bulanan'!DX23,'Data Bulanan'!DZ23,'Data Bulanan'!EB23),0)</f>
        <v>98.265591397849462</v>
      </c>
      <c r="N96" s="37">
        <f>'Data Bulanan'!ED23</f>
        <v>21.21242829126663</v>
      </c>
      <c r="O96" s="38">
        <f t="shared" si="7"/>
        <v>135.82581372661562</v>
      </c>
      <c r="P96" s="39">
        <f t="shared" si="8"/>
        <v>224</v>
      </c>
      <c r="Q96" s="40">
        <f t="shared" si="9"/>
        <v>4253</v>
      </c>
      <c r="R96" s="41">
        <f t="shared" si="10"/>
        <v>-4253</v>
      </c>
      <c r="S96" s="42" t="str">
        <f t="shared" si="11"/>
        <v>Stockout ⚠</v>
      </c>
      <c r="T96" s="43">
        <f>IFERROR(N96/AVERAGE(M92:M96),0)</f>
        <v>0.24556089408105158</v>
      </c>
      <c r="U96" s="44">
        <v>2123.0700000000002</v>
      </c>
      <c r="V96" s="45">
        <v>0.69389999999999996</v>
      </c>
    </row>
    <row r="97" spans="1:22" ht="15" customHeight="1" x14ac:dyDescent="0.35">
      <c r="A97" s="31">
        <v>1</v>
      </c>
      <c r="B97" s="32">
        <v>2021</v>
      </c>
      <c r="C97" s="31" t="s">
        <v>264</v>
      </c>
      <c r="D97" s="31" t="s">
        <v>72</v>
      </c>
      <c r="E97" s="33" t="s">
        <v>73</v>
      </c>
      <c r="F97" s="31" t="s">
        <v>36</v>
      </c>
      <c r="G97" s="34">
        <v>88</v>
      </c>
      <c r="H97" s="34">
        <v>7</v>
      </c>
      <c r="I97" s="34">
        <f>IFERROR(ROUND('Data Bulanan'!AC24,0),0)</f>
        <v>4485</v>
      </c>
      <c r="J97" s="34">
        <v>1719414</v>
      </c>
      <c r="K97" s="34">
        <v>450759</v>
      </c>
      <c r="L97" s="35">
        <f t="shared" si="6"/>
        <v>185</v>
      </c>
      <c r="M97" s="36">
        <f>IFERROR(AVERAGE('Data Bulanan'!F24,'Data Bulanan'!H24,'Data Bulanan'!J24,'Data Bulanan'!L24,'Data Bulanan'!N24,'Data Bulanan'!P24,'Data Bulanan'!R24,'Data Bulanan'!T24,'Data Bulanan'!V24,'Data Bulanan'!X24,'Data Bulanan'!Z24,'Data Bulanan'!AB24),0)</f>
        <v>11.922587045570916</v>
      </c>
      <c r="N97" s="37">
        <f>'Data Bulanan'!AD24</f>
        <v>2.5533263843227618</v>
      </c>
      <c r="O97" s="38">
        <f t="shared" si="7"/>
        <v>6.7554666288977581</v>
      </c>
      <c r="P97" s="39">
        <f t="shared" si="8"/>
        <v>11</v>
      </c>
      <c r="Q97" s="40">
        <f t="shared" si="9"/>
        <v>94</v>
      </c>
      <c r="R97" s="41">
        <f t="shared" si="10"/>
        <v>-6</v>
      </c>
      <c r="S97" s="42" t="str">
        <f t="shared" si="11"/>
        <v>Reorder 🔄</v>
      </c>
      <c r="T97" s="43">
        <f>IFERROR(N97/AVERAGE(M97:M101),0)</f>
        <v>0.20942018490851355</v>
      </c>
      <c r="U97" s="44">
        <v>55.74</v>
      </c>
      <c r="V97" s="45">
        <v>0.1792</v>
      </c>
    </row>
    <row r="98" spans="1:22" ht="15" customHeight="1" x14ac:dyDescent="0.35">
      <c r="A98" s="31">
        <v>2</v>
      </c>
      <c r="B98" s="32">
        <v>2022</v>
      </c>
      <c r="C98" s="31" t="s">
        <v>264</v>
      </c>
      <c r="D98" s="31" t="s">
        <v>72</v>
      </c>
      <c r="E98" s="33" t="s">
        <v>73</v>
      </c>
      <c r="F98" s="31" t="s">
        <v>36</v>
      </c>
      <c r="G98" s="34">
        <v>145</v>
      </c>
      <c r="H98" s="34">
        <v>7</v>
      </c>
      <c r="I98" s="34">
        <f>IFERROR(ROUND('Data Bulanan'!BC24,0),0)</f>
        <v>4703</v>
      </c>
      <c r="J98" s="34">
        <v>1758036</v>
      </c>
      <c r="K98" s="34">
        <v>454991</v>
      </c>
      <c r="L98" s="35">
        <f t="shared" si="6"/>
        <v>191</v>
      </c>
      <c r="M98" s="36">
        <f>IFERROR(AVERAGE('Data Bulanan'!AF24,'Data Bulanan'!AH24,'Data Bulanan'!AJ24,'Data Bulanan'!AL24,'Data Bulanan'!AN24,'Data Bulanan'!AP24,'Data Bulanan'!AR24,'Data Bulanan'!AT24,'Data Bulanan'!AV24,'Data Bulanan'!AX24,'Data Bulanan'!AZ24,'Data Bulanan'!BB24),0)</f>
        <v>12.490226574500767</v>
      </c>
      <c r="N98" s="37">
        <f>'Data Bulanan'!BD24</f>
        <v>2.6546208856493063</v>
      </c>
      <c r="O98" s="38">
        <f t="shared" si="7"/>
        <v>7.0234666885860975</v>
      </c>
      <c r="P98" s="39">
        <f t="shared" si="8"/>
        <v>12</v>
      </c>
      <c r="Q98" s="40">
        <f t="shared" si="9"/>
        <v>99</v>
      </c>
      <c r="R98" s="41">
        <f t="shared" si="10"/>
        <v>46</v>
      </c>
      <c r="S98" s="42" t="str">
        <f t="shared" si="11"/>
        <v>Aman ✅</v>
      </c>
      <c r="T98" s="43">
        <f>IFERROR(N98/AVERAGE(M97:M101),0)</f>
        <v>0.2177282152990925</v>
      </c>
      <c r="U98" s="44">
        <v>55.74</v>
      </c>
      <c r="V98" s="45">
        <v>0.1792</v>
      </c>
    </row>
    <row r="99" spans="1:22" ht="15" customHeight="1" x14ac:dyDescent="0.35">
      <c r="A99" s="31">
        <v>3</v>
      </c>
      <c r="B99" s="32">
        <v>2023</v>
      </c>
      <c r="C99" s="31" t="s">
        <v>264</v>
      </c>
      <c r="D99" s="31" t="s">
        <v>72</v>
      </c>
      <c r="E99" s="33" t="s">
        <v>73</v>
      </c>
      <c r="F99" s="31" t="s">
        <v>36</v>
      </c>
      <c r="G99" s="34">
        <v>162</v>
      </c>
      <c r="H99" s="34">
        <v>7</v>
      </c>
      <c r="I99" s="34">
        <f>IFERROR(ROUND('Data Bulanan'!CC24,0),0)</f>
        <v>4387</v>
      </c>
      <c r="J99" s="34">
        <v>1632465</v>
      </c>
      <c r="K99" s="34">
        <v>479632</v>
      </c>
      <c r="L99" s="35">
        <f t="shared" si="6"/>
        <v>173</v>
      </c>
      <c r="M99" s="36">
        <f>IFERROR(AVERAGE('Data Bulanan'!BF24,'Data Bulanan'!BH24,'Data Bulanan'!BJ24,'Data Bulanan'!BL24,'Data Bulanan'!BN24,'Data Bulanan'!BP24,'Data Bulanan'!BR24,'Data Bulanan'!BT24,'Data Bulanan'!BV24,'Data Bulanan'!BX24,'Data Bulanan'!BZ24,'Data Bulanan'!CB24),0)</f>
        <v>11.69883512544803</v>
      </c>
      <c r="N99" s="37">
        <f>'Data Bulanan'!CD24</f>
        <v>2.6562307803479253</v>
      </c>
      <c r="O99" s="38">
        <f t="shared" si="7"/>
        <v>7.0277260695956443</v>
      </c>
      <c r="P99" s="39">
        <f t="shared" si="8"/>
        <v>12</v>
      </c>
      <c r="Q99" s="40">
        <f t="shared" si="9"/>
        <v>94</v>
      </c>
      <c r="R99" s="41">
        <f t="shared" si="10"/>
        <v>68</v>
      </c>
      <c r="S99" s="42" t="str">
        <f t="shared" si="11"/>
        <v>Aman ✅</v>
      </c>
      <c r="T99" s="43">
        <f>IFERROR(N99/AVERAGE(M97:M101),0)</f>
        <v>0.21786025656398447</v>
      </c>
      <c r="U99" s="44">
        <v>55.74</v>
      </c>
      <c r="V99" s="45">
        <v>0.1792</v>
      </c>
    </row>
    <row r="100" spans="1:22" ht="15" customHeight="1" x14ac:dyDescent="0.35">
      <c r="A100" s="31">
        <v>4</v>
      </c>
      <c r="B100" s="32">
        <v>2024</v>
      </c>
      <c r="C100" s="31" t="s">
        <v>264</v>
      </c>
      <c r="D100" s="31" t="s">
        <v>72</v>
      </c>
      <c r="E100" s="33" t="s">
        <v>73</v>
      </c>
      <c r="F100" s="31" t="s">
        <v>36</v>
      </c>
      <c r="G100" s="34">
        <v>0</v>
      </c>
      <c r="H100" s="34">
        <v>7</v>
      </c>
      <c r="I100" s="34">
        <f>IFERROR(ROUND('Data Bulanan'!DC24,0),0)</f>
        <v>4452</v>
      </c>
      <c r="J100" s="34">
        <v>1829425</v>
      </c>
      <c r="K100" s="34">
        <v>489460</v>
      </c>
      <c r="L100" s="35">
        <f t="shared" si="6"/>
        <v>182</v>
      </c>
      <c r="M100" s="36">
        <f>IFERROR(AVERAGE('Data Bulanan'!CF24,'Data Bulanan'!CH24,'Data Bulanan'!CJ24,'Data Bulanan'!CL24,'Data Bulanan'!CN24,'Data Bulanan'!CP24,'Data Bulanan'!CR24,'Data Bulanan'!CT24,'Data Bulanan'!CV24,'Data Bulanan'!CX24,'Data Bulanan'!CZ24,'Data Bulanan'!DB24),0)</f>
        <v>11.870916538658475</v>
      </c>
      <c r="N100" s="37">
        <f>'Data Bulanan'!DD24</f>
        <v>2.3272761336605625</v>
      </c>
      <c r="O100" s="38">
        <f t="shared" si="7"/>
        <v>6.1573938818417648</v>
      </c>
      <c r="P100" s="39">
        <f t="shared" si="8"/>
        <v>10</v>
      </c>
      <c r="Q100" s="40">
        <f t="shared" si="9"/>
        <v>93</v>
      </c>
      <c r="R100" s="41">
        <f t="shared" si="10"/>
        <v>-93</v>
      </c>
      <c r="S100" s="42" t="str">
        <f t="shared" si="11"/>
        <v>Stockout ⚠</v>
      </c>
      <c r="T100" s="43">
        <f>IFERROR(N100/AVERAGE(M97:M101),0)</f>
        <v>0.190879866058971</v>
      </c>
      <c r="U100" s="44">
        <v>55.74</v>
      </c>
      <c r="V100" s="45">
        <v>0.1792</v>
      </c>
    </row>
    <row r="101" spans="1:22" ht="15" customHeight="1" x14ac:dyDescent="0.35">
      <c r="A101" s="31">
        <v>5</v>
      </c>
      <c r="B101" s="32">
        <v>2025</v>
      </c>
      <c r="C101" s="31" t="s">
        <v>264</v>
      </c>
      <c r="D101" s="31" t="s">
        <v>72</v>
      </c>
      <c r="E101" s="33" t="s">
        <v>73</v>
      </c>
      <c r="F101" s="31" t="s">
        <v>36</v>
      </c>
      <c r="G101" s="34">
        <v>0</v>
      </c>
      <c r="H101" s="34">
        <v>7</v>
      </c>
      <c r="I101" s="34">
        <f>IFERROR(ROUND('Data Bulanan'!EC24,0),0)</f>
        <v>4889</v>
      </c>
      <c r="J101" s="34">
        <v>1620623</v>
      </c>
      <c r="K101" s="34">
        <v>506153</v>
      </c>
      <c r="L101" s="35">
        <f t="shared" si="6"/>
        <v>177</v>
      </c>
      <c r="M101" s="36">
        <f>IFERROR(AVERAGE('Data Bulanan'!DF24,'Data Bulanan'!DH24,'Data Bulanan'!DJ24,'Data Bulanan'!DL24,'Data Bulanan'!DN24,'Data Bulanan'!DP24,'Data Bulanan'!DR24,'Data Bulanan'!DT24,'Data Bulanan'!DV24,'Data Bulanan'!DX24,'Data Bulanan'!DZ24,'Data Bulanan'!EB24),0)</f>
        <v>12.979237071172557</v>
      </c>
      <c r="N101" s="37">
        <f>'Data Bulanan'!ED24</f>
        <v>3.057576756009321</v>
      </c>
      <c r="O101" s="38">
        <f t="shared" si="7"/>
        <v>8.08958771089228</v>
      </c>
      <c r="P101" s="39">
        <f t="shared" si="8"/>
        <v>13</v>
      </c>
      <c r="Q101" s="40">
        <f t="shared" si="9"/>
        <v>104</v>
      </c>
      <c r="R101" s="41">
        <f t="shared" si="10"/>
        <v>-104</v>
      </c>
      <c r="S101" s="42" t="str">
        <f t="shared" si="11"/>
        <v>Stockout ⚠</v>
      </c>
      <c r="T101" s="43">
        <f>IFERROR(N101/AVERAGE(M97:M101),0)</f>
        <v>0.25077808052544814</v>
      </c>
      <c r="U101" s="44">
        <v>55.74</v>
      </c>
      <c r="V101" s="45">
        <v>0.1792</v>
      </c>
    </row>
    <row r="102" spans="1:22" ht="15" customHeight="1" x14ac:dyDescent="0.35">
      <c r="A102" s="46">
        <v>1</v>
      </c>
      <c r="B102" s="32">
        <v>2021</v>
      </c>
      <c r="C102" s="46" t="s">
        <v>264</v>
      </c>
      <c r="D102" s="46" t="s">
        <v>74</v>
      </c>
      <c r="E102" s="47" t="s">
        <v>75</v>
      </c>
      <c r="F102" s="46" t="s">
        <v>36</v>
      </c>
      <c r="G102" s="34">
        <v>278</v>
      </c>
      <c r="H102" s="34">
        <v>11</v>
      </c>
      <c r="I102" s="34">
        <f>IFERROR(ROUND('Data Bulanan'!AC25,0),0)</f>
        <v>1920</v>
      </c>
      <c r="J102" s="34">
        <v>2254839</v>
      </c>
      <c r="K102" s="34">
        <v>249036</v>
      </c>
      <c r="L102" s="35">
        <f t="shared" si="6"/>
        <v>186</v>
      </c>
      <c r="M102" s="36">
        <f>IFERROR(AVERAGE('Data Bulanan'!F25,'Data Bulanan'!H25,'Data Bulanan'!J25,'Data Bulanan'!L25,'Data Bulanan'!N25,'Data Bulanan'!P25,'Data Bulanan'!R25,'Data Bulanan'!T25,'Data Bulanan'!V25,'Data Bulanan'!X25,'Data Bulanan'!Z25,'Data Bulanan'!AB25),0)</f>
        <v>5.1014720942140306</v>
      </c>
      <c r="N102" s="37">
        <f>'Data Bulanan'!AD25</f>
        <v>1.0831831892971391</v>
      </c>
      <c r="O102" s="38">
        <f t="shared" si="7"/>
        <v>3.5925122181191171</v>
      </c>
      <c r="P102" s="39">
        <f t="shared" si="8"/>
        <v>6</v>
      </c>
      <c r="Q102" s="40">
        <f t="shared" si="9"/>
        <v>62</v>
      </c>
      <c r="R102" s="41">
        <f t="shared" si="10"/>
        <v>216</v>
      </c>
      <c r="S102" s="42" t="str">
        <f t="shared" si="11"/>
        <v>Overstock 📦</v>
      </c>
      <c r="T102" s="43">
        <f>IFERROR(N102/AVERAGE(M102:M106),0)</f>
        <v>0.18330247703395824</v>
      </c>
      <c r="U102" s="44">
        <v>79.2</v>
      </c>
      <c r="V102" s="45">
        <v>0.3402</v>
      </c>
    </row>
    <row r="103" spans="1:22" ht="15" customHeight="1" x14ac:dyDescent="0.35">
      <c r="A103" s="46">
        <v>2</v>
      </c>
      <c r="B103" s="32">
        <v>2022</v>
      </c>
      <c r="C103" s="46" t="s">
        <v>264</v>
      </c>
      <c r="D103" s="46" t="s">
        <v>74</v>
      </c>
      <c r="E103" s="47" t="s">
        <v>75</v>
      </c>
      <c r="F103" s="46" t="s">
        <v>36</v>
      </c>
      <c r="G103" s="34">
        <v>168</v>
      </c>
      <c r="H103" s="34">
        <v>11</v>
      </c>
      <c r="I103" s="34">
        <f>IFERROR(ROUND('Data Bulanan'!BC25,0),0)</f>
        <v>2383</v>
      </c>
      <c r="J103" s="34">
        <v>2071936</v>
      </c>
      <c r="K103" s="34">
        <v>240856</v>
      </c>
      <c r="L103" s="35">
        <f t="shared" si="6"/>
        <v>202</v>
      </c>
      <c r="M103" s="36">
        <f>IFERROR(AVERAGE('Data Bulanan'!AF25,'Data Bulanan'!AH25,'Data Bulanan'!AJ25,'Data Bulanan'!AL25,'Data Bulanan'!AN25,'Data Bulanan'!AP25,'Data Bulanan'!AR25,'Data Bulanan'!AT25,'Data Bulanan'!AV25,'Data Bulanan'!AX25,'Data Bulanan'!AZ25,'Data Bulanan'!BB25),0)</f>
        <v>6.3337557603686641</v>
      </c>
      <c r="N103" s="37">
        <f>'Data Bulanan'!BD25</f>
        <v>1.0034253282747674</v>
      </c>
      <c r="O103" s="38">
        <f t="shared" si="7"/>
        <v>3.3279853190265984</v>
      </c>
      <c r="P103" s="39">
        <f t="shared" si="8"/>
        <v>5</v>
      </c>
      <c r="Q103" s="40">
        <f t="shared" si="9"/>
        <v>75</v>
      </c>
      <c r="R103" s="41">
        <f t="shared" si="10"/>
        <v>93</v>
      </c>
      <c r="S103" s="42" t="str">
        <f t="shared" si="11"/>
        <v>Aman ✅</v>
      </c>
      <c r="T103" s="43">
        <f>IFERROR(N103/AVERAGE(M102:M106),0)</f>
        <v>0.16980539396177957</v>
      </c>
      <c r="U103" s="44">
        <v>79.2</v>
      </c>
      <c r="V103" s="45">
        <v>0.3402</v>
      </c>
    </row>
    <row r="104" spans="1:22" ht="15" customHeight="1" x14ac:dyDescent="0.35">
      <c r="A104" s="46">
        <v>3</v>
      </c>
      <c r="B104" s="32">
        <v>2023</v>
      </c>
      <c r="C104" s="46" t="s">
        <v>264</v>
      </c>
      <c r="D104" s="46" t="s">
        <v>74</v>
      </c>
      <c r="E104" s="47" t="s">
        <v>75</v>
      </c>
      <c r="F104" s="46" t="s">
        <v>36</v>
      </c>
      <c r="G104" s="34">
        <v>545</v>
      </c>
      <c r="H104" s="34">
        <v>11</v>
      </c>
      <c r="I104" s="34">
        <f>IFERROR(ROUND('Data Bulanan'!CC25,0),0)</f>
        <v>2246</v>
      </c>
      <c r="J104" s="34">
        <v>2371455</v>
      </c>
      <c r="K104" s="34">
        <v>270828</v>
      </c>
      <c r="L104" s="35">
        <f t="shared" si="6"/>
        <v>198</v>
      </c>
      <c r="M104" s="36">
        <f>IFERROR(AVERAGE('Data Bulanan'!BF25,'Data Bulanan'!BH25,'Data Bulanan'!BJ25,'Data Bulanan'!BL25,'Data Bulanan'!BN25,'Data Bulanan'!BP25,'Data Bulanan'!BR25,'Data Bulanan'!BT25,'Data Bulanan'!BV25,'Data Bulanan'!BX25,'Data Bulanan'!BZ25,'Data Bulanan'!CB25),0)</f>
        <v>5.9718958013312857</v>
      </c>
      <c r="N104" s="37">
        <f>'Data Bulanan'!CD25</f>
        <v>1.3768274429148886</v>
      </c>
      <c r="O104" s="38">
        <f t="shared" si="7"/>
        <v>4.5664200292131536</v>
      </c>
      <c r="P104" s="39">
        <f t="shared" si="8"/>
        <v>8</v>
      </c>
      <c r="Q104" s="40">
        <f t="shared" si="9"/>
        <v>74</v>
      </c>
      <c r="R104" s="41">
        <f t="shared" si="10"/>
        <v>471</v>
      </c>
      <c r="S104" s="42" t="str">
        <f t="shared" si="11"/>
        <v>Overstock 📦</v>
      </c>
      <c r="T104" s="43">
        <f>IFERROR(N104/AVERAGE(M102:M106),0)</f>
        <v>0.23299464322225369</v>
      </c>
      <c r="U104" s="44">
        <v>79.2</v>
      </c>
      <c r="V104" s="45">
        <v>0.3402</v>
      </c>
    </row>
    <row r="105" spans="1:22" ht="15" customHeight="1" x14ac:dyDescent="0.35">
      <c r="A105" s="46">
        <v>4</v>
      </c>
      <c r="B105" s="32">
        <v>2024</v>
      </c>
      <c r="C105" s="46" t="s">
        <v>264</v>
      </c>
      <c r="D105" s="46" t="s">
        <v>74</v>
      </c>
      <c r="E105" s="47" t="s">
        <v>75</v>
      </c>
      <c r="F105" s="46" t="s">
        <v>36</v>
      </c>
      <c r="G105" s="34">
        <v>165</v>
      </c>
      <c r="H105" s="34">
        <v>11</v>
      </c>
      <c r="I105" s="34">
        <f>IFERROR(ROUND('Data Bulanan'!DC25,0),0)</f>
        <v>2107</v>
      </c>
      <c r="J105" s="34">
        <v>2334915</v>
      </c>
      <c r="K105" s="34">
        <v>257883</v>
      </c>
      <c r="L105" s="35">
        <f t="shared" si="6"/>
        <v>195</v>
      </c>
      <c r="M105" s="36">
        <f>IFERROR(AVERAGE('Data Bulanan'!CF25,'Data Bulanan'!CH25,'Data Bulanan'!CJ25,'Data Bulanan'!CL25,'Data Bulanan'!CN25,'Data Bulanan'!CP25,'Data Bulanan'!CR25,'Data Bulanan'!CT25,'Data Bulanan'!CV25,'Data Bulanan'!CX25,'Data Bulanan'!CZ25,'Data Bulanan'!DB25),0)</f>
        <v>5.6101766513056832</v>
      </c>
      <c r="N105" s="37">
        <f>'Data Bulanan'!DD25</f>
        <v>1.5797174313406659</v>
      </c>
      <c r="O105" s="38">
        <f t="shared" si="7"/>
        <v>5.2393299945410066</v>
      </c>
      <c r="P105" s="39">
        <f t="shared" si="8"/>
        <v>9</v>
      </c>
      <c r="Q105" s="40">
        <f t="shared" si="9"/>
        <v>71</v>
      </c>
      <c r="R105" s="41">
        <f t="shared" si="10"/>
        <v>94</v>
      </c>
      <c r="S105" s="42" t="str">
        <f t="shared" si="11"/>
        <v>Aman ✅</v>
      </c>
      <c r="T105" s="43">
        <f>IFERROR(N105/AVERAGE(M102:M106),0)</f>
        <v>0.26732885170269388</v>
      </c>
      <c r="U105" s="44">
        <v>79.2</v>
      </c>
      <c r="V105" s="45">
        <v>0.3402</v>
      </c>
    </row>
    <row r="106" spans="1:22" ht="15" customHeight="1" x14ac:dyDescent="0.35">
      <c r="A106" s="46">
        <v>5</v>
      </c>
      <c r="B106" s="32">
        <v>2025</v>
      </c>
      <c r="C106" s="46" t="s">
        <v>264</v>
      </c>
      <c r="D106" s="46" t="s">
        <v>74</v>
      </c>
      <c r="E106" s="47" t="s">
        <v>75</v>
      </c>
      <c r="F106" s="46" t="s">
        <v>36</v>
      </c>
      <c r="G106" s="34">
        <v>152</v>
      </c>
      <c r="H106" s="34">
        <v>11</v>
      </c>
      <c r="I106" s="34">
        <f>IFERROR(ROUND('Data Bulanan'!EC25,0),0)</f>
        <v>2454</v>
      </c>
      <c r="J106" s="34">
        <v>2118374</v>
      </c>
      <c r="K106" s="34">
        <v>261743</v>
      </c>
      <c r="L106" s="35">
        <f t="shared" si="6"/>
        <v>199</v>
      </c>
      <c r="M106" s="36">
        <f>IFERROR(AVERAGE('Data Bulanan'!DF25,'Data Bulanan'!DH25,'Data Bulanan'!DJ25,'Data Bulanan'!DL25,'Data Bulanan'!DN25,'Data Bulanan'!DP25,'Data Bulanan'!DR25,'Data Bulanan'!DT25,'Data Bulanan'!DV25,'Data Bulanan'!DX25,'Data Bulanan'!DZ25,'Data Bulanan'!EB25),0)</f>
        <v>6.5290322580645155</v>
      </c>
      <c r="N106" s="37">
        <f>'Data Bulanan'!ED25</f>
        <v>1.6196606571502608</v>
      </c>
      <c r="O106" s="38">
        <f t="shared" si="7"/>
        <v>5.3718066874678723</v>
      </c>
      <c r="P106" s="39">
        <f t="shared" si="8"/>
        <v>9</v>
      </c>
      <c r="Q106" s="40">
        <f t="shared" si="9"/>
        <v>81</v>
      </c>
      <c r="R106" s="41">
        <f t="shared" si="10"/>
        <v>71</v>
      </c>
      <c r="S106" s="42" t="str">
        <f t="shared" si="11"/>
        <v>Aman ✅</v>
      </c>
      <c r="T106" s="43">
        <f>IFERROR(N106/AVERAGE(M102:M106),0)</f>
        <v>0.274088273658251</v>
      </c>
      <c r="U106" s="44">
        <v>79.2</v>
      </c>
      <c r="V106" s="45">
        <v>0.3402</v>
      </c>
    </row>
    <row r="107" spans="1:22" ht="15" customHeight="1" x14ac:dyDescent="0.35">
      <c r="A107" s="31">
        <v>1</v>
      </c>
      <c r="B107" s="32">
        <v>2021</v>
      </c>
      <c r="C107" s="31" t="s">
        <v>264</v>
      </c>
      <c r="D107" s="31" t="s">
        <v>76</v>
      </c>
      <c r="E107" s="33" t="s">
        <v>77</v>
      </c>
      <c r="F107" s="31" t="s">
        <v>36</v>
      </c>
      <c r="G107" s="34">
        <v>933</v>
      </c>
      <c r="H107" s="34">
        <v>31</v>
      </c>
      <c r="I107" s="34">
        <f>IFERROR(ROUND('Data Bulanan'!AC26,0),0)</f>
        <v>4044</v>
      </c>
      <c r="J107" s="34">
        <v>11265647</v>
      </c>
      <c r="K107" s="34">
        <v>547163</v>
      </c>
      <c r="L107" s="35">
        <f t="shared" si="6"/>
        <v>408</v>
      </c>
      <c r="M107" s="36">
        <f>IFERROR(AVERAGE('Data Bulanan'!F26,'Data Bulanan'!H26,'Data Bulanan'!J26,'Data Bulanan'!L26,'Data Bulanan'!N26,'Data Bulanan'!P26,'Data Bulanan'!R26,'Data Bulanan'!T26,'Data Bulanan'!V26,'Data Bulanan'!X26,'Data Bulanan'!Z26,'Data Bulanan'!AB26),0)</f>
        <v>10.741685867895546</v>
      </c>
      <c r="N107" s="37">
        <f>'Data Bulanan'!AD26</f>
        <v>1.7353653665265045</v>
      </c>
      <c r="O107" s="38">
        <f t="shared" si="7"/>
        <v>9.6621054442357295</v>
      </c>
      <c r="P107" s="39">
        <f t="shared" si="8"/>
        <v>16</v>
      </c>
      <c r="Q107" s="40">
        <f t="shared" si="9"/>
        <v>349</v>
      </c>
      <c r="R107" s="41">
        <f t="shared" si="10"/>
        <v>584</v>
      </c>
      <c r="S107" s="42" t="str">
        <f t="shared" si="11"/>
        <v>Overstock 📦</v>
      </c>
      <c r="T107" s="43">
        <f>IFERROR(N107/AVERAGE(M107:M111),0)</f>
        <v>0.1668620133973471</v>
      </c>
      <c r="U107" s="44">
        <v>-131.47</v>
      </c>
      <c r="V107" s="45">
        <v>0.66269999999999996</v>
      </c>
    </row>
    <row r="108" spans="1:22" ht="15" customHeight="1" x14ac:dyDescent="0.35">
      <c r="A108" s="31">
        <v>2</v>
      </c>
      <c r="B108" s="32">
        <v>2022</v>
      </c>
      <c r="C108" s="31" t="s">
        <v>264</v>
      </c>
      <c r="D108" s="31" t="s">
        <v>76</v>
      </c>
      <c r="E108" s="33" t="s">
        <v>77</v>
      </c>
      <c r="F108" s="31" t="s">
        <v>36</v>
      </c>
      <c r="G108" s="34">
        <v>1274</v>
      </c>
      <c r="H108" s="34">
        <v>31</v>
      </c>
      <c r="I108" s="34">
        <f>IFERROR(ROUND('Data Bulanan'!BC26,0),0)</f>
        <v>4070</v>
      </c>
      <c r="J108" s="34">
        <v>11008443</v>
      </c>
      <c r="K108" s="34">
        <v>507919</v>
      </c>
      <c r="L108" s="35">
        <f t="shared" si="6"/>
        <v>420</v>
      </c>
      <c r="M108" s="36">
        <f>IFERROR(AVERAGE('Data Bulanan'!AF26,'Data Bulanan'!AH26,'Data Bulanan'!AJ26,'Data Bulanan'!AL26,'Data Bulanan'!AN26,'Data Bulanan'!AP26,'Data Bulanan'!AR26,'Data Bulanan'!AT26,'Data Bulanan'!AV26,'Data Bulanan'!AX26,'Data Bulanan'!AZ26,'Data Bulanan'!BB26),0)</f>
        <v>10.816257040450589</v>
      </c>
      <c r="N108" s="37">
        <f>'Data Bulanan'!BD26</f>
        <v>2.390150552850236</v>
      </c>
      <c r="O108" s="38">
        <f t="shared" si="7"/>
        <v>13.307795069958019</v>
      </c>
      <c r="P108" s="39">
        <f t="shared" si="8"/>
        <v>22</v>
      </c>
      <c r="Q108" s="40">
        <f t="shared" si="9"/>
        <v>357</v>
      </c>
      <c r="R108" s="41">
        <f t="shared" si="10"/>
        <v>917</v>
      </c>
      <c r="S108" s="42" t="str">
        <f t="shared" si="11"/>
        <v>Overstock 📦</v>
      </c>
      <c r="T108" s="43">
        <f>IFERROR(N108/AVERAGE(M107:M111),0)</f>
        <v>0.22982211196807434</v>
      </c>
      <c r="U108" s="44">
        <v>-131.47</v>
      </c>
      <c r="V108" s="45">
        <v>0.66269999999999996</v>
      </c>
    </row>
    <row r="109" spans="1:22" ht="15" customHeight="1" x14ac:dyDescent="0.35">
      <c r="A109" s="31">
        <v>3</v>
      </c>
      <c r="B109" s="32">
        <v>2023</v>
      </c>
      <c r="C109" s="31" t="s">
        <v>264</v>
      </c>
      <c r="D109" s="31" t="s">
        <v>76</v>
      </c>
      <c r="E109" s="33" t="s">
        <v>77</v>
      </c>
      <c r="F109" s="31" t="s">
        <v>36</v>
      </c>
      <c r="G109" s="34">
        <v>793</v>
      </c>
      <c r="H109" s="34">
        <v>31</v>
      </c>
      <c r="I109" s="34">
        <f>IFERROR(ROUND('Data Bulanan'!CC26,0),0)</f>
        <v>4068</v>
      </c>
      <c r="J109" s="34">
        <v>10128191</v>
      </c>
      <c r="K109" s="34">
        <v>577988</v>
      </c>
      <c r="L109" s="35">
        <f t="shared" si="6"/>
        <v>378</v>
      </c>
      <c r="M109" s="36">
        <f>IFERROR(AVERAGE('Data Bulanan'!BF26,'Data Bulanan'!BH26,'Data Bulanan'!BJ26,'Data Bulanan'!BL26,'Data Bulanan'!BN26,'Data Bulanan'!BP26,'Data Bulanan'!BR26,'Data Bulanan'!BT26,'Data Bulanan'!BV26,'Data Bulanan'!BX26,'Data Bulanan'!BZ26,'Data Bulanan'!CB26),0)</f>
        <v>10.815969022017407</v>
      </c>
      <c r="N109" s="37">
        <f>'Data Bulanan'!CD26</f>
        <v>1.6328584356185398</v>
      </c>
      <c r="O109" s="38">
        <f t="shared" si="7"/>
        <v>9.0913710073832856</v>
      </c>
      <c r="P109" s="39">
        <f t="shared" si="8"/>
        <v>15</v>
      </c>
      <c r="Q109" s="40">
        <f t="shared" si="9"/>
        <v>350</v>
      </c>
      <c r="R109" s="41">
        <f t="shared" si="10"/>
        <v>443</v>
      </c>
      <c r="S109" s="42" t="str">
        <f t="shared" si="11"/>
        <v>Overstock 📦</v>
      </c>
      <c r="T109" s="43">
        <f>IFERROR(N109/AVERAGE(M107:M111),0)</f>
        <v>0.15700558015947397</v>
      </c>
      <c r="U109" s="44">
        <v>-131.47</v>
      </c>
      <c r="V109" s="45">
        <v>0.66269999999999996</v>
      </c>
    </row>
    <row r="110" spans="1:22" ht="15" customHeight="1" x14ac:dyDescent="0.35">
      <c r="A110" s="31">
        <v>4</v>
      </c>
      <c r="B110" s="32">
        <v>2024</v>
      </c>
      <c r="C110" s="31" t="s">
        <v>264</v>
      </c>
      <c r="D110" s="31" t="s">
        <v>76</v>
      </c>
      <c r="E110" s="33" t="s">
        <v>77</v>
      </c>
      <c r="F110" s="31" t="s">
        <v>36</v>
      </c>
      <c r="G110" s="34">
        <v>0</v>
      </c>
      <c r="H110" s="34">
        <v>31</v>
      </c>
      <c r="I110" s="34">
        <f>IFERROR(ROUND('Data Bulanan'!DC26,0),0)</f>
        <v>3901</v>
      </c>
      <c r="J110" s="34">
        <v>10808298</v>
      </c>
      <c r="K110" s="34">
        <v>543202</v>
      </c>
      <c r="L110" s="35">
        <f t="shared" si="6"/>
        <v>394</v>
      </c>
      <c r="M110" s="36">
        <f>IFERROR(AVERAGE('Data Bulanan'!CF26,'Data Bulanan'!CH26,'Data Bulanan'!CJ26,'Data Bulanan'!CL26,'Data Bulanan'!CN26,'Data Bulanan'!CP26,'Data Bulanan'!CR26,'Data Bulanan'!CT26,'Data Bulanan'!CV26,'Data Bulanan'!CX26,'Data Bulanan'!CZ26,'Data Bulanan'!DB26),0)</f>
        <v>10.389522529441885</v>
      </c>
      <c r="N110" s="37">
        <f>'Data Bulanan'!DD26</f>
        <v>2.6255688252108431</v>
      </c>
      <c r="O110" s="38">
        <f t="shared" si="7"/>
        <v>14.618548537166419</v>
      </c>
      <c r="P110" s="39">
        <f t="shared" si="8"/>
        <v>24</v>
      </c>
      <c r="Q110" s="40">
        <f t="shared" si="9"/>
        <v>346</v>
      </c>
      <c r="R110" s="41">
        <f t="shared" si="10"/>
        <v>-346</v>
      </c>
      <c r="S110" s="42" t="str">
        <f t="shared" si="11"/>
        <v>Stockout ⚠</v>
      </c>
      <c r="T110" s="43">
        <f>IFERROR(N110/AVERAGE(M107:M111),0)</f>
        <v>0.25245847873805499</v>
      </c>
      <c r="U110" s="44">
        <v>-131.47</v>
      </c>
      <c r="V110" s="45">
        <v>0.66269999999999996</v>
      </c>
    </row>
    <row r="111" spans="1:22" ht="15" customHeight="1" x14ac:dyDescent="0.35">
      <c r="A111" s="31">
        <v>5</v>
      </c>
      <c r="B111" s="32">
        <v>2025</v>
      </c>
      <c r="C111" s="31" t="s">
        <v>264</v>
      </c>
      <c r="D111" s="31" t="s">
        <v>76</v>
      </c>
      <c r="E111" s="33" t="s">
        <v>77</v>
      </c>
      <c r="F111" s="31" t="s">
        <v>36</v>
      </c>
      <c r="G111" s="34">
        <v>0</v>
      </c>
      <c r="H111" s="34">
        <v>31</v>
      </c>
      <c r="I111" s="34">
        <f>IFERROR(ROUND('Data Bulanan'!EC26,0),0)</f>
        <v>3472</v>
      </c>
      <c r="J111" s="34">
        <v>10683276</v>
      </c>
      <c r="K111" s="34">
        <v>582778</v>
      </c>
      <c r="L111" s="35">
        <f t="shared" si="6"/>
        <v>357</v>
      </c>
      <c r="M111" s="36">
        <f>IFERROR(AVERAGE('Data Bulanan'!DF26,'Data Bulanan'!DH26,'Data Bulanan'!DJ26,'Data Bulanan'!DL26,'Data Bulanan'!DN26,'Data Bulanan'!DP26,'Data Bulanan'!DR26,'Data Bulanan'!DT26,'Data Bulanan'!DV26,'Data Bulanan'!DX26,'Data Bulanan'!DZ26,'Data Bulanan'!EB26),0)</f>
        <v>9.2365783410138249</v>
      </c>
      <c r="N111" s="37">
        <f>'Data Bulanan'!ED26</f>
        <v>1.2733404500978995</v>
      </c>
      <c r="O111" s="38">
        <f t="shared" si="7"/>
        <v>7.0896595798050246</v>
      </c>
      <c r="P111" s="39">
        <f t="shared" si="8"/>
        <v>12</v>
      </c>
      <c r="Q111" s="40">
        <f t="shared" si="9"/>
        <v>298</v>
      </c>
      <c r="R111" s="41">
        <f t="shared" si="10"/>
        <v>-298</v>
      </c>
      <c r="S111" s="42" t="str">
        <f t="shared" si="11"/>
        <v>Stockout ⚠</v>
      </c>
      <c r="T111" s="43">
        <f>IFERROR(N111/AVERAGE(M107:M111),0)</f>
        <v>0.12243655160002559</v>
      </c>
      <c r="U111" s="44">
        <v>-131.47</v>
      </c>
      <c r="V111" s="45">
        <v>0.66269999999999996</v>
      </c>
    </row>
    <row r="112" spans="1:22" ht="15" customHeight="1" x14ac:dyDescent="0.35">
      <c r="A112" s="46">
        <v>1</v>
      </c>
      <c r="B112" s="32">
        <v>2021</v>
      </c>
      <c r="C112" s="46" t="s">
        <v>264</v>
      </c>
      <c r="D112" s="46" t="s">
        <v>78</v>
      </c>
      <c r="E112" s="47" t="s">
        <v>79</v>
      </c>
      <c r="F112" s="46" t="s">
        <v>36</v>
      </c>
      <c r="G112" s="34">
        <v>604</v>
      </c>
      <c r="H112" s="34">
        <v>8</v>
      </c>
      <c r="I112" s="34">
        <f>IFERROR(ROUND('Data Bulanan'!AC27,0),0)</f>
        <v>11821</v>
      </c>
      <c r="J112" s="34">
        <v>2334258</v>
      </c>
      <c r="K112" s="34">
        <v>519134</v>
      </c>
      <c r="L112" s="35">
        <f t="shared" si="6"/>
        <v>326</v>
      </c>
      <c r="M112" s="36">
        <f>IFERROR(AVERAGE('Data Bulanan'!F27,'Data Bulanan'!H27,'Data Bulanan'!J27,'Data Bulanan'!L27,'Data Bulanan'!N27,'Data Bulanan'!P27,'Data Bulanan'!R27,'Data Bulanan'!T27,'Data Bulanan'!V27,'Data Bulanan'!X27,'Data Bulanan'!Z27,'Data Bulanan'!AB27),0)</f>
        <v>31.453027393753199</v>
      </c>
      <c r="N112" s="37">
        <f>'Data Bulanan'!AD27</f>
        <v>7.1300082939595502</v>
      </c>
      <c r="O112" s="38">
        <f t="shared" si="7"/>
        <v>20.166708858300499</v>
      </c>
      <c r="P112" s="39">
        <f t="shared" si="8"/>
        <v>33</v>
      </c>
      <c r="Q112" s="40">
        <f t="shared" si="9"/>
        <v>285</v>
      </c>
      <c r="R112" s="41">
        <f t="shared" si="10"/>
        <v>319</v>
      </c>
      <c r="S112" s="42" t="str">
        <f t="shared" si="11"/>
        <v>Aman ✅</v>
      </c>
      <c r="T112" s="43">
        <f>IFERROR(N112/AVERAGE(M112:M116),0)</f>
        <v>0.20422834273051102</v>
      </c>
      <c r="U112" s="44">
        <v>-173.89</v>
      </c>
      <c r="V112" s="45">
        <v>3.1E-2</v>
      </c>
    </row>
    <row r="113" spans="1:22" ht="15" customHeight="1" x14ac:dyDescent="0.35">
      <c r="A113" s="46">
        <v>2</v>
      </c>
      <c r="B113" s="32">
        <v>2022</v>
      </c>
      <c r="C113" s="46" t="s">
        <v>264</v>
      </c>
      <c r="D113" s="46" t="s">
        <v>78</v>
      </c>
      <c r="E113" s="47" t="s">
        <v>79</v>
      </c>
      <c r="F113" s="46" t="s">
        <v>36</v>
      </c>
      <c r="G113" s="34">
        <v>0</v>
      </c>
      <c r="H113" s="34">
        <v>8</v>
      </c>
      <c r="I113" s="34">
        <f>IFERROR(ROUND('Data Bulanan'!BC27,0),0)</f>
        <v>14081</v>
      </c>
      <c r="J113" s="34">
        <v>2424984</v>
      </c>
      <c r="K113" s="34">
        <v>601394</v>
      </c>
      <c r="L113" s="35">
        <f t="shared" si="6"/>
        <v>337</v>
      </c>
      <c r="M113" s="36">
        <f>IFERROR(AVERAGE('Data Bulanan'!AF27,'Data Bulanan'!AH27,'Data Bulanan'!AJ27,'Data Bulanan'!AL27,'Data Bulanan'!AN27,'Data Bulanan'!AP27,'Data Bulanan'!AR27,'Data Bulanan'!AT27,'Data Bulanan'!AV27,'Data Bulanan'!AX27,'Data Bulanan'!AZ27,'Data Bulanan'!BB27),0)</f>
        <v>37.477201740911418</v>
      </c>
      <c r="N113" s="37">
        <f>'Data Bulanan'!BD27</f>
        <v>7.8821310526533406</v>
      </c>
      <c r="O113" s="38">
        <f t="shared" si="7"/>
        <v>22.294033270128949</v>
      </c>
      <c r="P113" s="39">
        <f t="shared" si="8"/>
        <v>37</v>
      </c>
      <c r="Q113" s="40">
        <f t="shared" si="9"/>
        <v>337</v>
      </c>
      <c r="R113" s="41">
        <f t="shared" si="10"/>
        <v>-337</v>
      </c>
      <c r="S113" s="42" t="str">
        <f t="shared" si="11"/>
        <v>Stockout ⚠</v>
      </c>
      <c r="T113" s="43">
        <f>IFERROR(N113/AVERAGE(M112:M116),0)</f>
        <v>0.22577176571194918</v>
      </c>
      <c r="U113" s="44">
        <v>-173.89</v>
      </c>
      <c r="V113" s="45">
        <v>3.1E-2</v>
      </c>
    </row>
    <row r="114" spans="1:22" ht="15" customHeight="1" x14ac:dyDescent="0.35">
      <c r="A114" s="46">
        <v>3</v>
      </c>
      <c r="B114" s="32">
        <v>2023</v>
      </c>
      <c r="C114" s="46" t="s">
        <v>264</v>
      </c>
      <c r="D114" s="46" t="s">
        <v>78</v>
      </c>
      <c r="E114" s="47" t="s">
        <v>79</v>
      </c>
      <c r="F114" s="46" t="s">
        <v>36</v>
      </c>
      <c r="G114" s="34">
        <v>435</v>
      </c>
      <c r="H114" s="34">
        <v>8</v>
      </c>
      <c r="I114" s="34">
        <f>IFERROR(ROUND('Data Bulanan'!CC27,0),0)</f>
        <v>15267</v>
      </c>
      <c r="J114" s="34">
        <v>2198515</v>
      </c>
      <c r="K114" s="34">
        <v>515424</v>
      </c>
      <c r="L114" s="35">
        <f t="shared" si="6"/>
        <v>361</v>
      </c>
      <c r="M114" s="36">
        <f>IFERROR(AVERAGE('Data Bulanan'!BF27,'Data Bulanan'!BH27,'Data Bulanan'!BJ27,'Data Bulanan'!BL27,'Data Bulanan'!BN27,'Data Bulanan'!BP27,'Data Bulanan'!BR27,'Data Bulanan'!BT27,'Data Bulanan'!BV27,'Data Bulanan'!BX27,'Data Bulanan'!BZ27,'Data Bulanan'!CB27),0)</f>
        <v>40.679512288786484</v>
      </c>
      <c r="N114" s="37">
        <f>'Data Bulanan'!CD27</f>
        <v>8.0062131111291848</v>
      </c>
      <c r="O114" s="38">
        <f t="shared" si="7"/>
        <v>22.64499033001637</v>
      </c>
      <c r="P114" s="39">
        <f t="shared" si="8"/>
        <v>37</v>
      </c>
      <c r="Q114" s="40">
        <f t="shared" si="9"/>
        <v>362</v>
      </c>
      <c r="R114" s="41">
        <f t="shared" si="10"/>
        <v>73</v>
      </c>
      <c r="S114" s="42" t="str">
        <f t="shared" si="11"/>
        <v>Aman ✅</v>
      </c>
      <c r="T114" s="43">
        <f>IFERROR(N114/AVERAGE(M112:M116),0)</f>
        <v>0.22932590928659</v>
      </c>
      <c r="U114" s="44">
        <v>-173.89</v>
      </c>
      <c r="V114" s="45">
        <v>3.1E-2</v>
      </c>
    </row>
    <row r="115" spans="1:22" ht="15" customHeight="1" x14ac:dyDescent="0.35">
      <c r="A115" s="46">
        <v>4</v>
      </c>
      <c r="B115" s="32">
        <v>2024</v>
      </c>
      <c r="C115" s="46" t="s">
        <v>264</v>
      </c>
      <c r="D115" s="46" t="s">
        <v>78</v>
      </c>
      <c r="E115" s="47" t="s">
        <v>79</v>
      </c>
      <c r="F115" s="46" t="s">
        <v>36</v>
      </c>
      <c r="G115" s="34">
        <v>978</v>
      </c>
      <c r="H115" s="34">
        <v>8</v>
      </c>
      <c r="I115" s="34">
        <f>IFERROR(ROUND('Data Bulanan'!DC27,0),0)</f>
        <v>12897</v>
      </c>
      <c r="J115" s="34">
        <v>2453549</v>
      </c>
      <c r="K115" s="34">
        <v>578042</v>
      </c>
      <c r="L115" s="35">
        <f t="shared" si="6"/>
        <v>331</v>
      </c>
      <c r="M115" s="36">
        <f>IFERROR(AVERAGE('Data Bulanan'!CF27,'Data Bulanan'!CH27,'Data Bulanan'!CJ27,'Data Bulanan'!CL27,'Data Bulanan'!CN27,'Data Bulanan'!CP27,'Data Bulanan'!CR27,'Data Bulanan'!CT27,'Data Bulanan'!CV27,'Data Bulanan'!CX27,'Data Bulanan'!CZ27,'Data Bulanan'!DB27),0)</f>
        <v>34.255709165386584</v>
      </c>
      <c r="N115" s="37">
        <f>'Data Bulanan'!DD27</f>
        <v>4.5185955445949659</v>
      </c>
      <c r="O115" s="38">
        <f t="shared" si="7"/>
        <v>12.780518204089685</v>
      </c>
      <c r="P115" s="39">
        <f t="shared" si="8"/>
        <v>21</v>
      </c>
      <c r="Q115" s="40">
        <f t="shared" si="9"/>
        <v>295</v>
      </c>
      <c r="R115" s="41">
        <f t="shared" si="10"/>
        <v>683</v>
      </c>
      <c r="S115" s="42" t="str">
        <f t="shared" si="11"/>
        <v>Overstock 📦</v>
      </c>
      <c r="T115" s="43">
        <f>IFERROR(N115/AVERAGE(M112:M116),0)</f>
        <v>0.12942835989740803</v>
      </c>
      <c r="U115" s="44">
        <v>-173.89</v>
      </c>
      <c r="V115" s="45">
        <v>3.1E-2</v>
      </c>
    </row>
    <row r="116" spans="1:22" ht="15" customHeight="1" x14ac:dyDescent="0.35">
      <c r="A116" s="46">
        <v>5</v>
      </c>
      <c r="B116" s="32">
        <v>2025</v>
      </c>
      <c r="C116" s="46" t="s">
        <v>264</v>
      </c>
      <c r="D116" s="46" t="s">
        <v>78</v>
      </c>
      <c r="E116" s="47" t="s">
        <v>79</v>
      </c>
      <c r="F116" s="46" t="s">
        <v>36</v>
      </c>
      <c r="G116" s="34">
        <v>0</v>
      </c>
      <c r="H116" s="34">
        <v>8</v>
      </c>
      <c r="I116" s="34">
        <f>IFERROR(ROUND('Data Bulanan'!EC27,0),0)</f>
        <v>11543</v>
      </c>
      <c r="J116" s="34">
        <v>2571240</v>
      </c>
      <c r="K116" s="34">
        <v>521339</v>
      </c>
      <c r="L116" s="35">
        <f t="shared" si="6"/>
        <v>337</v>
      </c>
      <c r="M116" s="36">
        <f>IFERROR(AVERAGE('Data Bulanan'!DF27,'Data Bulanan'!DH27,'Data Bulanan'!DJ27,'Data Bulanan'!DL27,'Data Bulanan'!DN27,'Data Bulanan'!DP27,'Data Bulanan'!DR27,'Data Bulanan'!DT27,'Data Bulanan'!DV27,'Data Bulanan'!DX27,'Data Bulanan'!DZ27,'Data Bulanan'!EB27),0)</f>
        <v>30.69426523297491</v>
      </c>
      <c r="N116" s="37">
        <f>'Data Bulanan'!ED27</f>
        <v>7.9089279717860839</v>
      </c>
      <c r="O116" s="38">
        <f t="shared" si="7"/>
        <v>22.36982640306363</v>
      </c>
      <c r="P116" s="39">
        <f t="shared" si="8"/>
        <v>37</v>
      </c>
      <c r="Q116" s="40">
        <f t="shared" si="9"/>
        <v>283</v>
      </c>
      <c r="R116" s="41">
        <f t="shared" si="10"/>
        <v>-283</v>
      </c>
      <c r="S116" s="42" t="str">
        <f t="shared" si="11"/>
        <v>Stockout ⚠</v>
      </c>
      <c r="T116" s="43">
        <f>IFERROR(N116/AVERAGE(M112:M116),0)</f>
        <v>0.2265393230778221</v>
      </c>
      <c r="U116" s="44">
        <v>-173.89</v>
      </c>
      <c r="V116" s="45">
        <v>3.1E-2</v>
      </c>
    </row>
    <row r="117" spans="1:22" ht="15" customHeight="1" x14ac:dyDescent="0.35">
      <c r="A117" s="31">
        <v>1</v>
      </c>
      <c r="B117" s="32">
        <v>2021</v>
      </c>
      <c r="C117" s="31" t="s">
        <v>264</v>
      </c>
      <c r="D117" s="31" t="s">
        <v>80</v>
      </c>
      <c r="E117" s="33" t="s">
        <v>81</v>
      </c>
      <c r="F117" s="31" t="s">
        <v>36</v>
      </c>
      <c r="G117" s="34">
        <v>0</v>
      </c>
      <c r="H117" s="34">
        <v>9</v>
      </c>
      <c r="I117" s="34">
        <f>IFERROR(ROUND('Data Bulanan'!AC28,0),0)</f>
        <v>47300</v>
      </c>
      <c r="J117" s="34">
        <v>480051</v>
      </c>
      <c r="K117" s="34">
        <v>525136</v>
      </c>
      <c r="L117" s="35">
        <f t="shared" si="6"/>
        <v>294</v>
      </c>
      <c r="M117" s="36">
        <f>IFERROR(AVERAGE('Data Bulanan'!F28,'Data Bulanan'!H28,'Data Bulanan'!J28,'Data Bulanan'!L28,'Data Bulanan'!N28,'Data Bulanan'!P28,'Data Bulanan'!R28,'Data Bulanan'!T28,'Data Bulanan'!V28,'Data Bulanan'!X28,'Data Bulanan'!Z28,'Data Bulanan'!AB28),0)</f>
        <v>126.14149385560675</v>
      </c>
      <c r="N117" s="37">
        <f>'Data Bulanan'!AD28</f>
        <v>35.148616414745568</v>
      </c>
      <c r="O117" s="38">
        <f t="shared" si="7"/>
        <v>105.44584924423671</v>
      </c>
      <c r="P117" s="39">
        <f t="shared" si="8"/>
        <v>174</v>
      </c>
      <c r="Q117" s="40">
        <f t="shared" si="9"/>
        <v>1309</v>
      </c>
      <c r="R117" s="41">
        <f t="shared" si="10"/>
        <v>-1309</v>
      </c>
      <c r="S117" s="42" t="str">
        <f t="shared" si="11"/>
        <v>Stockout ⚠</v>
      </c>
      <c r="T117" s="43">
        <f>IFERROR(N117/AVERAGE(M117:M121),0)</f>
        <v>0.26788320411739852</v>
      </c>
      <c r="U117" s="44">
        <v>-1025.04</v>
      </c>
      <c r="V117" s="45">
        <v>0.1389</v>
      </c>
    </row>
    <row r="118" spans="1:22" ht="15" customHeight="1" x14ac:dyDescent="0.35">
      <c r="A118" s="31">
        <v>2</v>
      </c>
      <c r="B118" s="32">
        <v>2022</v>
      </c>
      <c r="C118" s="31" t="s">
        <v>264</v>
      </c>
      <c r="D118" s="31" t="s">
        <v>80</v>
      </c>
      <c r="E118" s="33" t="s">
        <v>81</v>
      </c>
      <c r="F118" s="31" t="s">
        <v>36</v>
      </c>
      <c r="G118" s="34">
        <v>1821</v>
      </c>
      <c r="H118" s="34">
        <v>9</v>
      </c>
      <c r="I118" s="34">
        <f>IFERROR(ROUND('Data Bulanan'!BC28,0),0)</f>
        <v>53091</v>
      </c>
      <c r="J118" s="34">
        <v>468842</v>
      </c>
      <c r="K118" s="34">
        <v>552342</v>
      </c>
      <c r="L118" s="35">
        <f t="shared" si="6"/>
        <v>300</v>
      </c>
      <c r="M118" s="36">
        <f>IFERROR(AVERAGE('Data Bulanan'!AF28,'Data Bulanan'!AH28,'Data Bulanan'!AJ28,'Data Bulanan'!AL28,'Data Bulanan'!AN28,'Data Bulanan'!AP28,'Data Bulanan'!AR28,'Data Bulanan'!AT28,'Data Bulanan'!AV28,'Data Bulanan'!AX28,'Data Bulanan'!AZ28,'Data Bulanan'!BB28),0)</f>
        <v>141.20972222222221</v>
      </c>
      <c r="N118" s="37">
        <f>'Data Bulanan'!BD28</f>
        <v>20.341362227553589</v>
      </c>
      <c r="O118" s="38">
        <f t="shared" si="7"/>
        <v>61.024086682660766</v>
      </c>
      <c r="P118" s="39">
        <f t="shared" si="8"/>
        <v>101</v>
      </c>
      <c r="Q118" s="40">
        <f t="shared" si="9"/>
        <v>1372</v>
      </c>
      <c r="R118" s="41">
        <f t="shared" si="10"/>
        <v>449</v>
      </c>
      <c r="S118" s="42" t="str">
        <f t="shared" si="11"/>
        <v>Overstock 📦</v>
      </c>
      <c r="T118" s="43">
        <f>IFERROR(N118/AVERAGE(M117:M121),0)</f>
        <v>0.15503054872292682</v>
      </c>
      <c r="U118" s="44">
        <v>-1025.04</v>
      </c>
      <c r="V118" s="45">
        <v>0.1389</v>
      </c>
    </row>
    <row r="119" spans="1:22" ht="15" customHeight="1" x14ac:dyDescent="0.35">
      <c r="A119" s="31">
        <v>3</v>
      </c>
      <c r="B119" s="32">
        <v>2023</v>
      </c>
      <c r="C119" s="31" t="s">
        <v>264</v>
      </c>
      <c r="D119" s="31" t="s">
        <v>80</v>
      </c>
      <c r="E119" s="33" t="s">
        <v>81</v>
      </c>
      <c r="F119" s="31" t="s">
        <v>36</v>
      </c>
      <c r="G119" s="34">
        <v>8022</v>
      </c>
      <c r="H119" s="34">
        <v>9</v>
      </c>
      <c r="I119" s="34">
        <f>IFERROR(ROUND('Data Bulanan'!CC28,0),0)</f>
        <v>54713</v>
      </c>
      <c r="J119" s="34">
        <v>531429</v>
      </c>
      <c r="K119" s="34">
        <v>533689</v>
      </c>
      <c r="L119" s="35">
        <f t="shared" si="6"/>
        <v>330</v>
      </c>
      <c r="M119" s="36">
        <f>IFERROR(AVERAGE('Data Bulanan'!BF28,'Data Bulanan'!BH28,'Data Bulanan'!BJ28,'Data Bulanan'!BL28,'Data Bulanan'!BN28,'Data Bulanan'!BP28,'Data Bulanan'!BR28,'Data Bulanan'!BT28,'Data Bulanan'!BV28,'Data Bulanan'!BX28,'Data Bulanan'!BZ28,'Data Bulanan'!CB28),0)</f>
        <v>145.40680363543268</v>
      </c>
      <c r="N119" s="37">
        <f>'Data Bulanan'!CD28</f>
        <v>31.362237015437593</v>
      </c>
      <c r="O119" s="38">
        <f t="shared" si="7"/>
        <v>94.086711046312786</v>
      </c>
      <c r="P119" s="39">
        <f t="shared" si="8"/>
        <v>155</v>
      </c>
      <c r="Q119" s="40">
        <f t="shared" si="9"/>
        <v>1464</v>
      </c>
      <c r="R119" s="41">
        <f t="shared" si="10"/>
        <v>6558</v>
      </c>
      <c r="S119" s="42" t="str">
        <f t="shared" si="11"/>
        <v>Overstock 📦</v>
      </c>
      <c r="T119" s="43">
        <f>IFERROR(N119/AVERAGE(M117:M121),0)</f>
        <v>0.23902552637776472</v>
      </c>
      <c r="U119" s="44">
        <v>-1025.04</v>
      </c>
      <c r="V119" s="45">
        <v>0.1389</v>
      </c>
    </row>
    <row r="120" spans="1:22" ht="15" customHeight="1" x14ac:dyDescent="0.35">
      <c r="A120" s="31">
        <v>4</v>
      </c>
      <c r="B120" s="32">
        <v>2024</v>
      </c>
      <c r="C120" s="31" t="s">
        <v>264</v>
      </c>
      <c r="D120" s="31" t="s">
        <v>80</v>
      </c>
      <c r="E120" s="33" t="s">
        <v>81</v>
      </c>
      <c r="F120" s="31" t="s">
        <v>36</v>
      </c>
      <c r="G120" s="34">
        <v>2422</v>
      </c>
      <c r="H120" s="34">
        <v>9</v>
      </c>
      <c r="I120" s="34">
        <f>IFERROR(ROUND('Data Bulanan'!DC28,0),0)</f>
        <v>45002</v>
      </c>
      <c r="J120" s="34">
        <v>516330</v>
      </c>
      <c r="K120" s="34">
        <v>548506</v>
      </c>
      <c r="L120" s="35">
        <f t="shared" si="6"/>
        <v>291</v>
      </c>
      <c r="M120" s="36">
        <f>IFERROR(AVERAGE('Data Bulanan'!CF28,'Data Bulanan'!CH28,'Data Bulanan'!CJ28,'Data Bulanan'!CL28,'Data Bulanan'!CN28,'Data Bulanan'!CP28,'Data Bulanan'!CR28,'Data Bulanan'!CT28,'Data Bulanan'!CV28,'Data Bulanan'!CX28,'Data Bulanan'!CZ28,'Data Bulanan'!DB28),0)</f>
        <v>119.98322452636968</v>
      </c>
      <c r="N120" s="37">
        <f>'Data Bulanan'!DD28</f>
        <v>30.134850408730212</v>
      </c>
      <c r="O120" s="38">
        <f t="shared" si="7"/>
        <v>90.404551226190634</v>
      </c>
      <c r="P120" s="39">
        <f t="shared" si="8"/>
        <v>149</v>
      </c>
      <c r="Q120" s="40">
        <f t="shared" si="9"/>
        <v>1229</v>
      </c>
      <c r="R120" s="41">
        <f t="shared" si="10"/>
        <v>1193</v>
      </c>
      <c r="S120" s="42" t="str">
        <f t="shared" si="11"/>
        <v>Overstock 📦</v>
      </c>
      <c r="T120" s="43">
        <f>IFERROR(N120/AVERAGE(M117:M121),0)</f>
        <v>0.22967106835256582</v>
      </c>
      <c r="U120" s="44">
        <v>-1025.04</v>
      </c>
      <c r="V120" s="45">
        <v>0.1389</v>
      </c>
    </row>
    <row r="121" spans="1:22" ht="15" customHeight="1" x14ac:dyDescent="0.35">
      <c r="A121" s="31">
        <v>5</v>
      </c>
      <c r="B121" s="32">
        <v>2025</v>
      </c>
      <c r="C121" s="31" t="s">
        <v>264</v>
      </c>
      <c r="D121" s="31" t="s">
        <v>80</v>
      </c>
      <c r="E121" s="33" t="s">
        <v>81</v>
      </c>
      <c r="F121" s="31" t="s">
        <v>36</v>
      </c>
      <c r="G121" s="34">
        <v>3263</v>
      </c>
      <c r="H121" s="34">
        <v>9</v>
      </c>
      <c r="I121" s="34">
        <f>IFERROR(ROUND('Data Bulanan'!EC28,0),0)</f>
        <v>46219</v>
      </c>
      <c r="J121" s="34">
        <v>514964</v>
      </c>
      <c r="K121" s="34">
        <v>562671</v>
      </c>
      <c r="L121" s="35">
        <f t="shared" si="6"/>
        <v>291</v>
      </c>
      <c r="M121" s="36">
        <f>IFERROR(AVERAGE('Data Bulanan'!DF28,'Data Bulanan'!DH28,'Data Bulanan'!DJ28,'Data Bulanan'!DL28,'Data Bulanan'!DN28,'Data Bulanan'!DP28,'Data Bulanan'!DR28,'Data Bulanan'!DT28,'Data Bulanan'!DV28,'Data Bulanan'!DX28,'Data Bulanan'!DZ28,'Data Bulanan'!EB28),0)</f>
        <v>123.30243215565797</v>
      </c>
      <c r="N121" s="37">
        <f>'Data Bulanan'!ED28</f>
        <v>36.946629002086439</v>
      </c>
      <c r="O121" s="38">
        <f t="shared" si="7"/>
        <v>110.83988700625932</v>
      </c>
      <c r="P121" s="39">
        <f t="shared" si="8"/>
        <v>183</v>
      </c>
      <c r="Q121" s="40">
        <f t="shared" si="9"/>
        <v>1293</v>
      </c>
      <c r="R121" s="41">
        <f t="shared" si="10"/>
        <v>1970</v>
      </c>
      <c r="S121" s="42" t="str">
        <f t="shared" si="11"/>
        <v>Overstock 📦</v>
      </c>
      <c r="T121" s="43">
        <f>IFERROR(N121/AVERAGE(M117:M121),0)</f>
        <v>0.28158665597612437</v>
      </c>
      <c r="U121" s="44">
        <v>-1025.04</v>
      </c>
      <c r="V121" s="45">
        <v>0.1389</v>
      </c>
    </row>
    <row r="122" spans="1:22" ht="15" customHeight="1" x14ac:dyDescent="0.35">
      <c r="A122" s="46">
        <v>1</v>
      </c>
      <c r="B122" s="32">
        <v>2021</v>
      </c>
      <c r="C122" s="46" t="s">
        <v>264</v>
      </c>
      <c r="D122" s="46" t="s">
        <v>82</v>
      </c>
      <c r="E122" s="47" t="s">
        <v>83</v>
      </c>
      <c r="F122" s="46" t="s">
        <v>36</v>
      </c>
      <c r="G122" s="34">
        <v>0</v>
      </c>
      <c r="H122" s="34">
        <v>44</v>
      </c>
      <c r="I122" s="34">
        <f>IFERROR(ROUND('Data Bulanan'!AC29,0),0)</f>
        <v>31724</v>
      </c>
      <c r="J122" s="34">
        <v>11906408</v>
      </c>
      <c r="K122" s="34">
        <v>289923</v>
      </c>
      <c r="L122" s="35">
        <f t="shared" si="6"/>
        <v>1614</v>
      </c>
      <c r="M122" s="36">
        <f>IFERROR(AVERAGE('Data Bulanan'!F29,'Data Bulanan'!H29,'Data Bulanan'!J29,'Data Bulanan'!L29,'Data Bulanan'!N29,'Data Bulanan'!P29,'Data Bulanan'!R29,'Data Bulanan'!T29,'Data Bulanan'!V29,'Data Bulanan'!X29,'Data Bulanan'!Z29,'Data Bulanan'!AB29),0)</f>
        <v>84.428008192524317</v>
      </c>
      <c r="N122" s="37">
        <f>'Data Bulanan'!AD29</f>
        <v>21.558380817866375</v>
      </c>
      <c r="O122" s="38">
        <f t="shared" si="7"/>
        <v>143.00212052091587</v>
      </c>
      <c r="P122" s="39">
        <f t="shared" si="8"/>
        <v>236</v>
      </c>
      <c r="Q122" s="40">
        <f t="shared" si="9"/>
        <v>3951</v>
      </c>
      <c r="R122" s="41">
        <f t="shared" si="10"/>
        <v>-3951</v>
      </c>
      <c r="S122" s="42" t="str">
        <f t="shared" si="11"/>
        <v>Stockout ⚠</v>
      </c>
      <c r="T122" s="43">
        <f>IFERROR(N122/AVERAGE(M122:M126),0)</f>
        <v>0.26446110133502465</v>
      </c>
      <c r="U122" s="44">
        <v>-1087.24</v>
      </c>
      <c r="V122" s="45">
        <v>0.49099999999999999</v>
      </c>
    </row>
    <row r="123" spans="1:22" ht="15" customHeight="1" x14ac:dyDescent="0.35">
      <c r="A123" s="46">
        <v>2</v>
      </c>
      <c r="B123" s="32">
        <v>2022</v>
      </c>
      <c r="C123" s="46" t="s">
        <v>264</v>
      </c>
      <c r="D123" s="46" t="s">
        <v>82</v>
      </c>
      <c r="E123" s="47" t="s">
        <v>83</v>
      </c>
      <c r="F123" s="46" t="s">
        <v>36</v>
      </c>
      <c r="G123" s="34">
        <v>25968</v>
      </c>
      <c r="H123" s="34">
        <v>44</v>
      </c>
      <c r="I123" s="34">
        <f>IFERROR(ROUND('Data Bulanan'!BC29,0),0)</f>
        <v>31436</v>
      </c>
      <c r="J123" s="34">
        <v>11110958</v>
      </c>
      <c r="K123" s="34">
        <v>269086</v>
      </c>
      <c r="L123" s="35">
        <f t="shared" si="6"/>
        <v>1611</v>
      </c>
      <c r="M123" s="36">
        <f>IFERROR(AVERAGE('Data Bulanan'!AF29,'Data Bulanan'!AH29,'Data Bulanan'!AJ29,'Data Bulanan'!AL29,'Data Bulanan'!AN29,'Data Bulanan'!AP29,'Data Bulanan'!AR29,'Data Bulanan'!AT29,'Data Bulanan'!AV29,'Data Bulanan'!AX29,'Data Bulanan'!AZ29,'Data Bulanan'!BB29),0)</f>
        <v>83.676657706093195</v>
      </c>
      <c r="N123" s="37">
        <f>'Data Bulanan'!BD29</f>
        <v>19.488260259439905</v>
      </c>
      <c r="O123" s="38">
        <f t="shared" si="7"/>
        <v>129.27049419471268</v>
      </c>
      <c r="P123" s="39">
        <f t="shared" si="8"/>
        <v>213</v>
      </c>
      <c r="Q123" s="40">
        <f t="shared" si="9"/>
        <v>3895</v>
      </c>
      <c r="R123" s="41">
        <f t="shared" si="10"/>
        <v>22073</v>
      </c>
      <c r="S123" s="42" t="str">
        <f t="shared" si="11"/>
        <v>Overstock 📦</v>
      </c>
      <c r="T123" s="43">
        <f>IFERROR(N123/AVERAGE(M122:M126),0)</f>
        <v>0.23906650572958699</v>
      </c>
      <c r="U123" s="44">
        <v>-1087.24</v>
      </c>
      <c r="V123" s="45">
        <v>0.49099999999999999</v>
      </c>
    </row>
    <row r="124" spans="1:22" ht="15" customHeight="1" x14ac:dyDescent="0.35">
      <c r="A124" s="46">
        <v>3</v>
      </c>
      <c r="B124" s="32">
        <v>2023</v>
      </c>
      <c r="C124" s="46" t="s">
        <v>264</v>
      </c>
      <c r="D124" s="46" t="s">
        <v>82</v>
      </c>
      <c r="E124" s="47" t="s">
        <v>83</v>
      </c>
      <c r="F124" s="46" t="s">
        <v>36</v>
      </c>
      <c r="G124" s="34">
        <v>12533</v>
      </c>
      <c r="H124" s="34">
        <v>44</v>
      </c>
      <c r="I124" s="34">
        <f>IFERROR(ROUND('Data Bulanan'!CC29,0),0)</f>
        <v>33760</v>
      </c>
      <c r="J124" s="34">
        <v>10650840</v>
      </c>
      <c r="K124" s="34">
        <v>256705</v>
      </c>
      <c r="L124" s="35">
        <f t="shared" si="6"/>
        <v>1674</v>
      </c>
      <c r="M124" s="36">
        <f>IFERROR(AVERAGE('Data Bulanan'!BF29,'Data Bulanan'!BH29,'Data Bulanan'!BJ29,'Data Bulanan'!BL29,'Data Bulanan'!BN29,'Data Bulanan'!BP29,'Data Bulanan'!BR29,'Data Bulanan'!BT29,'Data Bulanan'!BV29,'Data Bulanan'!BX29,'Data Bulanan'!BZ29,'Data Bulanan'!CB29),0)</f>
        <v>89.718964413722475</v>
      </c>
      <c r="N124" s="37">
        <f>'Data Bulanan'!CD29</f>
        <v>19.257588074081159</v>
      </c>
      <c r="O124" s="38">
        <f t="shared" si="7"/>
        <v>127.74038801790014</v>
      </c>
      <c r="P124" s="39">
        <f t="shared" si="8"/>
        <v>211</v>
      </c>
      <c r="Q124" s="40">
        <f t="shared" si="9"/>
        <v>4159</v>
      </c>
      <c r="R124" s="41">
        <f t="shared" si="10"/>
        <v>8374</v>
      </c>
      <c r="S124" s="42" t="str">
        <f t="shared" si="11"/>
        <v>Overstock 📦</v>
      </c>
      <c r="T124" s="43">
        <f>IFERROR(N124/AVERAGE(M122:M126),0)</f>
        <v>0.23623680248319223</v>
      </c>
      <c r="U124" s="44">
        <v>-1087.24</v>
      </c>
      <c r="V124" s="45">
        <v>0.49099999999999999</v>
      </c>
    </row>
    <row r="125" spans="1:22" ht="15" customHeight="1" x14ac:dyDescent="0.35">
      <c r="A125" s="46">
        <v>4</v>
      </c>
      <c r="B125" s="32">
        <v>2024</v>
      </c>
      <c r="C125" s="46" t="s">
        <v>264</v>
      </c>
      <c r="D125" s="46" t="s">
        <v>82</v>
      </c>
      <c r="E125" s="47" t="s">
        <v>83</v>
      </c>
      <c r="F125" s="46" t="s">
        <v>36</v>
      </c>
      <c r="G125" s="34">
        <v>0</v>
      </c>
      <c r="H125" s="34">
        <v>44</v>
      </c>
      <c r="I125" s="34">
        <f>IFERROR(ROUND('Data Bulanan'!DC29,0),0)</f>
        <v>28902</v>
      </c>
      <c r="J125" s="34">
        <v>11690872</v>
      </c>
      <c r="K125" s="34">
        <v>259186</v>
      </c>
      <c r="L125" s="35">
        <f t="shared" si="6"/>
        <v>1615</v>
      </c>
      <c r="M125" s="36">
        <f>IFERROR(AVERAGE('Data Bulanan'!CF29,'Data Bulanan'!CH29,'Data Bulanan'!CJ29,'Data Bulanan'!CL29,'Data Bulanan'!CN29,'Data Bulanan'!CP29,'Data Bulanan'!CR29,'Data Bulanan'!CT29,'Data Bulanan'!CV29,'Data Bulanan'!CX29,'Data Bulanan'!CZ29,'Data Bulanan'!DB29),0)</f>
        <v>76.643759600614445</v>
      </c>
      <c r="N125" s="37">
        <f>'Data Bulanan'!DD29</f>
        <v>16.697742740763644</v>
      </c>
      <c r="O125" s="38">
        <f t="shared" si="7"/>
        <v>110.76029503398723</v>
      </c>
      <c r="P125" s="39">
        <f t="shared" si="8"/>
        <v>183</v>
      </c>
      <c r="Q125" s="40">
        <f t="shared" si="9"/>
        <v>3555</v>
      </c>
      <c r="R125" s="41">
        <f t="shared" si="10"/>
        <v>-3555</v>
      </c>
      <c r="S125" s="42" t="str">
        <f t="shared" si="11"/>
        <v>Stockout ⚠</v>
      </c>
      <c r="T125" s="43">
        <f>IFERROR(N125/AVERAGE(M122:M126),0)</f>
        <v>0.204834652116898</v>
      </c>
      <c r="U125" s="44">
        <v>-1087.24</v>
      </c>
      <c r="V125" s="45">
        <v>0.49099999999999999</v>
      </c>
    </row>
    <row r="126" spans="1:22" ht="15" customHeight="1" x14ac:dyDescent="0.35">
      <c r="A126" s="46">
        <v>5</v>
      </c>
      <c r="B126" s="32">
        <v>2025</v>
      </c>
      <c r="C126" s="46" t="s">
        <v>264</v>
      </c>
      <c r="D126" s="46" t="s">
        <v>82</v>
      </c>
      <c r="E126" s="47" t="s">
        <v>83</v>
      </c>
      <c r="F126" s="46" t="s">
        <v>36</v>
      </c>
      <c r="G126" s="34">
        <v>0</v>
      </c>
      <c r="H126" s="34">
        <v>44</v>
      </c>
      <c r="I126" s="34">
        <f>IFERROR(ROUND('Data Bulanan'!EC29,0),0)</f>
        <v>27555</v>
      </c>
      <c r="J126" s="34">
        <v>11463164</v>
      </c>
      <c r="K126" s="34">
        <v>249363</v>
      </c>
      <c r="L126" s="35">
        <f t="shared" si="6"/>
        <v>1592</v>
      </c>
      <c r="M126" s="36">
        <f>IFERROR(AVERAGE('Data Bulanan'!DF29,'Data Bulanan'!DH29,'Data Bulanan'!DJ29,'Data Bulanan'!DL29,'Data Bulanan'!DN29,'Data Bulanan'!DP29,'Data Bulanan'!DR29,'Data Bulanan'!DT29,'Data Bulanan'!DV29,'Data Bulanan'!DX29,'Data Bulanan'!DZ29,'Data Bulanan'!EB29),0)</f>
        <v>73.123380696364563</v>
      </c>
      <c r="N126" s="37">
        <f>'Data Bulanan'!ED29</f>
        <v>16.071184398362213</v>
      </c>
      <c r="O126" s="38">
        <f t="shared" si="7"/>
        <v>106.60417717196209</v>
      </c>
      <c r="P126" s="39">
        <f t="shared" si="8"/>
        <v>176</v>
      </c>
      <c r="Q126" s="40">
        <f t="shared" si="9"/>
        <v>3393</v>
      </c>
      <c r="R126" s="41">
        <f t="shared" si="10"/>
        <v>-3393</v>
      </c>
      <c r="S126" s="42" t="str">
        <f t="shared" si="11"/>
        <v>Stockout ⚠</v>
      </c>
      <c r="T126" s="43">
        <f>IFERROR(N126/AVERAGE(M122:M126),0)</f>
        <v>0.19714853177780431</v>
      </c>
      <c r="U126" s="44">
        <v>-1087.24</v>
      </c>
      <c r="V126" s="45">
        <v>0.49099999999999999</v>
      </c>
    </row>
    <row r="127" spans="1:22" ht="15" customHeight="1" x14ac:dyDescent="0.35">
      <c r="A127" s="31">
        <v>1</v>
      </c>
      <c r="B127" s="32">
        <v>2021</v>
      </c>
      <c r="C127" s="31" t="s">
        <v>264</v>
      </c>
      <c r="D127" s="31" t="s">
        <v>84</v>
      </c>
      <c r="E127" s="33" t="s">
        <v>85</v>
      </c>
      <c r="F127" s="31" t="s">
        <v>36</v>
      </c>
      <c r="G127" s="34">
        <v>7063</v>
      </c>
      <c r="H127" s="34">
        <v>33</v>
      </c>
      <c r="I127" s="34">
        <f>IFERROR(ROUND('Data Bulanan'!AC30,0),0)</f>
        <v>12490</v>
      </c>
      <c r="J127" s="34">
        <v>7299380</v>
      </c>
      <c r="K127" s="34">
        <v>525954</v>
      </c>
      <c r="L127" s="35">
        <f t="shared" si="6"/>
        <v>589</v>
      </c>
      <c r="M127" s="36">
        <f>IFERROR(AVERAGE('Data Bulanan'!F30,'Data Bulanan'!H30,'Data Bulanan'!J30,'Data Bulanan'!L30,'Data Bulanan'!N30,'Data Bulanan'!P30,'Data Bulanan'!R30,'Data Bulanan'!T30,'Data Bulanan'!V30,'Data Bulanan'!X30,'Data Bulanan'!Z30,'Data Bulanan'!AB30),0)</f>
        <v>33.318439580133123</v>
      </c>
      <c r="N127" s="37">
        <f>'Data Bulanan'!AD30</f>
        <v>8.5505663707548614</v>
      </c>
      <c r="O127" s="38">
        <f t="shared" si="7"/>
        <v>49.119264180182611</v>
      </c>
      <c r="P127" s="39">
        <f t="shared" si="8"/>
        <v>81</v>
      </c>
      <c r="Q127" s="40">
        <f t="shared" si="9"/>
        <v>1181</v>
      </c>
      <c r="R127" s="41">
        <f t="shared" si="10"/>
        <v>5882</v>
      </c>
      <c r="S127" s="42" t="str">
        <f t="shared" si="11"/>
        <v>Overstock 📦</v>
      </c>
      <c r="T127" s="43">
        <f>IFERROR(N127/AVERAGE(M127:M131),0)</f>
        <v>0.28590051540715877</v>
      </c>
      <c r="U127" s="44">
        <v>327.9</v>
      </c>
      <c r="V127" s="45">
        <v>0.10059999999999999</v>
      </c>
    </row>
    <row r="128" spans="1:22" ht="15" customHeight="1" x14ac:dyDescent="0.35">
      <c r="A128" s="31">
        <v>2</v>
      </c>
      <c r="B128" s="32">
        <v>2022</v>
      </c>
      <c r="C128" s="31" t="s">
        <v>264</v>
      </c>
      <c r="D128" s="31" t="s">
        <v>84</v>
      </c>
      <c r="E128" s="33" t="s">
        <v>85</v>
      </c>
      <c r="F128" s="31" t="s">
        <v>36</v>
      </c>
      <c r="G128" s="34">
        <v>0</v>
      </c>
      <c r="H128" s="34">
        <v>33</v>
      </c>
      <c r="I128" s="34">
        <f>IFERROR(ROUND('Data Bulanan'!BC30,0),0)</f>
        <v>9422</v>
      </c>
      <c r="J128" s="34">
        <v>7018897</v>
      </c>
      <c r="K128" s="34">
        <v>530970</v>
      </c>
      <c r="L128" s="35">
        <f t="shared" si="6"/>
        <v>499</v>
      </c>
      <c r="M128" s="36">
        <f>IFERROR(AVERAGE('Data Bulanan'!AF30,'Data Bulanan'!AH30,'Data Bulanan'!AJ30,'Data Bulanan'!AL30,'Data Bulanan'!AN30,'Data Bulanan'!AP30,'Data Bulanan'!AR30,'Data Bulanan'!AT30,'Data Bulanan'!AV30,'Data Bulanan'!AX30,'Data Bulanan'!AZ30,'Data Bulanan'!BB30),0)</f>
        <v>25.145154889912956</v>
      </c>
      <c r="N128" s="37">
        <f>'Data Bulanan'!BD30</f>
        <v>6.5578539355023837</v>
      </c>
      <c r="O128" s="38">
        <f t="shared" si="7"/>
        <v>37.672002759339399</v>
      </c>
      <c r="P128" s="39">
        <f t="shared" si="8"/>
        <v>62</v>
      </c>
      <c r="Q128" s="40">
        <f t="shared" si="9"/>
        <v>892</v>
      </c>
      <c r="R128" s="41">
        <f t="shared" si="10"/>
        <v>-892</v>
      </c>
      <c r="S128" s="42" t="str">
        <f t="shared" si="11"/>
        <v>Stockout ⚠</v>
      </c>
      <c r="T128" s="43">
        <f>IFERROR(N128/AVERAGE(M127:M131),0)</f>
        <v>0.21927130190318334</v>
      </c>
      <c r="U128" s="44">
        <v>327.9</v>
      </c>
      <c r="V128" s="45">
        <v>0.10059999999999999</v>
      </c>
    </row>
    <row r="129" spans="1:22" ht="15" customHeight="1" x14ac:dyDescent="0.35">
      <c r="A129" s="31">
        <v>3</v>
      </c>
      <c r="B129" s="32">
        <v>2023</v>
      </c>
      <c r="C129" s="31" t="s">
        <v>264</v>
      </c>
      <c r="D129" s="31" t="s">
        <v>84</v>
      </c>
      <c r="E129" s="33" t="s">
        <v>85</v>
      </c>
      <c r="F129" s="31" t="s">
        <v>36</v>
      </c>
      <c r="G129" s="34">
        <v>1585</v>
      </c>
      <c r="H129" s="34">
        <v>33</v>
      </c>
      <c r="I129" s="34">
        <f>IFERROR(ROUND('Data Bulanan'!CC30,0),0)</f>
        <v>9646</v>
      </c>
      <c r="J129" s="34">
        <v>6802931</v>
      </c>
      <c r="K129" s="34">
        <v>477404</v>
      </c>
      <c r="L129" s="35">
        <f t="shared" si="6"/>
        <v>524</v>
      </c>
      <c r="M129" s="36">
        <f>IFERROR(AVERAGE('Data Bulanan'!BF30,'Data Bulanan'!BH30,'Data Bulanan'!BJ30,'Data Bulanan'!BL30,'Data Bulanan'!BN30,'Data Bulanan'!BP30,'Data Bulanan'!BR30,'Data Bulanan'!BT30,'Data Bulanan'!BV30,'Data Bulanan'!BX30,'Data Bulanan'!BZ30,'Data Bulanan'!CB30),0)</f>
        <v>25.621505376344086</v>
      </c>
      <c r="N129" s="37">
        <f>'Data Bulanan'!CD30</f>
        <v>4.7076230248378108</v>
      </c>
      <c r="O129" s="38">
        <f t="shared" si="7"/>
        <v>27.043235382465653</v>
      </c>
      <c r="P129" s="39">
        <f t="shared" si="8"/>
        <v>45</v>
      </c>
      <c r="Q129" s="40">
        <f t="shared" si="9"/>
        <v>891</v>
      </c>
      <c r="R129" s="41">
        <f t="shared" si="10"/>
        <v>694</v>
      </c>
      <c r="S129" s="42" t="str">
        <f t="shared" si="11"/>
        <v>Overstock 📦</v>
      </c>
      <c r="T129" s="43">
        <f>IFERROR(N129/AVERAGE(M127:M131),0)</f>
        <v>0.15740616361357102</v>
      </c>
      <c r="U129" s="44">
        <v>327.9</v>
      </c>
      <c r="V129" s="45">
        <v>0.10059999999999999</v>
      </c>
    </row>
    <row r="130" spans="1:22" ht="15" customHeight="1" x14ac:dyDescent="0.35">
      <c r="A130" s="31">
        <v>4</v>
      </c>
      <c r="B130" s="32">
        <v>2024</v>
      </c>
      <c r="C130" s="31" t="s">
        <v>264</v>
      </c>
      <c r="D130" s="31" t="s">
        <v>84</v>
      </c>
      <c r="E130" s="33" t="s">
        <v>85</v>
      </c>
      <c r="F130" s="31" t="s">
        <v>36</v>
      </c>
      <c r="G130" s="34">
        <v>0</v>
      </c>
      <c r="H130" s="34">
        <v>33</v>
      </c>
      <c r="I130" s="34">
        <f>IFERROR(ROUND('Data Bulanan'!DC30,0),0)</f>
        <v>11696</v>
      </c>
      <c r="J130" s="34">
        <v>6785458</v>
      </c>
      <c r="K130" s="34">
        <v>513796</v>
      </c>
      <c r="L130" s="35">
        <f t="shared" si="6"/>
        <v>556</v>
      </c>
      <c r="M130" s="36">
        <f>IFERROR(AVERAGE('Data Bulanan'!CF30,'Data Bulanan'!CH30,'Data Bulanan'!CJ30,'Data Bulanan'!CL30,'Data Bulanan'!CN30,'Data Bulanan'!CP30,'Data Bulanan'!CR30,'Data Bulanan'!CT30,'Data Bulanan'!CV30,'Data Bulanan'!CX30,'Data Bulanan'!CZ30,'Data Bulanan'!DB30),0)</f>
        <v>31.051222478238611</v>
      </c>
      <c r="N130" s="37">
        <f>'Data Bulanan'!DD30</f>
        <v>5.8085670436991181</v>
      </c>
      <c r="O130" s="38">
        <f t="shared" si="7"/>
        <v>33.36767726914578</v>
      </c>
      <c r="P130" s="39">
        <f t="shared" si="8"/>
        <v>55</v>
      </c>
      <c r="Q130" s="40">
        <f t="shared" si="9"/>
        <v>1080</v>
      </c>
      <c r="R130" s="41">
        <f t="shared" si="10"/>
        <v>-1080</v>
      </c>
      <c r="S130" s="42" t="str">
        <f t="shared" si="11"/>
        <v>Stockout ⚠</v>
      </c>
      <c r="T130" s="43">
        <f>IFERROR(N130/AVERAGE(M127:M131),0)</f>
        <v>0.19421781430181528</v>
      </c>
      <c r="U130" s="44">
        <v>327.9</v>
      </c>
      <c r="V130" s="45">
        <v>0.10059999999999999</v>
      </c>
    </row>
    <row r="131" spans="1:22" ht="15" customHeight="1" x14ac:dyDescent="0.35">
      <c r="A131" s="31">
        <v>5</v>
      </c>
      <c r="B131" s="32">
        <v>2025</v>
      </c>
      <c r="C131" s="31" t="s">
        <v>264</v>
      </c>
      <c r="D131" s="31" t="s">
        <v>84</v>
      </c>
      <c r="E131" s="33" t="s">
        <v>85</v>
      </c>
      <c r="F131" s="31" t="s">
        <v>36</v>
      </c>
      <c r="G131" s="34">
        <v>2133</v>
      </c>
      <c r="H131" s="34">
        <v>33</v>
      </c>
      <c r="I131" s="34">
        <f>IFERROR(ROUND('Data Bulanan'!EC30,0),0)</f>
        <v>12993</v>
      </c>
      <c r="J131" s="34">
        <v>7315681</v>
      </c>
      <c r="K131" s="34">
        <v>536159</v>
      </c>
      <c r="L131" s="35">
        <f t="shared" si="6"/>
        <v>595</v>
      </c>
      <c r="M131" s="36">
        <f>IFERROR(AVERAGE('Data Bulanan'!DF30,'Data Bulanan'!DH30,'Data Bulanan'!DJ30,'Data Bulanan'!DL30,'Data Bulanan'!DN30,'Data Bulanan'!DP30,'Data Bulanan'!DR30,'Data Bulanan'!DT30,'Data Bulanan'!DV30,'Data Bulanan'!DX30,'Data Bulanan'!DZ30,'Data Bulanan'!EB30),0)</f>
        <v>34.401120071684588</v>
      </c>
      <c r="N131" s="37">
        <f>'Data Bulanan'!ED30</f>
        <v>8.6882652225700117</v>
      </c>
      <c r="O131" s="38">
        <f t="shared" si="7"/>
        <v>49.910283860791104</v>
      </c>
      <c r="P131" s="39">
        <f t="shared" si="8"/>
        <v>82</v>
      </c>
      <c r="Q131" s="40">
        <f t="shared" si="9"/>
        <v>1217</v>
      </c>
      <c r="R131" s="41">
        <f t="shared" si="10"/>
        <v>916</v>
      </c>
      <c r="S131" s="42" t="str">
        <f t="shared" si="11"/>
        <v>Overstock 📦</v>
      </c>
      <c r="T131" s="43">
        <f>IFERROR(N131/AVERAGE(M127:M131),0)</f>
        <v>0.29050467506137473</v>
      </c>
      <c r="U131" s="44">
        <v>327.9</v>
      </c>
      <c r="V131" s="45">
        <v>0.10059999999999999</v>
      </c>
    </row>
    <row r="132" spans="1:22" ht="15" customHeight="1" x14ac:dyDescent="0.35">
      <c r="A132" s="46">
        <v>1</v>
      </c>
      <c r="B132" s="32">
        <v>2021</v>
      </c>
      <c r="C132" s="46" t="s">
        <v>263</v>
      </c>
      <c r="D132" s="46" t="s">
        <v>86</v>
      </c>
      <c r="E132" s="47" t="s">
        <v>87</v>
      </c>
      <c r="F132" s="46" t="s">
        <v>36</v>
      </c>
      <c r="G132" s="34">
        <v>14664</v>
      </c>
      <c r="H132" s="34">
        <v>38</v>
      </c>
      <c r="I132" s="34">
        <f>IFERROR(ROUND('Data Bulanan'!AC31,0),0)</f>
        <v>50141</v>
      </c>
      <c r="J132" s="34">
        <v>6800342</v>
      </c>
      <c r="K132" s="34">
        <v>557324</v>
      </c>
      <c r="L132" s="35">
        <f t="shared" si="6"/>
        <v>1106</v>
      </c>
      <c r="M132" s="36">
        <f>IFERROR(AVERAGE('Data Bulanan'!F31,'Data Bulanan'!H31,'Data Bulanan'!J31,'Data Bulanan'!L31,'Data Bulanan'!N31,'Data Bulanan'!P31,'Data Bulanan'!R31,'Data Bulanan'!T31,'Data Bulanan'!V31,'Data Bulanan'!X31,'Data Bulanan'!Z31,'Data Bulanan'!AB31),0)</f>
        <v>133.78357654889911</v>
      </c>
      <c r="N132" s="37">
        <f>'Data Bulanan'!AD31</f>
        <v>34.101796355920243</v>
      </c>
      <c r="O132" s="38">
        <f t="shared" si="7"/>
        <v>210.21759098283115</v>
      </c>
      <c r="P132" s="39">
        <f t="shared" si="8"/>
        <v>347</v>
      </c>
      <c r="Q132" s="40">
        <f t="shared" si="9"/>
        <v>5431</v>
      </c>
      <c r="R132" s="41">
        <f t="shared" si="10"/>
        <v>9233</v>
      </c>
      <c r="S132" s="42" t="str">
        <f t="shared" si="11"/>
        <v>Overstock 📦</v>
      </c>
      <c r="T132" s="43">
        <f>IFERROR(N132/AVERAGE(M132:M136),0)</f>
        <v>0.25380200664868297</v>
      </c>
      <c r="U132" s="44">
        <v>-668.17</v>
      </c>
      <c r="V132" s="45">
        <v>4.6800000000000001E-2</v>
      </c>
    </row>
    <row r="133" spans="1:22" ht="15" customHeight="1" x14ac:dyDescent="0.35">
      <c r="A133" s="46">
        <v>2</v>
      </c>
      <c r="B133" s="32">
        <v>2022</v>
      </c>
      <c r="C133" s="46" t="s">
        <v>263</v>
      </c>
      <c r="D133" s="46" t="s">
        <v>86</v>
      </c>
      <c r="E133" s="47" t="s">
        <v>87</v>
      </c>
      <c r="F133" s="46" t="s">
        <v>36</v>
      </c>
      <c r="G133" s="34">
        <v>15249</v>
      </c>
      <c r="H133" s="34">
        <v>38</v>
      </c>
      <c r="I133" s="34">
        <f>IFERROR(ROUND('Data Bulanan'!BC31,0),0)</f>
        <v>52157</v>
      </c>
      <c r="J133" s="34">
        <v>7032547</v>
      </c>
      <c r="K133" s="34">
        <v>632100</v>
      </c>
      <c r="L133" s="35">
        <f t="shared" si="6"/>
        <v>1077</v>
      </c>
      <c r="M133" s="36">
        <f>IFERROR(AVERAGE('Data Bulanan'!AF31,'Data Bulanan'!AH31,'Data Bulanan'!AJ31,'Data Bulanan'!AL31,'Data Bulanan'!AN31,'Data Bulanan'!AP31,'Data Bulanan'!AR31,'Data Bulanan'!AT31,'Data Bulanan'!AV31,'Data Bulanan'!AX31,'Data Bulanan'!AZ31,'Data Bulanan'!BB31),0)</f>
        <v>139.20994623655915</v>
      </c>
      <c r="N133" s="37">
        <f>'Data Bulanan'!BD31</f>
        <v>28.44300853958303</v>
      </c>
      <c r="O133" s="38">
        <f t="shared" si="7"/>
        <v>175.3344801279718</v>
      </c>
      <c r="P133" s="39">
        <f t="shared" si="8"/>
        <v>289</v>
      </c>
      <c r="Q133" s="40">
        <f t="shared" si="9"/>
        <v>5579</v>
      </c>
      <c r="R133" s="41">
        <f t="shared" si="10"/>
        <v>9670</v>
      </c>
      <c r="S133" s="42" t="str">
        <f t="shared" si="11"/>
        <v>Overstock 📦</v>
      </c>
      <c r="T133" s="43">
        <f>IFERROR(N133/AVERAGE(M132:M136),0)</f>
        <v>0.21168658000089671</v>
      </c>
      <c r="U133" s="44">
        <v>-668.17</v>
      </c>
      <c r="V133" s="45">
        <v>4.6800000000000001E-2</v>
      </c>
    </row>
    <row r="134" spans="1:22" ht="15" customHeight="1" x14ac:dyDescent="0.35">
      <c r="A134" s="46">
        <v>3</v>
      </c>
      <c r="B134" s="32">
        <v>2023</v>
      </c>
      <c r="C134" s="46" t="s">
        <v>263</v>
      </c>
      <c r="D134" s="46" t="s">
        <v>86</v>
      </c>
      <c r="E134" s="47" t="s">
        <v>87</v>
      </c>
      <c r="F134" s="46" t="s">
        <v>36</v>
      </c>
      <c r="G134" s="34">
        <v>23775</v>
      </c>
      <c r="H134" s="34">
        <v>38</v>
      </c>
      <c r="I134" s="34">
        <f>IFERROR(ROUND('Data Bulanan'!CC31,0),0)</f>
        <v>55657</v>
      </c>
      <c r="J134" s="34">
        <v>6531538</v>
      </c>
      <c r="K134" s="34">
        <v>586665</v>
      </c>
      <c r="L134" s="35">
        <f t="shared" si="6"/>
        <v>1113</v>
      </c>
      <c r="M134" s="36">
        <f>IFERROR(AVERAGE('Data Bulanan'!BF31,'Data Bulanan'!BH31,'Data Bulanan'!BJ31,'Data Bulanan'!BL31,'Data Bulanan'!BN31,'Data Bulanan'!BP31,'Data Bulanan'!BR31,'Data Bulanan'!BT31,'Data Bulanan'!BV31,'Data Bulanan'!BX31,'Data Bulanan'!BZ31,'Data Bulanan'!CB31),0)</f>
        <v>148.36486815156167</v>
      </c>
      <c r="N134" s="37">
        <f>'Data Bulanan'!CD31</f>
        <v>34.643717361417885</v>
      </c>
      <c r="O134" s="38">
        <f t="shared" si="7"/>
        <v>213.55821641762384</v>
      </c>
      <c r="P134" s="39">
        <f t="shared" si="8"/>
        <v>352</v>
      </c>
      <c r="Q134" s="40">
        <f t="shared" si="9"/>
        <v>5990</v>
      </c>
      <c r="R134" s="41">
        <f t="shared" si="10"/>
        <v>17785</v>
      </c>
      <c r="S134" s="42" t="str">
        <f t="shared" si="11"/>
        <v>Overstock 📦</v>
      </c>
      <c r="T134" s="43">
        <f>IFERROR(N134/AVERAGE(M132:M136),0)</f>
        <v>0.25783524399503455</v>
      </c>
      <c r="U134" s="44">
        <v>-668.17</v>
      </c>
      <c r="V134" s="45">
        <v>4.6800000000000001E-2</v>
      </c>
    </row>
    <row r="135" spans="1:22" ht="15" customHeight="1" x14ac:dyDescent="0.35">
      <c r="A135" s="46">
        <v>4</v>
      </c>
      <c r="B135" s="32">
        <v>2024</v>
      </c>
      <c r="C135" s="46" t="s">
        <v>263</v>
      </c>
      <c r="D135" s="46" t="s">
        <v>86</v>
      </c>
      <c r="E135" s="47" t="s">
        <v>87</v>
      </c>
      <c r="F135" s="46" t="s">
        <v>36</v>
      </c>
      <c r="G135" s="34">
        <v>15742</v>
      </c>
      <c r="H135" s="34">
        <v>38</v>
      </c>
      <c r="I135" s="34">
        <f>IFERROR(ROUND('Data Bulanan'!DC31,0),0)</f>
        <v>42465</v>
      </c>
      <c r="J135" s="34">
        <v>6079242</v>
      </c>
      <c r="K135" s="34">
        <v>537475</v>
      </c>
      <c r="L135" s="35">
        <f t="shared" ref="L135:L198" si="12">IFERROR(ROUND(SQRT(2*I135*J135/K135),0),0)</f>
        <v>980</v>
      </c>
      <c r="M135" s="36">
        <f>IFERROR(AVERAGE('Data Bulanan'!CF31,'Data Bulanan'!CH31,'Data Bulanan'!CJ31,'Data Bulanan'!CL31,'Data Bulanan'!CN31,'Data Bulanan'!CP31,'Data Bulanan'!CR31,'Data Bulanan'!CT31,'Data Bulanan'!CV31,'Data Bulanan'!CX31,'Data Bulanan'!CZ31,'Data Bulanan'!DB31),0)</f>
        <v>113.0166730670763</v>
      </c>
      <c r="N135" s="37">
        <f>'Data Bulanan'!DD31</f>
        <v>25.89810653499465</v>
      </c>
      <c r="O135" s="38">
        <f t="shared" ref="O135:O198" si="13">IFERROR(N135*SQRT(H135),0)</f>
        <v>159.64665057470336</v>
      </c>
      <c r="P135" s="39">
        <f t="shared" ref="P135:P198" si="14">IFERROR(ROUND(1.65*O135,0),0)</f>
        <v>263</v>
      </c>
      <c r="Q135" s="40">
        <f t="shared" ref="Q135:Q198" si="15">IFERROR(ROUND(M135*H135+P135,0),0)</f>
        <v>4558</v>
      </c>
      <c r="R135" s="41">
        <f t="shared" ref="R135:R198" si="16">G135-Q135</f>
        <v>11184</v>
      </c>
      <c r="S135" s="42" t="str">
        <f t="shared" ref="S135:S198" si="17">IF(G135=0,"Stockout ⚠",IF(G135&lt;Q135,"Reorder 🔄",IF(G135&gt;Q135+L135,"Overstock 📦","Aman ✅")))</f>
        <v>Overstock 📦</v>
      </c>
      <c r="T135" s="43">
        <f>IFERROR(N135/AVERAGE(M132:M136),0)</f>
        <v>0.1927461925577392</v>
      </c>
      <c r="U135" s="44">
        <v>-668.17</v>
      </c>
      <c r="V135" s="45">
        <v>4.6800000000000001E-2</v>
      </c>
    </row>
    <row r="136" spans="1:22" ht="15" customHeight="1" x14ac:dyDescent="0.35">
      <c r="A136" s="46">
        <v>5</v>
      </c>
      <c r="B136" s="32">
        <v>2025</v>
      </c>
      <c r="C136" s="46" t="s">
        <v>263</v>
      </c>
      <c r="D136" s="46" t="s">
        <v>86</v>
      </c>
      <c r="E136" s="47" t="s">
        <v>87</v>
      </c>
      <c r="F136" s="46" t="s">
        <v>36</v>
      </c>
      <c r="G136" s="34">
        <v>14675</v>
      </c>
      <c r="H136" s="34">
        <v>38</v>
      </c>
      <c r="I136" s="34">
        <f>IFERROR(ROUND('Data Bulanan'!EC31,0),0)</f>
        <v>51646</v>
      </c>
      <c r="J136" s="34">
        <v>6061562</v>
      </c>
      <c r="K136" s="34">
        <v>633383</v>
      </c>
      <c r="L136" s="35">
        <f t="shared" si="12"/>
        <v>994</v>
      </c>
      <c r="M136" s="36">
        <f>IFERROR(AVERAGE('Data Bulanan'!DF31,'Data Bulanan'!DH31,'Data Bulanan'!DJ31,'Data Bulanan'!DL31,'Data Bulanan'!DN31,'Data Bulanan'!DP31,'Data Bulanan'!DR31,'Data Bulanan'!DT31,'Data Bulanan'!DV31,'Data Bulanan'!DX31,'Data Bulanan'!DZ31,'Data Bulanan'!EB31),0)</f>
        <v>137.4438236047107</v>
      </c>
      <c r="N136" s="37">
        <f>'Data Bulanan'!ED31</f>
        <v>34.181490605218428</v>
      </c>
      <c r="O136" s="38">
        <f t="shared" si="13"/>
        <v>210.70885932916099</v>
      </c>
      <c r="P136" s="39">
        <f t="shared" si="14"/>
        <v>348</v>
      </c>
      <c r="Q136" s="40">
        <f t="shared" si="15"/>
        <v>5571</v>
      </c>
      <c r="R136" s="41">
        <f t="shared" si="16"/>
        <v>9104</v>
      </c>
      <c r="S136" s="42" t="str">
        <f t="shared" si="17"/>
        <v>Overstock 📦</v>
      </c>
      <c r="T136" s="43">
        <f>IFERROR(N136/AVERAGE(M132:M136),0)</f>
        <v>0.25439512966716371</v>
      </c>
      <c r="U136" s="44">
        <v>-668.17</v>
      </c>
      <c r="V136" s="45">
        <v>4.6800000000000001E-2</v>
      </c>
    </row>
    <row r="137" spans="1:22" ht="15" customHeight="1" x14ac:dyDescent="0.35">
      <c r="A137" s="31">
        <v>1</v>
      </c>
      <c r="B137" s="32">
        <v>2021</v>
      </c>
      <c r="C137" s="31" t="s">
        <v>264</v>
      </c>
      <c r="D137" s="31" t="s">
        <v>88</v>
      </c>
      <c r="E137" s="33" t="s">
        <v>89</v>
      </c>
      <c r="F137" s="31" t="s">
        <v>36</v>
      </c>
      <c r="G137" s="34">
        <v>3070</v>
      </c>
      <c r="H137" s="34">
        <v>9</v>
      </c>
      <c r="I137" s="34">
        <f>IFERROR(ROUND('Data Bulanan'!AC32,0),0)</f>
        <v>44486</v>
      </c>
      <c r="J137" s="34">
        <v>2435011</v>
      </c>
      <c r="K137" s="34">
        <v>199002</v>
      </c>
      <c r="L137" s="35">
        <f t="shared" si="12"/>
        <v>1043</v>
      </c>
      <c r="M137" s="36">
        <f>IFERROR(AVERAGE('Data Bulanan'!F32,'Data Bulanan'!H32,'Data Bulanan'!J32,'Data Bulanan'!L32,'Data Bulanan'!N32,'Data Bulanan'!P32,'Data Bulanan'!R32,'Data Bulanan'!T32,'Data Bulanan'!V32,'Data Bulanan'!X32,'Data Bulanan'!Z32,'Data Bulanan'!AB32),0)</f>
        <v>118.5403801843318</v>
      </c>
      <c r="N137" s="37">
        <f>'Data Bulanan'!AD32</f>
        <v>27.555588596579323</v>
      </c>
      <c r="O137" s="38">
        <f t="shared" si="13"/>
        <v>82.666765789737966</v>
      </c>
      <c r="P137" s="39">
        <f t="shared" si="14"/>
        <v>136</v>
      </c>
      <c r="Q137" s="40">
        <f t="shared" si="15"/>
        <v>1203</v>
      </c>
      <c r="R137" s="41">
        <f t="shared" si="16"/>
        <v>1867</v>
      </c>
      <c r="S137" s="42" t="str">
        <f t="shared" si="17"/>
        <v>Overstock 📦</v>
      </c>
      <c r="T137" s="43">
        <f>IFERROR(N137/AVERAGE(M137:M141),0)</f>
        <v>0.23970004538630207</v>
      </c>
      <c r="U137" s="44">
        <v>-1302.27</v>
      </c>
      <c r="V137" s="45">
        <v>0.60570000000000002</v>
      </c>
    </row>
    <row r="138" spans="1:22" ht="15" customHeight="1" x14ac:dyDescent="0.35">
      <c r="A138" s="31">
        <v>2</v>
      </c>
      <c r="B138" s="32">
        <v>2022</v>
      </c>
      <c r="C138" s="31" t="s">
        <v>264</v>
      </c>
      <c r="D138" s="31" t="s">
        <v>88</v>
      </c>
      <c r="E138" s="33" t="s">
        <v>89</v>
      </c>
      <c r="F138" s="31" t="s">
        <v>36</v>
      </c>
      <c r="G138" s="34">
        <v>0</v>
      </c>
      <c r="H138" s="34">
        <v>9</v>
      </c>
      <c r="I138" s="34">
        <f>IFERROR(ROUND('Data Bulanan'!BC32,0),0)</f>
        <v>44664</v>
      </c>
      <c r="J138" s="34">
        <v>2414671</v>
      </c>
      <c r="K138" s="34">
        <v>176601</v>
      </c>
      <c r="L138" s="35">
        <f t="shared" si="12"/>
        <v>1105</v>
      </c>
      <c r="M138" s="36">
        <f>IFERROR(AVERAGE('Data Bulanan'!AF32,'Data Bulanan'!AH32,'Data Bulanan'!AJ32,'Data Bulanan'!AL32,'Data Bulanan'!AN32,'Data Bulanan'!AP32,'Data Bulanan'!AR32,'Data Bulanan'!AT32,'Data Bulanan'!AV32,'Data Bulanan'!AX32,'Data Bulanan'!AZ32,'Data Bulanan'!BB32),0)</f>
        <v>118.85685483870968</v>
      </c>
      <c r="N138" s="37">
        <f>'Data Bulanan'!BD32</f>
        <v>29.794583664897278</v>
      </c>
      <c r="O138" s="38">
        <f t="shared" si="13"/>
        <v>89.383750994691837</v>
      </c>
      <c r="P138" s="39">
        <f t="shared" si="14"/>
        <v>147</v>
      </c>
      <c r="Q138" s="40">
        <f t="shared" si="15"/>
        <v>1217</v>
      </c>
      <c r="R138" s="41">
        <f t="shared" si="16"/>
        <v>-1217</v>
      </c>
      <c r="S138" s="42" t="str">
        <f t="shared" si="17"/>
        <v>Stockout ⚠</v>
      </c>
      <c r="T138" s="43">
        <f>IFERROR(N138/AVERAGE(M137:M141),0)</f>
        <v>0.2591765743529939</v>
      </c>
      <c r="U138" s="44">
        <v>-1302.27</v>
      </c>
      <c r="V138" s="45">
        <v>0.60570000000000002</v>
      </c>
    </row>
    <row r="139" spans="1:22" ht="15" customHeight="1" x14ac:dyDescent="0.35">
      <c r="A139" s="31">
        <v>3</v>
      </c>
      <c r="B139" s="32">
        <v>2023</v>
      </c>
      <c r="C139" s="31" t="s">
        <v>264</v>
      </c>
      <c r="D139" s="31" t="s">
        <v>88</v>
      </c>
      <c r="E139" s="33" t="s">
        <v>89</v>
      </c>
      <c r="F139" s="31" t="s">
        <v>36</v>
      </c>
      <c r="G139" s="34">
        <v>1422</v>
      </c>
      <c r="H139" s="34">
        <v>9</v>
      </c>
      <c r="I139" s="34">
        <f>IFERROR(ROUND('Data Bulanan'!CC32,0),0)</f>
        <v>44999</v>
      </c>
      <c r="J139" s="34">
        <v>2303880</v>
      </c>
      <c r="K139" s="34">
        <v>185200</v>
      </c>
      <c r="L139" s="35">
        <f t="shared" si="12"/>
        <v>1058</v>
      </c>
      <c r="M139" s="36">
        <f>IFERROR(AVERAGE('Data Bulanan'!BF32,'Data Bulanan'!BH32,'Data Bulanan'!BJ32,'Data Bulanan'!BL32,'Data Bulanan'!BN32,'Data Bulanan'!BP32,'Data Bulanan'!BR32,'Data Bulanan'!BT32,'Data Bulanan'!BV32,'Data Bulanan'!BX32,'Data Bulanan'!BZ32,'Data Bulanan'!CB32),0)</f>
        <v>119.5274705581157</v>
      </c>
      <c r="N139" s="37">
        <f>'Data Bulanan'!CD32</f>
        <v>28.866968843007506</v>
      </c>
      <c r="O139" s="38">
        <f t="shared" si="13"/>
        <v>86.600906529022524</v>
      </c>
      <c r="P139" s="39">
        <f t="shared" si="14"/>
        <v>143</v>
      </c>
      <c r="Q139" s="40">
        <f t="shared" si="15"/>
        <v>1219</v>
      </c>
      <c r="R139" s="41">
        <f t="shared" si="16"/>
        <v>203</v>
      </c>
      <c r="S139" s="42" t="str">
        <f t="shared" si="17"/>
        <v>Aman ✅</v>
      </c>
      <c r="T139" s="43">
        <f>IFERROR(N139/AVERAGE(M137:M141),0)</f>
        <v>0.25110745566483106</v>
      </c>
      <c r="U139" s="44">
        <v>-1302.27</v>
      </c>
      <c r="V139" s="45">
        <v>0.60570000000000002</v>
      </c>
    </row>
    <row r="140" spans="1:22" ht="15" customHeight="1" x14ac:dyDescent="0.35">
      <c r="A140" s="31">
        <v>4</v>
      </c>
      <c r="B140" s="32">
        <v>2024</v>
      </c>
      <c r="C140" s="31" t="s">
        <v>264</v>
      </c>
      <c r="D140" s="31" t="s">
        <v>88</v>
      </c>
      <c r="E140" s="33" t="s">
        <v>89</v>
      </c>
      <c r="F140" s="31" t="s">
        <v>36</v>
      </c>
      <c r="G140" s="34">
        <v>8229</v>
      </c>
      <c r="H140" s="34">
        <v>9</v>
      </c>
      <c r="I140" s="34">
        <f>IFERROR(ROUND('Data Bulanan'!DC32,0),0)</f>
        <v>43366</v>
      </c>
      <c r="J140" s="34">
        <v>2346911</v>
      </c>
      <c r="K140" s="34">
        <v>204884</v>
      </c>
      <c r="L140" s="35">
        <f t="shared" si="12"/>
        <v>997</v>
      </c>
      <c r="M140" s="36">
        <f>IFERROR(AVERAGE('Data Bulanan'!CF32,'Data Bulanan'!CH32,'Data Bulanan'!CJ32,'Data Bulanan'!CL32,'Data Bulanan'!CN32,'Data Bulanan'!CP32,'Data Bulanan'!CR32,'Data Bulanan'!CT32,'Data Bulanan'!CV32,'Data Bulanan'!CX32,'Data Bulanan'!CZ32,'Data Bulanan'!DB32),0)</f>
        <v>115.27609447004608</v>
      </c>
      <c r="N140" s="37">
        <f>'Data Bulanan'!DD32</f>
        <v>21.393052740482265</v>
      </c>
      <c r="O140" s="38">
        <f t="shared" si="13"/>
        <v>64.179158221446798</v>
      </c>
      <c r="P140" s="39">
        <f t="shared" si="14"/>
        <v>106</v>
      </c>
      <c r="Q140" s="40">
        <f t="shared" si="15"/>
        <v>1143</v>
      </c>
      <c r="R140" s="41">
        <f t="shared" si="16"/>
        <v>7086</v>
      </c>
      <c r="S140" s="42" t="str">
        <f t="shared" si="17"/>
        <v>Overstock 📦</v>
      </c>
      <c r="T140" s="43">
        <f>IFERROR(N140/AVERAGE(M137:M141),0)</f>
        <v>0.18609349224649546</v>
      </c>
      <c r="U140" s="44">
        <v>-1302.27</v>
      </c>
      <c r="V140" s="45">
        <v>0.60570000000000002</v>
      </c>
    </row>
    <row r="141" spans="1:22" ht="15" customHeight="1" x14ac:dyDescent="0.35">
      <c r="A141" s="31">
        <v>5</v>
      </c>
      <c r="B141" s="32">
        <v>2025</v>
      </c>
      <c r="C141" s="31" t="s">
        <v>264</v>
      </c>
      <c r="D141" s="31" t="s">
        <v>88</v>
      </c>
      <c r="E141" s="33" t="s">
        <v>89</v>
      </c>
      <c r="F141" s="31" t="s">
        <v>36</v>
      </c>
      <c r="G141" s="34">
        <v>2586</v>
      </c>
      <c r="H141" s="34">
        <v>9</v>
      </c>
      <c r="I141" s="34">
        <f>IFERROR(ROUND('Data Bulanan'!EC32,0),0)</f>
        <v>38624</v>
      </c>
      <c r="J141" s="34">
        <v>2357672</v>
      </c>
      <c r="K141" s="34">
        <v>206497</v>
      </c>
      <c r="L141" s="35">
        <f t="shared" si="12"/>
        <v>939</v>
      </c>
      <c r="M141" s="36">
        <f>IFERROR(AVERAGE('Data Bulanan'!DF32,'Data Bulanan'!DH32,'Data Bulanan'!DJ32,'Data Bulanan'!DL32,'Data Bulanan'!DN32,'Data Bulanan'!DP32,'Data Bulanan'!DR32,'Data Bulanan'!DT32,'Data Bulanan'!DV32,'Data Bulanan'!DX32,'Data Bulanan'!DZ32,'Data Bulanan'!EB32),0)</f>
        <v>102.59234511008704</v>
      </c>
      <c r="N141" s="37">
        <f>'Data Bulanan'!ED32</f>
        <v>21.399001800884633</v>
      </c>
      <c r="O141" s="38">
        <f t="shared" si="13"/>
        <v>64.1970054026539</v>
      </c>
      <c r="P141" s="39">
        <f t="shared" si="14"/>
        <v>106</v>
      </c>
      <c r="Q141" s="40">
        <f t="shared" si="15"/>
        <v>1029</v>
      </c>
      <c r="R141" s="41">
        <f t="shared" si="16"/>
        <v>1557</v>
      </c>
      <c r="S141" s="42" t="str">
        <f t="shared" si="17"/>
        <v>Overstock 📦</v>
      </c>
      <c r="T141" s="43">
        <f>IFERROR(N141/AVERAGE(M137:M141),0)</f>
        <v>0.18614524182329928</v>
      </c>
      <c r="U141" s="44">
        <v>-1302.27</v>
      </c>
      <c r="V141" s="45">
        <v>0.60570000000000002</v>
      </c>
    </row>
    <row r="142" spans="1:22" ht="15" customHeight="1" x14ac:dyDescent="0.35">
      <c r="A142" s="46">
        <v>1</v>
      </c>
      <c r="B142" s="32">
        <v>2021</v>
      </c>
      <c r="C142" s="46" t="s">
        <v>263</v>
      </c>
      <c r="D142" s="46" t="s">
        <v>90</v>
      </c>
      <c r="E142" s="47" t="s">
        <v>91</v>
      </c>
      <c r="F142" s="46" t="s">
        <v>36</v>
      </c>
      <c r="G142" s="34">
        <v>1418</v>
      </c>
      <c r="H142" s="34">
        <v>10</v>
      </c>
      <c r="I142" s="34">
        <f>IFERROR(ROUND('Data Bulanan'!AC33,0),0)</f>
        <v>18246</v>
      </c>
      <c r="J142" s="34">
        <v>780175</v>
      </c>
      <c r="K142" s="34">
        <v>294147</v>
      </c>
      <c r="L142" s="35">
        <f t="shared" si="12"/>
        <v>311</v>
      </c>
      <c r="M142" s="36">
        <f>IFERROR(AVERAGE('Data Bulanan'!F33,'Data Bulanan'!H33,'Data Bulanan'!J33,'Data Bulanan'!L33,'Data Bulanan'!N33,'Data Bulanan'!P33,'Data Bulanan'!R33,'Data Bulanan'!T33,'Data Bulanan'!V33,'Data Bulanan'!X33,'Data Bulanan'!Z33,'Data Bulanan'!AB33),0)</f>
        <v>48.634120583717355</v>
      </c>
      <c r="N142" s="37">
        <f>'Data Bulanan'!AD33</f>
        <v>10.67935048968992</v>
      </c>
      <c r="O142" s="38">
        <f t="shared" si="13"/>
        <v>33.771071478654676</v>
      </c>
      <c r="P142" s="39">
        <f t="shared" si="14"/>
        <v>56</v>
      </c>
      <c r="Q142" s="40">
        <f t="shared" si="15"/>
        <v>542</v>
      </c>
      <c r="R142" s="41">
        <f t="shared" si="16"/>
        <v>876</v>
      </c>
      <c r="S142" s="42" t="str">
        <f t="shared" si="17"/>
        <v>Overstock 📦</v>
      </c>
      <c r="T142" s="43">
        <f>IFERROR(N142/AVERAGE(M142:M146),0)</f>
        <v>0.21123511820403329</v>
      </c>
      <c r="U142" s="44">
        <v>-46.23</v>
      </c>
      <c r="V142" s="45">
        <v>1.6999999999999999E-3</v>
      </c>
    </row>
    <row r="143" spans="1:22" ht="15" customHeight="1" x14ac:dyDescent="0.35">
      <c r="A143" s="46">
        <v>2</v>
      </c>
      <c r="B143" s="32">
        <v>2022</v>
      </c>
      <c r="C143" s="46" t="s">
        <v>263</v>
      </c>
      <c r="D143" s="46" t="s">
        <v>90</v>
      </c>
      <c r="E143" s="47" t="s">
        <v>91</v>
      </c>
      <c r="F143" s="46" t="s">
        <v>36</v>
      </c>
      <c r="G143" s="34">
        <v>1119</v>
      </c>
      <c r="H143" s="34">
        <v>10</v>
      </c>
      <c r="I143" s="34">
        <f>IFERROR(ROUND('Data Bulanan'!BC33,0),0)</f>
        <v>19551</v>
      </c>
      <c r="J143" s="34">
        <v>803674</v>
      </c>
      <c r="K143" s="34">
        <v>272198</v>
      </c>
      <c r="L143" s="35">
        <f t="shared" si="12"/>
        <v>340</v>
      </c>
      <c r="M143" s="36">
        <f>IFERROR(AVERAGE('Data Bulanan'!AF33,'Data Bulanan'!AH33,'Data Bulanan'!AJ33,'Data Bulanan'!AL33,'Data Bulanan'!AN33,'Data Bulanan'!AP33,'Data Bulanan'!AR33,'Data Bulanan'!AT33,'Data Bulanan'!AV33,'Data Bulanan'!AX33,'Data Bulanan'!AZ33,'Data Bulanan'!BB33),0)</f>
        <v>52.090796210957507</v>
      </c>
      <c r="N143" s="37">
        <f>'Data Bulanan'!BD33</f>
        <v>12.999924372593986</v>
      </c>
      <c r="O143" s="38">
        <f t="shared" si="13"/>
        <v>41.109370427332401</v>
      </c>
      <c r="P143" s="39">
        <f t="shared" si="14"/>
        <v>68</v>
      </c>
      <c r="Q143" s="40">
        <f t="shared" si="15"/>
        <v>589</v>
      </c>
      <c r="R143" s="41">
        <f t="shared" si="16"/>
        <v>530</v>
      </c>
      <c r="S143" s="42" t="str">
        <f t="shared" si="17"/>
        <v>Overstock 📦</v>
      </c>
      <c r="T143" s="43">
        <f>IFERROR(N143/AVERAGE(M142:M146),0)</f>
        <v>0.25713554060609506</v>
      </c>
      <c r="U143" s="44">
        <v>-46.23</v>
      </c>
      <c r="V143" s="45">
        <v>1.6999999999999999E-3</v>
      </c>
    </row>
    <row r="144" spans="1:22" ht="15" customHeight="1" x14ac:dyDescent="0.35">
      <c r="A144" s="46">
        <v>3</v>
      </c>
      <c r="B144" s="32">
        <v>2023</v>
      </c>
      <c r="C144" s="46" t="s">
        <v>263</v>
      </c>
      <c r="D144" s="46" t="s">
        <v>90</v>
      </c>
      <c r="E144" s="47" t="s">
        <v>91</v>
      </c>
      <c r="F144" s="46" t="s">
        <v>36</v>
      </c>
      <c r="G144" s="34">
        <v>0</v>
      </c>
      <c r="H144" s="34">
        <v>10</v>
      </c>
      <c r="I144" s="34">
        <f>IFERROR(ROUND('Data Bulanan'!CC33,0),0)</f>
        <v>18498</v>
      </c>
      <c r="J144" s="34">
        <v>745255</v>
      </c>
      <c r="K144" s="34">
        <v>257759</v>
      </c>
      <c r="L144" s="35">
        <f t="shared" si="12"/>
        <v>327</v>
      </c>
      <c r="M144" s="36">
        <f>IFERROR(AVERAGE('Data Bulanan'!BF33,'Data Bulanan'!BH33,'Data Bulanan'!BJ33,'Data Bulanan'!BL33,'Data Bulanan'!BN33,'Data Bulanan'!BP33,'Data Bulanan'!BR33,'Data Bulanan'!BT33,'Data Bulanan'!BV33,'Data Bulanan'!BX33,'Data Bulanan'!BZ33,'Data Bulanan'!CB33),0)</f>
        <v>49.340296979006659</v>
      </c>
      <c r="N144" s="37">
        <f>'Data Bulanan'!CD33</f>
        <v>9.141060020576278</v>
      </c>
      <c r="O144" s="38">
        <f t="shared" si="13"/>
        <v>28.906569893326672</v>
      </c>
      <c r="P144" s="39">
        <f t="shared" si="14"/>
        <v>48</v>
      </c>
      <c r="Q144" s="40">
        <f t="shared" si="15"/>
        <v>541</v>
      </c>
      <c r="R144" s="41">
        <f t="shared" si="16"/>
        <v>-541</v>
      </c>
      <c r="S144" s="42" t="str">
        <f t="shared" si="17"/>
        <v>Stockout ⚠</v>
      </c>
      <c r="T144" s="43">
        <f>IFERROR(N144/AVERAGE(M142:M146),0)</f>
        <v>0.18080808339615212</v>
      </c>
      <c r="U144" s="44">
        <v>-46.23</v>
      </c>
      <c r="V144" s="45">
        <v>1.6999999999999999E-3</v>
      </c>
    </row>
    <row r="145" spans="1:22" ht="15" customHeight="1" x14ac:dyDescent="0.35">
      <c r="A145" s="46">
        <v>4</v>
      </c>
      <c r="B145" s="32">
        <v>2024</v>
      </c>
      <c r="C145" s="46" t="s">
        <v>263</v>
      </c>
      <c r="D145" s="46" t="s">
        <v>90</v>
      </c>
      <c r="E145" s="47" t="s">
        <v>91</v>
      </c>
      <c r="F145" s="46" t="s">
        <v>36</v>
      </c>
      <c r="G145" s="34">
        <v>1802</v>
      </c>
      <c r="H145" s="34">
        <v>10</v>
      </c>
      <c r="I145" s="34">
        <f>IFERROR(ROUND('Data Bulanan'!DC33,0),0)</f>
        <v>21666</v>
      </c>
      <c r="J145" s="34">
        <v>821947</v>
      </c>
      <c r="K145" s="34">
        <v>244990</v>
      </c>
      <c r="L145" s="35">
        <f t="shared" si="12"/>
        <v>381</v>
      </c>
      <c r="M145" s="36">
        <f>IFERROR(AVERAGE('Data Bulanan'!CF33,'Data Bulanan'!CH33,'Data Bulanan'!CJ33,'Data Bulanan'!CL33,'Data Bulanan'!CN33,'Data Bulanan'!CP33,'Data Bulanan'!CR33,'Data Bulanan'!CT33,'Data Bulanan'!CV33,'Data Bulanan'!CX33,'Data Bulanan'!CZ33,'Data Bulanan'!DB33),0)</f>
        <v>57.469930875576033</v>
      </c>
      <c r="N145" s="37">
        <f>'Data Bulanan'!DD33</f>
        <v>14.33319700680353</v>
      </c>
      <c r="O145" s="38">
        <f t="shared" si="13"/>
        <v>45.325548693407086</v>
      </c>
      <c r="P145" s="39">
        <f t="shared" si="14"/>
        <v>75</v>
      </c>
      <c r="Q145" s="40">
        <f t="shared" si="15"/>
        <v>650</v>
      </c>
      <c r="R145" s="41">
        <f t="shared" si="16"/>
        <v>1152</v>
      </c>
      <c r="S145" s="42" t="str">
        <f t="shared" si="17"/>
        <v>Overstock 📦</v>
      </c>
      <c r="T145" s="43">
        <f>IFERROR(N145/AVERAGE(M142:M146),0)</f>
        <v>0.28350736937577087</v>
      </c>
      <c r="U145" s="44">
        <v>-46.23</v>
      </c>
      <c r="V145" s="45">
        <v>1.6999999999999999E-3</v>
      </c>
    </row>
    <row r="146" spans="1:22" ht="15" customHeight="1" x14ac:dyDescent="0.35">
      <c r="A146" s="46">
        <v>5</v>
      </c>
      <c r="B146" s="32">
        <v>2025</v>
      </c>
      <c r="C146" s="46" t="s">
        <v>263</v>
      </c>
      <c r="D146" s="46" t="s">
        <v>90</v>
      </c>
      <c r="E146" s="47" t="s">
        <v>91</v>
      </c>
      <c r="F146" s="46" t="s">
        <v>36</v>
      </c>
      <c r="G146" s="34">
        <v>0</v>
      </c>
      <c r="H146" s="34">
        <v>10</v>
      </c>
      <c r="I146" s="34">
        <f>IFERROR(ROUND('Data Bulanan'!EC33,0),0)</f>
        <v>16958</v>
      </c>
      <c r="J146" s="34">
        <v>757874</v>
      </c>
      <c r="K146" s="34">
        <v>251379</v>
      </c>
      <c r="L146" s="35">
        <f t="shared" si="12"/>
        <v>320</v>
      </c>
      <c r="M146" s="36">
        <f>IFERROR(AVERAGE('Data Bulanan'!DF33,'Data Bulanan'!DH33,'Data Bulanan'!DJ33,'Data Bulanan'!DL33,'Data Bulanan'!DN33,'Data Bulanan'!DP33,'Data Bulanan'!DR33,'Data Bulanan'!DT33,'Data Bulanan'!DV33,'Data Bulanan'!DX33,'Data Bulanan'!DZ33,'Data Bulanan'!EB33),0)</f>
        <v>45.248355094726065</v>
      </c>
      <c r="N146" s="37">
        <f>'Data Bulanan'!ED33</f>
        <v>9.8833137881134743</v>
      </c>
      <c r="O146" s="38">
        <f t="shared" si="13"/>
        <v>31.253782400585362</v>
      </c>
      <c r="P146" s="39">
        <f t="shared" si="14"/>
        <v>52</v>
      </c>
      <c r="Q146" s="40">
        <f t="shared" si="15"/>
        <v>504</v>
      </c>
      <c r="R146" s="41">
        <f t="shared" si="16"/>
        <v>-504</v>
      </c>
      <c r="S146" s="42" t="str">
        <f t="shared" si="17"/>
        <v>Stockout ⚠</v>
      </c>
      <c r="T146" s="43">
        <f>IFERROR(N146/AVERAGE(M142:M146),0)</f>
        <v>0.19548969371266689</v>
      </c>
      <c r="U146" s="44">
        <v>-46.23</v>
      </c>
      <c r="V146" s="45">
        <v>1.6999999999999999E-3</v>
      </c>
    </row>
    <row r="147" spans="1:22" ht="15" customHeight="1" x14ac:dyDescent="0.35">
      <c r="A147" s="31">
        <v>1</v>
      </c>
      <c r="B147" s="32">
        <v>2021</v>
      </c>
      <c r="C147" s="31" t="s">
        <v>264</v>
      </c>
      <c r="D147" s="31" t="s">
        <v>92</v>
      </c>
      <c r="E147" s="33" t="s">
        <v>93</v>
      </c>
      <c r="F147" s="31" t="s">
        <v>36</v>
      </c>
      <c r="G147" s="34">
        <v>0</v>
      </c>
      <c r="H147" s="34">
        <v>38</v>
      </c>
      <c r="I147" s="34">
        <f>IFERROR(ROUND('Data Bulanan'!AC34,0),0)</f>
        <v>16336</v>
      </c>
      <c r="J147" s="34">
        <v>9747343</v>
      </c>
      <c r="K147" s="34">
        <v>259502</v>
      </c>
      <c r="L147" s="35">
        <f t="shared" si="12"/>
        <v>1108</v>
      </c>
      <c r="M147" s="36">
        <f>IFERROR(AVERAGE('Data Bulanan'!F34,'Data Bulanan'!H34,'Data Bulanan'!J34,'Data Bulanan'!L34,'Data Bulanan'!N34,'Data Bulanan'!P34,'Data Bulanan'!R34,'Data Bulanan'!T34,'Data Bulanan'!V34,'Data Bulanan'!X34,'Data Bulanan'!Z34,'Data Bulanan'!AB34),0)</f>
        <v>43.554960317460313</v>
      </c>
      <c r="N147" s="37">
        <f>'Data Bulanan'!AD34</f>
        <v>9.7055031386061081</v>
      </c>
      <c r="O147" s="38">
        <f t="shared" si="13"/>
        <v>59.828739453482839</v>
      </c>
      <c r="P147" s="39">
        <f t="shared" si="14"/>
        <v>99</v>
      </c>
      <c r="Q147" s="40">
        <f t="shared" si="15"/>
        <v>1754</v>
      </c>
      <c r="R147" s="41">
        <f t="shared" si="16"/>
        <v>-1754</v>
      </c>
      <c r="S147" s="42" t="str">
        <f t="shared" si="17"/>
        <v>Stockout ⚠</v>
      </c>
      <c r="T147" s="43">
        <f>IFERROR(N147/AVERAGE(M147:M151),0)</f>
        <v>0.22770596802195331</v>
      </c>
      <c r="U147" s="44">
        <v>67.69</v>
      </c>
      <c r="V147" s="45">
        <v>1.0800000000000001E-2</v>
      </c>
    </row>
    <row r="148" spans="1:22" ht="15" customHeight="1" x14ac:dyDescent="0.35">
      <c r="A148" s="31">
        <v>2</v>
      </c>
      <c r="B148" s="32">
        <v>2022</v>
      </c>
      <c r="C148" s="31" t="s">
        <v>264</v>
      </c>
      <c r="D148" s="31" t="s">
        <v>92</v>
      </c>
      <c r="E148" s="33" t="s">
        <v>93</v>
      </c>
      <c r="F148" s="31" t="s">
        <v>36</v>
      </c>
      <c r="G148" s="34">
        <v>4995</v>
      </c>
      <c r="H148" s="34">
        <v>38</v>
      </c>
      <c r="I148" s="34">
        <f>IFERROR(ROUND('Data Bulanan'!BC34,0),0)</f>
        <v>15705</v>
      </c>
      <c r="J148" s="34">
        <v>8304171</v>
      </c>
      <c r="K148" s="34">
        <v>251004</v>
      </c>
      <c r="L148" s="35">
        <f t="shared" si="12"/>
        <v>1019</v>
      </c>
      <c r="M148" s="36">
        <f>IFERROR(AVERAGE('Data Bulanan'!AF34,'Data Bulanan'!AH34,'Data Bulanan'!AJ34,'Data Bulanan'!AL34,'Data Bulanan'!AN34,'Data Bulanan'!AP34,'Data Bulanan'!AR34,'Data Bulanan'!AT34,'Data Bulanan'!AV34,'Data Bulanan'!AX34,'Data Bulanan'!AZ34,'Data Bulanan'!BB34),0)</f>
        <v>41.832885304659499</v>
      </c>
      <c r="N148" s="37">
        <f>'Data Bulanan'!BD34</f>
        <v>6.9842143313112501</v>
      </c>
      <c r="O148" s="38">
        <f t="shared" si="13"/>
        <v>43.053588623671672</v>
      </c>
      <c r="P148" s="39">
        <f t="shared" si="14"/>
        <v>71</v>
      </c>
      <c r="Q148" s="40">
        <f t="shared" si="15"/>
        <v>1661</v>
      </c>
      <c r="R148" s="41">
        <f t="shared" si="16"/>
        <v>3334</v>
      </c>
      <c r="S148" s="42" t="str">
        <f t="shared" si="17"/>
        <v>Overstock 📦</v>
      </c>
      <c r="T148" s="43">
        <f>IFERROR(N148/AVERAGE(M147:M151),0)</f>
        <v>0.16386036483343316</v>
      </c>
      <c r="U148" s="44">
        <v>67.69</v>
      </c>
      <c r="V148" s="45">
        <v>1.0800000000000001E-2</v>
      </c>
    </row>
    <row r="149" spans="1:22" ht="15" customHeight="1" x14ac:dyDescent="0.35">
      <c r="A149" s="31">
        <v>3</v>
      </c>
      <c r="B149" s="32">
        <v>2023</v>
      </c>
      <c r="C149" s="31" t="s">
        <v>264</v>
      </c>
      <c r="D149" s="31" t="s">
        <v>92</v>
      </c>
      <c r="E149" s="33" t="s">
        <v>93</v>
      </c>
      <c r="F149" s="31" t="s">
        <v>36</v>
      </c>
      <c r="G149" s="34">
        <v>7202</v>
      </c>
      <c r="H149" s="34">
        <v>38</v>
      </c>
      <c r="I149" s="34">
        <f>IFERROR(ROUND('Data Bulanan'!CC34,0),0)</f>
        <v>14721</v>
      </c>
      <c r="J149" s="34">
        <v>9067126</v>
      </c>
      <c r="K149" s="34">
        <v>257879</v>
      </c>
      <c r="L149" s="35">
        <f t="shared" si="12"/>
        <v>1017</v>
      </c>
      <c r="M149" s="36">
        <f>IFERROR(AVERAGE('Data Bulanan'!BF34,'Data Bulanan'!BH34,'Data Bulanan'!BJ34,'Data Bulanan'!BL34,'Data Bulanan'!BN34,'Data Bulanan'!BP34,'Data Bulanan'!BR34,'Data Bulanan'!BT34,'Data Bulanan'!BV34,'Data Bulanan'!BX34,'Data Bulanan'!BZ34,'Data Bulanan'!CB34),0)</f>
        <v>39.264010496671787</v>
      </c>
      <c r="N149" s="37">
        <f>'Data Bulanan'!CD34</f>
        <v>8.54782145427016</v>
      </c>
      <c r="O149" s="38">
        <f t="shared" si="13"/>
        <v>52.692310267581611</v>
      </c>
      <c r="P149" s="39">
        <f t="shared" si="14"/>
        <v>87</v>
      </c>
      <c r="Q149" s="40">
        <f t="shared" si="15"/>
        <v>1579</v>
      </c>
      <c r="R149" s="41">
        <f t="shared" si="16"/>
        <v>5623</v>
      </c>
      <c r="S149" s="42" t="str">
        <f t="shared" si="17"/>
        <v>Overstock 📦</v>
      </c>
      <c r="T149" s="43">
        <f>IFERROR(N149/AVERAGE(M147:M151),0)</f>
        <v>0.20054498266876514</v>
      </c>
      <c r="U149" s="44">
        <v>67.69</v>
      </c>
      <c r="V149" s="45">
        <v>1.0800000000000001E-2</v>
      </c>
    </row>
    <row r="150" spans="1:22" ht="15" customHeight="1" x14ac:dyDescent="0.35">
      <c r="A150" s="31">
        <v>4</v>
      </c>
      <c r="B150" s="32">
        <v>2024</v>
      </c>
      <c r="C150" s="31" t="s">
        <v>264</v>
      </c>
      <c r="D150" s="31" t="s">
        <v>92</v>
      </c>
      <c r="E150" s="33" t="s">
        <v>93</v>
      </c>
      <c r="F150" s="31" t="s">
        <v>36</v>
      </c>
      <c r="G150" s="34">
        <v>10488</v>
      </c>
      <c r="H150" s="34">
        <v>38</v>
      </c>
      <c r="I150" s="34">
        <f>IFERROR(ROUND('Data Bulanan'!DC34,0),0)</f>
        <v>17536</v>
      </c>
      <c r="J150" s="34">
        <v>8479067</v>
      </c>
      <c r="K150" s="34">
        <v>221137</v>
      </c>
      <c r="L150" s="35">
        <f t="shared" si="12"/>
        <v>1160</v>
      </c>
      <c r="M150" s="36">
        <f>IFERROR(AVERAGE('Data Bulanan'!CF34,'Data Bulanan'!CH34,'Data Bulanan'!CJ34,'Data Bulanan'!CL34,'Data Bulanan'!CN34,'Data Bulanan'!CP34,'Data Bulanan'!CR34,'Data Bulanan'!CT34,'Data Bulanan'!CV34,'Data Bulanan'!CX34,'Data Bulanan'!CZ34,'Data Bulanan'!DB34),0)</f>
        <v>46.602022529441882</v>
      </c>
      <c r="N150" s="37">
        <f>'Data Bulanan'!DD34</f>
        <v>7.9002025848674693</v>
      </c>
      <c r="O150" s="38">
        <f t="shared" si="13"/>
        <v>48.700119440448731</v>
      </c>
      <c r="P150" s="39">
        <f t="shared" si="14"/>
        <v>80</v>
      </c>
      <c r="Q150" s="40">
        <f t="shared" si="15"/>
        <v>1851</v>
      </c>
      <c r="R150" s="41">
        <f t="shared" si="16"/>
        <v>8637</v>
      </c>
      <c r="S150" s="42" t="str">
        <f t="shared" si="17"/>
        <v>Overstock 📦</v>
      </c>
      <c r="T150" s="43">
        <f>IFERROR(N150/AVERAGE(M147:M151),0)</f>
        <v>0.18535085213677485</v>
      </c>
      <c r="U150" s="44">
        <v>67.69</v>
      </c>
      <c r="V150" s="45">
        <v>1.0800000000000001E-2</v>
      </c>
    </row>
    <row r="151" spans="1:22" ht="15" customHeight="1" x14ac:dyDescent="0.35">
      <c r="A151" s="31">
        <v>5</v>
      </c>
      <c r="B151" s="32">
        <v>2025</v>
      </c>
      <c r="C151" s="31" t="s">
        <v>264</v>
      </c>
      <c r="D151" s="31" t="s">
        <v>92</v>
      </c>
      <c r="E151" s="33" t="s">
        <v>93</v>
      </c>
      <c r="F151" s="31" t="s">
        <v>36</v>
      </c>
      <c r="G151" s="34">
        <v>2683</v>
      </c>
      <c r="H151" s="34">
        <v>38</v>
      </c>
      <c r="I151" s="34">
        <f>IFERROR(ROUND('Data Bulanan'!EC34,0),0)</f>
        <v>15759</v>
      </c>
      <c r="J151" s="34">
        <v>8589748</v>
      </c>
      <c r="K151" s="34">
        <v>237006</v>
      </c>
      <c r="L151" s="35">
        <f t="shared" si="12"/>
        <v>1069</v>
      </c>
      <c r="M151" s="36">
        <f>IFERROR(AVERAGE('Data Bulanan'!DF34,'Data Bulanan'!DH34,'Data Bulanan'!DJ34,'Data Bulanan'!DL34,'Data Bulanan'!DN34,'Data Bulanan'!DP34,'Data Bulanan'!DR34,'Data Bulanan'!DT34,'Data Bulanan'!DV34,'Data Bulanan'!DX34,'Data Bulanan'!DZ34,'Data Bulanan'!EB34),0)</f>
        <v>41.86093830005121</v>
      </c>
      <c r="N151" s="37">
        <f>'Data Bulanan'!ED34</f>
        <v>11.521416775870804</v>
      </c>
      <c r="O151" s="38">
        <f t="shared" si="13"/>
        <v>71.022782907219664</v>
      </c>
      <c r="P151" s="39">
        <f t="shared" si="14"/>
        <v>117</v>
      </c>
      <c r="Q151" s="40">
        <f t="shared" si="15"/>
        <v>1708</v>
      </c>
      <c r="R151" s="41">
        <f t="shared" si="16"/>
        <v>975</v>
      </c>
      <c r="S151" s="42" t="str">
        <f t="shared" si="17"/>
        <v>Aman ✅</v>
      </c>
      <c r="T151" s="43">
        <f>IFERROR(N151/AVERAGE(M147:M151),0)</f>
        <v>0.27031008310104127</v>
      </c>
      <c r="U151" s="44">
        <v>67.69</v>
      </c>
      <c r="V151" s="45">
        <v>1.0800000000000001E-2</v>
      </c>
    </row>
    <row r="152" spans="1:22" ht="15" customHeight="1" x14ac:dyDescent="0.35">
      <c r="A152" s="46">
        <v>1</v>
      </c>
      <c r="B152" s="32">
        <v>2021</v>
      </c>
      <c r="C152" s="46" t="s">
        <v>263</v>
      </c>
      <c r="D152" s="46" t="s">
        <v>94</v>
      </c>
      <c r="E152" s="47" t="s">
        <v>95</v>
      </c>
      <c r="F152" s="46" t="s">
        <v>36</v>
      </c>
      <c r="G152" s="34">
        <v>0</v>
      </c>
      <c r="H152" s="34">
        <v>5</v>
      </c>
      <c r="I152" s="34">
        <f>IFERROR(ROUND('Data Bulanan'!AC35,0),0)</f>
        <v>12508</v>
      </c>
      <c r="J152" s="34">
        <v>731241</v>
      </c>
      <c r="K152" s="34">
        <v>320260</v>
      </c>
      <c r="L152" s="35">
        <f t="shared" si="12"/>
        <v>239</v>
      </c>
      <c r="M152" s="36">
        <f>IFERROR(AVERAGE('Data Bulanan'!F35,'Data Bulanan'!H35,'Data Bulanan'!J35,'Data Bulanan'!L35,'Data Bulanan'!N35,'Data Bulanan'!P35,'Data Bulanan'!R35,'Data Bulanan'!T35,'Data Bulanan'!V35,'Data Bulanan'!X35,'Data Bulanan'!Z35,'Data Bulanan'!AB35),0)</f>
        <v>33.356784434203796</v>
      </c>
      <c r="N152" s="37">
        <f>'Data Bulanan'!AD35</f>
        <v>8.6411708850947786</v>
      </c>
      <c r="O152" s="38">
        <f t="shared" si="13"/>
        <v>19.32224550426395</v>
      </c>
      <c r="P152" s="39">
        <f t="shared" si="14"/>
        <v>32</v>
      </c>
      <c r="Q152" s="40">
        <f t="shared" si="15"/>
        <v>199</v>
      </c>
      <c r="R152" s="41">
        <f t="shared" si="16"/>
        <v>-199</v>
      </c>
      <c r="S152" s="42" t="str">
        <f t="shared" si="17"/>
        <v>Stockout ⚠</v>
      </c>
      <c r="T152" s="43">
        <f>IFERROR(N152/AVERAGE(M152:M156),0)</f>
        <v>0.22026909265888561</v>
      </c>
      <c r="U152" s="44">
        <v>529.79</v>
      </c>
      <c r="V152" s="45">
        <v>0.31929999999999997</v>
      </c>
    </row>
    <row r="153" spans="1:22" ht="15" customHeight="1" x14ac:dyDescent="0.35">
      <c r="A153" s="46">
        <v>2</v>
      </c>
      <c r="B153" s="32">
        <v>2022</v>
      </c>
      <c r="C153" s="46" t="s">
        <v>263</v>
      </c>
      <c r="D153" s="46" t="s">
        <v>94</v>
      </c>
      <c r="E153" s="47" t="s">
        <v>95</v>
      </c>
      <c r="F153" s="46" t="s">
        <v>36</v>
      </c>
      <c r="G153" s="34">
        <v>673</v>
      </c>
      <c r="H153" s="34">
        <v>5</v>
      </c>
      <c r="I153" s="34">
        <f>IFERROR(ROUND('Data Bulanan'!BC35,0),0)</f>
        <v>16105</v>
      </c>
      <c r="J153" s="34">
        <v>739484</v>
      </c>
      <c r="K153" s="34">
        <v>301033</v>
      </c>
      <c r="L153" s="35">
        <f t="shared" si="12"/>
        <v>281</v>
      </c>
      <c r="M153" s="36">
        <f>IFERROR(AVERAGE('Data Bulanan'!AF35,'Data Bulanan'!AH35,'Data Bulanan'!AJ35,'Data Bulanan'!AL35,'Data Bulanan'!AN35,'Data Bulanan'!AP35,'Data Bulanan'!AR35,'Data Bulanan'!AT35,'Data Bulanan'!AV35,'Data Bulanan'!AX35,'Data Bulanan'!AZ35,'Data Bulanan'!BB35),0)</f>
        <v>42.814816948284694</v>
      </c>
      <c r="N153" s="37">
        <f>'Data Bulanan'!BD35</f>
        <v>8.0763714543145806</v>
      </c>
      <c r="O153" s="38">
        <f t="shared" si="13"/>
        <v>18.05931558338624</v>
      </c>
      <c r="P153" s="39">
        <f t="shared" si="14"/>
        <v>30</v>
      </c>
      <c r="Q153" s="40">
        <f t="shared" si="15"/>
        <v>244</v>
      </c>
      <c r="R153" s="41">
        <f t="shared" si="16"/>
        <v>429</v>
      </c>
      <c r="S153" s="42" t="str">
        <f t="shared" si="17"/>
        <v>Overstock 📦</v>
      </c>
      <c r="T153" s="43">
        <f>IFERROR(N153/AVERAGE(M152:M156),0)</f>
        <v>0.20587198608542329</v>
      </c>
      <c r="U153" s="44">
        <v>529.79</v>
      </c>
      <c r="V153" s="45">
        <v>0.31929999999999997</v>
      </c>
    </row>
    <row r="154" spans="1:22" ht="15" customHeight="1" x14ac:dyDescent="0.35">
      <c r="A154" s="46">
        <v>3</v>
      </c>
      <c r="B154" s="32">
        <v>2023</v>
      </c>
      <c r="C154" s="46" t="s">
        <v>263</v>
      </c>
      <c r="D154" s="46" t="s">
        <v>94</v>
      </c>
      <c r="E154" s="47" t="s">
        <v>95</v>
      </c>
      <c r="F154" s="46" t="s">
        <v>36</v>
      </c>
      <c r="G154" s="34">
        <v>1704</v>
      </c>
      <c r="H154" s="34">
        <v>5</v>
      </c>
      <c r="I154" s="34">
        <f>IFERROR(ROUND('Data Bulanan'!CC35,0),0)</f>
        <v>14750</v>
      </c>
      <c r="J154" s="34">
        <v>793123</v>
      </c>
      <c r="K154" s="34">
        <v>339860</v>
      </c>
      <c r="L154" s="35">
        <f t="shared" si="12"/>
        <v>262</v>
      </c>
      <c r="M154" s="36">
        <f>IFERROR(AVERAGE('Data Bulanan'!BF35,'Data Bulanan'!BH35,'Data Bulanan'!BJ35,'Data Bulanan'!BL35,'Data Bulanan'!BN35,'Data Bulanan'!BP35,'Data Bulanan'!BR35,'Data Bulanan'!BT35,'Data Bulanan'!BV35,'Data Bulanan'!BX35,'Data Bulanan'!BZ35,'Data Bulanan'!CB35),0)</f>
        <v>39.348079877112134</v>
      </c>
      <c r="N154" s="37">
        <f>'Data Bulanan'!CD35</f>
        <v>9.4797663121260065</v>
      </c>
      <c r="O154" s="38">
        <f t="shared" si="13"/>
        <v>21.19740188472624</v>
      </c>
      <c r="P154" s="39">
        <f t="shared" si="14"/>
        <v>35</v>
      </c>
      <c r="Q154" s="40">
        <f t="shared" si="15"/>
        <v>232</v>
      </c>
      <c r="R154" s="41">
        <f t="shared" si="16"/>
        <v>1472</v>
      </c>
      <c r="S154" s="42" t="str">
        <f t="shared" si="17"/>
        <v>Overstock 📦</v>
      </c>
      <c r="T154" s="43">
        <f>IFERROR(N154/AVERAGE(M152:M156),0)</f>
        <v>0.24164543809590022</v>
      </c>
      <c r="U154" s="44">
        <v>529.79</v>
      </c>
      <c r="V154" s="45">
        <v>0.31929999999999997</v>
      </c>
    </row>
    <row r="155" spans="1:22" ht="15" customHeight="1" x14ac:dyDescent="0.35">
      <c r="A155" s="46">
        <v>4</v>
      </c>
      <c r="B155" s="32">
        <v>2024</v>
      </c>
      <c r="C155" s="46" t="s">
        <v>263</v>
      </c>
      <c r="D155" s="46" t="s">
        <v>94</v>
      </c>
      <c r="E155" s="47" t="s">
        <v>95</v>
      </c>
      <c r="F155" s="46" t="s">
        <v>36</v>
      </c>
      <c r="G155" s="34">
        <v>159</v>
      </c>
      <c r="H155" s="34">
        <v>5</v>
      </c>
      <c r="I155" s="34">
        <f>IFERROR(ROUND('Data Bulanan'!DC35,0),0)</f>
        <v>14295</v>
      </c>
      <c r="J155" s="34">
        <v>771732</v>
      </c>
      <c r="K155" s="34">
        <v>281447</v>
      </c>
      <c r="L155" s="35">
        <f t="shared" si="12"/>
        <v>280</v>
      </c>
      <c r="M155" s="36">
        <f>IFERROR(AVERAGE('Data Bulanan'!CF35,'Data Bulanan'!CH35,'Data Bulanan'!CJ35,'Data Bulanan'!CL35,'Data Bulanan'!CN35,'Data Bulanan'!CP35,'Data Bulanan'!CR35,'Data Bulanan'!CT35,'Data Bulanan'!CV35,'Data Bulanan'!CX35,'Data Bulanan'!CZ35,'Data Bulanan'!DB35),0)</f>
        <v>37.923444700460827</v>
      </c>
      <c r="N155" s="37">
        <f>'Data Bulanan'!DD35</f>
        <v>8.3448868323686636</v>
      </c>
      <c r="O155" s="38">
        <f t="shared" si="13"/>
        <v>18.659734221719226</v>
      </c>
      <c r="P155" s="39">
        <f t="shared" si="14"/>
        <v>31</v>
      </c>
      <c r="Q155" s="40">
        <f t="shared" si="15"/>
        <v>221</v>
      </c>
      <c r="R155" s="41">
        <f t="shared" si="16"/>
        <v>-62</v>
      </c>
      <c r="S155" s="42" t="str">
        <f t="shared" si="17"/>
        <v>Reorder 🔄</v>
      </c>
      <c r="T155" s="43">
        <f>IFERROR(N155/AVERAGE(M152:M156),0)</f>
        <v>0.21271661854037813</v>
      </c>
      <c r="U155" s="44">
        <v>529.79</v>
      </c>
      <c r="V155" s="45">
        <v>0.31929999999999997</v>
      </c>
    </row>
    <row r="156" spans="1:22" ht="15" customHeight="1" x14ac:dyDescent="0.35">
      <c r="A156" s="46">
        <v>5</v>
      </c>
      <c r="B156" s="32">
        <v>2025</v>
      </c>
      <c r="C156" s="46" t="s">
        <v>263</v>
      </c>
      <c r="D156" s="46" t="s">
        <v>94</v>
      </c>
      <c r="E156" s="47" t="s">
        <v>95</v>
      </c>
      <c r="F156" s="46" t="s">
        <v>36</v>
      </c>
      <c r="G156" s="34">
        <v>0</v>
      </c>
      <c r="H156" s="34">
        <v>5</v>
      </c>
      <c r="I156" s="34">
        <f>IFERROR(ROUND('Data Bulanan'!EC35,0),0)</f>
        <v>16062</v>
      </c>
      <c r="J156" s="34">
        <v>713433</v>
      </c>
      <c r="K156" s="34">
        <v>316815</v>
      </c>
      <c r="L156" s="35">
        <f t="shared" si="12"/>
        <v>269</v>
      </c>
      <c r="M156" s="36">
        <f>IFERROR(AVERAGE('Data Bulanan'!DF35,'Data Bulanan'!DH35,'Data Bulanan'!DJ35,'Data Bulanan'!DL35,'Data Bulanan'!DN35,'Data Bulanan'!DP35,'Data Bulanan'!DR35,'Data Bulanan'!DT35,'Data Bulanan'!DV35,'Data Bulanan'!DX35,'Data Bulanan'!DZ35,'Data Bulanan'!EB35),0)</f>
        <v>42.707200460829505</v>
      </c>
      <c r="N156" s="37">
        <f>'Data Bulanan'!ED35</f>
        <v>8.0489063554611242</v>
      </c>
      <c r="O156" s="38">
        <f t="shared" si="13"/>
        <v>17.997901755341161</v>
      </c>
      <c r="P156" s="39">
        <f t="shared" si="14"/>
        <v>30</v>
      </c>
      <c r="Q156" s="40">
        <f t="shared" si="15"/>
        <v>244</v>
      </c>
      <c r="R156" s="41">
        <f t="shared" si="16"/>
        <v>-244</v>
      </c>
      <c r="S156" s="42" t="str">
        <f t="shared" si="17"/>
        <v>Stockout ⚠</v>
      </c>
      <c r="T156" s="43">
        <f>IFERROR(N156/AVERAGE(M152:M156),0)</f>
        <v>0.20517188276786563</v>
      </c>
      <c r="U156" s="44">
        <v>529.79</v>
      </c>
      <c r="V156" s="45">
        <v>0.31929999999999997</v>
      </c>
    </row>
    <row r="157" spans="1:22" ht="15" customHeight="1" x14ac:dyDescent="0.35">
      <c r="A157" s="31">
        <v>1</v>
      </c>
      <c r="B157" s="32">
        <v>2021</v>
      </c>
      <c r="C157" s="31" t="s">
        <v>263</v>
      </c>
      <c r="D157" s="31" t="s">
        <v>96</v>
      </c>
      <c r="E157" s="33" t="s">
        <v>97</v>
      </c>
      <c r="F157" s="31" t="s">
        <v>36</v>
      </c>
      <c r="G157" s="34">
        <v>18981</v>
      </c>
      <c r="H157" s="34">
        <v>29</v>
      </c>
      <c r="I157" s="34">
        <f>IFERROR(ROUND('Data Bulanan'!AC36,0),0)</f>
        <v>40370</v>
      </c>
      <c r="J157" s="34">
        <v>4675411</v>
      </c>
      <c r="K157" s="34">
        <v>267234</v>
      </c>
      <c r="L157" s="35">
        <f t="shared" si="12"/>
        <v>1189</v>
      </c>
      <c r="M157" s="36">
        <f>IFERROR(AVERAGE('Data Bulanan'!F36,'Data Bulanan'!H36,'Data Bulanan'!J36,'Data Bulanan'!L36,'Data Bulanan'!N36,'Data Bulanan'!P36,'Data Bulanan'!R36,'Data Bulanan'!T36,'Data Bulanan'!V36,'Data Bulanan'!X36,'Data Bulanan'!Z36,'Data Bulanan'!AB36),0)</f>
        <v>107.51873399897595</v>
      </c>
      <c r="N157" s="37">
        <f>'Data Bulanan'!AD36</f>
        <v>27.343814988026502</v>
      </c>
      <c r="O157" s="38">
        <f t="shared" si="13"/>
        <v>147.2509501663173</v>
      </c>
      <c r="P157" s="39">
        <f t="shared" si="14"/>
        <v>243</v>
      </c>
      <c r="Q157" s="40">
        <f t="shared" si="15"/>
        <v>3361</v>
      </c>
      <c r="R157" s="41">
        <f t="shared" si="16"/>
        <v>15620</v>
      </c>
      <c r="S157" s="42" t="str">
        <f t="shared" si="17"/>
        <v>Overstock 📦</v>
      </c>
      <c r="T157" s="43">
        <f>IFERROR(N157/AVERAGE(M157:M161),0)</f>
        <v>0.23205552124109616</v>
      </c>
      <c r="U157" s="44">
        <v>105.48</v>
      </c>
      <c r="V157" s="45">
        <v>8.0000000000000004E-4</v>
      </c>
    </row>
    <row r="158" spans="1:22" ht="15" customHeight="1" x14ac:dyDescent="0.35">
      <c r="A158" s="31">
        <v>2</v>
      </c>
      <c r="B158" s="32">
        <v>2022</v>
      </c>
      <c r="C158" s="31" t="s">
        <v>263</v>
      </c>
      <c r="D158" s="31" t="s">
        <v>96</v>
      </c>
      <c r="E158" s="33" t="s">
        <v>97</v>
      </c>
      <c r="F158" s="31" t="s">
        <v>36</v>
      </c>
      <c r="G158" s="34">
        <v>23882</v>
      </c>
      <c r="H158" s="34">
        <v>29</v>
      </c>
      <c r="I158" s="34">
        <f>IFERROR(ROUND('Data Bulanan'!BC36,0),0)</f>
        <v>53290</v>
      </c>
      <c r="J158" s="34">
        <v>5420166</v>
      </c>
      <c r="K158" s="34">
        <v>240955</v>
      </c>
      <c r="L158" s="35">
        <f t="shared" si="12"/>
        <v>1548</v>
      </c>
      <c r="M158" s="36">
        <f>IFERROR(AVERAGE('Data Bulanan'!AF36,'Data Bulanan'!AH36,'Data Bulanan'!AJ36,'Data Bulanan'!AL36,'Data Bulanan'!AN36,'Data Bulanan'!AP36,'Data Bulanan'!AR36,'Data Bulanan'!AT36,'Data Bulanan'!AV36,'Data Bulanan'!AX36,'Data Bulanan'!AZ36,'Data Bulanan'!BB36),0)</f>
        <v>141.95131208397336</v>
      </c>
      <c r="N158" s="37">
        <f>'Data Bulanan'!BD36</f>
        <v>30.860560625125803</v>
      </c>
      <c r="O158" s="38">
        <f t="shared" si="13"/>
        <v>166.18920500686826</v>
      </c>
      <c r="P158" s="39">
        <f t="shared" si="14"/>
        <v>274</v>
      </c>
      <c r="Q158" s="40">
        <f t="shared" si="15"/>
        <v>4391</v>
      </c>
      <c r="R158" s="41">
        <f t="shared" si="16"/>
        <v>19491</v>
      </c>
      <c r="S158" s="42" t="str">
        <f t="shared" si="17"/>
        <v>Overstock 📦</v>
      </c>
      <c r="T158" s="43">
        <f>IFERROR(N158/AVERAGE(M157:M161),0)</f>
        <v>0.26190067058279481</v>
      </c>
      <c r="U158" s="44">
        <v>105.48</v>
      </c>
      <c r="V158" s="45">
        <v>8.0000000000000004E-4</v>
      </c>
    </row>
    <row r="159" spans="1:22" ht="15" customHeight="1" x14ac:dyDescent="0.35">
      <c r="A159" s="31">
        <v>3</v>
      </c>
      <c r="B159" s="32">
        <v>2023</v>
      </c>
      <c r="C159" s="31" t="s">
        <v>263</v>
      </c>
      <c r="D159" s="31" t="s">
        <v>96</v>
      </c>
      <c r="E159" s="33" t="s">
        <v>97</v>
      </c>
      <c r="F159" s="31" t="s">
        <v>36</v>
      </c>
      <c r="G159" s="34">
        <v>9122</v>
      </c>
      <c r="H159" s="34">
        <v>29</v>
      </c>
      <c r="I159" s="34">
        <f>IFERROR(ROUND('Data Bulanan'!CC36,0),0)</f>
        <v>38881</v>
      </c>
      <c r="J159" s="34">
        <v>5510108</v>
      </c>
      <c r="K159" s="34">
        <v>258783</v>
      </c>
      <c r="L159" s="35">
        <f t="shared" si="12"/>
        <v>1287</v>
      </c>
      <c r="M159" s="36">
        <f>IFERROR(AVERAGE('Data Bulanan'!BF36,'Data Bulanan'!BH36,'Data Bulanan'!BJ36,'Data Bulanan'!BL36,'Data Bulanan'!BN36,'Data Bulanan'!BP36,'Data Bulanan'!BR36,'Data Bulanan'!BT36,'Data Bulanan'!BV36,'Data Bulanan'!BX36,'Data Bulanan'!BZ36,'Data Bulanan'!CB36),0)</f>
        <v>103.21808755760368</v>
      </c>
      <c r="N159" s="37">
        <f>'Data Bulanan'!CD36</f>
        <v>21.314631134249499</v>
      </c>
      <c r="O159" s="38">
        <f t="shared" si="13"/>
        <v>114.78280146121379</v>
      </c>
      <c r="P159" s="39">
        <f t="shared" si="14"/>
        <v>189</v>
      </c>
      <c r="Q159" s="40">
        <f t="shared" si="15"/>
        <v>3182</v>
      </c>
      <c r="R159" s="41">
        <f t="shared" si="16"/>
        <v>5940</v>
      </c>
      <c r="S159" s="42" t="str">
        <f t="shared" si="17"/>
        <v>Overstock 📦</v>
      </c>
      <c r="T159" s="43">
        <f>IFERROR(N159/AVERAGE(M157:M161),0)</f>
        <v>0.18088835958280988</v>
      </c>
      <c r="U159" s="44">
        <v>105.48</v>
      </c>
      <c r="V159" s="45">
        <v>8.0000000000000004E-4</v>
      </c>
    </row>
    <row r="160" spans="1:22" ht="15" customHeight="1" x14ac:dyDescent="0.35">
      <c r="A160" s="31">
        <v>4</v>
      </c>
      <c r="B160" s="32">
        <v>2024</v>
      </c>
      <c r="C160" s="31" t="s">
        <v>263</v>
      </c>
      <c r="D160" s="31" t="s">
        <v>96</v>
      </c>
      <c r="E160" s="33" t="s">
        <v>97</v>
      </c>
      <c r="F160" s="31" t="s">
        <v>36</v>
      </c>
      <c r="G160" s="34">
        <v>3596</v>
      </c>
      <c r="H160" s="34">
        <v>29</v>
      </c>
      <c r="I160" s="34">
        <f>IFERROR(ROUND('Data Bulanan'!DC36,0),0)</f>
        <v>42447</v>
      </c>
      <c r="J160" s="34">
        <v>5492524</v>
      </c>
      <c r="K160" s="34">
        <v>264909</v>
      </c>
      <c r="L160" s="35">
        <f t="shared" si="12"/>
        <v>1327</v>
      </c>
      <c r="M160" s="36">
        <f>IFERROR(AVERAGE('Data Bulanan'!CF36,'Data Bulanan'!CH36,'Data Bulanan'!CJ36,'Data Bulanan'!CL36,'Data Bulanan'!CN36,'Data Bulanan'!CP36,'Data Bulanan'!CR36,'Data Bulanan'!CT36,'Data Bulanan'!CV36,'Data Bulanan'!CX36,'Data Bulanan'!CZ36,'Data Bulanan'!DB36),0)</f>
        <v>113.21009344598055</v>
      </c>
      <c r="N160" s="37">
        <f>'Data Bulanan'!DD36</f>
        <v>31.677781972483992</v>
      </c>
      <c r="O160" s="38">
        <f t="shared" si="13"/>
        <v>170.59007664630062</v>
      </c>
      <c r="P160" s="39">
        <f t="shared" si="14"/>
        <v>281</v>
      </c>
      <c r="Q160" s="40">
        <f t="shared" si="15"/>
        <v>3564</v>
      </c>
      <c r="R160" s="41">
        <f t="shared" si="16"/>
        <v>32</v>
      </c>
      <c r="S160" s="42" t="str">
        <f t="shared" si="17"/>
        <v>Aman ✅</v>
      </c>
      <c r="T160" s="43">
        <f>IFERROR(N160/AVERAGE(M157:M161),0)</f>
        <v>0.26883608635464656</v>
      </c>
      <c r="U160" s="44">
        <v>105.48</v>
      </c>
      <c r="V160" s="45">
        <v>8.0000000000000004E-4</v>
      </c>
    </row>
    <row r="161" spans="1:22" ht="15" customHeight="1" x14ac:dyDescent="0.35">
      <c r="A161" s="31">
        <v>5</v>
      </c>
      <c r="B161" s="32">
        <v>2025</v>
      </c>
      <c r="C161" s="31" t="s">
        <v>263</v>
      </c>
      <c r="D161" s="31" t="s">
        <v>96</v>
      </c>
      <c r="E161" s="33" t="s">
        <v>97</v>
      </c>
      <c r="F161" s="31" t="s">
        <v>36</v>
      </c>
      <c r="G161" s="34">
        <v>16122</v>
      </c>
      <c r="H161" s="34">
        <v>29</v>
      </c>
      <c r="I161" s="34">
        <f>IFERROR(ROUND('Data Bulanan'!EC36,0),0)</f>
        <v>46318</v>
      </c>
      <c r="J161" s="34">
        <v>4669805</v>
      </c>
      <c r="K161" s="34">
        <v>248030</v>
      </c>
      <c r="L161" s="35">
        <f t="shared" si="12"/>
        <v>1321</v>
      </c>
      <c r="M161" s="36">
        <f>IFERROR(AVERAGE('Data Bulanan'!DF36,'Data Bulanan'!DH36,'Data Bulanan'!DJ36,'Data Bulanan'!DL36,'Data Bulanan'!DN36,'Data Bulanan'!DP36,'Data Bulanan'!DR36,'Data Bulanan'!DT36,'Data Bulanan'!DV36,'Data Bulanan'!DX36,'Data Bulanan'!DZ36,'Data Bulanan'!EB36),0)</f>
        <v>123.26713389656936</v>
      </c>
      <c r="N161" s="37">
        <f>'Data Bulanan'!ED36</f>
        <v>29.882239551467336</v>
      </c>
      <c r="O161" s="38">
        <f t="shared" si="13"/>
        <v>160.92078479092464</v>
      </c>
      <c r="P161" s="39">
        <f t="shared" si="14"/>
        <v>266</v>
      </c>
      <c r="Q161" s="40">
        <f t="shared" si="15"/>
        <v>3841</v>
      </c>
      <c r="R161" s="41">
        <f t="shared" si="16"/>
        <v>12281</v>
      </c>
      <c r="S161" s="42" t="str">
        <f t="shared" si="17"/>
        <v>Overstock 📦</v>
      </c>
      <c r="T161" s="43">
        <f>IFERROR(N161/AVERAGE(M157:M161),0)</f>
        <v>0.25359806881386188</v>
      </c>
      <c r="U161" s="44">
        <v>105.48</v>
      </c>
      <c r="V161" s="45">
        <v>8.0000000000000004E-4</v>
      </c>
    </row>
    <row r="162" spans="1:22" ht="15" customHeight="1" x14ac:dyDescent="0.35">
      <c r="A162" s="46">
        <v>1</v>
      </c>
      <c r="B162" s="32">
        <v>2021</v>
      </c>
      <c r="C162" s="46" t="s">
        <v>264</v>
      </c>
      <c r="D162" s="46" t="s">
        <v>98</v>
      </c>
      <c r="E162" s="47" t="s">
        <v>99</v>
      </c>
      <c r="F162" s="46" t="s">
        <v>36</v>
      </c>
      <c r="G162" s="34">
        <v>4396</v>
      </c>
      <c r="H162" s="34">
        <v>45</v>
      </c>
      <c r="I162" s="34">
        <f>IFERROR(ROUND('Data Bulanan'!AC37,0),0)</f>
        <v>16743</v>
      </c>
      <c r="J162" s="34">
        <v>6597609</v>
      </c>
      <c r="K162" s="34">
        <v>416286</v>
      </c>
      <c r="L162" s="35">
        <f t="shared" si="12"/>
        <v>728</v>
      </c>
      <c r="M162" s="36">
        <f>IFERROR(AVERAGE('Data Bulanan'!F37,'Data Bulanan'!H37,'Data Bulanan'!J37,'Data Bulanan'!L37,'Data Bulanan'!N37,'Data Bulanan'!P37,'Data Bulanan'!R37,'Data Bulanan'!T37,'Data Bulanan'!V37,'Data Bulanan'!X37,'Data Bulanan'!Z37,'Data Bulanan'!AB37),0)</f>
        <v>44.649436763952899</v>
      </c>
      <c r="N162" s="37">
        <f>'Data Bulanan'!AD37</f>
        <v>11.365632207050288</v>
      </c>
      <c r="O162" s="38">
        <f t="shared" si="13"/>
        <v>76.242978666676223</v>
      </c>
      <c r="P162" s="39">
        <f t="shared" si="14"/>
        <v>126</v>
      </c>
      <c r="Q162" s="40">
        <f t="shared" si="15"/>
        <v>2135</v>
      </c>
      <c r="R162" s="41">
        <f t="shared" si="16"/>
        <v>2261</v>
      </c>
      <c r="S162" s="42" t="str">
        <f t="shared" si="17"/>
        <v>Overstock 📦</v>
      </c>
      <c r="T162" s="43">
        <f>IFERROR(N162/AVERAGE(M162:M166),0)</f>
        <v>0.28097683054373396</v>
      </c>
      <c r="U162" s="44">
        <v>-646.25</v>
      </c>
      <c r="V162" s="45">
        <v>0.4733</v>
      </c>
    </row>
    <row r="163" spans="1:22" ht="15" customHeight="1" x14ac:dyDescent="0.35">
      <c r="A163" s="46">
        <v>2</v>
      </c>
      <c r="B163" s="32">
        <v>2022</v>
      </c>
      <c r="C163" s="46" t="s">
        <v>264</v>
      </c>
      <c r="D163" s="46" t="s">
        <v>98</v>
      </c>
      <c r="E163" s="47" t="s">
        <v>99</v>
      </c>
      <c r="F163" s="46" t="s">
        <v>36</v>
      </c>
      <c r="G163" s="34">
        <v>5338</v>
      </c>
      <c r="H163" s="34">
        <v>45</v>
      </c>
      <c r="I163" s="34">
        <f>IFERROR(ROUND('Data Bulanan'!BC37,0),0)</f>
        <v>14596</v>
      </c>
      <c r="J163" s="34">
        <v>6629243</v>
      </c>
      <c r="K163" s="34">
        <v>403659</v>
      </c>
      <c r="L163" s="35">
        <f t="shared" si="12"/>
        <v>692</v>
      </c>
      <c r="M163" s="36">
        <f>IFERROR(AVERAGE('Data Bulanan'!AF37,'Data Bulanan'!AH37,'Data Bulanan'!AJ37,'Data Bulanan'!AL37,'Data Bulanan'!AN37,'Data Bulanan'!AP37,'Data Bulanan'!AR37,'Data Bulanan'!AT37,'Data Bulanan'!AV37,'Data Bulanan'!AX37,'Data Bulanan'!AZ37,'Data Bulanan'!BB37),0)</f>
        <v>38.966231438812081</v>
      </c>
      <c r="N163" s="37">
        <f>'Data Bulanan'!BD37</f>
        <v>10.017518852858849</v>
      </c>
      <c r="O163" s="38">
        <f t="shared" si="13"/>
        <v>67.199559362634304</v>
      </c>
      <c r="P163" s="39">
        <f t="shared" si="14"/>
        <v>111</v>
      </c>
      <c r="Q163" s="40">
        <f t="shared" si="15"/>
        <v>1864</v>
      </c>
      <c r="R163" s="41">
        <f t="shared" si="16"/>
        <v>3474</v>
      </c>
      <c r="S163" s="42" t="str">
        <f t="shared" si="17"/>
        <v>Overstock 📦</v>
      </c>
      <c r="T163" s="43">
        <f>IFERROR(N163/AVERAGE(M162:M166),0)</f>
        <v>0.24764928566335118</v>
      </c>
      <c r="U163" s="44">
        <v>-646.25</v>
      </c>
      <c r="V163" s="45">
        <v>0.4733</v>
      </c>
    </row>
    <row r="164" spans="1:22" ht="15" customHeight="1" x14ac:dyDescent="0.35">
      <c r="A164" s="46">
        <v>3</v>
      </c>
      <c r="B164" s="32">
        <v>2023</v>
      </c>
      <c r="C164" s="46" t="s">
        <v>264</v>
      </c>
      <c r="D164" s="46" t="s">
        <v>98</v>
      </c>
      <c r="E164" s="47" t="s">
        <v>99</v>
      </c>
      <c r="F164" s="46" t="s">
        <v>36</v>
      </c>
      <c r="G164" s="34">
        <v>0</v>
      </c>
      <c r="H164" s="34">
        <v>45</v>
      </c>
      <c r="I164" s="34">
        <f>IFERROR(ROUND('Data Bulanan'!CC37,0),0)</f>
        <v>16819</v>
      </c>
      <c r="J164" s="34">
        <v>6616138</v>
      </c>
      <c r="K164" s="34">
        <v>425482</v>
      </c>
      <c r="L164" s="35">
        <f t="shared" si="12"/>
        <v>723</v>
      </c>
      <c r="M164" s="36">
        <f>IFERROR(AVERAGE('Data Bulanan'!BF37,'Data Bulanan'!BH37,'Data Bulanan'!BJ37,'Data Bulanan'!BL37,'Data Bulanan'!BN37,'Data Bulanan'!BP37,'Data Bulanan'!BR37,'Data Bulanan'!BT37,'Data Bulanan'!BV37,'Data Bulanan'!BX37,'Data Bulanan'!BZ37,'Data Bulanan'!CB37),0)</f>
        <v>44.676395289298512</v>
      </c>
      <c r="N164" s="37">
        <f>'Data Bulanan'!CD37</f>
        <v>9.5588617658766246</v>
      </c>
      <c r="O164" s="38">
        <f t="shared" si="13"/>
        <v>64.122794088071444</v>
      </c>
      <c r="P164" s="39">
        <f t="shared" si="14"/>
        <v>106</v>
      </c>
      <c r="Q164" s="40">
        <f t="shared" si="15"/>
        <v>2116</v>
      </c>
      <c r="R164" s="41">
        <f t="shared" si="16"/>
        <v>-2116</v>
      </c>
      <c r="S164" s="42" t="str">
        <f t="shared" si="17"/>
        <v>Stockout ⚠</v>
      </c>
      <c r="T164" s="43">
        <f>IFERROR(N164/AVERAGE(M162:M166),0)</f>
        <v>0.23631053984974429</v>
      </c>
      <c r="U164" s="44">
        <v>-646.25</v>
      </c>
      <c r="V164" s="45">
        <v>0.4733</v>
      </c>
    </row>
    <row r="165" spans="1:22" ht="15" customHeight="1" x14ac:dyDescent="0.35">
      <c r="A165" s="46">
        <v>4</v>
      </c>
      <c r="B165" s="32">
        <v>2024</v>
      </c>
      <c r="C165" s="46" t="s">
        <v>264</v>
      </c>
      <c r="D165" s="46" t="s">
        <v>98</v>
      </c>
      <c r="E165" s="47" t="s">
        <v>99</v>
      </c>
      <c r="F165" s="46" t="s">
        <v>36</v>
      </c>
      <c r="G165" s="34">
        <v>5061</v>
      </c>
      <c r="H165" s="34">
        <v>45</v>
      </c>
      <c r="I165" s="34">
        <f>IFERROR(ROUND('Data Bulanan'!DC37,0),0)</f>
        <v>13920</v>
      </c>
      <c r="J165" s="34">
        <v>6133041</v>
      </c>
      <c r="K165" s="34">
        <v>412554</v>
      </c>
      <c r="L165" s="35">
        <f t="shared" si="12"/>
        <v>643</v>
      </c>
      <c r="M165" s="36">
        <f>IFERROR(AVERAGE('Data Bulanan'!CF37,'Data Bulanan'!CH37,'Data Bulanan'!CJ37,'Data Bulanan'!CL37,'Data Bulanan'!CN37,'Data Bulanan'!CP37,'Data Bulanan'!CR37,'Data Bulanan'!CT37,'Data Bulanan'!CV37,'Data Bulanan'!CX37,'Data Bulanan'!CZ37,'Data Bulanan'!DB37),0)</f>
        <v>37.045142089093694</v>
      </c>
      <c r="N165" s="37">
        <f>'Data Bulanan'!DD37</f>
        <v>7.9916079631742063</v>
      </c>
      <c r="O165" s="38">
        <f t="shared" si="13"/>
        <v>53.609335965558486</v>
      </c>
      <c r="P165" s="39">
        <f t="shared" si="14"/>
        <v>88</v>
      </c>
      <c r="Q165" s="40">
        <f t="shared" si="15"/>
        <v>1755</v>
      </c>
      <c r="R165" s="41">
        <f t="shared" si="16"/>
        <v>3306</v>
      </c>
      <c r="S165" s="42" t="str">
        <f t="shared" si="17"/>
        <v>Overstock 📦</v>
      </c>
      <c r="T165" s="43">
        <f>IFERROR(N165/AVERAGE(M162:M166),0)</f>
        <v>0.19756548826627177</v>
      </c>
      <c r="U165" s="44">
        <v>-646.25</v>
      </c>
      <c r="V165" s="45">
        <v>0.4733</v>
      </c>
    </row>
    <row r="166" spans="1:22" ht="15" customHeight="1" x14ac:dyDescent="0.35">
      <c r="A166" s="46">
        <v>5</v>
      </c>
      <c r="B166" s="32">
        <v>2025</v>
      </c>
      <c r="C166" s="46" t="s">
        <v>264</v>
      </c>
      <c r="D166" s="46" t="s">
        <v>98</v>
      </c>
      <c r="E166" s="47" t="s">
        <v>99</v>
      </c>
      <c r="F166" s="46" t="s">
        <v>36</v>
      </c>
      <c r="G166" s="34">
        <v>4927</v>
      </c>
      <c r="H166" s="34">
        <v>45</v>
      </c>
      <c r="I166" s="34">
        <f>IFERROR(ROUND('Data Bulanan'!EC37,0),0)</f>
        <v>13850</v>
      </c>
      <c r="J166" s="34">
        <v>6080266</v>
      </c>
      <c r="K166" s="34">
        <v>453432</v>
      </c>
      <c r="L166" s="35">
        <f t="shared" si="12"/>
        <v>609</v>
      </c>
      <c r="M166" s="36">
        <f>IFERROR(AVERAGE('Data Bulanan'!DF37,'Data Bulanan'!DH37,'Data Bulanan'!DJ37,'Data Bulanan'!DL37,'Data Bulanan'!DN37,'Data Bulanan'!DP37,'Data Bulanan'!DR37,'Data Bulanan'!DT37,'Data Bulanan'!DV37,'Data Bulanan'!DX37,'Data Bulanan'!DZ37,'Data Bulanan'!EB37),0)</f>
        <v>36.914919354838709</v>
      </c>
      <c r="N166" s="37">
        <f>'Data Bulanan'!ED37</f>
        <v>7.3914366788774979</v>
      </c>
      <c r="O166" s="38">
        <f t="shared" si="13"/>
        <v>49.583264596066108</v>
      </c>
      <c r="P166" s="39">
        <f t="shared" si="14"/>
        <v>82</v>
      </c>
      <c r="Q166" s="40">
        <f t="shared" si="15"/>
        <v>1743</v>
      </c>
      <c r="R166" s="41">
        <f t="shared" si="16"/>
        <v>3184</v>
      </c>
      <c r="S166" s="42" t="str">
        <f t="shared" si="17"/>
        <v>Overstock 📦</v>
      </c>
      <c r="T166" s="43">
        <f>IFERROR(N166/AVERAGE(M162:M166),0)</f>
        <v>0.18272828236579886</v>
      </c>
      <c r="U166" s="44">
        <v>-646.25</v>
      </c>
      <c r="V166" s="45">
        <v>0.4733</v>
      </c>
    </row>
    <row r="167" spans="1:22" ht="15" customHeight="1" x14ac:dyDescent="0.35">
      <c r="A167" s="31">
        <v>1</v>
      </c>
      <c r="B167" s="32">
        <v>2021</v>
      </c>
      <c r="C167" s="31" t="s">
        <v>264</v>
      </c>
      <c r="D167" s="31" t="s">
        <v>100</v>
      </c>
      <c r="E167" s="33" t="s">
        <v>101</v>
      </c>
      <c r="F167" s="31" t="s">
        <v>36</v>
      </c>
      <c r="G167" s="34">
        <v>898</v>
      </c>
      <c r="H167" s="34">
        <v>6</v>
      </c>
      <c r="I167" s="34">
        <f>IFERROR(ROUND('Data Bulanan'!AC38,0),0)</f>
        <v>17693</v>
      </c>
      <c r="J167" s="34">
        <v>2083801</v>
      </c>
      <c r="K167" s="34">
        <v>315455</v>
      </c>
      <c r="L167" s="35">
        <f t="shared" si="12"/>
        <v>483</v>
      </c>
      <c r="M167" s="36">
        <f>IFERROR(AVERAGE('Data Bulanan'!F38,'Data Bulanan'!H38,'Data Bulanan'!J38,'Data Bulanan'!L38,'Data Bulanan'!N38,'Data Bulanan'!P38,'Data Bulanan'!R38,'Data Bulanan'!T38,'Data Bulanan'!V38,'Data Bulanan'!X38,'Data Bulanan'!Z38,'Data Bulanan'!AB38),0)</f>
        <v>47.038088837685613</v>
      </c>
      <c r="N167" s="37">
        <f>'Data Bulanan'!AD38</f>
        <v>7.7313457303640885</v>
      </c>
      <c r="O167" s="38">
        <f t="shared" si="13"/>
        <v>18.937852064437351</v>
      </c>
      <c r="P167" s="39">
        <f t="shared" si="14"/>
        <v>31</v>
      </c>
      <c r="Q167" s="40">
        <f t="shared" si="15"/>
        <v>313</v>
      </c>
      <c r="R167" s="41">
        <f t="shared" si="16"/>
        <v>585</v>
      </c>
      <c r="S167" s="42" t="str">
        <f t="shared" si="17"/>
        <v>Overstock 📦</v>
      </c>
      <c r="T167" s="43">
        <f>IFERROR(N167/AVERAGE(M167:M171),0)</f>
        <v>0.17644383320269644</v>
      </c>
      <c r="U167" s="44">
        <v>-1016.76</v>
      </c>
      <c r="V167" s="45">
        <v>0.78049999999999997</v>
      </c>
    </row>
    <row r="168" spans="1:22" ht="15" customHeight="1" x14ac:dyDescent="0.35">
      <c r="A168" s="31">
        <v>2</v>
      </c>
      <c r="B168" s="32">
        <v>2022</v>
      </c>
      <c r="C168" s="31" t="s">
        <v>264</v>
      </c>
      <c r="D168" s="31" t="s">
        <v>100</v>
      </c>
      <c r="E168" s="33" t="s">
        <v>101</v>
      </c>
      <c r="F168" s="31" t="s">
        <v>36</v>
      </c>
      <c r="G168" s="34">
        <v>0</v>
      </c>
      <c r="H168" s="34">
        <v>6</v>
      </c>
      <c r="I168" s="34">
        <f>IFERROR(ROUND('Data Bulanan'!BC38,0),0)</f>
        <v>18540</v>
      </c>
      <c r="J168" s="34">
        <v>1997708</v>
      </c>
      <c r="K168" s="34">
        <v>303655</v>
      </c>
      <c r="L168" s="35">
        <f t="shared" si="12"/>
        <v>494</v>
      </c>
      <c r="M168" s="36">
        <f>IFERROR(AVERAGE('Data Bulanan'!AF38,'Data Bulanan'!AH38,'Data Bulanan'!AJ38,'Data Bulanan'!AL38,'Data Bulanan'!AN38,'Data Bulanan'!AP38,'Data Bulanan'!AR38,'Data Bulanan'!AT38,'Data Bulanan'!AV38,'Data Bulanan'!AX38,'Data Bulanan'!AZ38,'Data Bulanan'!BB38),0)</f>
        <v>49.34331157194061</v>
      </c>
      <c r="N168" s="37">
        <f>'Data Bulanan'!BD38</f>
        <v>15.463350316911351</v>
      </c>
      <c r="O168" s="38">
        <f t="shared" si="13"/>
        <v>37.877317990337353</v>
      </c>
      <c r="P168" s="39">
        <f t="shared" si="14"/>
        <v>62</v>
      </c>
      <c r="Q168" s="40">
        <f t="shared" si="15"/>
        <v>358</v>
      </c>
      <c r="R168" s="41">
        <f t="shared" si="16"/>
        <v>-358</v>
      </c>
      <c r="S168" s="42" t="str">
        <f t="shared" si="17"/>
        <v>Stockout ⚠</v>
      </c>
      <c r="T168" s="43">
        <f>IFERROR(N168/AVERAGE(M167:M171),0)</f>
        <v>0.35290270274118007</v>
      </c>
      <c r="U168" s="44">
        <v>-1016.76</v>
      </c>
      <c r="V168" s="45">
        <v>0.78049999999999997</v>
      </c>
    </row>
    <row r="169" spans="1:22" ht="15" customHeight="1" x14ac:dyDescent="0.35">
      <c r="A169" s="31">
        <v>3</v>
      </c>
      <c r="B169" s="32">
        <v>2023</v>
      </c>
      <c r="C169" s="31" t="s">
        <v>264</v>
      </c>
      <c r="D169" s="31" t="s">
        <v>100</v>
      </c>
      <c r="E169" s="33" t="s">
        <v>101</v>
      </c>
      <c r="F169" s="31" t="s">
        <v>36</v>
      </c>
      <c r="G169" s="34">
        <v>0</v>
      </c>
      <c r="H169" s="34">
        <v>6</v>
      </c>
      <c r="I169" s="34">
        <f>IFERROR(ROUND('Data Bulanan'!CC38,0),0)</f>
        <v>16977</v>
      </c>
      <c r="J169" s="34">
        <v>2135221</v>
      </c>
      <c r="K169" s="34">
        <v>316651</v>
      </c>
      <c r="L169" s="35">
        <f t="shared" si="12"/>
        <v>478</v>
      </c>
      <c r="M169" s="36">
        <f>IFERROR(AVERAGE('Data Bulanan'!BF38,'Data Bulanan'!BH38,'Data Bulanan'!BJ38,'Data Bulanan'!BL38,'Data Bulanan'!BN38,'Data Bulanan'!BP38,'Data Bulanan'!BR38,'Data Bulanan'!BT38,'Data Bulanan'!BV38,'Data Bulanan'!BX38,'Data Bulanan'!BZ38,'Data Bulanan'!CB38),0)</f>
        <v>45.115834613415267</v>
      </c>
      <c r="N169" s="37">
        <f>'Data Bulanan'!CD38</f>
        <v>6.9619835181362788</v>
      </c>
      <c r="O169" s="38">
        <f t="shared" si="13"/>
        <v>17.053307217100357</v>
      </c>
      <c r="P169" s="39">
        <f t="shared" si="14"/>
        <v>28</v>
      </c>
      <c r="Q169" s="40">
        <f t="shared" si="15"/>
        <v>299</v>
      </c>
      <c r="R169" s="41">
        <f t="shared" si="16"/>
        <v>-299</v>
      </c>
      <c r="S169" s="42" t="str">
        <f t="shared" si="17"/>
        <v>Stockout ⚠</v>
      </c>
      <c r="T169" s="43">
        <f>IFERROR(N169/AVERAGE(M167:M171),0)</f>
        <v>0.15888554224260656</v>
      </c>
      <c r="U169" s="44">
        <v>-1016.76</v>
      </c>
      <c r="V169" s="45">
        <v>0.78049999999999997</v>
      </c>
    </row>
    <row r="170" spans="1:22" ht="15" customHeight="1" x14ac:dyDescent="0.35">
      <c r="A170" s="31">
        <v>4</v>
      </c>
      <c r="B170" s="32">
        <v>2024</v>
      </c>
      <c r="C170" s="31" t="s">
        <v>264</v>
      </c>
      <c r="D170" s="31" t="s">
        <v>100</v>
      </c>
      <c r="E170" s="33" t="s">
        <v>101</v>
      </c>
      <c r="F170" s="31" t="s">
        <v>36</v>
      </c>
      <c r="G170" s="34">
        <v>723</v>
      </c>
      <c r="H170" s="34">
        <v>6</v>
      </c>
      <c r="I170" s="34">
        <f>IFERROR(ROUND('Data Bulanan'!DC38,0),0)</f>
        <v>14529</v>
      </c>
      <c r="J170" s="34">
        <v>2081084</v>
      </c>
      <c r="K170" s="34">
        <v>301603</v>
      </c>
      <c r="L170" s="35">
        <f t="shared" si="12"/>
        <v>448</v>
      </c>
      <c r="M170" s="36">
        <f>IFERROR(AVERAGE('Data Bulanan'!CF38,'Data Bulanan'!CH38,'Data Bulanan'!CJ38,'Data Bulanan'!CL38,'Data Bulanan'!CN38,'Data Bulanan'!CP38,'Data Bulanan'!CR38,'Data Bulanan'!CT38,'Data Bulanan'!CV38,'Data Bulanan'!CX38,'Data Bulanan'!CZ38,'Data Bulanan'!DB38),0)</f>
        <v>38.757904505888369</v>
      </c>
      <c r="N170" s="37">
        <f>'Data Bulanan'!DD38</f>
        <v>9.2897677685404698</v>
      </c>
      <c r="O170" s="38">
        <f t="shared" si="13"/>
        <v>22.755190861877651</v>
      </c>
      <c r="P170" s="39">
        <f t="shared" si="14"/>
        <v>38</v>
      </c>
      <c r="Q170" s="40">
        <f t="shared" si="15"/>
        <v>271</v>
      </c>
      <c r="R170" s="41">
        <f t="shared" si="16"/>
        <v>452</v>
      </c>
      <c r="S170" s="42" t="str">
        <f t="shared" si="17"/>
        <v>Overstock 📦</v>
      </c>
      <c r="T170" s="43">
        <f>IFERROR(N170/AVERAGE(M167:M171),0)</f>
        <v>0.2120099516707229</v>
      </c>
      <c r="U170" s="44">
        <v>-1016.76</v>
      </c>
      <c r="V170" s="45">
        <v>0.78049999999999997</v>
      </c>
    </row>
    <row r="171" spans="1:22" ht="15" customHeight="1" x14ac:dyDescent="0.35">
      <c r="A171" s="31">
        <v>5</v>
      </c>
      <c r="B171" s="32">
        <v>2025</v>
      </c>
      <c r="C171" s="31" t="s">
        <v>264</v>
      </c>
      <c r="D171" s="31" t="s">
        <v>100</v>
      </c>
      <c r="E171" s="33" t="s">
        <v>101</v>
      </c>
      <c r="F171" s="31" t="s">
        <v>36</v>
      </c>
      <c r="G171" s="34">
        <v>2343</v>
      </c>
      <c r="H171" s="34">
        <v>6</v>
      </c>
      <c r="I171" s="34">
        <f>IFERROR(ROUND('Data Bulanan'!EC38,0),0)</f>
        <v>14614</v>
      </c>
      <c r="J171" s="34">
        <v>2017129</v>
      </c>
      <c r="K171" s="34">
        <v>281526</v>
      </c>
      <c r="L171" s="35">
        <f t="shared" si="12"/>
        <v>458</v>
      </c>
      <c r="M171" s="36">
        <f>IFERROR(AVERAGE('Data Bulanan'!DF38,'Data Bulanan'!DH38,'Data Bulanan'!DJ38,'Data Bulanan'!DL38,'Data Bulanan'!DN38,'Data Bulanan'!DP38,'Data Bulanan'!DR38,'Data Bulanan'!DT38,'Data Bulanan'!DV38,'Data Bulanan'!DX38,'Data Bulanan'!DZ38,'Data Bulanan'!EB38),0)</f>
        <v>38.83287250384025</v>
      </c>
      <c r="N171" s="37">
        <f>'Data Bulanan'!ED38</f>
        <v>10.185344754303232</v>
      </c>
      <c r="O171" s="38">
        <f t="shared" si="13"/>
        <v>24.948897502376212</v>
      </c>
      <c r="P171" s="39">
        <f t="shared" si="14"/>
        <v>41</v>
      </c>
      <c r="Q171" s="40">
        <f t="shared" si="15"/>
        <v>274</v>
      </c>
      <c r="R171" s="41">
        <f t="shared" si="16"/>
        <v>2069</v>
      </c>
      <c r="S171" s="42" t="str">
        <f t="shared" si="17"/>
        <v>Overstock 📦</v>
      </c>
      <c r="T171" s="43">
        <f>IFERROR(N171/AVERAGE(M167:M171),0)</f>
        <v>0.23244870086227626</v>
      </c>
      <c r="U171" s="44">
        <v>-1016.76</v>
      </c>
      <c r="V171" s="45">
        <v>0.78049999999999997</v>
      </c>
    </row>
    <row r="172" spans="1:22" ht="15" customHeight="1" x14ac:dyDescent="0.35">
      <c r="A172" s="46">
        <v>1</v>
      </c>
      <c r="B172" s="32">
        <v>2021</v>
      </c>
      <c r="C172" s="46" t="s">
        <v>263</v>
      </c>
      <c r="D172" s="46" t="s">
        <v>102</v>
      </c>
      <c r="E172" s="47" t="s">
        <v>103</v>
      </c>
      <c r="F172" s="46" t="s">
        <v>36</v>
      </c>
      <c r="G172" s="34">
        <v>2668</v>
      </c>
      <c r="H172" s="34">
        <v>9</v>
      </c>
      <c r="I172" s="34">
        <f>IFERROR(ROUND('Data Bulanan'!AC39,0),0)</f>
        <v>38149</v>
      </c>
      <c r="J172" s="34">
        <v>1455914</v>
      </c>
      <c r="K172" s="34">
        <v>273817</v>
      </c>
      <c r="L172" s="35">
        <f t="shared" si="12"/>
        <v>637</v>
      </c>
      <c r="M172" s="36">
        <f>IFERROR(AVERAGE('Data Bulanan'!F39,'Data Bulanan'!H39,'Data Bulanan'!J39,'Data Bulanan'!L39,'Data Bulanan'!N39,'Data Bulanan'!P39,'Data Bulanan'!R39,'Data Bulanan'!T39,'Data Bulanan'!V39,'Data Bulanan'!X39,'Data Bulanan'!Z39,'Data Bulanan'!AB39),0)</f>
        <v>101.35956221198158</v>
      </c>
      <c r="N172" s="37">
        <f>'Data Bulanan'!AD39</f>
        <v>26.465232123394618</v>
      </c>
      <c r="O172" s="38">
        <f t="shared" si="13"/>
        <v>79.395696370183856</v>
      </c>
      <c r="P172" s="39">
        <f t="shared" si="14"/>
        <v>131</v>
      </c>
      <c r="Q172" s="40">
        <f t="shared" si="15"/>
        <v>1043</v>
      </c>
      <c r="R172" s="41">
        <f t="shared" si="16"/>
        <v>1625</v>
      </c>
      <c r="S172" s="42" t="str">
        <f t="shared" si="17"/>
        <v>Overstock 📦</v>
      </c>
      <c r="T172" s="43">
        <f>IFERROR(N172/AVERAGE(M172:M176),0)</f>
        <v>0.23819385074244362</v>
      </c>
      <c r="U172" s="44">
        <v>1331.51</v>
      </c>
      <c r="V172" s="45">
        <v>0.3075</v>
      </c>
    </row>
    <row r="173" spans="1:22" ht="15" customHeight="1" x14ac:dyDescent="0.35">
      <c r="A173" s="46">
        <v>2</v>
      </c>
      <c r="B173" s="32">
        <v>2022</v>
      </c>
      <c r="C173" s="46" t="s">
        <v>263</v>
      </c>
      <c r="D173" s="46" t="s">
        <v>102</v>
      </c>
      <c r="E173" s="47" t="s">
        <v>103</v>
      </c>
      <c r="F173" s="46" t="s">
        <v>36</v>
      </c>
      <c r="G173" s="34">
        <v>3981</v>
      </c>
      <c r="H173" s="34">
        <v>9</v>
      </c>
      <c r="I173" s="34">
        <f>IFERROR(ROUND('Data Bulanan'!BC39,0),0)</f>
        <v>38075</v>
      </c>
      <c r="J173" s="34">
        <v>1418465</v>
      </c>
      <c r="K173" s="34">
        <v>244854</v>
      </c>
      <c r="L173" s="35">
        <f t="shared" si="12"/>
        <v>664</v>
      </c>
      <c r="M173" s="36">
        <f>IFERROR(AVERAGE('Data Bulanan'!AF39,'Data Bulanan'!AH39,'Data Bulanan'!AJ39,'Data Bulanan'!AL39,'Data Bulanan'!AN39,'Data Bulanan'!AP39,'Data Bulanan'!AR39,'Data Bulanan'!AT39,'Data Bulanan'!AV39,'Data Bulanan'!AX39,'Data Bulanan'!AZ39,'Data Bulanan'!BB39),0)</f>
        <v>101.47423835125448</v>
      </c>
      <c r="N173" s="37">
        <f>'Data Bulanan'!BD39</f>
        <v>21.030831446430774</v>
      </c>
      <c r="O173" s="38">
        <f t="shared" si="13"/>
        <v>63.092494339292323</v>
      </c>
      <c r="P173" s="39">
        <f t="shared" si="14"/>
        <v>104</v>
      </c>
      <c r="Q173" s="40">
        <f t="shared" si="15"/>
        <v>1017</v>
      </c>
      <c r="R173" s="41">
        <f t="shared" si="16"/>
        <v>2964</v>
      </c>
      <c r="S173" s="42" t="str">
        <f t="shared" si="17"/>
        <v>Overstock 📦</v>
      </c>
      <c r="T173" s="43">
        <f>IFERROR(N173/AVERAGE(M172:M176),0)</f>
        <v>0.18928285620863389</v>
      </c>
      <c r="U173" s="44">
        <v>1331.51</v>
      </c>
      <c r="V173" s="45">
        <v>0.3075</v>
      </c>
    </row>
    <row r="174" spans="1:22" ht="15" customHeight="1" x14ac:dyDescent="0.35">
      <c r="A174" s="46">
        <v>3</v>
      </c>
      <c r="B174" s="32">
        <v>2023</v>
      </c>
      <c r="C174" s="46" t="s">
        <v>263</v>
      </c>
      <c r="D174" s="46" t="s">
        <v>102</v>
      </c>
      <c r="E174" s="47" t="s">
        <v>103</v>
      </c>
      <c r="F174" s="46" t="s">
        <v>36</v>
      </c>
      <c r="G174" s="34">
        <v>1130</v>
      </c>
      <c r="H174" s="34">
        <v>9</v>
      </c>
      <c r="I174" s="34">
        <f>IFERROR(ROUND('Data Bulanan'!CC39,0),0)</f>
        <v>46062</v>
      </c>
      <c r="J174" s="34">
        <v>1347340</v>
      </c>
      <c r="K174" s="34">
        <v>229178</v>
      </c>
      <c r="L174" s="35">
        <f t="shared" si="12"/>
        <v>736</v>
      </c>
      <c r="M174" s="36">
        <f>IFERROR(AVERAGE('Data Bulanan'!BF39,'Data Bulanan'!BH39,'Data Bulanan'!BJ39,'Data Bulanan'!BL39,'Data Bulanan'!BN39,'Data Bulanan'!BP39,'Data Bulanan'!BR39,'Data Bulanan'!BT39,'Data Bulanan'!BV39,'Data Bulanan'!BX39,'Data Bulanan'!BZ39,'Data Bulanan'!CB39),0)</f>
        <v>122.81303123399898</v>
      </c>
      <c r="N174" s="37">
        <f>'Data Bulanan'!CD39</f>
        <v>27.078836282556612</v>
      </c>
      <c r="O174" s="38">
        <f t="shared" si="13"/>
        <v>81.236508847669839</v>
      </c>
      <c r="P174" s="39">
        <f t="shared" si="14"/>
        <v>134</v>
      </c>
      <c r="Q174" s="40">
        <f t="shared" si="15"/>
        <v>1239</v>
      </c>
      <c r="R174" s="41">
        <f t="shared" si="16"/>
        <v>-109</v>
      </c>
      <c r="S174" s="42" t="str">
        <f t="shared" si="17"/>
        <v>Reorder 🔄</v>
      </c>
      <c r="T174" s="43">
        <f>IFERROR(N174/AVERAGE(M172:M176),0)</f>
        <v>0.24371644494531766</v>
      </c>
      <c r="U174" s="44">
        <v>1331.51</v>
      </c>
      <c r="V174" s="45">
        <v>0.3075</v>
      </c>
    </row>
    <row r="175" spans="1:22" ht="15" customHeight="1" x14ac:dyDescent="0.35">
      <c r="A175" s="46">
        <v>4</v>
      </c>
      <c r="B175" s="32">
        <v>2024</v>
      </c>
      <c r="C175" s="46" t="s">
        <v>263</v>
      </c>
      <c r="D175" s="46" t="s">
        <v>102</v>
      </c>
      <c r="E175" s="47" t="s">
        <v>103</v>
      </c>
      <c r="F175" s="46" t="s">
        <v>36</v>
      </c>
      <c r="G175" s="34">
        <v>3085</v>
      </c>
      <c r="H175" s="34">
        <v>9</v>
      </c>
      <c r="I175" s="34">
        <f>IFERROR(ROUND('Data Bulanan'!DC39,0),0)</f>
        <v>45256</v>
      </c>
      <c r="J175" s="34">
        <v>1310253</v>
      </c>
      <c r="K175" s="34">
        <v>266595</v>
      </c>
      <c r="L175" s="35">
        <f t="shared" si="12"/>
        <v>667</v>
      </c>
      <c r="M175" s="36">
        <f>IFERROR(AVERAGE('Data Bulanan'!CF39,'Data Bulanan'!CH39,'Data Bulanan'!CJ39,'Data Bulanan'!CL39,'Data Bulanan'!CN39,'Data Bulanan'!CP39,'Data Bulanan'!CR39,'Data Bulanan'!CT39,'Data Bulanan'!CV39,'Data Bulanan'!CX39,'Data Bulanan'!CZ39,'Data Bulanan'!DB39),0)</f>
        <v>120.32217741935484</v>
      </c>
      <c r="N175" s="37">
        <f>'Data Bulanan'!DD39</f>
        <v>22.729752714772424</v>
      </c>
      <c r="O175" s="38">
        <f t="shared" si="13"/>
        <v>68.189258144317279</v>
      </c>
      <c r="P175" s="39">
        <f t="shared" si="14"/>
        <v>113</v>
      </c>
      <c r="Q175" s="40">
        <f t="shared" si="15"/>
        <v>1196</v>
      </c>
      <c r="R175" s="41">
        <f t="shared" si="16"/>
        <v>1889</v>
      </c>
      <c r="S175" s="42" t="str">
        <f t="shared" si="17"/>
        <v>Overstock 📦</v>
      </c>
      <c r="T175" s="43">
        <f>IFERROR(N175/AVERAGE(M172:M176),0)</f>
        <v>0.20457358168301251</v>
      </c>
      <c r="U175" s="44">
        <v>1331.51</v>
      </c>
      <c r="V175" s="45">
        <v>0.3075</v>
      </c>
    </row>
    <row r="176" spans="1:22" ht="15" customHeight="1" x14ac:dyDescent="0.35">
      <c r="A176" s="46">
        <v>5</v>
      </c>
      <c r="B176" s="32">
        <v>2025</v>
      </c>
      <c r="C176" s="46" t="s">
        <v>263</v>
      </c>
      <c r="D176" s="46" t="s">
        <v>102</v>
      </c>
      <c r="E176" s="47" t="s">
        <v>103</v>
      </c>
      <c r="F176" s="46" t="s">
        <v>36</v>
      </c>
      <c r="G176" s="34">
        <v>2967</v>
      </c>
      <c r="H176" s="34">
        <v>9</v>
      </c>
      <c r="I176" s="34">
        <f>IFERROR(ROUND('Data Bulanan'!EC39,0),0)</f>
        <v>41216</v>
      </c>
      <c r="J176" s="34">
        <v>1588776</v>
      </c>
      <c r="K176" s="34">
        <v>241878</v>
      </c>
      <c r="L176" s="35">
        <f t="shared" si="12"/>
        <v>736</v>
      </c>
      <c r="M176" s="36">
        <f>IFERROR(AVERAGE('Data Bulanan'!DF39,'Data Bulanan'!DH39,'Data Bulanan'!DJ39,'Data Bulanan'!DL39,'Data Bulanan'!DN39,'Data Bulanan'!DP39,'Data Bulanan'!DR39,'Data Bulanan'!DT39,'Data Bulanan'!DV39,'Data Bulanan'!DX39,'Data Bulanan'!DZ39,'Data Bulanan'!EB39),0)</f>
        <v>109.5707757296467</v>
      </c>
      <c r="N176" s="37">
        <f>'Data Bulanan'!ED39</f>
        <v>26.643324195161128</v>
      </c>
      <c r="O176" s="38">
        <f t="shared" si="13"/>
        <v>79.929972585483384</v>
      </c>
      <c r="P176" s="39">
        <f t="shared" si="14"/>
        <v>132</v>
      </c>
      <c r="Q176" s="40">
        <f t="shared" si="15"/>
        <v>1118</v>
      </c>
      <c r="R176" s="41">
        <f t="shared" si="16"/>
        <v>1849</v>
      </c>
      <c r="S176" s="42" t="str">
        <f t="shared" si="17"/>
        <v>Overstock 📦</v>
      </c>
      <c r="T176" s="43">
        <f>IFERROR(N176/AVERAGE(M172:M176),0)</f>
        <v>0.23979672488928575</v>
      </c>
      <c r="U176" s="44">
        <v>1331.51</v>
      </c>
      <c r="V176" s="45">
        <v>0.3075</v>
      </c>
    </row>
    <row r="177" spans="1:22" ht="15" customHeight="1" x14ac:dyDescent="0.35">
      <c r="A177" s="31">
        <v>1</v>
      </c>
      <c r="B177" s="32">
        <v>2021</v>
      </c>
      <c r="C177" s="31" t="s">
        <v>263</v>
      </c>
      <c r="D177" s="31" t="s">
        <v>104</v>
      </c>
      <c r="E177" s="33" t="s">
        <v>105</v>
      </c>
      <c r="F177" s="31" t="s">
        <v>57</v>
      </c>
      <c r="G177" s="34">
        <v>446</v>
      </c>
      <c r="H177" s="34">
        <v>12</v>
      </c>
      <c r="I177" s="34">
        <f>IFERROR(ROUND('Data Bulanan'!AC40,0),0)</f>
        <v>4328</v>
      </c>
      <c r="J177" s="34">
        <v>1082757</v>
      </c>
      <c r="K177" s="34">
        <v>161031</v>
      </c>
      <c r="L177" s="35">
        <f t="shared" si="12"/>
        <v>241</v>
      </c>
      <c r="M177" s="36">
        <f>IFERROR(AVERAGE('Data Bulanan'!F40,'Data Bulanan'!H40,'Data Bulanan'!J40,'Data Bulanan'!L40,'Data Bulanan'!N40,'Data Bulanan'!P40,'Data Bulanan'!R40,'Data Bulanan'!T40,'Data Bulanan'!V40,'Data Bulanan'!X40,'Data Bulanan'!Z40,'Data Bulanan'!AB40),0)</f>
        <v>11.529640296979005</v>
      </c>
      <c r="N177" s="37">
        <f>'Data Bulanan'!AD40</f>
        <v>2.6453268654725783</v>
      </c>
      <c r="O177" s="38">
        <f t="shared" si="13"/>
        <v>9.1636810672508524</v>
      </c>
      <c r="P177" s="39">
        <f t="shared" si="14"/>
        <v>15</v>
      </c>
      <c r="Q177" s="40">
        <f t="shared" si="15"/>
        <v>153</v>
      </c>
      <c r="R177" s="41">
        <f t="shared" si="16"/>
        <v>293</v>
      </c>
      <c r="S177" s="42" t="str">
        <f t="shared" si="17"/>
        <v>Overstock 📦</v>
      </c>
      <c r="T177" s="43">
        <f>IFERROR(N177/AVERAGE(M177:M181),0)</f>
        <v>0.19473138214981509</v>
      </c>
      <c r="U177" s="44">
        <v>22.08</v>
      </c>
      <c r="V177" s="45">
        <v>3.0000000000000001E-3</v>
      </c>
    </row>
    <row r="178" spans="1:22" ht="15" customHeight="1" x14ac:dyDescent="0.35">
      <c r="A178" s="31">
        <v>2</v>
      </c>
      <c r="B178" s="32">
        <v>2022</v>
      </c>
      <c r="C178" s="31" t="s">
        <v>263</v>
      </c>
      <c r="D178" s="31" t="s">
        <v>104</v>
      </c>
      <c r="E178" s="33" t="s">
        <v>105</v>
      </c>
      <c r="F178" s="31" t="s">
        <v>57</v>
      </c>
      <c r="G178" s="34">
        <v>0</v>
      </c>
      <c r="H178" s="34">
        <v>12</v>
      </c>
      <c r="I178" s="34">
        <f>IFERROR(ROUND('Data Bulanan'!BC40,0),0)</f>
        <v>5813</v>
      </c>
      <c r="J178" s="34">
        <v>982836</v>
      </c>
      <c r="K178" s="34">
        <v>166242</v>
      </c>
      <c r="L178" s="35">
        <f t="shared" si="12"/>
        <v>262</v>
      </c>
      <c r="M178" s="36">
        <f>IFERROR(AVERAGE('Data Bulanan'!AF40,'Data Bulanan'!AH40,'Data Bulanan'!AJ40,'Data Bulanan'!AL40,'Data Bulanan'!AN40,'Data Bulanan'!AP40,'Data Bulanan'!AR40,'Data Bulanan'!AT40,'Data Bulanan'!AV40,'Data Bulanan'!AX40,'Data Bulanan'!AZ40,'Data Bulanan'!BB40),0)</f>
        <v>15.41957245263697</v>
      </c>
      <c r="N178" s="37">
        <f>'Data Bulanan'!BD40</f>
        <v>3.3049536920660341</v>
      </c>
      <c r="O178" s="38">
        <f t="shared" si="13"/>
        <v>11.448695422641434</v>
      </c>
      <c r="P178" s="39">
        <f t="shared" si="14"/>
        <v>19</v>
      </c>
      <c r="Q178" s="40">
        <f t="shared" si="15"/>
        <v>204</v>
      </c>
      <c r="R178" s="41">
        <f t="shared" si="16"/>
        <v>-204</v>
      </c>
      <c r="S178" s="42" t="str">
        <f t="shared" si="17"/>
        <v>Stockout ⚠</v>
      </c>
      <c r="T178" s="43">
        <f>IFERROR(N178/AVERAGE(M177:M181),0)</f>
        <v>0.2432887250332976</v>
      </c>
      <c r="U178" s="44">
        <v>22.08</v>
      </c>
      <c r="V178" s="45">
        <v>3.0000000000000001E-3</v>
      </c>
    </row>
    <row r="179" spans="1:22" ht="15" customHeight="1" x14ac:dyDescent="0.35">
      <c r="A179" s="31">
        <v>3</v>
      </c>
      <c r="B179" s="32">
        <v>2023</v>
      </c>
      <c r="C179" s="31" t="s">
        <v>263</v>
      </c>
      <c r="D179" s="31" t="s">
        <v>104</v>
      </c>
      <c r="E179" s="33" t="s">
        <v>105</v>
      </c>
      <c r="F179" s="31" t="s">
        <v>57</v>
      </c>
      <c r="G179" s="34">
        <v>593</v>
      </c>
      <c r="H179" s="34">
        <v>12</v>
      </c>
      <c r="I179" s="34">
        <f>IFERROR(ROUND('Data Bulanan'!CC40,0),0)</f>
        <v>5693</v>
      </c>
      <c r="J179" s="34">
        <v>1004040</v>
      </c>
      <c r="K179" s="34">
        <v>148156</v>
      </c>
      <c r="L179" s="35">
        <f t="shared" si="12"/>
        <v>278</v>
      </c>
      <c r="M179" s="36">
        <f>IFERROR(AVERAGE('Data Bulanan'!BF40,'Data Bulanan'!BH40,'Data Bulanan'!BJ40,'Data Bulanan'!BL40,'Data Bulanan'!BN40,'Data Bulanan'!BP40,'Data Bulanan'!BR40,'Data Bulanan'!BT40,'Data Bulanan'!BV40,'Data Bulanan'!BX40,'Data Bulanan'!BZ40,'Data Bulanan'!CB40),0)</f>
        <v>15.151113671274961</v>
      </c>
      <c r="N179" s="37">
        <f>'Data Bulanan'!CD40</f>
        <v>3.1882785629931512</v>
      </c>
      <c r="O179" s="38">
        <f t="shared" si="13"/>
        <v>11.044520919573653</v>
      </c>
      <c r="P179" s="39">
        <f t="shared" si="14"/>
        <v>18</v>
      </c>
      <c r="Q179" s="40">
        <f t="shared" si="15"/>
        <v>200</v>
      </c>
      <c r="R179" s="41">
        <f t="shared" si="16"/>
        <v>393</v>
      </c>
      <c r="S179" s="42" t="str">
        <f t="shared" si="17"/>
        <v>Overstock 📦</v>
      </c>
      <c r="T179" s="43">
        <f>IFERROR(N179/AVERAGE(M177:M181),0)</f>
        <v>0.2346998774910822</v>
      </c>
      <c r="U179" s="44">
        <v>22.08</v>
      </c>
      <c r="V179" s="45">
        <v>3.0000000000000001E-3</v>
      </c>
    </row>
    <row r="180" spans="1:22" ht="15" customHeight="1" x14ac:dyDescent="0.35">
      <c r="A180" s="31">
        <v>4</v>
      </c>
      <c r="B180" s="32">
        <v>2024</v>
      </c>
      <c r="C180" s="31" t="s">
        <v>263</v>
      </c>
      <c r="D180" s="31" t="s">
        <v>104</v>
      </c>
      <c r="E180" s="33" t="s">
        <v>105</v>
      </c>
      <c r="F180" s="31" t="s">
        <v>57</v>
      </c>
      <c r="G180" s="34">
        <v>415</v>
      </c>
      <c r="H180" s="34">
        <v>12</v>
      </c>
      <c r="I180" s="34">
        <f>IFERROR(ROUND('Data Bulanan'!DC40,0),0)</f>
        <v>4740</v>
      </c>
      <c r="J180" s="34">
        <v>1045438</v>
      </c>
      <c r="K180" s="34">
        <v>153190</v>
      </c>
      <c r="L180" s="35">
        <f t="shared" si="12"/>
        <v>254</v>
      </c>
      <c r="M180" s="36">
        <f>IFERROR(AVERAGE('Data Bulanan'!CF40,'Data Bulanan'!CH40,'Data Bulanan'!CJ40,'Data Bulanan'!CL40,'Data Bulanan'!CN40,'Data Bulanan'!CP40,'Data Bulanan'!CR40,'Data Bulanan'!CT40,'Data Bulanan'!CV40,'Data Bulanan'!CX40,'Data Bulanan'!CZ40,'Data Bulanan'!DB40),0)</f>
        <v>12.605760368663596</v>
      </c>
      <c r="N180" s="37">
        <f>'Data Bulanan'!DD40</f>
        <v>2.6670626045000088</v>
      </c>
      <c r="O180" s="38">
        <f t="shared" si="13"/>
        <v>9.2389758759219855</v>
      </c>
      <c r="P180" s="39">
        <f t="shared" si="14"/>
        <v>15</v>
      </c>
      <c r="Q180" s="40">
        <f t="shared" si="15"/>
        <v>166</v>
      </c>
      <c r="R180" s="41">
        <f t="shared" si="16"/>
        <v>249</v>
      </c>
      <c r="S180" s="42" t="str">
        <f t="shared" si="17"/>
        <v>Aman ✅</v>
      </c>
      <c r="T180" s="43">
        <f>IFERROR(N180/AVERAGE(M177:M181),0)</f>
        <v>0.19633142279435867</v>
      </c>
      <c r="U180" s="44">
        <v>22.08</v>
      </c>
      <c r="V180" s="45">
        <v>3.0000000000000001E-3</v>
      </c>
    </row>
    <row r="181" spans="1:22" ht="15" customHeight="1" x14ac:dyDescent="0.35">
      <c r="A181" s="31">
        <v>5</v>
      </c>
      <c r="B181" s="32">
        <v>2025</v>
      </c>
      <c r="C181" s="31" t="s">
        <v>263</v>
      </c>
      <c r="D181" s="31" t="s">
        <v>104</v>
      </c>
      <c r="E181" s="33" t="s">
        <v>105</v>
      </c>
      <c r="F181" s="31" t="s">
        <v>57</v>
      </c>
      <c r="G181" s="34">
        <v>0</v>
      </c>
      <c r="H181" s="34">
        <v>12</v>
      </c>
      <c r="I181" s="34">
        <f>IFERROR(ROUND('Data Bulanan'!EC40,0),0)</f>
        <v>4975</v>
      </c>
      <c r="J181" s="34">
        <v>1022935</v>
      </c>
      <c r="K181" s="34">
        <v>166267</v>
      </c>
      <c r="L181" s="35">
        <f t="shared" si="12"/>
        <v>247</v>
      </c>
      <c r="M181" s="36">
        <f>IFERROR(AVERAGE('Data Bulanan'!DF40,'Data Bulanan'!DH40,'Data Bulanan'!DJ40,'Data Bulanan'!DL40,'Data Bulanan'!DN40,'Data Bulanan'!DP40,'Data Bulanan'!DR40,'Data Bulanan'!DT40,'Data Bulanan'!DV40,'Data Bulanan'!DX40,'Data Bulanan'!DZ40,'Data Bulanan'!EB40),0)</f>
        <v>13.216372247823863</v>
      </c>
      <c r="N181" s="37">
        <f>'Data Bulanan'!ED40</f>
        <v>2.6070903867459725</v>
      </c>
      <c r="O181" s="38">
        <f t="shared" si="13"/>
        <v>9.0312260195368363</v>
      </c>
      <c r="P181" s="39">
        <f t="shared" si="14"/>
        <v>15</v>
      </c>
      <c r="Q181" s="40">
        <f t="shared" si="15"/>
        <v>174</v>
      </c>
      <c r="R181" s="41">
        <f t="shared" si="16"/>
        <v>-174</v>
      </c>
      <c r="S181" s="42" t="str">
        <f t="shared" si="17"/>
        <v>Stockout ⚠</v>
      </c>
      <c r="T181" s="43">
        <f>IFERROR(N181/AVERAGE(M177:M181),0)</f>
        <v>0.19191666671779842</v>
      </c>
      <c r="U181" s="44">
        <v>22.08</v>
      </c>
      <c r="V181" s="45">
        <v>3.0000000000000001E-3</v>
      </c>
    </row>
    <row r="182" spans="1:22" ht="15" customHeight="1" x14ac:dyDescent="0.35">
      <c r="A182" s="46">
        <v>1</v>
      </c>
      <c r="B182" s="32">
        <v>2021</v>
      </c>
      <c r="C182" s="46" t="s">
        <v>263</v>
      </c>
      <c r="D182" s="46" t="s">
        <v>106</v>
      </c>
      <c r="E182" s="47" t="s">
        <v>107</v>
      </c>
      <c r="F182" s="46" t="s">
        <v>36</v>
      </c>
      <c r="G182" s="34">
        <v>0</v>
      </c>
      <c r="H182" s="34">
        <v>33</v>
      </c>
      <c r="I182" s="34">
        <f>IFERROR(ROUND('Data Bulanan'!AC41,0),0)</f>
        <v>12045</v>
      </c>
      <c r="J182" s="34">
        <v>8365774</v>
      </c>
      <c r="K182" s="34">
        <v>398114</v>
      </c>
      <c r="L182" s="35">
        <f t="shared" si="12"/>
        <v>711</v>
      </c>
      <c r="M182" s="36">
        <f>IFERROR(AVERAGE('Data Bulanan'!F41,'Data Bulanan'!H41,'Data Bulanan'!J41,'Data Bulanan'!L41,'Data Bulanan'!N41,'Data Bulanan'!P41,'Data Bulanan'!R41,'Data Bulanan'!T41,'Data Bulanan'!V41,'Data Bulanan'!X41,'Data Bulanan'!Z41,'Data Bulanan'!AB41),0)</f>
        <v>32.045449308755764</v>
      </c>
      <c r="N182" s="37">
        <f>'Data Bulanan'!AD41</f>
        <v>7.5320624482086176</v>
      </c>
      <c r="O182" s="38">
        <f t="shared" si="13"/>
        <v>43.268404591371002</v>
      </c>
      <c r="P182" s="39">
        <f t="shared" si="14"/>
        <v>71</v>
      </c>
      <c r="Q182" s="40">
        <f t="shared" si="15"/>
        <v>1128</v>
      </c>
      <c r="R182" s="41">
        <f t="shared" si="16"/>
        <v>-1128</v>
      </c>
      <c r="S182" s="42" t="str">
        <f t="shared" si="17"/>
        <v>Stockout ⚠</v>
      </c>
      <c r="T182" s="43">
        <f>IFERROR(N182/AVERAGE(M182:M186),0)</f>
        <v>0.24043426167866438</v>
      </c>
      <c r="U182" s="44">
        <v>-401.52</v>
      </c>
      <c r="V182" s="45">
        <v>0.60419999999999996</v>
      </c>
    </row>
    <row r="183" spans="1:22" ht="15" customHeight="1" x14ac:dyDescent="0.35">
      <c r="A183" s="46">
        <v>2</v>
      </c>
      <c r="B183" s="32">
        <v>2022</v>
      </c>
      <c r="C183" s="46" t="s">
        <v>263</v>
      </c>
      <c r="D183" s="46" t="s">
        <v>106</v>
      </c>
      <c r="E183" s="47" t="s">
        <v>107</v>
      </c>
      <c r="F183" s="46" t="s">
        <v>36</v>
      </c>
      <c r="G183" s="34">
        <v>2108</v>
      </c>
      <c r="H183" s="34">
        <v>33</v>
      </c>
      <c r="I183" s="34">
        <f>IFERROR(ROUND('Data Bulanan'!BC41,0),0)</f>
        <v>13025</v>
      </c>
      <c r="J183" s="34">
        <v>8783506</v>
      </c>
      <c r="K183" s="34">
        <v>389995</v>
      </c>
      <c r="L183" s="35">
        <f t="shared" si="12"/>
        <v>766</v>
      </c>
      <c r="M183" s="36">
        <f>IFERROR(AVERAGE('Data Bulanan'!AF41,'Data Bulanan'!AH41,'Data Bulanan'!AJ41,'Data Bulanan'!AL41,'Data Bulanan'!AN41,'Data Bulanan'!AP41,'Data Bulanan'!AR41,'Data Bulanan'!AT41,'Data Bulanan'!AV41,'Data Bulanan'!AX41,'Data Bulanan'!AZ41,'Data Bulanan'!BB41),0)</f>
        <v>34.675051203277008</v>
      </c>
      <c r="N183" s="37">
        <f>'Data Bulanan'!BD41</f>
        <v>7.598230973240768</v>
      </c>
      <c r="O183" s="38">
        <f t="shared" si="13"/>
        <v>43.648513828647211</v>
      </c>
      <c r="P183" s="39">
        <f t="shared" si="14"/>
        <v>72</v>
      </c>
      <c r="Q183" s="40">
        <f t="shared" si="15"/>
        <v>1216</v>
      </c>
      <c r="R183" s="41">
        <f t="shared" si="16"/>
        <v>892</v>
      </c>
      <c r="S183" s="42" t="str">
        <f t="shared" si="17"/>
        <v>Overstock 📦</v>
      </c>
      <c r="T183" s="43">
        <f>IFERROR(N183/AVERAGE(M182:M186),0)</f>
        <v>0.24254645612366066</v>
      </c>
      <c r="U183" s="44">
        <v>-401.52</v>
      </c>
      <c r="V183" s="45">
        <v>0.60419999999999996</v>
      </c>
    </row>
    <row r="184" spans="1:22" ht="15" customHeight="1" x14ac:dyDescent="0.35">
      <c r="A184" s="46">
        <v>3</v>
      </c>
      <c r="B184" s="32">
        <v>2023</v>
      </c>
      <c r="C184" s="46" t="s">
        <v>263</v>
      </c>
      <c r="D184" s="46" t="s">
        <v>106</v>
      </c>
      <c r="E184" s="47" t="s">
        <v>107</v>
      </c>
      <c r="F184" s="46" t="s">
        <v>36</v>
      </c>
      <c r="G184" s="34">
        <v>3478</v>
      </c>
      <c r="H184" s="34">
        <v>33</v>
      </c>
      <c r="I184" s="34">
        <f>IFERROR(ROUND('Data Bulanan'!CC41,0),0)</f>
        <v>11573</v>
      </c>
      <c r="J184" s="34">
        <v>8128776</v>
      </c>
      <c r="K184" s="34">
        <v>392641</v>
      </c>
      <c r="L184" s="35">
        <f t="shared" si="12"/>
        <v>692</v>
      </c>
      <c r="M184" s="36">
        <f>IFERROR(AVERAGE('Data Bulanan'!BF41,'Data Bulanan'!BH41,'Data Bulanan'!BJ41,'Data Bulanan'!BL41,'Data Bulanan'!BN41,'Data Bulanan'!BP41,'Data Bulanan'!BR41,'Data Bulanan'!BT41,'Data Bulanan'!BV41,'Data Bulanan'!BX41,'Data Bulanan'!BZ41,'Data Bulanan'!CB41),0)</f>
        <v>30.922836661546338</v>
      </c>
      <c r="N184" s="37">
        <f>'Data Bulanan'!CD41</f>
        <v>9.7242866286964311</v>
      </c>
      <c r="O184" s="38">
        <f t="shared" si="13"/>
        <v>55.861773731438731</v>
      </c>
      <c r="P184" s="39">
        <f t="shared" si="14"/>
        <v>92</v>
      </c>
      <c r="Q184" s="40">
        <f t="shared" si="15"/>
        <v>1112</v>
      </c>
      <c r="R184" s="41">
        <f t="shared" si="16"/>
        <v>2366</v>
      </c>
      <c r="S184" s="42" t="str">
        <f t="shared" si="17"/>
        <v>Overstock 📦</v>
      </c>
      <c r="T184" s="43">
        <f>IFERROR(N184/AVERAGE(M182:M186),0)</f>
        <v>0.31041320913084086</v>
      </c>
      <c r="U184" s="44">
        <v>-401.52</v>
      </c>
      <c r="V184" s="45">
        <v>0.60419999999999996</v>
      </c>
    </row>
    <row r="185" spans="1:22" ht="15" customHeight="1" x14ac:dyDescent="0.35">
      <c r="A185" s="46">
        <v>4</v>
      </c>
      <c r="B185" s="32">
        <v>2024</v>
      </c>
      <c r="C185" s="46" t="s">
        <v>263</v>
      </c>
      <c r="D185" s="46" t="s">
        <v>106</v>
      </c>
      <c r="E185" s="47" t="s">
        <v>107</v>
      </c>
      <c r="F185" s="46" t="s">
        <v>36</v>
      </c>
      <c r="G185" s="34">
        <v>0</v>
      </c>
      <c r="H185" s="34">
        <v>33</v>
      </c>
      <c r="I185" s="34">
        <f>IFERROR(ROUND('Data Bulanan'!DC41,0),0)</f>
        <v>11306</v>
      </c>
      <c r="J185" s="34">
        <v>8736598</v>
      </c>
      <c r="K185" s="34">
        <v>428943</v>
      </c>
      <c r="L185" s="35">
        <f t="shared" si="12"/>
        <v>679</v>
      </c>
      <c r="M185" s="36">
        <f>IFERROR(AVERAGE('Data Bulanan'!CF41,'Data Bulanan'!CH41,'Data Bulanan'!CJ41,'Data Bulanan'!CL41,'Data Bulanan'!CN41,'Data Bulanan'!CP41,'Data Bulanan'!CR41,'Data Bulanan'!CT41,'Data Bulanan'!CV41,'Data Bulanan'!CX41,'Data Bulanan'!CZ41,'Data Bulanan'!DB41),0)</f>
        <v>30.041749871991808</v>
      </c>
      <c r="N185" s="37">
        <f>'Data Bulanan'!DD41</f>
        <v>5.3812707751227338</v>
      </c>
      <c r="O185" s="38">
        <f t="shared" si="13"/>
        <v>30.913047085676801</v>
      </c>
      <c r="P185" s="39">
        <f t="shared" si="14"/>
        <v>51</v>
      </c>
      <c r="Q185" s="40">
        <f t="shared" si="15"/>
        <v>1042</v>
      </c>
      <c r="R185" s="41">
        <f t="shared" si="16"/>
        <v>-1042</v>
      </c>
      <c r="S185" s="42" t="str">
        <f t="shared" si="17"/>
        <v>Stockout ⚠</v>
      </c>
      <c r="T185" s="43">
        <f>IFERROR(N185/AVERAGE(M182:M186),0)</f>
        <v>0.17177789942744412</v>
      </c>
      <c r="U185" s="44">
        <v>-401.52</v>
      </c>
      <c r="V185" s="45">
        <v>0.60419999999999996</v>
      </c>
    </row>
    <row r="186" spans="1:22" ht="15" customHeight="1" x14ac:dyDescent="0.35">
      <c r="A186" s="46">
        <v>5</v>
      </c>
      <c r="B186" s="32">
        <v>2025</v>
      </c>
      <c r="C186" s="46" t="s">
        <v>263</v>
      </c>
      <c r="D186" s="46" t="s">
        <v>106</v>
      </c>
      <c r="E186" s="47" t="s">
        <v>107</v>
      </c>
      <c r="F186" s="46" t="s">
        <v>36</v>
      </c>
      <c r="G186" s="34">
        <v>5183</v>
      </c>
      <c r="H186" s="34">
        <v>33</v>
      </c>
      <c r="I186" s="34">
        <f>IFERROR(ROUND('Data Bulanan'!EC41,0),0)</f>
        <v>10897</v>
      </c>
      <c r="J186" s="34">
        <v>8287166</v>
      </c>
      <c r="K186" s="34">
        <v>442862</v>
      </c>
      <c r="L186" s="35">
        <f t="shared" si="12"/>
        <v>639</v>
      </c>
      <c r="M186" s="36">
        <f>IFERROR(AVERAGE('Data Bulanan'!DF41,'Data Bulanan'!DH41,'Data Bulanan'!DJ41,'Data Bulanan'!DL41,'Data Bulanan'!DN41,'Data Bulanan'!DP41,'Data Bulanan'!DR41,'Data Bulanan'!DT41,'Data Bulanan'!DV41,'Data Bulanan'!DX41,'Data Bulanan'!DZ41,'Data Bulanan'!EB41),0)</f>
        <v>28.949462365591401</v>
      </c>
      <c r="N186" s="37">
        <f>'Data Bulanan'!ED41</f>
        <v>6.9141017701376626</v>
      </c>
      <c r="O186" s="38">
        <f t="shared" si="13"/>
        <v>39.718490763095282</v>
      </c>
      <c r="P186" s="39">
        <f t="shared" si="14"/>
        <v>66</v>
      </c>
      <c r="Q186" s="40">
        <f t="shared" si="15"/>
        <v>1021</v>
      </c>
      <c r="R186" s="41">
        <f t="shared" si="16"/>
        <v>4162</v>
      </c>
      <c r="S186" s="42" t="str">
        <f t="shared" si="17"/>
        <v>Overstock 📦</v>
      </c>
      <c r="T186" s="43">
        <f>IFERROR(N186/AVERAGE(M182:M186),0)</f>
        <v>0.22070806843477087</v>
      </c>
      <c r="U186" s="44">
        <v>-401.52</v>
      </c>
      <c r="V186" s="45">
        <v>0.60419999999999996</v>
      </c>
    </row>
    <row r="187" spans="1:22" ht="15" customHeight="1" x14ac:dyDescent="0.35">
      <c r="A187" s="31">
        <v>1</v>
      </c>
      <c r="B187" s="32">
        <v>2021</v>
      </c>
      <c r="C187" s="31" t="s">
        <v>263</v>
      </c>
      <c r="D187" s="31" t="s">
        <v>108</v>
      </c>
      <c r="E187" s="33" t="s">
        <v>109</v>
      </c>
      <c r="F187" s="31" t="s">
        <v>36</v>
      </c>
      <c r="G187" s="34">
        <v>917</v>
      </c>
      <c r="H187" s="34">
        <v>5</v>
      </c>
      <c r="I187" s="34">
        <f>IFERROR(ROUND('Data Bulanan'!AC42,0),0)</f>
        <v>28442</v>
      </c>
      <c r="J187" s="34">
        <v>2663902</v>
      </c>
      <c r="K187" s="34">
        <v>199085</v>
      </c>
      <c r="L187" s="35">
        <f t="shared" si="12"/>
        <v>872</v>
      </c>
      <c r="M187" s="36">
        <f>IFERROR(AVERAGE('Data Bulanan'!F42,'Data Bulanan'!H42,'Data Bulanan'!J42,'Data Bulanan'!L42,'Data Bulanan'!N42,'Data Bulanan'!P42,'Data Bulanan'!R42,'Data Bulanan'!T42,'Data Bulanan'!V42,'Data Bulanan'!X42,'Data Bulanan'!Z42,'Data Bulanan'!AB42),0)</f>
        <v>75.782373271889398</v>
      </c>
      <c r="N187" s="37">
        <f>'Data Bulanan'!AD42</f>
        <v>22.895062461622079</v>
      </c>
      <c r="O187" s="38">
        <f t="shared" si="13"/>
        <v>51.194916013290637</v>
      </c>
      <c r="P187" s="39">
        <f t="shared" si="14"/>
        <v>84</v>
      </c>
      <c r="Q187" s="40">
        <f t="shared" si="15"/>
        <v>463</v>
      </c>
      <c r="R187" s="41">
        <f t="shared" si="16"/>
        <v>454</v>
      </c>
      <c r="S187" s="42" t="str">
        <f t="shared" si="17"/>
        <v>Aman ✅</v>
      </c>
      <c r="T187" s="43">
        <f>IFERROR(N187/AVERAGE(M187:M191),0)</f>
        <v>0.29412844996496185</v>
      </c>
      <c r="U187" s="44">
        <v>314.5</v>
      </c>
      <c r="V187" s="45">
        <v>1.78E-2</v>
      </c>
    </row>
    <row r="188" spans="1:22" ht="15" customHeight="1" x14ac:dyDescent="0.35">
      <c r="A188" s="31">
        <v>2</v>
      </c>
      <c r="B188" s="32">
        <v>2022</v>
      </c>
      <c r="C188" s="31" t="s">
        <v>263</v>
      </c>
      <c r="D188" s="31" t="s">
        <v>108</v>
      </c>
      <c r="E188" s="33" t="s">
        <v>109</v>
      </c>
      <c r="F188" s="31" t="s">
        <v>36</v>
      </c>
      <c r="G188" s="34">
        <v>1251</v>
      </c>
      <c r="H188" s="34">
        <v>5</v>
      </c>
      <c r="I188" s="34">
        <f>IFERROR(ROUND('Data Bulanan'!BC42,0),0)</f>
        <v>28071</v>
      </c>
      <c r="J188" s="34">
        <v>2289759</v>
      </c>
      <c r="K188" s="34">
        <v>226957</v>
      </c>
      <c r="L188" s="35">
        <f t="shared" si="12"/>
        <v>753</v>
      </c>
      <c r="M188" s="36">
        <f>IFERROR(AVERAGE('Data Bulanan'!AF42,'Data Bulanan'!AH42,'Data Bulanan'!AJ42,'Data Bulanan'!AL42,'Data Bulanan'!AN42,'Data Bulanan'!AP42,'Data Bulanan'!AR42,'Data Bulanan'!AT42,'Data Bulanan'!AV42,'Data Bulanan'!AX42,'Data Bulanan'!AZ42,'Data Bulanan'!BB42),0)</f>
        <v>74.988332053251412</v>
      </c>
      <c r="N188" s="37">
        <f>'Data Bulanan'!BD42</f>
        <v>21.429249589539474</v>
      </c>
      <c r="O188" s="38">
        <f t="shared" si="13"/>
        <v>47.917258789019733</v>
      </c>
      <c r="P188" s="39">
        <f t="shared" si="14"/>
        <v>79</v>
      </c>
      <c r="Q188" s="40">
        <f t="shared" si="15"/>
        <v>454</v>
      </c>
      <c r="R188" s="41">
        <f t="shared" si="16"/>
        <v>797</v>
      </c>
      <c r="S188" s="42" t="str">
        <f t="shared" si="17"/>
        <v>Overstock 📦</v>
      </c>
      <c r="T188" s="43">
        <f>IFERROR(N188/AVERAGE(M187:M191),0)</f>
        <v>0.27529743481804791</v>
      </c>
      <c r="U188" s="44">
        <v>314.5</v>
      </c>
      <c r="V188" s="45">
        <v>1.78E-2</v>
      </c>
    </row>
    <row r="189" spans="1:22" ht="15" customHeight="1" x14ac:dyDescent="0.35">
      <c r="A189" s="31">
        <v>3</v>
      </c>
      <c r="B189" s="32">
        <v>2023</v>
      </c>
      <c r="C189" s="31" t="s">
        <v>263</v>
      </c>
      <c r="D189" s="31" t="s">
        <v>108</v>
      </c>
      <c r="E189" s="33" t="s">
        <v>109</v>
      </c>
      <c r="F189" s="31" t="s">
        <v>36</v>
      </c>
      <c r="G189" s="34">
        <v>1573</v>
      </c>
      <c r="H189" s="34">
        <v>5</v>
      </c>
      <c r="I189" s="34">
        <f>IFERROR(ROUND('Data Bulanan'!CC42,0),0)</f>
        <v>27513</v>
      </c>
      <c r="J189" s="34">
        <v>2676259</v>
      </c>
      <c r="K189" s="34">
        <v>198877</v>
      </c>
      <c r="L189" s="35">
        <f t="shared" si="12"/>
        <v>861</v>
      </c>
      <c r="M189" s="36">
        <f>IFERROR(AVERAGE('Data Bulanan'!BF42,'Data Bulanan'!BH42,'Data Bulanan'!BJ42,'Data Bulanan'!BL42,'Data Bulanan'!BN42,'Data Bulanan'!BP42,'Data Bulanan'!BR42,'Data Bulanan'!BT42,'Data Bulanan'!BV42,'Data Bulanan'!BX42,'Data Bulanan'!BZ42,'Data Bulanan'!CB42),0)</f>
        <v>73.526702508960582</v>
      </c>
      <c r="N189" s="37">
        <f>'Data Bulanan'!CD42</f>
        <v>18.987683468224606</v>
      </c>
      <c r="O189" s="38">
        <f t="shared" si="13"/>
        <v>42.457750970199193</v>
      </c>
      <c r="P189" s="39">
        <f t="shared" si="14"/>
        <v>70</v>
      </c>
      <c r="Q189" s="40">
        <f t="shared" si="15"/>
        <v>438</v>
      </c>
      <c r="R189" s="41">
        <f t="shared" si="16"/>
        <v>1135</v>
      </c>
      <c r="S189" s="42" t="str">
        <f t="shared" si="17"/>
        <v>Overstock 📦</v>
      </c>
      <c r="T189" s="43">
        <f>IFERROR(N189/AVERAGE(M187:M191),0)</f>
        <v>0.24393110594460282</v>
      </c>
      <c r="U189" s="44">
        <v>314.5</v>
      </c>
      <c r="V189" s="45">
        <v>1.78E-2</v>
      </c>
    </row>
    <row r="190" spans="1:22" ht="15" customHeight="1" x14ac:dyDescent="0.35">
      <c r="A190" s="31">
        <v>4</v>
      </c>
      <c r="B190" s="32">
        <v>2024</v>
      </c>
      <c r="C190" s="31" t="s">
        <v>263</v>
      </c>
      <c r="D190" s="31" t="s">
        <v>108</v>
      </c>
      <c r="E190" s="33" t="s">
        <v>109</v>
      </c>
      <c r="F190" s="31" t="s">
        <v>36</v>
      </c>
      <c r="G190" s="34">
        <v>582</v>
      </c>
      <c r="H190" s="34">
        <v>5</v>
      </c>
      <c r="I190" s="34">
        <f>IFERROR(ROUND('Data Bulanan'!DC42,0),0)</f>
        <v>35684</v>
      </c>
      <c r="J190" s="34">
        <v>2531419</v>
      </c>
      <c r="K190" s="34">
        <v>192884</v>
      </c>
      <c r="L190" s="35">
        <f t="shared" si="12"/>
        <v>968</v>
      </c>
      <c r="M190" s="36">
        <f>IFERROR(AVERAGE('Data Bulanan'!CF42,'Data Bulanan'!CH42,'Data Bulanan'!CJ42,'Data Bulanan'!CL42,'Data Bulanan'!CN42,'Data Bulanan'!CP42,'Data Bulanan'!CR42,'Data Bulanan'!CT42,'Data Bulanan'!CV42,'Data Bulanan'!CX42,'Data Bulanan'!CZ42,'Data Bulanan'!DB42),0)</f>
        <v>95.005081925243204</v>
      </c>
      <c r="N190" s="37">
        <f>'Data Bulanan'!DD42</f>
        <v>23.09979680530456</v>
      </c>
      <c r="O190" s="38">
        <f t="shared" si="13"/>
        <v>51.652715923093474</v>
      </c>
      <c r="P190" s="39">
        <f t="shared" si="14"/>
        <v>85</v>
      </c>
      <c r="Q190" s="40">
        <f t="shared" si="15"/>
        <v>560</v>
      </c>
      <c r="R190" s="41">
        <f t="shared" si="16"/>
        <v>22</v>
      </c>
      <c r="S190" s="42" t="str">
        <f t="shared" si="17"/>
        <v>Aman ✅</v>
      </c>
      <c r="T190" s="43">
        <f>IFERROR(N190/AVERAGE(M187:M191),0)</f>
        <v>0.29675863257585722</v>
      </c>
      <c r="U190" s="44">
        <v>314.5</v>
      </c>
      <c r="V190" s="45">
        <v>1.78E-2</v>
      </c>
    </row>
    <row r="191" spans="1:22" ht="15" customHeight="1" x14ac:dyDescent="0.35">
      <c r="A191" s="31">
        <v>5</v>
      </c>
      <c r="B191" s="32">
        <v>2025</v>
      </c>
      <c r="C191" s="31" t="s">
        <v>263</v>
      </c>
      <c r="D191" s="31" t="s">
        <v>108</v>
      </c>
      <c r="E191" s="33" t="s">
        <v>109</v>
      </c>
      <c r="F191" s="31" t="s">
        <v>36</v>
      </c>
      <c r="G191" s="34">
        <v>3662</v>
      </c>
      <c r="H191" s="34">
        <v>5</v>
      </c>
      <c r="I191" s="34">
        <f>IFERROR(ROUND('Data Bulanan'!EC42,0),0)</f>
        <v>26208</v>
      </c>
      <c r="J191" s="34">
        <v>2382000</v>
      </c>
      <c r="K191" s="34">
        <v>199916</v>
      </c>
      <c r="L191" s="35">
        <f t="shared" si="12"/>
        <v>790</v>
      </c>
      <c r="M191" s="36">
        <f>IFERROR(AVERAGE('Data Bulanan'!DF42,'Data Bulanan'!DH42,'Data Bulanan'!DJ42,'Data Bulanan'!DL42,'Data Bulanan'!DN42,'Data Bulanan'!DP42,'Data Bulanan'!DR42,'Data Bulanan'!DT42,'Data Bulanan'!DV42,'Data Bulanan'!DX42,'Data Bulanan'!DZ42,'Data Bulanan'!EB42),0)</f>
        <v>69.899276753712229</v>
      </c>
      <c r="N191" s="37">
        <f>'Data Bulanan'!ED42</f>
        <v>15.938696664876586</v>
      </c>
      <c r="O191" s="38">
        <f t="shared" si="13"/>
        <v>35.64000921541323</v>
      </c>
      <c r="P191" s="39">
        <f t="shared" si="14"/>
        <v>59</v>
      </c>
      <c r="Q191" s="40">
        <f t="shared" si="15"/>
        <v>408</v>
      </c>
      <c r="R191" s="41">
        <f t="shared" si="16"/>
        <v>3254</v>
      </c>
      <c r="S191" s="42" t="str">
        <f t="shared" si="17"/>
        <v>Overstock 📦</v>
      </c>
      <c r="T191" s="43">
        <f>IFERROR(N191/AVERAGE(M187:M191),0)</f>
        <v>0.20476136076764029</v>
      </c>
      <c r="U191" s="44">
        <v>314.5</v>
      </c>
      <c r="V191" s="45">
        <v>1.78E-2</v>
      </c>
    </row>
    <row r="192" spans="1:22" ht="15" customHeight="1" x14ac:dyDescent="0.35">
      <c r="A192" s="46">
        <v>1</v>
      </c>
      <c r="B192" s="32">
        <v>2021</v>
      </c>
      <c r="C192" s="46" t="s">
        <v>263</v>
      </c>
      <c r="D192" s="46" t="s">
        <v>110</v>
      </c>
      <c r="E192" s="47" t="s">
        <v>111</v>
      </c>
      <c r="F192" s="46" t="s">
        <v>36</v>
      </c>
      <c r="G192" s="34">
        <v>13251</v>
      </c>
      <c r="H192" s="34">
        <v>33</v>
      </c>
      <c r="I192" s="34">
        <f>IFERROR(ROUND('Data Bulanan'!AC43,0),0)</f>
        <v>42345</v>
      </c>
      <c r="J192" s="34">
        <v>5820972</v>
      </c>
      <c r="K192" s="34">
        <v>323211</v>
      </c>
      <c r="L192" s="35">
        <f t="shared" si="12"/>
        <v>1235</v>
      </c>
      <c r="M192" s="36">
        <f>IFERROR(AVERAGE('Data Bulanan'!F43,'Data Bulanan'!H43,'Data Bulanan'!J43,'Data Bulanan'!L43,'Data Bulanan'!N43,'Data Bulanan'!P43,'Data Bulanan'!R43,'Data Bulanan'!T43,'Data Bulanan'!V43,'Data Bulanan'!X43,'Data Bulanan'!Z43,'Data Bulanan'!AB43),0)</f>
        <v>112.49346518177164</v>
      </c>
      <c r="N192" s="37">
        <f>'Data Bulanan'!AD43</f>
        <v>18.257089180951507</v>
      </c>
      <c r="O192" s="38">
        <f t="shared" si="13"/>
        <v>104.87899254340759</v>
      </c>
      <c r="P192" s="39">
        <f t="shared" si="14"/>
        <v>173</v>
      </c>
      <c r="Q192" s="40">
        <f t="shared" si="15"/>
        <v>3885</v>
      </c>
      <c r="R192" s="41">
        <f t="shared" si="16"/>
        <v>9366</v>
      </c>
      <c r="S192" s="42" t="str">
        <f t="shared" si="17"/>
        <v>Overstock 📦</v>
      </c>
      <c r="T192" s="43">
        <f>IFERROR(N192/AVERAGE(M192:M196),0)</f>
        <v>0.1336521551343994</v>
      </c>
      <c r="U192" s="44">
        <v>2870.35</v>
      </c>
      <c r="V192" s="45">
        <v>0.53700000000000003</v>
      </c>
    </row>
    <row r="193" spans="1:22" ht="15" customHeight="1" x14ac:dyDescent="0.35">
      <c r="A193" s="46">
        <v>2</v>
      </c>
      <c r="B193" s="32">
        <v>2022</v>
      </c>
      <c r="C193" s="46" t="s">
        <v>263</v>
      </c>
      <c r="D193" s="46" t="s">
        <v>110</v>
      </c>
      <c r="E193" s="47" t="s">
        <v>111</v>
      </c>
      <c r="F193" s="46" t="s">
        <v>36</v>
      </c>
      <c r="G193" s="34">
        <v>10055</v>
      </c>
      <c r="H193" s="34">
        <v>33</v>
      </c>
      <c r="I193" s="34">
        <f>IFERROR(ROUND('Data Bulanan'!BC43,0),0)</f>
        <v>48405</v>
      </c>
      <c r="J193" s="34">
        <v>5946906</v>
      </c>
      <c r="K193" s="34">
        <v>364719</v>
      </c>
      <c r="L193" s="35">
        <f t="shared" si="12"/>
        <v>1256</v>
      </c>
      <c r="M193" s="36">
        <f>IFERROR(AVERAGE('Data Bulanan'!AF43,'Data Bulanan'!AH43,'Data Bulanan'!AJ43,'Data Bulanan'!AL43,'Data Bulanan'!AN43,'Data Bulanan'!AP43,'Data Bulanan'!AR43,'Data Bulanan'!AT43,'Data Bulanan'!AV43,'Data Bulanan'!AX43,'Data Bulanan'!AZ43,'Data Bulanan'!BB43),0)</f>
        <v>128.95933179723502</v>
      </c>
      <c r="N193" s="37">
        <f>'Data Bulanan'!BD43</f>
        <v>34.143198193537103</v>
      </c>
      <c r="O193" s="38">
        <f t="shared" si="13"/>
        <v>196.13774097593793</v>
      </c>
      <c r="P193" s="39">
        <f t="shared" si="14"/>
        <v>324</v>
      </c>
      <c r="Q193" s="40">
        <f t="shared" si="15"/>
        <v>4580</v>
      </c>
      <c r="R193" s="41">
        <f t="shared" si="16"/>
        <v>5475</v>
      </c>
      <c r="S193" s="42" t="str">
        <f t="shared" si="17"/>
        <v>Overstock 📦</v>
      </c>
      <c r="T193" s="43">
        <f>IFERROR(N193/AVERAGE(M192:M196),0)</f>
        <v>0.24994740270580965</v>
      </c>
      <c r="U193" s="44">
        <v>2870.35</v>
      </c>
      <c r="V193" s="45">
        <v>0.53700000000000003</v>
      </c>
    </row>
    <row r="194" spans="1:22" ht="15" customHeight="1" x14ac:dyDescent="0.35">
      <c r="A194" s="46">
        <v>3</v>
      </c>
      <c r="B194" s="32">
        <v>2023</v>
      </c>
      <c r="C194" s="46" t="s">
        <v>263</v>
      </c>
      <c r="D194" s="46" t="s">
        <v>110</v>
      </c>
      <c r="E194" s="47" t="s">
        <v>111</v>
      </c>
      <c r="F194" s="46" t="s">
        <v>36</v>
      </c>
      <c r="G194" s="34">
        <v>13851</v>
      </c>
      <c r="H194" s="34">
        <v>33</v>
      </c>
      <c r="I194" s="34">
        <f>IFERROR(ROUND('Data Bulanan'!CC43,0),0)</f>
        <v>56791</v>
      </c>
      <c r="J194" s="34">
        <v>5496067</v>
      </c>
      <c r="K194" s="34">
        <v>391869</v>
      </c>
      <c r="L194" s="35">
        <f t="shared" si="12"/>
        <v>1262</v>
      </c>
      <c r="M194" s="36">
        <f>IFERROR(AVERAGE('Data Bulanan'!BF43,'Data Bulanan'!BH43,'Data Bulanan'!BJ43,'Data Bulanan'!BL43,'Data Bulanan'!BN43,'Data Bulanan'!BP43,'Data Bulanan'!BR43,'Data Bulanan'!BT43,'Data Bulanan'!BV43,'Data Bulanan'!BX43,'Data Bulanan'!BZ43,'Data Bulanan'!CB43),0)</f>
        <v>151.02136456733231</v>
      </c>
      <c r="N194" s="37">
        <f>'Data Bulanan'!CD43</f>
        <v>23.570237512931286</v>
      </c>
      <c r="O194" s="38">
        <f t="shared" si="13"/>
        <v>135.40070598681447</v>
      </c>
      <c r="P194" s="39">
        <f t="shared" si="14"/>
        <v>223</v>
      </c>
      <c r="Q194" s="40">
        <f t="shared" si="15"/>
        <v>5207</v>
      </c>
      <c r="R194" s="41">
        <f t="shared" si="16"/>
        <v>8644</v>
      </c>
      <c r="S194" s="42" t="str">
        <f t="shared" si="17"/>
        <v>Overstock 📦</v>
      </c>
      <c r="T194" s="43">
        <f>IFERROR(N194/AVERAGE(M192:M196),0)</f>
        <v>0.17254738745099085</v>
      </c>
      <c r="U194" s="44">
        <v>2870.35</v>
      </c>
      <c r="V194" s="45">
        <v>0.53700000000000003</v>
      </c>
    </row>
    <row r="195" spans="1:22" ht="15" customHeight="1" x14ac:dyDescent="0.35">
      <c r="A195" s="46">
        <v>4</v>
      </c>
      <c r="B195" s="32">
        <v>2024</v>
      </c>
      <c r="C195" s="46" t="s">
        <v>263</v>
      </c>
      <c r="D195" s="46" t="s">
        <v>110</v>
      </c>
      <c r="E195" s="47" t="s">
        <v>111</v>
      </c>
      <c r="F195" s="46" t="s">
        <v>36</v>
      </c>
      <c r="G195" s="34">
        <v>0</v>
      </c>
      <c r="H195" s="34">
        <v>33</v>
      </c>
      <c r="I195" s="34">
        <f>IFERROR(ROUND('Data Bulanan'!DC43,0),0)</f>
        <v>57100</v>
      </c>
      <c r="J195" s="34">
        <v>5950510</v>
      </c>
      <c r="K195" s="34">
        <v>323703</v>
      </c>
      <c r="L195" s="35">
        <f t="shared" si="12"/>
        <v>1449</v>
      </c>
      <c r="M195" s="36">
        <f>IFERROR(AVERAGE('Data Bulanan'!CF43,'Data Bulanan'!CH43,'Data Bulanan'!CJ43,'Data Bulanan'!CL43,'Data Bulanan'!CN43,'Data Bulanan'!CP43,'Data Bulanan'!CR43,'Data Bulanan'!CT43,'Data Bulanan'!CV43,'Data Bulanan'!CX43,'Data Bulanan'!CZ43,'Data Bulanan'!DB43),0)</f>
        <v>151.66004864311313</v>
      </c>
      <c r="N195" s="37">
        <f>'Data Bulanan'!DD43</f>
        <v>32.51591088795626</v>
      </c>
      <c r="O195" s="38">
        <f t="shared" si="13"/>
        <v>186.78968710511271</v>
      </c>
      <c r="P195" s="39">
        <f t="shared" si="14"/>
        <v>308</v>
      </c>
      <c r="Q195" s="40">
        <f t="shared" si="15"/>
        <v>5313</v>
      </c>
      <c r="R195" s="41">
        <f t="shared" si="16"/>
        <v>-5313</v>
      </c>
      <c r="S195" s="42" t="str">
        <f t="shared" si="17"/>
        <v>Stockout ⚠</v>
      </c>
      <c r="T195" s="43">
        <f>IFERROR(N195/AVERAGE(M192:M196),0)</f>
        <v>0.23803474492898025</v>
      </c>
      <c r="U195" s="44">
        <v>2870.35</v>
      </c>
      <c r="V195" s="45">
        <v>0.53700000000000003</v>
      </c>
    </row>
    <row r="196" spans="1:22" ht="15" customHeight="1" x14ac:dyDescent="0.35">
      <c r="A196" s="46">
        <v>5</v>
      </c>
      <c r="B196" s="32">
        <v>2025</v>
      </c>
      <c r="C196" s="46" t="s">
        <v>263</v>
      </c>
      <c r="D196" s="46" t="s">
        <v>110</v>
      </c>
      <c r="E196" s="47" t="s">
        <v>111</v>
      </c>
      <c r="F196" s="46" t="s">
        <v>36</v>
      </c>
      <c r="G196" s="34">
        <v>0</v>
      </c>
      <c r="H196" s="34">
        <v>33</v>
      </c>
      <c r="I196" s="34">
        <f>IFERROR(ROUND('Data Bulanan'!EC43,0),0)</f>
        <v>52349</v>
      </c>
      <c r="J196" s="34">
        <v>5946973</v>
      </c>
      <c r="K196" s="34">
        <v>337492</v>
      </c>
      <c r="L196" s="35">
        <f t="shared" si="12"/>
        <v>1358</v>
      </c>
      <c r="M196" s="36">
        <f>IFERROR(AVERAGE('Data Bulanan'!DF43,'Data Bulanan'!DH43,'Data Bulanan'!DJ43,'Data Bulanan'!DL43,'Data Bulanan'!DN43,'Data Bulanan'!DP43,'Data Bulanan'!DR43,'Data Bulanan'!DT43,'Data Bulanan'!DV43,'Data Bulanan'!DX43,'Data Bulanan'!DZ43,'Data Bulanan'!EB43),0)</f>
        <v>138.87345110087048</v>
      </c>
      <c r="N196" s="37">
        <f>'Data Bulanan'!ED43</f>
        <v>32.600480165371785</v>
      </c>
      <c r="O196" s="38">
        <f t="shared" si="13"/>
        <v>187.27550061719865</v>
      </c>
      <c r="P196" s="39">
        <f t="shared" si="14"/>
        <v>309</v>
      </c>
      <c r="Q196" s="40">
        <f t="shared" si="15"/>
        <v>4892</v>
      </c>
      <c r="R196" s="41">
        <f t="shared" si="16"/>
        <v>-4892</v>
      </c>
      <c r="S196" s="42" t="str">
        <f t="shared" si="17"/>
        <v>Stockout ⚠</v>
      </c>
      <c r="T196" s="43">
        <f>IFERROR(N196/AVERAGE(M192:M196),0)</f>
        <v>0.23865383957614539</v>
      </c>
      <c r="U196" s="44">
        <v>2870.35</v>
      </c>
      <c r="V196" s="45">
        <v>0.53700000000000003</v>
      </c>
    </row>
    <row r="197" spans="1:22" ht="15" customHeight="1" x14ac:dyDescent="0.35">
      <c r="A197" s="31">
        <v>1</v>
      </c>
      <c r="B197" s="32">
        <v>2021</v>
      </c>
      <c r="C197" s="31" t="s">
        <v>263</v>
      </c>
      <c r="D197" s="31" t="s">
        <v>112</v>
      </c>
      <c r="E197" s="33" t="s">
        <v>113</v>
      </c>
      <c r="F197" s="31" t="s">
        <v>36</v>
      </c>
      <c r="G197" s="34">
        <v>4056</v>
      </c>
      <c r="H197" s="34">
        <v>39</v>
      </c>
      <c r="I197" s="34">
        <f>IFERROR(ROUND('Data Bulanan'!AC44,0),0)</f>
        <v>23251</v>
      </c>
      <c r="J197" s="34">
        <v>9900743</v>
      </c>
      <c r="K197" s="34">
        <v>157949</v>
      </c>
      <c r="L197" s="35">
        <f t="shared" si="12"/>
        <v>1707</v>
      </c>
      <c r="M197" s="36">
        <f>IFERROR(AVERAGE('Data Bulanan'!F44,'Data Bulanan'!H44,'Data Bulanan'!J44,'Data Bulanan'!L44,'Data Bulanan'!N44,'Data Bulanan'!P44,'Data Bulanan'!R44,'Data Bulanan'!T44,'Data Bulanan'!V44,'Data Bulanan'!X44,'Data Bulanan'!Z44,'Data Bulanan'!AB44),0)</f>
        <v>61.879403481822834</v>
      </c>
      <c r="N197" s="37">
        <f>'Data Bulanan'!AD44</f>
        <v>11.38389186448128</v>
      </c>
      <c r="O197" s="38">
        <f t="shared" si="13"/>
        <v>71.092381907669406</v>
      </c>
      <c r="P197" s="39">
        <f t="shared" si="14"/>
        <v>117</v>
      </c>
      <c r="Q197" s="40">
        <f t="shared" si="15"/>
        <v>2530</v>
      </c>
      <c r="R197" s="41">
        <f t="shared" si="16"/>
        <v>1526</v>
      </c>
      <c r="S197" s="42" t="str">
        <f t="shared" si="17"/>
        <v>Aman ✅</v>
      </c>
      <c r="T197" s="43">
        <f>IFERROR(N197/AVERAGE(M197:M201),0)</f>
        <v>0.17023660017268838</v>
      </c>
      <c r="U197" s="44">
        <v>353.61</v>
      </c>
      <c r="V197" s="45">
        <v>2.4199999999999999E-2</v>
      </c>
    </row>
    <row r="198" spans="1:22" ht="15" customHeight="1" x14ac:dyDescent="0.35">
      <c r="A198" s="31">
        <v>2</v>
      </c>
      <c r="B198" s="32">
        <v>2022</v>
      </c>
      <c r="C198" s="31" t="s">
        <v>263</v>
      </c>
      <c r="D198" s="31" t="s">
        <v>112</v>
      </c>
      <c r="E198" s="33" t="s">
        <v>113</v>
      </c>
      <c r="F198" s="31" t="s">
        <v>36</v>
      </c>
      <c r="G198" s="34">
        <v>13392</v>
      </c>
      <c r="H198" s="34">
        <v>39</v>
      </c>
      <c r="I198" s="34">
        <f>IFERROR(ROUND('Data Bulanan'!BC44,0),0)</f>
        <v>22489</v>
      </c>
      <c r="J198" s="34">
        <v>9430624</v>
      </c>
      <c r="K198" s="34">
        <v>146490</v>
      </c>
      <c r="L198" s="35">
        <f t="shared" si="12"/>
        <v>1702</v>
      </c>
      <c r="M198" s="36">
        <f>IFERROR(AVERAGE('Data Bulanan'!AF44,'Data Bulanan'!AH44,'Data Bulanan'!AJ44,'Data Bulanan'!AL44,'Data Bulanan'!AN44,'Data Bulanan'!AP44,'Data Bulanan'!AR44,'Data Bulanan'!AT44,'Data Bulanan'!AV44,'Data Bulanan'!AX44,'Data Bulanan'!AZ44,'Data Bulanan'!BB44),0)</f>
        <v>59.877393753200209</v>
      </c>
      <c r="N198" s="37">
        <f>'Data Bulanan'!BD44</f>
        <v>8.8793032421456441</v>
      </c>
      <c r="O198" s="38">
        <f t="shared" si="13"/>
        <v>55.45123097437196</v>
      </c>
      <c r="P198" s="39">
        <f t="shared" si="14"/>
        <v>91</v>
      </c>
      <c r="Q198" s="40">
        <f t="shared" si="15"/>
        <v>2426</v>
      </c>
      <c r="R198" s="41">
        <f t="shared" si="16"/>
        <v>10966</v>
      </c>
      <c r="S198" s="42" t="str">
        <f t="shared" si="17"/>
        <v>Overstock 📦</v>
      </c>
      <c r="T198" s="43">
        <f>IFERROR(N198/AVERAGE(M197:M201),0)</f>
        <v>0.13278256802152791</v>
      </c>
      <c r="U198" s="44">
        <v>353.61</v>
      </c>
      <c r="V198" s="45">
        <v>2.4199999999999999E-2</v>
      </c>
    </row>
    <row r="199" spans="1:22" ht="15" customHeight="1" x14ac:dyDescent="0.35">
      <c r="A199" s="31">
        <v>3</v>
      </c>
      <c r="B199" s="32">
        <v>2023</v>
      </c>
      <c r="C199" s="31" t="s">
        <v>263</v>
      </c>
      <c r="D199" s="31" t="s">
        <v>112</v>
      </c>
      <c r="E199" s="33" t="s">
        <v>113</v>
      </c>
      <c r="F199" s="31" t="s">
        <v>36</v>
      </c>
      <c r="G199" s="34">
        <v>0</v>
      </c>
      <c r="H199" s="34">
        <v>39</v>
      </c>
      <c r="I199" s="34">
        <f>IFERROR(ROUND('Data Bulanan'!CC44,0),0)</f>
        <v>29317</v>
      </c>
      <c r="J199" s="34">
        <v>9615545</v>
      </c>
      <c r="K199" s="34">
        <v>153255</v>
      </c>
      <c r="L199" s="35">
        <f t="shared" ref="L199:L262" si="18">IFERROR(ROUND(SQRT(2*I199*J199/K199),0),0)</f>
        <v>1918</v>
      </c>
      <c r="M199" s="36">
        <f>IFERROR(AVERAGE('Data Bulanan'!BF44,'Data Bulanan'!BH44,'Data Bulanan'!BJ44,'Data Bulanan'!BL44,'Data Bulanan'!BN44,'Data Bulanan'!BP44,'Data Bulanan'!BR44,'Data Bulanan'!BT44,'Data Bulanan'!BV44,'Data Bulanan'!BX44,'Data Bulanan'!BZ44,'Data Bulanan'!CB44),0)</f>
        <v>77.71808115719405</v>
      </c>
      <c r="N199" s="37">
        <f>'Data Bulanan'!CD44</f>
        <v>13.941160146809237</v>
      </c>
      <c r="O199" s="38">
        <f t="shared" ref="O199:O262" si="19">IFERROR(N199*SQRT(H199),0)</f>
        <v>87.062517212175209</v>
      </c>
      <c r="P199" s="39">
        <f t="shared" ref="P199:P262" si="20">IFERROR(ROUND(1.65*O199,0),0)</f>
        <v>144</v>
      </c>
      <c r="Q199" s="40">
        <f t="shared" ref="Q199:Q262" si="21">IFERROR(ROUND(M199*H199+P199,0),0)</f>
        <v>3175</v>
      </c>
      <c r="R199" s="41">
        <f t="shared" ref="R199:R262" si="22">G199-Q199</f>
        <v>-3175</v>
      </c>
      <c r="S199" s="42" t="str">
        <f t="shared" ref="S199:S262" si="23">IF(G199=0,"Stockout ⚠",IF(G199&lt;Q199,"Reorder 🔄",IF(G199&gt;Q199+L199,"Overstock 📦","Aman ✅")))</f>
        <v>Stockout ⚠</v>
      </c>
      <c r="T199" s="43">
        <f>IFERROR(N199/AVERAGE(M197:M201),0)</f>
        <v>0.20847841266488731</v>
      </c>
      <c r="U199" s="44">
        <v>353.61</v>
      </c>
      <c r="V199" s="45">
        <v>2.4199999999999999E-2</v>
      </c>
    </row>
    <row r="200" spans="1:22" ht="15" customHeight="1" x14ac:dyDescent="0.35">
      <c r="A200" s="31">
        <v>4</v>
      </c>
      <c r="B200" s="32">
        <v>2024</v>
      </c>
      <c r="C200" s="31" t="s">
        <v>263</v>
      </c>
      <c r="D200" s="31" t="s">
        <v>112</v>
      </c>
      <c r="E200" s="33" t="s">
        <v>113</v>
      </c>
      <c r="F200" s="31" t="s">
        <v>36</v>
      </c>
      <c r="G200" s="34">
        <v>6171</v>
      </c>
      <c r="H200" s="34">
        <v>39</v>
      </c>
      <c r="I200" s="34">
        <f>IFERROR(ROUND('Data Bulanan'!DC44,0),0)</f>
        <v>28745</v>
      </c>
      <c r="J200" s="34">
        <v>8957300</v>
      </c>
      <c r="K200" s="34">
        <v>134517</v>
      </c>
      <c r="L200" s="35">
        <f t="shared" si="18"/>
        <v>1957</v>
      </c>
      <c r="M200" s="36">
        <f>IFERROR(AVERAGE('Data Bulanan'!CF44,'Data Bulanan'!CH44,'Data Bulanan'!CJ44,'Data Bulanan'!CL44,'Data Bulanan'!CN44,'Data Bulanan'!CP44,'Data Bulanan'!CR44,'Data Bulanan'!CT44,'Data Bulanan'!CV44,'Data Bulanan'!CX44,'Data Bulanan'!CZ44,'Data Bulanan'!DB44),0)</f>
        <v>76.636021505376334</v>
      </c>
      <c r="N200" s="37">
        <f>'Data Bulanan'!DD44</f>
        <v>17.038631724477536</v>
      </c>
      <c r="O200" s="38">
        <f t="shared" si="19"/>
        <v>106.40622101480966</v>
      </c>
      <c r="P200" s="39">
        <f t="shared" si="20"/>
        <v>176</v>
      </c>
      <c r="Q200" s="40">
        <f t="shared" si="21"/>
        <v>3165</v>
      </c>
      <c r="R200" s="41">
        <f t="shared" si="22"/>
        <v>3006</v>
      </c>
      <c r="S200" s="42" t="str">
        <f t="shared" si="23"/>
        <v>Overstock 📦</v>
      </c>
      <c r="T200" s="43">
        <f>IFERROR(N200/AVERAGE(M197:M201),0)</f>
        <v>0.25479851450624574</v>
      </c>
      <c r="U200" s="44">
        <v>353.61</v>
      </c>
      <c r="V200" s="45">
        <v>2.4199999999999999E-2</v>
      </c>
    </row>
    <row r="201" spans="1:22" ht="15" customHeight="1" x14ac:dyDescent="0.35">
      <c r="A201" s="31">
        <v>5</v>
      </c>
      <c r="B201" s="32">
        <v>2025</v>
      </c>
      <c r="C201" s="31" t="s">
        <v>263</v>
      </c>
      <c r="D201" s="31" t="s">
        <v>112</v>
      </c>
      <c r="E201" s="33" t="s">
        <v>113</v>
      </c>
      <c r="F201" s="31" t="s">
        <v>36</v>
      </c>
      <c r="G201" s="34">
        <v>2369</v>
      </c>
      <c r="H201" s="34">
        <v>39</v>
      </c>
      <c r="I201" s="34">
        <f>IFERROR(ROUND('Data Bulanan'!EC44,0),0)</f>
        <v>21891</v>
      </c>
      <c r="J201" s="34">
        <v>10265796</v>
      </c>
      <c r="K201" s="34">
        <v>141723</v>
      </c>
      <c r="L201" s="35">
        <f t="shared" si="18"/>
        <v>1781</v>
      </c>
      <c r="M201" s="36">
        <f>IFERROR(AVERAGE('Data Bulanan'!DF44,'Data Bulanan'!DH44,'Data Bulanan'!DJ44,'Data Bulanan'!DL44,'Data Bulanan'!DN44,'Data Bulanan'!DP44,'Data Bulanan'!DR44,'Data Bulanan'!DT44,'Data Bulanan'!DV44,'Data Bulanan'!DX44,'Data Bulanan'!DZ44,'Data Bulanan'!EB44),0)</f>
        <v>58.244105222734255</v>
      </c>
      <c r="N201" s="37">
        <f>'Data Bulanan'!ED44</f>
        <v>10.930199391737608</v>
      </c>
      <c r="O201" s="38">
        <f t="shared" si="19"/>
        <v>68.25907332349675</v>
      </c>
      <c r="P201" s="39">
        <f t="shared" si="20"/>
        <v>113</v>
      </c>
      <c r="Q201" s="40">
        <f t="shared" si="21"/>
        <v>2385</v>
      </c>
      <c r="R201" s="41">
        <f t="shared" si="22"/>
        <v>-16</v>
      </c>
      <c r="S201" s="42" t="str">
        <f t="shared" si="23"/>
        <v>Reorder 🔄</v>
      </c>
      <c r="T201" s="43">
        <f>IFERROR(N201/AVERAGE(M197:M201),0)</f>
        <v>0.1634520079608805</v>
      </c>
      <c r="U201" s="44">
        <v>353.61</v>
      </c>
      <c r="V201" s="45">
        <v>2.4199999999999999E-2</v>
      </c>
    </row>
    <row r="202" spans="1:22" ht="15" customHeight="1" x14ac:dyDescent="0.35">
      <c r="A202" s="46">
        <v>1</v>
      </c>
      <c r="B202" s="32">
        <v>2021</v>
      </c>
      <c r="C202" s="46" t="s">
        <v>263</v>
      </c>
      <c r="D202" s="46" t="s">
        <v>114</v>
      </c>
      <c r="E202" s="47" t="s">
        <v>115</v>
      </c>
      <c r="F202" s="46" t="s">
        <v>36</v>
      </c>
      <c r="G202" s="34">
        <v>8633</v>
      </c>
      <c r="H202" s="34">
        <v>41</v>
      </c>
      <c r="I202" s="34">
        <f>IFERROR(ROUND('Data Bulanan'!AC45,0),0)</f>
        <v>54055</v>
      </c>
      <c r="J202" s="34">
        <v>6334122</v>
      </c>
      <c r="K202" s="34">
        <v>314681</v>
      </c>
      <c r="L202" s="35">
        <f t="shared" si="18"/>
        <v>1475</v>
      </c>
      <c r="M202" s="36">
        <f>IFERROR(AVERAGE('Data Bulanan'!F45,'Data Bulanan'!H45,'Data Bulanan'!J45,'Data Bulanan'!L45,'Data Bulanan'!N45,'Data Bulanan'!P45,'Data Bulanan'!R45,'Data Bulanan'!T45,'Data Bulanan'!V45,'Data Bulanan'!X45,'Data Bulanan'!Z45,'Data Bulanan'!AB45),0)</f>
        <v>143.83529185867894</v>
      </c>
      <c r="N202" s="37">
        <f>'Data Bulanan'!AD45</f>
        <v>39.349998218772001</v>
      </c>
      <c r="O202" s="38">
        <f t="shared" si="19"/>
        <v>251.96292733755843</v>
      </c>
      <c r="P202" s="39">
        <f t="shared" si="20"/>
        <v>416</v>
      </c>
      <c r="Q202" s="40">
        <f t="shared" si="21"/>
        <v>6313</v>
      </c>
      <c r="R202" s="41">
        <f t="shared" si="22"/>
        <v>2320</v>
      </c>
      <c r="S202" s="42" t="str">
        <f t="shared" si="23"/>
        <v>Overstock 📦</v>
      </c>
      <c r="T202" s="43">
        <f>IFERROR(N202/AVERAGE(M202:M206),0)</f>
        <v>0.28629952880037934</v>
      </c>
      <c r="U202" s="44">
        <v>-228.55</v>
      </c>
      <c r="V202" s="45">
        <v>4.3E-3</v>
      </c>
    </row>
    <row r="203" spans="1:22" ht="15" customHeight="1" x14ac:dyDescent="0.35">
      <c r="A203" s="46">
        <v>2</v>
      </c>
      <c r="B203" s="32">
        <v>2022</v>
      </c>
      <c r="C203" s="46" t="s">
        <v>263</v>
      </c>
      <c r="D203" s="46" t="s">
        <v>114</v>
      </c>
      <c r="E203" s="47" t="s">
        <v>115</v>
      </c>
      <c r="F203" s="46" t="s">
        <v>36</v>
      </c>
      <c r="G203" s="34">
        <v>36280</v>
      </c>
      <c r="H203" s="34">
        <v>41</v>
      </c>
      <c r="I203" s="34">
        <f>IFERROR(ROUND('Data Bulanan'!BC45,0),0)</f>
        <v>55798</v>
      </c>
      <c r="J203" s="34">
        <v>5787273</v>
      </c>
      <c r="K203" s="34">
        <v>348851</v>
      </c>
      <c r="L203" s="35">
        <f t="shared" si="18"/>
        <v>1361</v>
      </c>
      <c r="M203" s="36">
        <f>IFERROR(AVERAGE('Data Bulanan'!AF45,'Data Bulanan'!AH45,'Data Bulanan'!AJ45,'Data Bulanan'!AL45,'Data Bulanan'!AN45,'Data Bulanan'!AP45,'Data Bulanan'!AR45,'Data Bulanan'!AT45,'Data Bulanan'!AV45,'Data Bulanan'!AX45,'Data Bulanan'!AZ45,'Data Bulanan'!BB45),0)</f>
        <v>148.55389784946237</v>
      </c>
      <c r="N203" s="37">
        <f>'Data Bulanan'!BD45</f>
        <v>29.822575455460537</v>
      </c>
      <c r="O203" s="38">
        <f t="shared" si="19"/>
        <v>190.95765572152933</v>
      </c>
      <c r="P203" s="39">
        <f t="shared" si="20"/>
        <v>315</v>
      </c>
      <c r="Q203" s="40">
        <f t="shared" si="21"/>
        <v>6406</v>
      </c>
      <c r="R203" s="41">
        <f t="shared" si="22"/>
        <v>29874</v>
      </c>
      <c r="S203" s="42" t="str">
        <f t="shared" si="23"/>
        <v>Overstock 📦</v>
      </c>
      <c r="T203" s="43">
        <f>IFERROR(N203/AVERAGE(M202:M206),0)</f>
        <v>0.21698067819578573</v>
      </c>
      <c r="U203" s="44">
        <v>-228.55</v>
      </c>
      <c r="V203" s="45">
        <v>4.3E-3</v>
      </c>
    </row>
    <row r="204" spans="1:22" ht="15" customHeight="1" x14ac:dyDescent="0.35">
      <c r="A204" s="46">
        <v>3</v>
      </c>
      <c r="B204" s="32">
        <v>2023</v>
      </c>
      <c r="C204" s="46" t="s">
        <v>263</v>
      </c>
      <c r="D204" s="46" t="s">
        <v>114</v>
      </c>
      <c r="E204" s="47" t="s">
        <v>115</v>
      </c>
      <c r="F204" s="46" t="s">
        <v>36</v>
      </c>
      <c r="G204" s="34">
        <v>0</v>
      </c>
      <c r="H204" s="34">
        <v>41</v>
      </c>
      <c r="I204" s="34">
        <f>IFERROR(ROUND('Data Bulanan'!CC45,0),0)</f>
        <v>42981</v>
      </c>
      <c r="J204" s="34">
        <v>6668731</v>
      </c>
      <c r="K204" s="34">
        <v>293998</v>
      </c>
      <c r="L204" s="35">
        <f t="shared" si="18"/>
        <v>1396</v>
      </c>
      <c r="M204" s="36">
        <f>IFERROR(AVERAGE('Data Bulanan'!BF45,'Data Bulanan'!BH45,'Data Bulanan'!BJ45,'Data Bulanan'!BL45,'Data Bulanan'!BN45,'Data Bulanan'!BP45,'Data Bulanan'!BR45,'Data Bulanan'!BT45,'Data Bulanan'!BV45,'Data Bulanan'!BX45,'Data Bulanan'!BZ45,'Data Bulanan'!CB45),0)</f>
        <v>114.174468766001</v>
      </c>
      <c r="N204" s="37">
        <f>'Data Bulanan'!CD45</f>
        <v>30.184715732020813</v>
      </c>
      <c r="O204" s="38">
        <f t="shared" si="19"/>
        <v>193.27648490372306</v>
      </c>
      <c r="P204" s="39">
        <f t="shared" si="20"/>
        <v>319</v>
      </c>
      <c r="Q204" s="40">
        <f t="shared" si="21"/>
        <v>5000</v>
      </c>
      <c r="R204" s="41">
        <f t="shared" si="22"/>
        <v>-5000</v>
      </c>
      <c r="S204" s="42" t="str">
        <f t="shared" si="23"/>
        <v>Stockout ⚠</v>
      </c>
      <c r="T204" s="43">
        <f>IFERROR(N204/AVERAGE(M202:M206),0)</f>
        <v>0.21961550907843072</v>
      </c>
      <c r="U204" s="44">
        <v>-228.55</v>
      </c>
      <c r="V204" s="45">
        <v>4.3E-3</v>
      </c>
    </row>
    <row r="205" spans="1:22" ht="15" customHeight="1" x14ac:dyDescent="0.35">
      <c r="A205" s="46">
        <v>4</v>
      </c>
      <c r="B205" s="32">
        <v>2024</v>
      </c>
      <c r="C205" s="46" t="s">
        <v>263</v>
      </c>
      <c r="D205" s="46" t="s">
        <v>114</v>
      </c>
      <c r="E205" s="47" t="s">
        <v>115</v>
      </c>
      <c r="F205" s="46" t="s">
        <v>36</v>
      </c>
      <c r="G205" s="34">
        <v>15355</v>
      </c>
      <c r="H205" s="34">
        <v>41</v>
      </c>
      <c r="I205" s="34">
        <f>IFERROR(ROUND('Data Bulanan'!DC45,0),0)</f>
        <v>49468</v>
      </c>
      <c r="J205" s="34">
        <v>5793653</v>
      </c>
      <c r="K205" s="34">
        <v>298458</v>
      </c>
      <c r="L205" s="35">
        <f t="shared" si="18"/>
        <v>1386</v>
      </c>
      <c r="M205" s="36">
        <f>IFERROR(AVERAGE('Data Bulanan'!CF45,'Data Bulanan'!CH45,'Data Bulanan'!CJ45,'Data Bulanan'!CL45,'Data Bulanan'!CN45,'Data Bulanan'!CP45,'Data Bulanan'!CR45,'Data Bulanan'!CT45,'Data Bulanan'!CV45,'Data Bulanan'!CX45,'Data Bulanan'!CZ45,'Data Bulanan'!DB45),0)</f>
        <v>131.26168714797745</v>
      </c>
      <c r="N205" s="37">
        <f>'Data Bulanan'!DD45</f>
        <v>31.202973050475883</v>
      </c>
      <c r="O205" s="38">
        <f t="shared" si="19"/>
        <v>199.79651301946612</v>
      </c>
      <c r="P205" s="39">
        <f t="shared" si="20"/>
        <v>330</v>
      </c>
      <c r="Q205" s="40">
        <f t="shared" si="21"/>
        <v>5712</v>
      </c>
      <c r="R205" s="41">
        <f t="shared" si="22"/>
        <v>9643</v>
      </c>
      <c r="S205" s="42" t="str">
        <f t="shared" si="23"/>
        <v>Overstock 📦</v>
      </c>
      <c r="T205" s="43">
        <f>IFERROR(N205/AVERAGE(M202:M206),0)</f>
        <v>0.22702406317417528</v>
      </c>
      <c r="U205" s="44">
        <v>-228.55</v>
      </c>
      <c r="V205" s="45">
        <v>4.3E-3</v>
      </c>
    </row>
    <row r="206" spans="1:22" ht="15" customHeight="1" x14ac:dyDescent="0.35">
      <c r="A206" s="46">
        <v>5</v>
      </c>
      <c r="B206" s="32">
        <v>2025</v>
      </c>
      <c r="C206" s="46" t="s">
        <v>263</v>
      </c>
      <c r="D206" s="46" t="s">
        <v>114</v>
      </c>
      <c r="E206" s="47" t="s">
        <v>115</v>
      </c>
      <c r="F206" s="46" t="s">
        <v>36</v>
      </c>
      <c r="G206" s="34">
        <v>17734</v>
      </c>
      <c r="H206" s="34">
        <v>41</v>
      </c>
      <c r="I206" s="34">
        <f>IFERROR(ROUND('Data Bulanan'!EC45,0),0)</f>
        <v>56078</v>
      </c>
      <c r="J206" s="34">
        <v>6183240</v>
      </c>
      <c r="K206" s="34">
        <v>310687</v>
      </c>
      <c r="L206" s="35">
        <f t="shared" si="18"/>
        <v>1494</v>
      </c>
      <c r="M206" s="36">
        <f>IFERROR(AVERAGE('Data Bulanan'!DF45,'Data Bulanan'!DH45,'Data Bulanan'!DJ45,'Data Bulanan'!DL45,'Data Bulanan'!DN45,'Data Bulanan'!DP45,'Data Bulanan'!DR45,'Data Bulanan'!DT45,'Data Bulanan'!DV45,'Data Bulanan'!DX45,'Data Bulanan'!DZ45,'Data Bulanan'!EB45),0)</f>
        <v>149.39196108550948</v>
      </c>
      <c r="N206" s="37">
        <f>'Data Bulanan'!ED45</f>
        <v>22.725514742211633</v>
      </c>
      <c r="O206" s="38">
        <f t="shared" si="19"/>
        <v>145.51429425399283</v>
      </c>
      <c r="P206" s="39">
        <f t="shared" si="20"/>
        <v>240</v>
      </c>
      <c r="Q206" s="40">
        <f t="shared" si="21"/>
        <v>6365</v>
      </c>
      <c r="R206" s="41">
        <f t="shared" si="22"/>
        <v>11369</v>
      </c>
      <c r="S206" s="42" t="str">
        <f t="shared" si="23"/>
        <v>Overstock 📦</v>
      </c>
      <c r="T206" s="43">
        <f>IFERROR(N206/AVERAGE(M202:M206),0)</f>
        <v>0.16534445888074825</v>
      </c>
      <c r="U206" s="44">
        <v>-228.55</v>
      </c>
      <c r="V206" s="45">
        <v>4.3E-3</v>
      </c>
    </row>
    <row r="207" spans="1:22" ht="15" customHeight="1" x14ac:dyDescent="0.35">
      <c r="A207" s="31">
        <v>1</v>
      </c>
      <c r="B207" s="32">
        <v>2021</v>
      </c>
      <c r="C207" s="31" t="s">
        <v>263</v>
      </c>
      <c r="D207" s="31" t="s">
        <v>116</v>
      </c>
      <c r="E207" s="33" t="s">
        <v>117</v>
      </c>
      <c r="F207" s="31" t="s">
        <v>36</v>
      </c>
      <c r="G207" s="34">
        <v>3715</v>
      </c>
      <c r="H207" s="34">
        <v>11</v>
      </c>
      <c r="I207" s="34">
        <f>IFERROR(ROUND('Data Bulanan'!AC46,0),0)</f>
        <v>40901</v>
      </c>
      <c r="J207" s="34">
        <v>1777911</v>
      </c>
      <c r="K207" s="34">
        <v>516570</v>
      </c>
      <c r="L207" s="35">
        <f t="shared" si="18"/>
        <v>531</v>
      </c>
      <c r="M207" s="36">
        <f>IFERROR(AVERAGE('Data Bulanan'!F46,'Data Bulanan'!H46,'Data Bulanan'!J46,'Data Bulanan'!L46,'Data Bulanan'!N46,'Data Bulanan'!P46,'Data Bulanan'!R46,'Data Bulanan'!T46,'Data Bulanan'!V46,'Data Bulanan'!X46,'Data Bulanan'!Z46,'Data Bulanan'!AB46),0)</f>
        <v>109.05855734767023</v>
      </c>
      <c r="N207" s="37">
        <f>'Data Bulanan'!AD46</f>
        <v>25.481906407914011</v>
      </c>
      <c r="O207" s="38">
        <f t="shared" si="19"/>
        <v>84.513922498003723</v>
      </c>
      <c r="P207" s="39">
        <f t="shared" si="20"/>
        <v>139</v>
      </c>
      <c r="Q207" s="40">
        <f t="shared" si="21"/>
        <v>1339</v>
      </c>
      <c r="R207" s="41">
        <f t="shared" si="22"/>
        <v>2376</v>
      </c>
      <c r="S207" s="42" t="str">
        <f t="shared" si="23"/>
        <v>Overstock 📦</v>
      </c>
      <c r="T207" s="43">
        <f>IFERROR(N207/AVERAGE(M207:M211),0)</f>
        <v>0.22068013773487083</v>
      </c>
      <c r="U207" s="44">
        <v>-35.450000000000003</v>
      </c>
      <c r="V207" s="45">
        <v>1E-4</v>
      </c>
    </row>
    <row r="208" spans="1:22" ht="15" customHeight="1" x14ac:dyDescent="0.35">
      <c r="A208" s="31">
        <v>2</v>
      </c>
      <c r="B208" s="32">
        <v>2022</v>
      </c>
      <c r="C208" s="31" t="s">
        <v>263</v>
      </c>
      <c r="D208" s="31" t="s">
        <v>116</v>
      </c>
      <c r="E208" s="33" t="s">
        <v>117</v>
      </c>
      <c r="F208" s="31" t="s">
        <v>36</v>
      </c>
      <c r="G208" s="34">
        <v>8428</v>
      </c>
      <c r="H208" s="34">
        <v>11</v>
      </c>
      <c r="I208" s="34">
        <f>IFERROR(ROUND('Data Bulanan'!BC46,0),0)</f>
        <v>49023</v>
      </c>
      <c r="J208" s="34">
        <v>1882108</v>
      </c>
      <c r="K208" s="34">
        <v>454875</v>
      </c>
      <c r="L208" s="35">
        <f t="shared" si="18"/>
        <v>637</v>
      </c>
      <c r="M208" s="36">
        <f>IFERROR(AVERAGE('Data Bulanan'!AF46,'Data Bulanan'!AH46,'Data Bulanan'!AJ46,'Data Bulanan'!AL46,'Data Bulanan'!AN46,'Data Bulanan'!AP46,'Data Bulanan'!AR46,'Data Bulanan'!AT46,'Data Bulanan'!AV46,'Data Bulanan'!AX46,'Data Bulanan'!AZ46,'Data Bulanan'!BB46),0)</f>
        <v>130.45771249359962</v>
      </c>
      <c r="N208" s="37">
        <f>'Data Bulanan'!BD46</f>
        <v>27.302759908980395</v>
      </c>
      <c r="O208" s="38">
        <f t="shared" si="19"/>
        <v>90.553010359245917</v>
      </c>
      <c r="P208" s="39">
        <f t="shared" si="20"/>
        <v>149</v>
      </c>
      <c r="Q208" s="40">
        <f t="shared" si="21"/>
        <v>1584</v>
      </c>
      <c r="R208" s="41">
        <f t="shared" si="22"/>
        <v>6844</v>
      </c>
      <c r="S208" s="42" t="str">
        <f t="shared" si="23"/>
        <v>Overstock 📦</v>
      </c>
      <c r="T208" s="43">
        <f>IFERROR(N208/AVERAGE(M207:M211),0)</f>
        <v>0.23644921697791974</v>
      </c>
      <c r="U208" s="44">
        <v>-35.450000000000003</v>
      </c>
      <c r="V208" s="45">
        <v>1E-4</v>
      </c>
    </row>
    <row r="209" spans="1:22" ht="15" customHeight="1" x14ac:dyDescent="0.35">
      <c r="A209" s="31">
        <v>3</v>
      </c>
      <c r="B209" s="32">
        <v>2023</v>
      </c>
      <c r="C209" s="31" t="s">
        <v>263</v>
      </c>
      <c r="D209" s="31" t="s">
        <v>116</v>
      </c>
      <c r="E209" s="33" t="s">
        <v>117</v>
      </c>
      <c r="F209" s="31" t="s">
        <v>36</v>
      </c>
      <c r="G209" s="34">
        <v>6928</v>
      </c>
      <c r="H209" s="34">
        <v>11</v>
      </c>
      <c r="I209" s="34">
        <f>IFERROR(ROUND('Data Bulanan'!CC46,0),0)</f>
        <v>43170</v>
      </c>
      <c r="J209" s="34">
        <v>1789984</v>
      </c>
      <c r="K209" s="34">
        <v>519885</v>
      </c>
      <c r="L209" s="35">
        <f t="shared" si="18"/>
        <v>545</v>
      </c>
      <c r="M209" s="36">
        <f>IFERROR(AVERAGE('Data Bulanan'!BF46,'Data Bulanan'!BH46,'Data Bulanan'!BJ46,'Data Bulanan'!BL46,'Data Bulanan'!BN46,'Data Bulanan'!BP46,'Data Bulanan'!BR46,'Data Bulanan'!BT46,'Data Bulanan'!BV46,'Data Bulanan'!BX46,'Data Bulanan'!BZ46,'Data Bulanan'!CB46),0)</f>
        <v>114.98184203789044</v>
      </c>
      <c r="N209" s="37">
        <f>'Data Bulanan'!CD46</f>
        <v>29.443172678679893</v>
      </c>
      <c r="O209" s="38">
        <f t="shared" si="19"/>
        <v>97.651956412824532</v>
      </c>
      <c r="P209" s="39">
        <f t="shared" si="20"/>
        <v>161</v>
      </c>
      <c r="Q209" s="40">
        <f t="shared" si="21"/>
        <v>1426</v>
      </c>
      <c r="R209" s="41">
        <f t="shared" si="22"/>
        <v>5502</v>
      </c>
      <c r="S209" s="42" t="str">
        <f t="shared" si="23"/>
        <v>Overstock 📦</v>
      </c>
      <c r="T209" s="43">
        <f>IFERROR(N209/AVERAGE(M207:M211),0)</f>
        <v>0.25498576511782117</v>
      </c>
      <c r="U209" s="44">
        <v>-35.450000000000003</v>
      </c>
      <c r="V209" s="45">
        <v>1E-4</v>
      </c>
    </row>
    <row r="210" spans="1:22" ht="15" customHeight="1" x14ac:dyDescent="0.35">
      <c r="A210" s="31">
        <v>4</v>
      </c>
      <c r="B210" s="32">
        <v>2024</v>
      </c>
      <c r="C210" s="31" t="s">
        <v>263</v>
      </c>
      <c r="D210" s="31" t="s">
        <v>116</v>
      </c>
      <c r="E210" s="33" t="s">
        <v>117</v>
      </c>
      <c r="F210" s="31" t="s">
        <v>36</v>
      </c>
      <c r="G210" s="34">
        <v>1356</v>
      </c>
      <c r="H210" s="34">
        <v>11</v>
      </c>
      <c r="I210" s="34">
        <f>IFERROR(ROUND('Data Bulanan'!DC46,0),0)</f>
        <v>37002</v>
      </c>
      <c r="J210" s="34">
        <v>1743938</v>
      </c>
      <c r="K210" s="34">
        <v>505114</v>
      </c>
      <c r="L210" s="35">
        <f t="shared" si="18"/>
        <v>505</v>
      </c>
      <c r="M210" s="36">
        <f>IFERROR(AVERAGE('Data Bulanan'!CF46,'Data Bulanan'!CH46,'Data Bulanan'!CJ46,'Data Bulanan'!CL46,'Data Bulanan'!CN46,'Data Bulanan'!CP46,'Data Bulanan'!CR46,'Data Bulanan'!CT46,'Data Bulanan'!CV46,'Data Bulanan'!CX46,'Data Bulanan'!CZ46,'Data Bulanan'!DB46),0)</f>
        <v>98.27393113159242</v>
      </c>
      <c r="N210" s="37">
        <f>'Data Bulanan'!DD46</f>
        <v>23.033878736607001</v>
      </c>
      <c r="O210" s="38">
        <f t="shared" si="19"/>
        <v>76.394733235870902</v>
      </c>
      <c r="P210" s="39">
        <f t="shared" si="20"/>
        <v>126</v>
      </c>
      <c r="Q210" s="40">
        <f t="shared" si="21"/>
        <v>1207</v>
      </c>
      <c r="R210" s="41">
        <f t="shared" si="22"/>
        <v>149</v>
      </c>
      <c r="S210" s="42" t="str">
        <f t="shared" si="23"/>
        <v>Aman ✅</v>
      </c>
      <c r="T210" s="43">
        <f>IFERROR(N210/AVERAGE(M207:M211),0)</f>
        <v>0.19947956211722298</v>
      </c>
      <c r="U210" s="44">
        <v>-35.450000000000003</v>
      </c>
      <c r="V210" s="45">
        <v>1E-4</v>
      </c>
    </row>
    <row r="211" spans="1:22" ht="15" customHeight="1" x14ac:dyDescent="0.35">
      <c r="A211" s="31">
        <v>5</v>
      </c>
      <c r="B211" s="32">
        <v>2025</v>
      </c>
      <c r="C211" s="31" t="s">
        <v>263</v>
      </c>
      <c r="D211" s="31" t="s">
        <v>116</v>
      </c>
      <c r="E211" s="33" t="s">
        <v>117</v>
      </c>
      <c r="F211" s="31" t="s">
        <v>36</v>
      </c>
      <c r="G211" s="34">
        <v>9723</v>
      </c>
      <c r="H211" s="34">
        <v>11</v>
      </c>
      <c r="I211" s="34">
        <f>IFERROR(ROUND('Data Bulanan'!EC46,0),0)</f>
        <v>46735</v>
      </c>
      <c r="J211" s="34">
        <v>1868637</v>
      </c>
      <c r="K211" s="34">
        <v>441644</v>
      </c>
      <c r="L211" s="35">
        <f t="shared" si="18"/>
        <v>629</v>
      </c>
      <c r="M211" s="36">
        <f>IFERROR(AVERAGE('Data Bulanan'!DF46,'Data Bulanan'!DH46,'Data Bulanan'!DJ46,'Data Bulanan'!DL46,'Data Bulanan'!DN46,'Data Bulanan'!DP46,'Data Bulanan'!DR46,'Data Bulanan'!DT46,'Data Bulanan'!DV46,'Data Bulanan'!DX46,'Data Bulanan'!DZ46,'Data Bulanan'!EB46),0)</f>
        <v>124.57729774705581</v>
      </c>
      <c r="N211" s="37">
        <f>'Data Bulanan'!ED46</f>
        <v>32.159865390893408</v>
      </c>
      <c r="O211" s="38">
        <f t="shared" si="19"/>
        <v>106.66220680992973</v>
      </c>
      <c r="P211" s="39">
        <f t="shared" si="20"/>
        <v>176</v>
      </c>
      <c r="Q211" s="40">
        <f t="shared" si="21"/>
        <v>1546</v>
      </c>
      <c r="R211" s="41">
        <f t="shared" si="22"/>
        <v>8177</v>
      </c>
      <c r="S211" s="42" t="str">
        <f t="shared" si="23"/>
        <v>Overstock 📦</v>
      </c>
      <c r="T211" s="43">
        <f>IFERROR(N211/AVERAGE(M207:M211),0)</f>
        <v>0.27851305198237081</v>
      </c>
      <c r="U211" s="44">
        <v>-35.450000000000003</v>
      </c>
      <c r="V211" s="45">
        <v>1E-4</v>
      </c>
    </row>
    <row r="212" spans="1:22" ht="15" customHeight="1" x14ac:dyDescent="0.35">
      <c r="A212" s="46">
        <v>1</v>
      </c>
      <c r="B212" s="32">
        <v>2021</v>
      </c>
      <c r="C212" s="46" t="s">
        <v>264</v>
      </c>
      <c r="D212" s="46" t="s">
        <v>118</v>
      </c>
      <c r="E212" s="47" t="s">
        <v>119</v>
      </c>
      <c r="F212" s="46" t="s">
        <v>36</v>
      </c>
      <c r="G212" s="34">
        <v>0</v>
      </c>
      <c r="H212" s="34">
        <v>43</v>
      </c>
      <c r="I212" s="34">
        <f>IFERROR(ROUND('Data Bulanan'!AC47,0),0)</f>
        <v>31445</v>
      </c>
      <c r="J212" s="34">
        <v>12402685</v>
      </c>
      <c r="K212" s="34">
        <v>247295</v>
      </c>
      <c r="L212" s="35">
        <f t="shared" si="18"/>
        <v>1776</v>
      </c>
      <c r="M212" s="36">
        <f>IFERROR(AVERAGE('Data Bulanan'!F47,'Data Bulanan'!H47,'Data Bulanan'!J47,'Data Bulanan'!L47,'Data Bulanan'!N47,'Data Bulanan'!P47,'Data Bulanan'!R47,'Data Bulanan'!T47,'Data Bulanan'!V47,'Data Bulanan'!X47,'Data Bulanan'!Z47,'Data Bulanan'!AB47),0)</f>
        <v>83.745065284178182</v>
      </c>
      <c r="N212" s="37">
        <f>'Data Bulanan'!AD47</f>
        <v>18.084567745330357</v>
      </c>
      <c r="O212" s="38">
        <f t="shared" si="19"/>
        <v>118.58844122857865</v>
      </c>
      <c r="P212" s="39">
        <f t="shared" si="20"/>
        <v>196</v>
      </c>
      <c r="Q212" s="40">
        <f t="shared" si="21"/>
        <v>3797</v>
      </c>
      <c r="R212" s="41">
        <f t="shared" si="22"/>
        <v>-3797</v>
      </c>
      <c r="S212" s="42" t="str">
        <f t="shared" si="23"/>
        <v>Stockout ⚠</v>
      </c>
      <c r="T212" s="43">
        <f>IFERROR(N212/AVERAGE(M212:M216),0)</f>
        <v>0.24490432144795829</v>
      </c>
      <c r="U212" s="44">
        <v>-917.49</v>
      </c>
      <c r="V212" s="45">
        <v>0.32840000000000003</v>
      </c>
    </row>
    <row r="213" spans="1:22" ht="15" customHeight="1" x14ac:dyDescent="0.35">
      <c r="A213" s="46">
        <v>2</v>
      </c>
      <c r="B213" s="32">
        <v>2022</v>
      </c>
      <c r="C213" s="46" t="s">
        <v>264</v>
      </c>
      <c r="D213" s="46" t="s">
        <v>118</v>
      </c>
      <c r="E213" s="47" t="s">
        <v>119</v>
      </c>
      <c r="F213" s="46" t="s">
        <v>36</v>
      </c>
      <c r="G213" s="34">
        <v>23901</v>
      </c>
      <c r="H213" s="34">
        <v>43</v>
      </c>
      <c r="I213" s="34">
        <f>IFERROR(ROUND('Data Bulanan'!BC47,0),0)</f>
        <v>28304</v>
      </c>
      <c r="J213" s="34">
        <v>12684014</v>
      </c>
      <c r="K213" s="34">
        <v>216726</v>
      </c>
      <c r="L213" s="35">
        <f t="shared" si="18"/>
        <v>1820</v>
      </c>
      <c r="M213" s="36">
        <f>IFERROR(AVERAGE('Data Bulanan'!AF47,'Data Bulanan'!AH47,'Data Bulanan'!AJ47,'Data Bulanan'!AL47,'Data Bulanan'!AN47,'Data Bulanan'!AP47,'Data Bulanan'!AR47,'Data Bulanan'!AT47,'Data Bulanan'!AV47,'Data Bulanan'!AX47,'Data Bulanan'!AZ47,'Data Bulanan'!BB47),0)</f>
        <v>75.464029697900671</v>
      </c>
      <c r="N213" s="37">
        <f>'Data Bulanan'!BD47</f>
        <v>16.168016720800438</v>
      </c>
      <c r="O213" s="38">
        <f t="shared" si="19"/>
        <v>106.02077570653569</v>
      </c>
      <c r="P213" s="39">
        <f t="shared" si="20"/>
        <v>175</v>
      </c>
      <c r="Q213" s="40">
        <f t="shared" si="21"/>
        <v>3420</v>
      </c>
      <c r="R213" s="41">
        <f t="shared" si="22"/>
        <v>20481</v>
      </c>
      <c r="S213" s="42" t="str">
        <f t="shared" si="23"/>
        <v>Overstock 📦</v>
      </c>
      <c r="T213" s="43">
        <f>IFERROR(N213/AVERAGE(M212:M216),0)</f>
        <v>0.21895005841039764</v>
      </c>
      <c r="U213" s="44">
        <v>-917.49</v>
      </c>
      <c r="V213" s="45">
        <v>0.32840000000000003</v>
      </c>
    </row>
    <row r="214" spans="1:22" ht="15" customHeight="1" x14ac:dyDescent="0.35">
      <c r="A214" s="46">
        <v>3</v>
      </c>
      <c r="B214" s="32">
        <v>2023</v>
      </c>
      <c r="C214" s="46" t="s">
        <v>264</v>
      </c>
      <c r="D214" s="46" t="s">
        <v>118</v>
      </c>
      <c r="E214" s="47" t="s">
        <v>119</v>
      </c>
      <c r="F214" s="46" t="s">
        <v>36</v>
      </c>
      <c r="G214" s="34">
        <v>4876</v>
      </c>
      <c r="H214" s="34">
        <v>43</v>
      </c>
      <c r="I214" s="34">
        <f>IFERROR(ROUND('Data Bulanan'!CC47,0),0)</f>
        <v>24377</v>
      </c>
      <c r="J214" s="34">
        <v>10820534</v>
      </c>
      <c r="K214" s="34">
        <v>217558</v>
      </c>
      <c r="L214" s="35">
        <f t="shared" si="18"/>
        <v>1557</v>
      </c>
      <c r="M214" s="36">
        <f>IFERROR(AVERAGE('Data Bulanan'!BF47,'Data Bulanan'!BH47,'Data Bulanan'!BJ47,'Data Bulanan'!BL47,'Data Bulanan'!BN47,'Data Bulanan'!BP47,'Data Bulanan'!BR47,'Data Bulanan'!BT47,'Data Bulanan'!BV47,'Data Bulanan'!BX47,'Data Bulanan'!BZ47,'Data Bulanan'!CB47),0)</f>
        <v>64.698406298003079</v>
      </c>
      <c r="N214" s="37">
        <f>'Data Bulanan'!CD47</f>
        <v>15.922315500677806</v>
      </c>
      <c r="O214" s="38">
        <f t="shared" si="19"/>
        <v>104.40960506023553</v>
      </c>
      <c r="P214" s="39">
        <f t="shared" si="20"/>
        <v>172</v>
      </c>
      <c r="Q214" s="40">
        <f t="shared" si="21"/>
        <v>2954</v>
      </c>
      <c r="R214" s="41">
        <f t="shared" si="22"/>
        <v>1922</v>
      </c>
      <c r="S214" s="42" t="str">
        <f t="shared" si="23"/>
        <v>Overstock 📦</v>
      </c>
      <c r="T214" s="43">
        <f>IFERROR(N214/AVERAGE(M212:M216),0)</f>
        <v>0.21562273030167875</v>
      </c>
      <c r="U214" s="44">
        <v>-917.49</v>
      </c>
      <c r="V214" s="45">
        <v>0.32840000000000003</v>
      </c>
    </row>
    <row r="215" spans="1:22" ht="15" customHeight="1" x14ac:dyDescent="0.35">
      <c r="A215" s="46">
        <v>4</v>
      </c>
      <c r="B215" s="32">
        <v>2024</v>
      </c>
      <c r="C215" s="46" t="s">
        <v>264</v>
      </c>
      <c r="D215" s="46" t="s">
        <v>118</v>
      </c>
      <c r="E215" s="47" t="s">
        <v>119</v>
      </c>
      <c r="F215" s="46" t="s">
        <v>36</v>
      </c>
      <c r="G215" s="34">
        <v>0</v>
      </c>
      <c r="H215" s="34">
        <v>43</v>
      </c>
      <c r="I215" s="34">
        <f>IFERROR(ROUND('Data Bulanan'!DC47,0),0)</f>
        <v>27521</v>
      </c>
      <c r="J215" s="34">
        <v>11528236</v>
      </c>
      <c r="K215" s="34">
        <v>229264</v>
      </c>
      <c r="L215" s="35">
        <f t="shared" si="18"/>
        <v>1664</v>
      </c>
      <c r="M215" s="36">
        <f>IFERROR(AVERAGE('Data Bulanan'!CF47,'Data Bulanan'!CH47,'Data Bulanan'!CJ47,'Data Bulanan'!CL47,'Data Bulanan'!CN47,'Data Bulanan'!CP47,'Data Bulanan'!CR47,'Data Bulanan'!CT47,'Data Bulanan'!CV47,'Data Bulanan'!CX47,'Data Bulanan'!CZ47,'Data Bulanan'!DB47),0)</f>
        <v>73.09366999487969</v>
      </c>
      <c r="N215" s="37">
        <f>'Data Bulanan'!DD47</f>
        <v>10.459887014097891</v>
      </c>
      <c r="O215" s="38">
        <f t="shared" si="19"/>
        <v>68.590066066091737</v>
      </c>
      <c r="P215" s="39">
        <f t="shared" si="20"/>
        <v>113</v>
      </c>
      <c r="Q215" s="40">
        <f t="shared" si="21"/>
        <v>3256</v>
      </c>
      <c r="R215" s="41">
        <f t="shared" si="22"/>
        <v>-3256</v>
      </c>
      <c r="S215" s="42" t="str">
        <f t="shared" si="23"/>
        <v>Stockout ⚠</v>
      </c>
      <c r="T215" s="43">
        <f>IFERROR(N215/AVERAGE(M212:M216),0)</f>
        <v>0.14164958586148166</v>
      </c>
      <c r="U215" s="44">
        <v>-917.49</v>
      </c>
      <c r="V215" s="45">
        <v>0.32840000000000003</v>
      </c>
    </row>
    <row r="216" spans="1:22" ht="15" customHeight="1" x14ac:dyDescent="0.35">
      <c r="A216" s="46">
        <v>5</v>
      </c>
      <c r="B216" s="32">
        <v>2025</v>
      </c>
      <c r="C216" s="46" t="s">
        <v>264</v>
      </c>
      <c r="D216" s="46" t="s">
        <v>118</v>
      </c>
      <c r="E216" s="47" t="s">
        <v>119</v>
      </c>
      <c r="F216" s="46" t="s">
        <v>36</v>
      </c>
      <c r="G216" s="34">
        <v>5561</v>
      </c>
      <c r="H216" s="34">
        <v>43</v>
      </c>
      <c r="I216" s="34">
        <f>IFERROR(ROUND('Data Bulanan'!EC47,0),0)</f>
        <v>27248</v>
      </c>
      <c r="J216" s="34">
        <v>10778011</v>
      </c>
      <c r="K216" s="34">
        <v>237492</v>
      </c>
      <c r="L216" s="35">
        <f t="shared" si="18"/>
        <v>1573</v>
      </c>
      <c r="M216" s="36">
        <f>IFERROR(AVERAGE('Data Bulanan'!DF47,'Data Bulanan'!DH47,'Data Bulanan'!DJ47,'Data Bulanan'!DL47,'Data Bulanan'!DN47,'Data Bulanan'!DP47,'Data Bulanan'!DR47,'Data Bulanan'!DT47,'Data Bulanan'!DV47,'Data Bulanan'!DX47,'Data Bulanan'!DZ47,'Data Bulanan'!EB47),0)</f>
        <v>72.215828213005636</v>
      </c>
      <c r="N216" s="37">
        <f>'Data Bulanan'!ED47</f>
        <v>17.206000216470564</v>
      </c>
      <c r="O216" s="38">
        <f t="shared" si="19"/>
        <v>112.82728866863263</v>
      </c>
      <c r="P216" s="39">
        <f t="shared" si="20"/>
        <v>186</v>
      </c>
      <c r="Q216" s="40">
        <f t="shared" si="21"/>
        <v>3291</v>
      </c>
      <c r="R216" s="41">
        <f t="shared" si="22"/>
        <v>2270</v>
      </c>
      <c r="S216" s="42" t="str">
        <f t="shared" si="23"/>
        <v>Overstock 📦</v>
      </c>
      <c r="T216" s="43">
        <f>IFERROR(N216/AVERAGE(M212:M216),0)</f>
        <v>0.23300660912596069</v>
      </c>
      <c r="U216" s="44">
        <v>-917.49</v>
      </c>
      <c r="V216" s="45">
        <v>0.32840000000000003</v>
      </c>
    </row>
    <row r="217" spans="1:22" ht="15" customHeight="1" x14ac:dyDescent="0.35">
      <c r="A217" s="31">
        <v>1</v>
      </c>
      <c r="B217" s="32">
        <v>2021</v>
      </c>
      <c r="C217" s="31" t="s">
        <v>264</v>
      </c>
      <c r="D217" s="31" t="s">
        <v>120</v>
      </c>
      <c r="E217" s="33" t="s">
        <v>121</v>
      </c>
      <c r="F217" s="31" t="s">
        <v>36</v>
      </c>
      <c r="G217" s="34">
        <v>20631</v>
      </c>
      <c r="H217" s="34">
        <v>41</v>
      </c>
      <c r="I217" s="34">
        <f>IFERROR(ROUND('Data Bulanan'!AC48,0),0)</f>
        <v>53246</v>
      </c>
      <c r="J217" s="34">
        <v>6491887</v>
      </c>
      <c r="K217" s="34">
        <v>541217</v>
      </c>
      <c r="L217" s="35">
        <f t="shared" si="18"/>
        <v>1130</v>
      </c>
      <c r="M217" s="36">
        <f>IFERROR(AVERAGE('Data Bulanan'!F48,'Data Bulanan'!H48,'Data Bulanan'!J48,'Data Bulanan'!L48,'Data Bulanan'!N48,'Data Bulanan'!P48,'Data Bulanan'!R48,'Data Bulanan'!T48,'Data Bulanan'!V48,'Data Bulanan'!X48,'Data Bulanan'!Z48,'Data Bulanan'!AB48),0)</f>
        <v>141.78701356886839</v>
      </c>
      <c r="N217" s="37">
        <f>'Data Bulanan'!AD48</f>
        <v>26.987633023550408</v>
      </c>
      <c r="O217" s="38">
        <f t="shared" si="19"/>
        <v>172.80516712403877</v>
      </c>
      <c r="P217" s="39">
        <f t="shared" si="20"/>
        <v>285</v>
      </c>
      <c r="Q217" s="40">
        <f t="shared" si="21"/>
        <v>6098</v>
      </c>
      <c r="R217" s="41">
        <f t="shared" si="22"/>
        <v>14533</v>
      </c>
      <c r="S217" s="42" t="str">
        <f t="shared" si="23"/>
        <v>Overstock 📦</v>
      </c>
      <c r="T217" s="43">
        <f>IFERROR(N217/AVERAGE(M217:M221),0)</f>
        <v>0.18985043492431808</v>
      </c>
      <c r="U217" s="44">
        <v>-514.82000000000005</v>
      </c>
      <c r="V217" s="45">
        <v>2.6599999999999999E-2</v>
      </c>
    </row>
    <row r="218" spans="1:22" ht="15" customHeight="1" x14ac:dyDescent="0.35">
      <c r="A218" s="31">
        <v>2</v>
      </c>
      <c r="B218" s="32">
        <v>2022</v>
      </c>
      <c r="C218" s="31" t="s">
        <v>264</v>
      </c>
      <c r="D218" s="31" t="s">
        <v>120</v>
      </c>
      <c r="E218" s="33" t="s">
        <v>121</v>
      </c>
      <c r="F218" s="31" t="s">
        <v>36</v>
      </c>
      <c r="G218" s="34">
        <v>16952</v>
      </c>
      <c r="H218" s="34">
        <v>41</v>
      </c>
      <c r="I218" s="34">
        <f>IFERROR(ROUND('Data Bulanan'!BC48,0),0)</f>
        <v>59245</v>
      </c>
      <c r="J218" s="34">
        <v>6212398</v>
      </c>
      <c r="K218" s="34">
        <v>471147</v>
      </c>
      <c r="L218" s="35">
        <f t="shared" si="18"/>
        <v>1250</v>
      </c>
      <c r="M218" s="36">
        <f>IFERROR(AVERAGE('Data Bulanan'!AF48,'Data Bulanan'!AH48,'Data Bulanan'!AJ48,'Data Bulanan'!AL48,'Data Bulanan'!AN48,'Data Bulanan'!AP48,'Data Bulanan'!AR48,'Data Bulanan'!AT48,'Data Bulanan'!AV48,'Data Bulanan'!AX48,'Data Bulanan'!AZ48,'Data Bulanan'!BB48),0)</f>
        <v>157.53143241167436</v>
      </c>
      <c r="N218" s="37">
        <f>'Data Bulanan'!BD48</f>
        <v>39.432221978952498</v>
      </c>
      <c r="O218" s="38">
        <f t="shared" si="19"/>
        <v>252.48941628926303</v>
      </c>
      <c r="P218" s="39">
        <f t="shared" si="20"/>
        <v>417</v>
      </c>
      <c r="Q218" s="40">
        <f t="shared" si="21"/>
        <v>6876</v>
      </c>
      <c r="R218" s="41">
        <f t="shared" si="22"/>
        <v>10076</v>
      </c>
      <c r="S218" s="42" t="str">
        <f t="shared" si="23"/>
        <v>Overstock 📦</v>
      </c>
      <c r="T218" s="43">
        <f>IFERROR(N218/AVERAGE(M217:M221),0)</f>
        <v>0.27739463057777725</v>
      </c>
      <c r="U218" s="44">
        <v>-514.82000000000005</v>
      </c>
      <c r="V218" s="45">
        <v>2.6599999999999999E-2</v>
      </c>
    </row>
    <row r="219" spans="1:22" ht="15" customHeight="1" x14ac:dyDescent="0.35">
      <c r="A219" s="31">
        <v>3</v>
      </c>
      <c r="B219" s="32">
        <v>2023</v>
      </c>
      <c r="C219" s="31" t="s">
        <v>264</v>
      </c>
      <c r="D219" s="31" t="s">
        <v>120</v>
      </c>
      <c r="E219" s="33" t="s">
        <v>121</v>
      </c>
      <c r="F219" s="31" t="s">
        <v>36</v>
      </c>
      <c r="G219" s="34">
        <v>9780</v>
      </c>
      <c r="H219" s="34">
        <v>41</v>
      </c>
      <c r="I219" s="34">
        <f>IFERROR(ROUND('Data Bulanan'!CC48,0),0)</f>
        <v>45974</v>
      </c>
      <c r="J219" s="34">
        <v>6876922</v>
      </c>
      <c r="K219" s="34">
        <v>565939</v>
      </c>
      <c r="L219" s="35">
        <f t="shared" si="18"/>
        <v>1057</v>
      </c>
      <c r="M219" s="36">
        <f>IFERROR(AVERAGE('Data Bulanan'!BF48,'Data Bulanan'!BH48,'Data Bulanan'!BJ48,'Data Bulanan'!BL48,'Data Bulanan'!BN48,'Data Bulanan'!BP48,'Data Bulanan'!BR48,'Data Bulanan'!BT48,'Data Bulanan'!BV48,'Data Bulanan'!BX48,'Data Bulanan'!BZ48,'Data Bulanan'!CB48),0)</f>
        <v>122.01842677931387</v>
      </c>
      <c r="N219" s="37">
        <f>'Data Bulanan'!CD48</f>
        <v>28.838070582815956</v>
      </c>
      <c r="O219" s="38">
        <f t="shared" si="19"/>
        <v>184.65374870962808</v>
      </c>
      <c r="P219" s="39">
        <f t="shared" si="20"/>
        <v>305</v>
      </c>
      <c r="Q219" s="40">
        <f t="shared" si="21"/>
        <v>5308</v>
      </c>
      <c r="R219" s="41">
        <f t="shared" si="22"/>
        <v>4472</v>
      </c>
      <c r="S219" s="42" t="str">
        <f t="shared" si="23"/>
        <v>Overstock 📦</v>
      </c>
      <c r="T219" s="43">
        <f>IFERROR(N219/AVERAGE(M217:M221),0)</f>
        <v>0.20286774456093182</v>
      </c>
      <c r="U219" s="44">
        <v>-514.82000000000005</v>
      </c>
      <c r="V219" s="45">
        <v>2.6599999999999999E-2</v>
      </c>
    </row>
    <row r="220" spans="1:22" ht="15" customHeight="1" x14ac:dyDescent="0.35">
      <c r="A220" s="31">
        <v>4</v>
      </c>
      <c r="B220" s="32">
        <v>2024</v>
      </c>
      <c r="C220" s="31" t="s">
        <v>264</v>
      </c>
      <c r="D220" s="31" t="s">
        <v>120</v>
      </c>
      <c r="E220" s="33" t="s">
        <v>121</v>
      </c>
      <c r="F220" s="31" t="s">
        <v>36</v>
      </c>
      <c r="G220" s="34">
        <v>38861</v>
      </c>
      <c r="H220" s="34">
        <v>41</v>
      </c>
      <c r="I220" s="34">
        <f>IFERROR(ROUND('Data Bulanan'!DC48,0),0)</f>
        <v>56344</v>
      </c>
      <c r="J220" s="34">
        <v>5900916</v>
      </c>
      <c r="K220" s="34">
        <v>541170</v>
      </c>
      <c r="L220" s="35">
        <f t="shared" si="18"/>
        <v>1108</v>
      </c>
      <c r="M220" s="36">
        <f>IFERROR(AVERAGE('Data Bulanan'!CF48,'Data Bulanan'!CH48,'Data Bulanan'!CJ48,'Data Bulanan'!CL48,'Data Bulanan'!CN48,'Data Bulanan'!CP48,'Data Bulanan'!CR48,'Data Bulanan'!CT48,'Data Bulanan'!CV48,'Data Bulanan'!CX48,'Data Bulanan'!CZ48,'Data Bulanan'!DB48),0)</f>
        <v>150.24757424475166</v>
      </c>
      <c r="N220" s="37">
        <f>'Data Bulanan'!DD48</f>
        <v>33.723681231393748</v>
      </c>
      <c r="O220" s="38">
        <f t="shared" si="19"/>
        <v>215.93692066819656</v>
      </c>
      <c r="P220" s="39">
        <f t="shared" si="20"/>
        <v>356</v>
      </c>
      <c r="Q220" s="40">
        <f t="shared" si="21"/>
        <v>6516</v>
      </c>
      <c r="R220" s="41">
        <f t="shared" si="22"/>
        <v>32345</v>
      </c>
      <c r="S220" s="42" t="str">
        <f t="shared" si="23"/>
        <v>Overstock 📦</v>
      </c>
      <c r="T220" s="43">
        <f>IFERROR(N220/AVERAGE(M217:M221),0)</f>
        <v>0.23723664626097984</v>
      </c>
      <c r="U220" s="44">
        <v>-514.82000000000005</v>
      </c>
      <c r="V220" s="45">
        <v>2.6599999999999999E-2</v>
      </c>
    </row>
    <row r="221" spans="1:22" ht="15" customHeight="1" x14ac:dyDescent="0.35">
      <c r="A221" s="31">
        <v>5</v>
      </c>
      <c r="B221" s="32">
        <v>2025</v>
      </c>
      <c r="C221" s="31" t="s">
        <v>264</v>
      </c>
      <c r="D221" s="31" t="s">
        <v>120</v>
      </c>
      <c r="E221" s="33" t="s">
        <v>121</v>
      </c>
      <c r="F221" s="31" t="s">
        <v>36</v>
      </c>
      <c r="G221" s="34">
        <v>9750</v>
      </c>
      <c r="H221" s="34">
        <v>41</v>
      </c>
      <c r="I221" s="34">
        <f>IFERROR(ROUND('Data Bulanan'!EC48,0),0)</f>
        <v>52122</v>
      </c>
      <c r="J221" s="34">
        <v>6984393</v>
      </c>
      <c r="K221" s="34">
        <v>482177</v>
      </c>
      <c r="L221" s="35">
        <f t="shared" si="18"/>
        <v>1229</v>
      </c>
      <c r="M221" s="36">
        <f>IFERROR(AVERAGE('Data Bulanan'!DF48,'Data Bulanan'!DH48,'Data Bulanan'!DJ48,'Data Bulanan'!DL48,'Data Bulanan'!DN48,'Data Bulanan'!DP48,'Data Bulanan'!DR48,'Data Bulanan'!DT48,'Data Bulanan'!DV48,'Data Bulanan'!DX48,'Data Bulanan'!DZ48,'Data Bulanan'!EB48),0)</f>
        <v>139.17592165898614</v>
      </c>
      <c r="N221" s="37">
        <f>'Data Bulanan'!ED48</f>
        <v>41.247351066339895</v>
      </c>
      <c r="O221" s="38">
        <f t="shared" si="19"/>
        <v>264.11191334278266</v>
      </c>
      <c r="P221" s="39">
        <f t="shared" si="20"/>
        <v>436</v>
      </c>
      <c r="Q221" s="40">
        <f t="shared" si="21"/>
        <v>6142</v>
      </c>
      <c r="R221" s="41">
        <f t="shared" si="22"/>
        <v>3608</v>
      </c>
      <c r="S221" s="42" t="str">
        <f t="shared" si="23"/>
        <v>Overstock 📦</v>
      </c>
      <c r="T221" s="43">
        <f>IFERROR(N221/AVERAGE(M217:M221),0)</f>
        <v>0.29016355501007424</v>
      </c>
      <c r="U221" s="44">
        <v>-514.82000000000005</v>
      </c>
      <c r="V221" s="45">
        <v>2.6599999999999999E-2</v>
      </c>
    </row>
    <row r="222" spans="1:22" ht="15" customHeight="1" x14ac:dyDescent="0.35">
      <c r="A222" s="46">
        <v>1</v>
      </c>
      <c r="B222" s="32">
        <v>2021</v>
      </c>
      <c r="C222" s="46" t="s">
        <v>264</v>
      </c>
      <c r="D222" s="46" t="s">
        <v>122</v>
      </c>
      <c r="E222" s="47" t="s">
        <v>123</v>
      </c>
      <c r="F222" s="46" t="s">
        <v>36</v>
      </c>
      <c r="G222" s="34">
        <v>871</v>
      </c>
      <c r="H222" s="34">
        <v>10</v>
      </c>
      <c r="I222" s="34">
        <f>IFERROR(ROUND('Data Bulanan'!AC49,0),0)</f>
        <v>12898</v>
      </c>
      <c r="J222" s="34">
        <v>1702857</v>
      </c>
      <c r="K222" s="34">
        <v>586512</v>
      </c>
      <c r="L222" s="35">
        <f t="shared" si="18"/>
        <v>274</v>
      </c>
      <c r="M222" s="36">
        <f>IFERROR(AVERAGE('Data Bulanan'!F49,'Data Bulanan'!H49,'Data Bulanan'!J49,'Data Bulanan'!L49,'Data Bulanan'!N49,'Data Bulanan'!P49,'Data Bulanan'!R49,'Data Bulanan'!T49,'Data Bulanan'!V49,'Data Bulanan'!X49,'Data Bulanan'!Z49,'Data Bulanan'!AB49),0)</f>
        <v>34.382264464925754</v>
      </c>
      <c r="N222" s="37">
        <f>'Data Bulanan'!AD49</f>
        <v>9.0239954747517235</v>
      </c>
      <c r="O222" s="38">
        <f t="shared" si="19"/>
        <v>28.536379295267924</v>
      </c>
      <c r="P222" s="39">
        <f t="shared" si="20"/>
        <v>47</v>
      </c>
      <c r="Q222" s="40">
        <f t="shared" si="21"/>
        <v>391</v>
      </c>
      <c r="R222" s="41">
        <f t="shared" si="22"/>
        <v>480</v>
      </c>
      <c r="S222" s="42" t="str">
        <f t="shared" si="23"/>
        <v>Overstock 📦</v>
      </c>
      <c r="T222" s="43">
        <f>IFERROR(N222/AVERAGE(M222:M226),0)</f>
        <v>0.24456102869059534</v>
      </c>
      <c r="U222" s="44">
        <v>-121.95</v>
      </c>
      <c r="V222" s="45">
        <v>3.1899999999999998E-2</v>
      </c>
    </row>
    <row r="223" spans="1:22" ht="15" customHeight="1" x14ac:dyDescent="0.35">
      <c r="A223" s="46">
        <v>2</v>
      </c>
      <c r="B223" s="32">
        <v>2022</v>
      </c>
      <c r="C223" s="46" t="s">
        <v>264</v>
      </c>
      <c r="D223" s="46" t="s">
        <v>122</v>
      </c>
      <c r="E223" s="47" t="s">
        <v>123</v>
      </c>
      <c r="F223" s="46" t="s">
        <v>36</v>
      </c>
      <c r="G223" s="34">
        <v>613</v>
      </c>
      <c r="H223" s="34">
        <v>10</v>
      </c>
      <c r="I223" s="34">
        <f>IFERROR(ROUND('Data Bulanan'!BC49,0),0)</f>
        <v>15049</v>
      </c>
      <c r="J223" s="34">
        <v>1479029</v>
      </c>
      <c r="K223" s="34">
        <v>577863</v>
      </c>
      <c r="L223" s="35">
        <f t="shared" si="18"/>
        <v>278</v>
      </c>
      <c r="M223" s="36">
        <f>IFERROR(AVERAGE('Data Bulanan'!AF49,'Data Bulanan'!AH49,'Data Bulanan'!AJ49,'Data Bulanan'!AL49,'Data Bulanan'!AN49,'Data Bulanan'!AP49,'Data Bulanan'!AR49,'Data Bulanan'!AT49,'Data Bulanan'!AV49,'Data Bulanan'!AX49,'Data Bulanan'!AZ49,'Data Bulanan'!BB49),0)</f>
        <v>40.002112135176652</v>
      </c>
      <c r="N223" s="37">
        <f>'Data Bulanan'!BD49</f>
        <v>10.196550037167544</v>
      </c>
      <c r="O223" s="38">
        <f t="shared" si="19"/>
        <v>32.244322393323984</v>
      </c>
      <c r="P223" s="39">
        <f t="shared" si="20"/>
        <v>53</v>
      </c>
      <c r="Q223" s="40">
        <f t="shared" si="21"/>
        <v>453</v>
      </c>
      <c r="R223" s="41">
        <f t="shared" si="22"/>
        <v>160</v>
      </c>
      <c r="S223" s="42" t="str">
        <f t="shared" si="23"/>
        <v>Aman ✅</v>
      </c>
      <c r="T223" s="43">
        <f>IFERROR(N223/AVERAGE(M222:M226),0)</f>
        <v>0.27633865433132115</v>
      </c>
      <c r="U223" s="44">
        <v>-121.95</v>
      </c>
      <c r="V223" s="45">
        <v>3.1899999999999998E-2</v>
      </c>
    </row>
    <row r="224" spans="1:22" ht="15" customHeight="1" x14ac:dyDescent="0.35">
      <c r="A224" s="46">
        <v>3</v>
      </c>
      <c r="B224" s="32">
        <v>2023</v>
      </c>
      <c r="C224" s="46" t="s">
        <v>264</v>
      </c>
      <c r="D224" s="46" t="s">
        <v>122</v>
      </c>
      <c r="E224" s="47" t="s">
        <v>123</v>
      </c>
      <c r="F224" s="46" t="s">
        <v>36</v>
      </c>
      <c r="G224" s="34">
        <v>535</v>
      </c>
      <c r="H224" s="34">
        <v>10</v>
      </c>
      <c r="I224" s="34">
        <f>IFERROR(ROUND('Data Bulanan'!CC49,0),0)</f>
        <v>15056</v>
      </c>
      <c r="J224" s="34">
        <v>1668331</v>
      </c>
      <c r="K224" s="34">
        <v>563415</v>
      </c>
      <c r="L224" s="35">
        <f t="shared" si="18"/>
        <v>299</v>
      </c>
      <c r="M224" s="36">
        <f>IFERROR(AVERAGE('Data Bulanan'!BF49,'Data Bulanan'!BH49,'Data Bulanan'!BJ49,'Data Bulanan'!BL49,'Data Bulanan'!BN49,'Data Bulanan'!BP49,'Data Bulanan'!BR49,'Data Bulanan'!BT49,'Data Bulanan'!BV49,'Data Bulanan'!BX49,'Data Bulanan'!BZ49,'Data Bulanan'!CB49),0)</f>
        <v>39.986763952892979</v>
      </c>
      <c r="N224" s="37">
        <f>'Data Bulanan'!CD49</f>
        <v>6.534664834332105</v>
      </c>
      <c r="O224" s="38">
        <f t="shared" si="19"/>
        <v>20.66442462229632</v>
      </c>
      <c r="P224" s="39">
        <f t="shared" si="20"/>
        <v>34</v>
      </c>
      <c r="Q224" s="40">
        <f t="shared" si="21"/>
        <v>434</v>
      </c>
      <c r="R224" s="41">
        <f t="shared" si="22"/>
        <v>101</v>
      </c>
      <c r="S224" s="42" t="str">
        <f t="shared" si="23"/>
        <v>Aman ✅</v>
      </c>
      <c r="T224" s="43">
        <f>IFERROR(N224/AVERAGE(M222:M226),0)</f>
        <v>0.17709720250901251</v>
      </c>
      <c r="U224" s="44">
        <v>-121.95</v>
      </c>
      <c r="V224" s="45">
        <v>3.1899999999999998E-2</v>
      </c>
    </row>
    <row r="225" spans="1:22" ht="15" customHeight="1" x14ac:dyDescent="0.35">
      <c r="A225" s="46">
        <v>4</v>
      </c>
      <c r="B225" s="32">
        <v>2024</v>
      </c>
      <c r="C225" s="46" t="s">
        <v>264</v>
      </c>
      <c r="D225" s="46" t="s">
        <v>122</v>
      </c>
      <c r="E225" s="47" t="s">
        <v>123</v>
      </c>
      <c r="F225" s="46" t="s">
        <v>36</v>
      </c>
      <c r="G225" s="34">
        <v>970</v>
      </c>
      <c r="H225" s="34">
        <v>10</v>
      </c>
      <c r="I225" s="34">
        <f>IFERROR(ROUND('Data Bulanan'!DC49,0),0)</f>
        <v>13152</v>
      </c>
      <c r="J225" s="34">
        <v>1644309</v>
      </c>
      <c r="K225" s="34">
        <v>644640</v>
      </c>
      <c r="L225" s="35">
        <f t="shared" si="18"/>
        <v>259</v>
      </c>
      <c r="M225" s="36">
        <f>IFERROR(AVERAGE('Data Bulanan'!CF49,'Data Bulanan'!CH49,'Data Bulanan'!CJ49,'Data Bulanan'!CL49,'Data Bulanan'!CN49,'Data Bulanan'!CP49,'Data Bulanan'!CR49,'Data Bulanan'!CT49,'Data Bulanan'!CV49,'Data Bulanan'!CX49,'Data Bulanan'!CZ49,'Data Bulanan'!DB49),0)</f>
        <v>35.005216333845361</v>
      </c>
      <c r="N225" s="37">
        <f>'Data Bulanan'!DD49</f>
        <v>8.4212756319611213</v>
      </c>
      <c r="O225" s="38">
        <f t="shared" si="19"/>
        <v>26.630411801071006</v>
      </c>
      <c r="P225" s="39">
        <f t="shared" si="20"/>
        <v>44</v>
      </c>
      <c r="Q225" s="40">
        <f t="shared" si="21"/>
        <v>394</v>
      </c>
      <c r="R225" s="41">
        <f t="shared" si="22"/>
        <v>576</v>
      </c>
      <c r="S225" s="42" t="str">
        <f t="shared" si="23"/>
        <v>Overstock 📦</v>
      </c>
      <c r="T225" s="43">
        <f>IFERROR(N225/AVERAGE(M222:M226),0)</f>
        <v>0.22822660286142471</v>
      </c>
      <c r="U225" s="44">
        <v>-121.95</v>
      </c>
      <c r="V225" s="45">
        <v>3.1899999999999998E-2</v>
      </c>
    </row>
    <row r="226" spans="1:22" ht="15" customHeight="1" x14ac:dyDescent="0.35">
      <c r="A226" s="46">
        <v>5</v>
      </c>
      <c r="B226" s="32">
        <v>2025</v>
      </c>
      <c r="C226" s="46" t="s">
        <v>264</v>
      </c>
      <c r="D226" s="46" t="s">
        <v>122</v>
      </c>
      <c r="E226" s="47" t="s">
        <v>123</v>
      </c>
      <c r="F226" s="46" t="s">
        <v>36</v>
      </c>
      <c r="G226" s="34">
        <v>1205</v>
      </c>
      <c r="H226" s="34">
        <v>10</v>
      </c>
      <c r="I226" s="34">
        <f>IFERROR(ROUND('Data Bulanan'!EC49,0),0)</f>
        <v>13237</v>
      </c>
      <c r="J226" s="34">
        <v>1476743</v>
      </c>
      <c r="K226" s="34">
        <v>652657</v>
      </c>
      <c r="L226" s="35">
        <f t="shared" si="18"/>
        <v>245</v>
      </c>
      <c r="M226" s="36">
        <f>IFERROR(AVERAGE('Data Bulanan'!DF49,'Data Bulanan'!DH49,'Data Bulanan'!DJ49,'Data Bulanan'!DL49,'Data Bulanan'!DN49,'Data Bulanan'!DP49,'Data Bulanan'!DR49,'Data Bulanan'!DT49,'Data Bulanan'!DV49,'Data Bulanan'!DX49,'Data Bulanan'!DZ49,'Data Bulanan'!EB49),0)</f>
        <v>35.117377112135173</v>
      </c>
      <c r="N226" s="37">
        <f>'Data Bulanan'!ED49</f>
        <v>9.1748825292441101</v>
      </c>
      <c r="O226" s="38">
        <f t="shared" si="19"/>
        <v>29.01352605689781</v>
      </c>
      <c r="P226" s="39">
        <f t="shared" si="20"/>
        <v>48</v>
      </c>
      <c r="Q226" s="40">
        <f t="shared" si="21"/>
        <v>399</v>
      </c>
      <c r="R226" s="41">
        <f t="shared" si="22"/>
        <v>806</v>
      </c>
      <c r="S226" s="42" t="str">
        <f t="shared" si="23"/>
        <v>Overstock 📦</v>
      </c>
      <c r="T226" s="43">
        <f>IFERROR(N226/AVERAGE(M222:M226),0)</f>
        <v>0.24865024763646004</v>
      </c>
      <c r="U226" s="44">
        <v>-121.95</v>
      </c>
      <c r="V226" s="45">
        <v>3.1899999999999998E-2</v>
      </c>
    </row>
    <row r="227" spans="1:22" ht="15" customHeight="1" x14ac:dyDescent="0.35">
      <c r="A227" s="31">
        <v>1</v>
      </c>
      <c r="B227" s="32">
        <v>2021</v>
      </c>
      <c r="C227" s="31" t="s">
        <v>264</v>
      </c>
      <c r="D227" s="31" t="s">
        <v>124</v>
      </c>
      <c r="E227" s="33" t="s">
        <v>125</v>
      </c>
      <c r="F227" s="31" t="s">
        <v>36</v>
      </c>
      <c r="G227" s="34">
        <v>2259</v>
      </c>
      <c r="H227" s="34">
        <v>9</v>
      </c>
      <c r="I227" s="34">
        <f>IFERROR(ROUND('Data Bulanan'!AC50,0),0)</f>
        <v>23672</v>
      </c>
      <c r="J227" s="34">
        <v>1348224</v>
      </c>
      <c r="K227" s="34">
        <v>307460</v>
      </c>
      <c r="L227" s="35">
        <f t="shared" si="18"/>
        <v>456</v>
      </c>
      <c r="M227" s="36">
        <f>IFERROR(AVERAGE('Data Bulanan'!F50,'Data Bulanan'!H50,'Data Bulanan'!J50,'Data Bulanan'!L50,'Data Bulanan'!N50,'Data Bulanan'!P50,'Data Bulanan'!R50,'Data Bulanan'!T50,'Data Bulanan'!V50,'Data Bulanan'!X50,'Data Bulanan'!Z50,'Data Bulanan'!AB50),0)</f>
        <v>62.815751408090115</v>
      </c>
      <c r="N227" s="37">
        <f>'Data Bulanan'!AD50</f>
        <v>13.082954604006209</v>
      </c>
      <c r="O227" s="38">
        <f t="shared" si="19"/>
        <v>39.248863812018627</v>
      </c>
      <c r="P227" s="39">
        <f t="shared" si="20"/>
        <v>65</v>
      </c>
      <c r="Q227" s="40">
        <f t="shared" si="21"/>
        <v>630</v>
      </c>
      <c r="R227" s="41">
        <f t="shared" si="22"/>
        <v>1629</v>
      </c>
      <c r="S227" s="42" t="str">
        <f t="shared" si="23"/>
        <v>Overstock 📦</v>
      </c>
      <c r="T227" s="43">
        <f>IFERROR(N227/AVERAGE(M227:M231),0)</f>
        <v>0.17109291770373811</v>
      </c>
      <c r="U227" s="44">
        <v>1040.07</v>
      </c>
      <c r="V227" s="45">
        <v>0.2112</v>
      </c>
    </row>
    <row r="228" spans="1:22" ht="15" customHeight="1" x14ac:dyDescent="0.35">
      <c r="A228" s="31">
        <v>2</v>
      </c>
      <c r="B228" s="32">
        <v>2022</v>
      </c>
      <c r="C228" s="31" t="s">
        <v>264</v>
      </c>
      <c r="D228" s="31" t="s">
        <v>124</v>
      </c>
      <c r="E228" s="33" t="s">
        <v>125</v>
      </c>
      <c r="F228" s="31" t="s">
        <v>36</v>
      </c>
      <c r="G228" s="34">
        <v>1520</v>
      </c>
      <c r="H228" s="34">
        <v>9</v>
      </c>
      <c r="I228" s="34">
        <f>IFERROR(ROUND('Data Bulanan'!BC50,0),0)</f>
        <v>32055</v>
      </c>
      <c r="J228" s="34">
        <v>1436982</v>
      </c>
      <c r="K228" s="34">
        <v>317536</v>
      </c>
      <c r="L228" s="35">
        <f t="shared" si="18"/>
        <v>539</v>
      </c>
      <c r="M228" s="36">
        <f>IFERROR(AVERAGE('Data Bulanan'!AF50,'Data Bulanan'!AH50,'Data Bulanan'!AJ50,'Data Bulanan'!AL50,'Data Bulanan'!AN50,'Data Bulanan'!AP50,'Data Bulanan'!AR50,'Data Bulanan'!AT50,'Data Bulanan'!AV50,'Data Bulanan'!AX50,'Data Bulanan'!AZ50,'Data Bulanan'!BB50),0)</f>
        <v>85.416237839221708</v>
      </c>
      <c r="N228" s="37">
        <f>'Data Bulanan'!BD50</f>
        <v>16.701228153496309</v>
      </c>
      <c r="O228" s="38">
        <f t="shared" si="19"/>
        <v>50.103684460488928</v>
      </c>
      <c r="P228" s="39">
        <f t="shared" si="20"/>
        <v>83</v>
      </c>
      <c r="Q228" s="40">
        <f t="shared" si="21"/>
        <v>852</v>
      </c>
      <c r="R228" s="41">
        <f t="shared" si="22"/>
        <v>668</v>
      </c>
      <c r="S228" s="42" t="str">
        <f t="shared" si="23"/>
        <v>Overstock 📦</v>
      </c>
      <c r="T228" s="43">
        <f>IFERROR(N228/AVERAGE(M227:M231),0)</f>
        <v>0.21841105014172391</v>
      </c>
      <c r="U228" s="44">
        <v>1040.07</v>
      </c>
      <c r="V228" s="45">
        <v>0.2112</v>
      </c>
    </row>
    <row r="229" spans="1:22" ht="15" customHeight="1" x14ac:dyDescent="0.35">
      <c r="A229" s="31">
        <v>3</v>
      </c>
      <c r="B229" s="32">
        <v>2023</v>
      </c>
      <c r="C229" s="31" t="s">
        <v>264</v>
      </c>
      <c r="D229" s="31" t="s">
        <v>124</v>
      </c>
      <c r="E229" s="33" t="s">
        <v>125</v>
      </c>
      <c r="F229" s="31" t="s">
        <v>36</v>
      </c>
      <c r="G229" s="34">
        <v>1983</v>
      </c>
      <c r="H229" s="34">
        <v>9</v>
      </c>
      <c r="I229" s="34">
        <f>IFERROR(ROUND('Data Bulanan'!CC50,0),0)</f>
        <v>27007</v>
      </c>
      <c r="J229" s="34">
        <v>1508872</v>
      </c>
      <c r="K229" s="34">
        <v>343327</v>
      </c>
      <c r="L229" s="35">
        <f t="shared" si="18"/>
        <v>487</v>
      </c>
      <c r="M229" s="36">
        <f>IFERROR(AVERAGE('Data Bulanan'!BF50,'Data Bulanan'!BH50,'Data Bulanan'!BJ50,'Data Bulanan'!BL50,'Data Bulanan'!BN50,'Data Bulanan'!BP50,'Data Bulanan'!BR50,'Data Bulanan'!BT50,'Data Bulanan'!BV50,'Data Bulanan'!BX50,'Data Bulanan'!BZ50,'Data Bulanan'!CB50),0)</f>
        <v>71.789125704045048</v>
      </c>
      <c r="N229" s="37">
        <f>'Data Bulanan'!CD50</f>
        <v>16.106234495961409</v>
      </c>
      <c r="O229" s="38">
        <f t="shared" si="19"/>
        <v>48.318703487884228</v>
      </c>
      <c r="P229" s="39">
        <f t="shared" si="20"/>
        <v>80</v>
      </c>
      <c r="Q229" s="40">
        <f t="shared" si="21"/>
        <v>726</v>
      </c>
      <c r="R229" s="41">
        <f t="shared" si="22"/>
        <v>1257</v>
      </c>
      <c r="S229" s="42" t="str">
        <f t="shared" si="23"/>
        <v>Overstock 📦</v>
      </c>
      <c r="T229" s="43">
        <f>IFERROR(N229/AVERAGE(M227:M231),0)</f>
        <v>0.21062999425915652</v>
      </c>
      <c r="U229" s="44">
        <v>1040.07</v>
      </c>
      <c r="V229" s="45">
        <v>0.2112</v>
      </c>
    </row>
    <row r="230" spans="1:22" ht="15" customHeight="1" x14ac:dyDescent="0.35">
      <c r="A230" s="31">
        <v>4</v>
      </c>
      <c r="B230" s="32">
        <v>2024</v>
      </c>
      <c r="C230" s="31" t="s">
        <v>264</v>
      </c>
      <c r="D230" s="31" t="s">
        <v>124</v>
      </c>
      <c r="E230" s="33" t="s">
        <v>125</v>
      </c>
      <c r="F230" s="31" t="s">
        <v>36</v>
      </c>
      <c r="G230" s="34">
        <v>862</v>
      </c>
      <c r="H230" s="34">
        <v>9</v>
      </c>
      <c r="I230" s="34">
        <f>IFERROR(ROUND('Data Bulanan'!DC50,0),0)</f>
        <v>32136</v>
      </c>
      <c r="J230" s="34">
        <v>1383229</v>
      </c>
      <c r="K230" s="34">
        <v>336476</v>
      </c>
      <c r="L230" s="35">
        <f t="shared" si="18"/>
        <v>514</v>
      </c>
      <c r="M230" s="36">
        <f>IFERROR(AVERAGE('Data Bulanan'!CF50,'Data Bulanan'!CH50,'Data Bulanan'!CJ50,'Data Bulanan'!CL50,'Data Bulanan'!CN50,'Data Bulanan'!CP50,'Data Bulanan'!CR50,'Data Bulanan'!CT50,'Data Bulanan'!CV50,'Data Bulanan'!CX50,'Data Bulanan'!CZ50,'Data Bulanan'!DB50),0)</f>
        <v>85.686143113159233</v>
      </c>
      <c r="N230" s="37">
        <f>'Data Bulanan'!DD50</f>
        <v>24.282050038526243</v>
      </c>
      <c r="O230" s="38">
        <f t="shared" si="19"/>
        <v>72.846150115578723</v>
      </c>
      <c r="P230" s="39">
        <f t="shared" si="20"/>
        <v>120</v>
      </c>
      <c r="Q230" s="40">
        <f t="shared" si="21"/>
        <v>891</v>
      </c>
      <c r="R230" s="41">
        <f t="shared" si="22"/>
        <v>-29</v>
      </c>
      <c r="S230" s="42" t="str">
        <f t="shared" si="23"/>
        <v>Reorder 🔄</v>
      </c>
      <c r="T230" s="43">
        <f>IFERROR(N230/AVERAGE(M227:M231),0)</f>
        <v>0.31754958376508097</v>
      </c>
      <c r="U230" s="44">
        <v>1040.07</v>
      </c>
      <c r="V230" s="45">
        <v>0.2112</v>
      </c>
    </row>
    <row r="231" spans="1:22" ht="15" customHeight="1" x14ac:dyDescent="0.35">
      <c r="A231" s="31">
        <v>5</v>
      </c>
      <c r="B231" s="32">
        <v>2025</v>
      </c>
      <c r="C231" s="31" t="s">
        <v>264</v>
      </c>
      <c r="D231" s="31" t="s">
        <v>124</v>
      </c>
      <c r="E231" s="33" t="s">
        <v>125</v>
      </c>
      <c r="F231" s="31" t="s">
        <v>36</v>
      </c>
      <c r="G231" s="34">
        <v>2240</v>
      </c>
      <c r="H231" s="34">
        <v>9</v>
      </c>
      <c r="I231" s="34">
        <f>IFERROR(ROUND('Data Bulanan'!EC50,0),0)</f>
        <v>28832</v>
      </c>
      <c r="J231" s="34">
        <v>1382752</v>
      </c>
      <c r="K231" s="34">
        <v>341120</v>
      </c>
      <c r="L231" s="35">
        <f t="shared" si="18"/>
        <v>483</v>
      </c>
      <c r="M231" s="36">
        <f>IFERROR(AVERAGE('Data Bulanan'!DF50,'Data Bulanan'!DH50,'Data Bulanan'!DJ50,'Data Bulanan'!DL50,'Data Bulanan'!DN50,'Data Bulanan'!DP50,'Data Bulanan'!DR50,'Data Bulanan'!DT50,'Data Bulanan'!DV50,'Data Bulanan'!DX50,'Data Bulanan'!DZ50,'Data Bulanan'!EB50),0)</f>
        <v>76.627521761392728</v>
      </c>
      <c r="N231" s="37">
        <f>'Data Bulanan'!ED50</f>
        <v>14.817576224834612</v>
      </c>
      <c r="O231" s="38">
        <f t="shared" si="19"/>
        <v>44.452728674503838</v>
      </c>
      <c r="P231" s="39">
        <f t="shared" si="20"/>
        <v>73</v>
      </c>
      <c r="Q231" s="40">
        <f t="shared" si="21"/>
        <v>763</v>
      </c>
      <c r="R231" s="41">
        <f t="shared" si="22"/>
        <v>1477</v>
      </c>
      <c r="S231" s="42" t="str">
        <f t="shared" si="23"/>
        <v>Overstock 📦</v>
      </c>
      <c r="T231" s="43">
        <f>IFERROR(N231/AVERAGE(M227:M231),0)</f>
        <v>0.19377750870038035</v>
      </c>
      <c r="U231" s="44">
        <v>1040.07</v>
      </c>
      <c r="V231" s="45">
        <v>0.2112</v>
      </c>
    </row>
    <row r="232" spans="1:22" ht="15" customHeight="1" x14ac:dyDescent="0.35">
      <c r="A232" s="46">
        <v>1</v>
      </c>
      <c r="B232" s="32">
        <v>2021</v>
      </c>
      <c r="C232" s="46" t="s">
        <v>264</v>
      </c>
      <c r="D232" s="46" t="s">
        <v>126</v>
      </c>
      <c r="E232" s="47" t="s">
        <v>127</v>
      </c>
      <c r="F232" s="46" t="s">
        <v>36</v>
      </c>
      <c r="G232" s="34">
        <v>0</v>
      </c>
      <c r="H232" s="34">
        <v>11</v>
      </c>
      <c r="I232" s="34">
        <f>IFERROR(ROUND('Data Bulanan'!AC51,0),0)</f>
        <v>25695</v>
      </c>
      <c r="J232" s="34">
        <v>351695</v>
      </c>
      <c r="K232" s="34">
        <v>256087</v>
      </c>
      <c r="L232" s="35">
        <f t="shared" si="18"/>
        <v>266</v>
      </c>
      <c r="M232" s="36">
        <f>IFERROR(AVERAGE('Data Bulanan'!F51,'Data Bulanan'!H51,'Data Bulanan'!J51,'Data Bulanan'!L51,'Data Bulanan'!N51,'Data Bulanan'!P51,'Data Bulanan'!R51,'Data Bulanan'!T51,'Data Bulanan'!V51,'Data Bulanan'!X51,'Data Bulanan'!Z51,'Data Bulanan'!AB51),0)</f>
        <v>68.402867383512543</v>
      </c>
      <c r="N232" s="37">
        <f>'Data Bulanan'!AD51</f>
        <v>16.843150891596924</v>
      </c>
      <c r="O232" s="38">
        <f t="shared" si="19"/>
        <v>55.862411794767013</v>
      </c>
      <c r="P232" s="39">
        <f t="shared" si="20"/>
        <v>92</v>
      </c>
      <c r="Q232" s="40">
        <f t="shared" si="21"/>
        <v>844</v>
      </c>
      <c r="R232" s="41">
        <f t="shared" si="22"/>
        <v>-844</v>
      </c>
      <c r="S232" s="42" t="str">
        <f t="shared" si="23"/>
        <v>Stockout ⚠</v>
      </c>
      <c r="T232" s="43">
        <f>IFERROR(N232/AVERAGE(M232:M236),0)</f>
        <v>0.2264516745562776</v>
      </c>
      <c r="U232" s="44">
        <v>1048.3900000000001</v>
      </c>
      <c r="V232" s="45">
        <v>0.66649999999999998</v>
      </c>
    </row>
    <row r="233" spans="1:22" ht="15" customHeight="1" x14ac:dyDescent="0.35">
      <c r="A233" s="46">
        <v>2</v>
      </c>
      <c r="B233" s="32">
        <v>2022</v>
      </c>
      <c r="C233" s="46" t="s">
        <v>264</v>
      </c>
      <c r="D233" s="46" t="s">
        <v>126</v>
      </c>
      <c r="E233" s="47" t="s">
        <v>127</v>
      </c>
      <c r="F233" s="46" t="s">
        <v>36</v>
      </c>
      <c r="G233" s="34">
        <v>4759</v>
      </c>
      <c r="H233" s="34">
        <v>11</v>
      </c>
      <c r="I233" s="34">
        <f>IFERROR(ROUND('Data Bulanan'!BC51,0),0)</f>
        <v>26887</v>
      </c>
      <c r="J233" s="34">
        <v>349765</v>
      </c>
      <c r="K233" s="34">
        <v>252196</v>
      </c>
      <c r="L233" s="35">
        <f t="shared" si="18"/>
        <v>273</v>
      </c>
      <c r="M233" s="36">
        <f>IFERROR(AVERAGE('Data Bulanan'!AF51,'Data Bulanan'!AH51,'Data Bulanan'!AJ51,'Data Bulanan'!AL51,'Data Bulanan'!AN51,'Data Bulanan'!AP51,'Data Bulanan'!AR51,'Data Bulanan'!AT51,'Data Bulanan'!AV51,'Data Bulanan'!AX51,'Data Bulanan'!AZ51,'Data Bulanan'!BB51),0)</f>
        <v>71.527278545826945</v>
      </c>
      <c r="N233" s="37">
        <f>'Data Bulanan'!BD51</f>
        <v>14.091356094786955</v>
      </c>
      <c r="O233" s="38">
        <f t="shared" si="19"/>
        <v>46.735740953696066</v>
      </c>
      <c r="P233" s="39">
        <f t="shared" si="20"/>
        <v>77</v>
      </c>
      <c r="Q233" s="40">
        <f t="shared" si="21"/>
        <v>864</v>
      </c>
      <c r="R233" s="41">
        <f t="shared" si="22"/>
        <v>3895</v>
      </c>
      <c r="S233" s="42" t="str">
        <f t="shared" si="23"/>
        <v>Overstock 📦</v>
      </c>
      <c r="T233" s="43">
        <f>IFERROR(N233/AVERAGE(M232:M236),0)</f>
        <v>0.18945452694515225</v>
      </c>
      <c r="U233" s="44">
        <v>1048.3900000000001</v>
      </c>
      <c r="V233" s="45">
        <v>0.66649999999999998</v>
      </c>
    </row>
    <row r="234" spans="1:22" ht="15" customHeight="1" x14ac:dyDescent="0.35">
      <c r="A234" s="46">
        <v>3</v>
      </c>
      <c r="B234" s="32">
        <v>2023</v>
      </c>
      <c r="C234" s="46" t="s">
        <v>264</v>
      </c>
      <c r="D234" s="46" t="s">
        <v>126</v>
      </c>
      <c r="E234" s="47" t="s">
        <v>127</v>
      </c>
      <c r="F234" s="46" t="s">
        <v>36</v>
      </c>
      <c r="G234" s="34">
        <v>2318</v>
      </c>
      <c r="H234" s="34">
        <v>11</v>
      </c>
      <c r="I234" s="34">
        <f>IFERROR(ROUND('Data Bulanan'!CC51,0),0)</f>
        <v>27370</v>
      </c>
      <c r="J234" s="34">
        <v>310354</v>
      </c>
      <c r="K234" s="34">
        <v>271808</v>
      </c>
      <c r="L234" s="35">
        <f t="shared" si="18"/>
        <v>250</v>
      </c>
      <c r="M234" s="36">
        <f>IFERROR(AVERAGE('Data Bulanan'!BF51,'Data Bulanan'!BH51,'Data Bulanan'!BJ51,'Data Bulanan'!BL51,'Data Bulanan'!BN51,'Data Bulanan'!BP51,'Data Bulanan'!BR51,'Data Bulanan'!BT51,'Data Bulanan'!BV51,'Data Bulanan'!BX51,'Data Bulanan'!BZ51,'Data Bulanan'!CB51),0)</f>
        <v>72.649366359447001</v>
      </c>
      <c r="N234" s="37">
        <f>'Data Bulanan'!CD51</f>
        <v>19.982479069394142</v>
      </c>
      <c r="O234" s="38">
        <f t="shared" si="19"/>
        <v>66.274385454310504</v>
      </c>
      <c r="P234" s="39">
        <f t="shared" si="20"/>
        <v>109</v>
      </c>
      <c r="Q234" s="40">
        <f t="shared" si="21"/>
        <v>908</v>
      </c>
      <c r="R234" s="41">
        <f t="shared" si="22"/>
        <v>1410</v>
      </c>
      <c r="S234" s="42" t="str">
        <f t="shared" si="23"/>
        <v>Overstock 📦</v>
      </c>
      <c r="T234" s="43">
        <f>IFERROR(N234/AVERAGE(M232:M236),0)</f>
        <v>0.26865910518605124</v>
      </c>
      <c r="U234" s="44">
        <v>1048.3900000000001</v>
      </c>
      <c r="V234" s="45">
        <v>0.66649999999999998</v>
      </c>
    </row>
    <row r="235" spans="1:22" ht="15" customHeight="1" x14ac:dyDescent="0.35">
      <c r="A235" s="46">
        <v>4</v>
      </c>
      <c r="B235" s="32">
        <v>2024</v>
      </c>
      <c r="C235" s="46" t="s">
        <v>264</v>
      </c>
      <c r="D235" s="46" t="s">
        <v>126</v>
      </c>
      <c r="E235" s="47" t="s">
        <v>127</v>
      </c>
      <c r="F235" s="46" t="s">
        <v>36</v>
      </c>
      <c r="G235" s="34">
        <v>2901</v>
      </c>
      <c r="H235" s="34">
        <v>11</v>
      </c>
      <c r="I235" s="34">
        <f>IFERROR(ROUND('Data Bulanan'!DC51,0),0)</f>
        <v>30955</v>
      </c>
      <c r="J235" s="34">
        <v>296965</v>
      </c>
      <c r="K235" s="34">
        <v>246885</v>
      </c>
      <c r="L235" s="35">
        <f t="shared" si="18"/>
        <v>273</v>
      </c>
      <c r="M235" s="36">
        <f>IFERROR(AVERAGE('Data Bulanan'!CF51,'Data Bulanan'!CH51,'Data Bulanan'!CJ51,'Data Bulanan'!CL51,'Data Bulanan'!CN51,'Data Bulanan'!CP51,'Data Bulanan'!CR51,'Data Bulanan'!CT51,'Data Bulanan'!CV51,'Data Bulanan'!CX51,'Data Bulanan'!CZ51,'Data Bulanan'!DB51),0)</f>
        <v>82.398143881208398</v>
      </c>
      <c r="N235" s="37">
        <f>'Data Bulanan'!DD51</f>
        <v>15.859538034763938</v>
      </c>
      <c r="O235" s="38">
        <f t="shared" si="19"/>
        <v>52.600137009682435</v>
      </c>
      <c r="P235" s="39">
        <f t="shared" si="20"/>
        <v>87</v>
      </c>
      <c r="Q235" s="40">
        <f t="shared" si="21"/>
        <v>993</v>
      </c>
      <c r="R235" s="41">
        <f t="shared" si="22"/>
        <v>1908</v>
      </c>
      <c r="S235" s="42" t="str">
        <f t="shared" si="23"/>
        <v>Overstock 📦</v>
      </c>
      <c r="T235" s="43">
        <f>IFERROR(N235/AVERAGE(M232:M236),0)</f>
        <v>0.21322726185710505</v>
      </c>
      <c r="U235" s="44">
        <v>1048.3900000000001</v>
      </c>
      <c r="V235" s="45">
        <v>0.66649999999999998</v>
      </c>
    </row>
    <row r="236" spans="1:22" ht="15" customHeight="1" x14ac:dyDescent="0.35">
      <c r="A236" s="46">
        <v>5</v>
      </c>
      <c r="B236" s="32">
        <v>2025</v>
      </c>
      <c r="C236" s="46" t="s">
        <v>264</v>
      </c>
      <c r="D236" s="46" t="s">
        <v>126</v>
      </c>
      <c r="E236" s="47" t="s">
        <v>127</v>
      </c>
      <c r="F236" s="46" t="s">
        <v>36</v>
      </c>
      <c r="G236" s="34">
        <v>0</v>
      </c>
      <c r="H236" s="34">
        <v>11</v>
      </c>
      <c r="I236" s="34">
        <f>IFERROR(ROUND('Data Bulanan'!EC51,0),0)</f>
        <v>28902</v>
      </c>
      <c r="J236" s="34">
        <v>295368</v>
      </c>
      <c r="K236" s="34">
        <v>284205</v>
      </c>
      <c r="L236" s="35">
        <f t="shared" si="18"/>
        <v>245</v>
      </c>
      <c r="M236" s="36">
        <f>IFERROR(AVERAGE('Data Bulanan'!DF51,'Data Bulanan'!DH51,'Data Bulanan'!DJ51,'Data Bulanan'!DL51,'Data Bulanan'!DN51,'Data Bulanan'!DP51,'Data Bulanan'!DR51,'Data Bulanan'!DT51,'Data Bulanan'!DV51,'Data Bulanan'!DX51,'Data Bulanan'!DZ51,'Data Bulanan'!EB51),0)</f>
        <v>76.915175371223754</v>
      </c>
      <c r="N236" s="37">
        <f>'Data Bulanan'!ED51</f>
        <v>22.043511689029241</v>
      </c>
      <c r="O236" s="38">
        <f t="shared" si="19"/>
        <v>73.110057334323415</v>
      </c>
      <c r="P236" s="39">
        <f t="shared" si="20"/>
        <v>121</v>
      </c>
      <c r="Q236" s="40">
        <f t="shared" si="21"/>
        <v>967</v>
      </c>
      <c r="R236" s="41">
        <f t="shared" si="22"/>
        <v>-967</v>
      </c>
      <c r="S236" s="42" t="str">
        <f t="shared" si="23"/>
        <v>Stockout ⚠</v>
      </c>
      <c r="T236" s="43">
        <f>IFERROR(N236/AVERAGE(M232:M236),0)</f>
        <v>0.29636913943292897</v>
      </c>
      <c r="U236" s="44">
        <v>1048.3900000000001</v>
      </c>
      <c r="V236" s="45">
        <v>0.66649999999999998</v>
      </c>
    </row>
    <row r="237" spans="1:22" ht="15" customHeight="1" x14ac:dyDescent="0.35">
      <c r="A237" s="31">
        <v>1</v>
      </c>
      <c r="B237" s="32">
        <v>2021</v>
      </c>
      <c r="C237" s="31" t="s">
        <v>264</v>
      </c>
      <c r="D237" s="31" t="s">
        <v>128</v>
      </c>
      <c r="E237" s="33" t="s">
        <v>129</v>
      </c>
      <c r="F237" s="31" t="s">
        <v>36</v>
      </c>
      <c r="G237" s="34">
        <v>8864</v>
      </c>
      <c r="H237" s="34">
        <v>34</v>
      </c>
      <c r="I237" s="34">
        <f>IFERROR(ROUND('Data Bulanan'!AC52,0),0)</f>
        <v>39376</v>
      </c>
      <c r="J237" s="34">
        <v>6597207</v>
      </c>
      <c r="K237" s="34">
        <v>266104</v>
      </c>
      <c r="L237" s="35">
        <f t="shared" si="18"/>
        <v>1397</v>
      </c>
      <c r="M237" s="36">
        <f>IFERROR(AVERAGE('Data Bulanan'!F52,'Data Bulanan'!H52,'Data Bulanan'!J52,'Data Bulanan'!L52,'Data Bulanan'!N52,'Data Bulanan'!P52,'Data Bulanan'!R52,'Data Bulanan'!T52,'Data Bulanan'!V52,'Data Bulanan'!X52,'Data Bulanan'!Z52,'Data Bulanan'!AB52),0)</f>
        <v>104.5988287250384</v>
      </c>
      <c r="N237" s="37">
        <f>'Data Bulanan'!AD52</f>
        <v>24.877110905985919</v>
      </c>
      <c r="O237" s="38">
        <f t="shared" si="19"/>
        <v>145.05723697553529</v>
      </c>
      <c r="P237" s="39">
        <f t="shared" si="20"/>
        <v>239</v>
      </c>
      <c r="Q237" s="40">
        <f t="shared" si="21"/>
        <v>3795</v>
      </c>
      <c r="R237" s="41">
        <f t="shared" si="22"/>
        <v>5069</v>
      </c>
      <c r="S237" s="42" t="str">
        <f t="shared" si="23"/>
        <v>Overstock 📦</v>
      </c>
      <c r="T237" s="43">
        <f>IFERROR(N237/AVERAGE(M237:M241),0)</f>
        <v>0.21486325590217473</v>
      </c>
      <c r="U237" s="44">
        <v>405.58</v>
      </c>
      <c r="V237" s="45">
        <v>1.61E-2</v>
      </c>
    </row>
    <row r="238" spans="1:22" ht="15" customHeight="1" x14ac:dyDescent="0.35">
      <c r="A238" s="31">
        <v>2</v>
      </c>
      <c r="B238" s="32">
        <v>2022</v>
      </c>
      <c r="C238" s="31" t="s">
        <v>264</v>
      </c>
      <c r="D238" s="31" t="s">
        <v>128</v>
      </c>
      <c r="E238" s="33" t="s">
        <v>129</v>
      </c>
      <c r="F238" s="31" t="s">
        <v>36</v>
      </c>
      <c r="G238" s="34">
        <v>22282</v>
      </c>
      <c r="H238" s="34">
        <v>34</v>
      </c>
      <c r="I238" s="34">
        <f>IFERROR(ROUND('Data Bulanan'!BC52,0),0)</f>
        <v>42890</v>
      </c>
      <c r="J238" s="34">
        <v>6734140</v>
      </c>
      <c r="K238" s="34">
        <v>294490</v>
      </c>
      <c r="L238" s="35">
        <f t="shared" si="18"/>
        <v>1401</v>
      </c>
      <c r="M238" s="36">
        <f>IFERROR(AVERAGE('Data Bulanan'!AF52,'Data Bulanan'!AH52,'Data Bulanan'!AJ52,'Data Bulanan'!AL52,'Data Bulanan'!AN52,'Data Bulanan'!AP52,'Data Bulanan'!AR52,'Data Bulanan'!AT52,'Data Bulanan'!AV52,'Data Bulanan'!AX52,'Data Bulanan'!AZ52,'Data Bulanan'!BB52),0)</f>
        <v>113.80173451100872</v>
      </c>
      <c r="N238" s="37">
        <f>'Data Bulanan'!BD52</f>
        <v>32.308037980900906</v>
      </c>
      <c r="O238" s="38">
        <f t="shared" si="19"/>
        <v>188.38661528346807</v>
      </c>
      <c r="P238" s="39">
        <f t="shared" si="20"/>
        <v>311</v>
      </c>
      <c r="Q238" s="40">
        <f t="shared" si="21"/>
        <v>4180</v>
      </c>
      <c r="R238" s="41">
        <f t="shared" si="22"/>
        <v>18102</v>
      </c>
      <c r="S238" s="42" t="str">
        <f t="shared" si="23"/>
        <v>Overstock 📦</v>
      </c>
      <c r="T238" s="43">
        <f>IFERROR(N238/AVERAGE(M237:M241),0)</f>
        <v>0.27904406820476718</v>
      </c>
      <c r="U238" s="44">
        <v>405.58</v>
      </c>
      <c r="V238" s="45">
        <v>1.61E-2</v>
      </c>
    </row>
    <row r="239" spans="1:22" ht="15" customHeight="1" x14ac:dyDescent="0.35">
      <c r="A239" s="31">
        <v>3</v>
      </c>
      <c r="B239" s="32">
        <v>2023</v>
      </c>
      <c r="C239" s="31" t="s">
        <v>264</v>
      </c>
      <c r="D239" s="31" t="s">
        <v>128</v>
      </c>
      <c r="E239" s="33" t="s">
        <v>129</v>
      </c>
      <c r="F239" s="31" t="s">
        <v>36</v>
      </c>
      <c r="G239" s="34">
        <v>13684</v>
      </c>
      <c r="H239" s="34">
        <v>34</v>
      </c>
      <c r="I239" s="34">
        <f>IFERROR(ROUND('Data Bulanan'!CC52,0),0)</f>
        <v>52210</v>
      </c>
      <c r="J239" s="34">
        <v>7042439</v>
      </c>
      <c r="K239" s="34">
        <v>291944</v>
      </c>
      <c r="L239" s="35">
        <f t="shared" si="18"/>
        <v>1587</v>
      </c>
      <c r="M239" s="36">
        <f>IFERROR(AVERAGE('Data Bulanan'!BF52,'Data Bulanan'!BH52,'Data Bulanan'!BJ52,'Data Bulanan'!BL52,'Data Bulanan'!BN52,'Data Bulanan'!BP52,'Data Bulanan'!BR52,'Data Bulanan'!BT52,'Data Bulanan'!BV52,'Data Bulanan'!BX52,'Data Bulanan'!BZ52,'Data Bulanan'!CB52),0)</f>
        <v>139.04429083461341</v>
      </c>
      <c r="N239" s="37">
        <f>'Data Bulanan'!CD52</f>
        <v>32.514893484405547</v>
      </c>
      <c r="O239" s="38">
        <f t="shared" si="19"/>
        <v>189.59277977358764</v>
      </c>
      <c r="P239" s="39">
        <f t="shared" si="20"/>
        <v>313</v>
      </c>
      <c r="Q239" s="40">
        <f t="shared" si="21"/>
        <v>5041</v>
      </c>
      <c r="R239" s="41">
        <f t="shared" si="22"/>
        <v>8643</v>
      </c>
      <c r="S239" s="42" t="str">
        <f t="shared" si="23"/>
        <v>Overstock 📦</v>
      </c>
      <c r="T239" s="43">
        <f>IFERROR(N239/AVERAGE(M237:M241),0)</f>
        <v>0.28083067626999858</v>
      </c>
      <c r="U239" s="44">
        <v>405.58</v>
      </c>
      <c r="V239" s="45">
        <v>1.61E-2</v>
      </c>
    </row>
    <row r="240" spans="1:22" ht="15" customHeight="1" x14ac:dyDescent="0.35">
      <c r="A240" s="31">
        <v>4</v>
      </c>
      <c r="B240" s="32">
        <v>2024</v>
      </c>
      <c r="C240" s="31" t="s">
        <v>264</v>
      </c>
      <c r="D240" s="31" t="s">
        <v>128</v>
      </c>
      <c r="E240" s="33" t="s">
        <v>129</v>
      </c>
      <c r="F240" s="31" t="s">
        <v>36</v>
      </c>
      <c r="G240" s="34">
        <v>2733</v>
      </c>
      <c r="H240" s="34">
        <v>34</v>
      </c>
      <c r="I240" s="34">
        <f>IFERROR(ROUND('Data Bulanan'!DC52,0),0)</f>
        <v>40682</v>
      </c>
      <c r="J240" s="34">
        <v>6951229</v>
      </c>
      <c r="K240" s="34">
        <v>292627</v>
      </c>
      <c r="L240" s="35">
        <f t="shared" si="18"/>
        <v>1390</v>
      </c>
      <c r="M240" s="36">
        <f>IFERROR(AVERAGE('Data Bulanan'!CF52,'Data Bulanan'!CH52,'Data Bulanan'!CJ52,'Data Bulanan'!CL52,'Data Bulanan'!CN52,'Data Bulanan'!CP52,'Data Bulanan'!CR52,'Data Bulanan'!CT52,'Data Bulanan'!CV52,'Data Bulanan'!CX52,'Data Bulanan'!CZ52,'Data Bulanan'!DB52),0)</f>
        <v>108.29200588837688</v>
      </c>
      <c r="N240" s="37">
        <f>'Data Bulanan'!DD52</f>
        <v>27.987558513425867</v>
      </c>
      <c r="O240" s="38">
        <f t="shared" si="19"/>
        <v>163.19410734595428</v>
      </c>
      <c r="P240" s="39">
        <f t="shared" si="20"/>
        <v>269</v>
      </c>
      <c r="Q240" s="40">
        <f t="shared" si="21"/>
        <v>3951</v>
      </c>
      <c r="R240" s="41">
        <f t="shared" si="22"/>
        <v>-1218</v>
      </c>
      <c r="S240" s="42" t="str">
        <f t="shared" si="23"/>
        <v>Reorder 🔄</v>
      </c>
      <c r="T240" s="43">
        <f>IFERROR(N240/AVERAGE(M237:M241),0)</f>
        <v>0.24172814800211972</v>
      </c>
      <c r="U240" s="44">
        <v>405.58</v>
      </c>
      <c r="V240" s="45">
        <v>1.61E-2</v>
      </c>
    </row>
    <row r="241" spans="1:22" ht="15" customHeight="1" x14ac:dyDescent="0.35">
      <c r="A241" s="31">
        <v>5</v>
      </c>
      <c r="B241" s="32">
        <v>2025</v>
      </c>
      <c r="C241" s="31" t="s">
        <v>264</v>
      </c>
      <c r="D241" s="31" t="s">
        <v>128</v>
      </c>
      <c r="E241" s="33" t="s">
        <v>129</v>
      </c>
      <c r="F241" s="31" t="s">
        <v>36</v>
      </c>
      <c r="G241" s="34">
        <v>7799</v>
      </c>
      <c r="H241" s="34">
        <v>34</v>
      </c>
      <c r="I241" s="34">
        <f>IFERROR(ROUND('Data Bulanan'!EC52,0),0)</f>
        <v>42508</v>
      </c>
      <c r="J241" s="34">
        <v>6701381</v>
      </c>
      <c r="K241" s="34">
        <v>259157</v>
      </c>
      <c r="L241" s="35">
        <f t="shared" si="18"/>
        <v>1483</v>
      </c>
      <c r="M241" s="36">
        <f>IFERROR(AVERAGE('Data Bulanan'!DF52,'Data Bulanan'!DH52,'Data Bulanan'!DJ52,'Data Bulanan'!DL52,'Data Bulanan'!DN52,'Data Bulanan'!DP52,'Data Bulanan'!DR52,'Data Bulanan'!DT52,'Data Bulanan'!DV52,'Data Bulanan'!DX52,'Data Bulanan'!DZ52,'Data Bulanan'!EB52),0)</f>
        <v>113.1687980030722</v>
      </c>
      <c r="N241" s="37">
        <f>'Data Bulanan'!ED52</f>
        <v>27.528572559343047</v>
      </c>
      <c r="O241" s="38">
        <f t="shared" si="19"/>
        <v>160.51778232728768</v>
      </c>
      <c r="P241" s="39">
        <f t="shared" si="20"/>
        <v>265</v>
      </c>
      <c r="Q241" s="40">
        <f t="shared" si="21"/>
        <v>4113</v>
      </c>
      <c r="R241" s="41">
        <f t="shared" si="22"/>
        <v>3686</v>
      </c>
      <c r="S241" s="42" t="str">
        <f t="shared" si="23"/>
        <v>Overstock 📦</v>
      </c>
      <c r="T241" s="43">
        <f>IFERROR(N241/AVERAGE(M237:M241),0)</f>
        <v>0.23776389279257001</v>
      </c>
      <c r="U241" s="44">
        <v>405.58</v>
      </c>
      <c r="V241" s="45">
        <v>1.61E-2</v>
      </c>
    </row>
    <row r="242" spans="1:22" ht="15" customHeight="1" x14ac:dyDescent="0.35">
      <c r="A242" s="46">
        <v>1</v>
      </c>
      <c r="B242" s="32">
        <v>2021</v>
      </c>
      <c r="C242" s="46" t="s">
        <v>263</v>
      </c>
      <c r="D242" s="46" t="s">
        <v>130</v>
      </c>
      <c r="E242" s="47" t="s">
        <v>131</v>
      </c>
      <c r="F242" s="46" t="s">
        <v>57</v>
      </c>
      <c r="G242" s="34">
        <v>6364</v>
      </c>
      <c r="H242" s="34">
        <v>12</v>
      </c>
      <c r="I242" s="34">
        <f>IFERROR(ROUND('Data Bulanan'!AC53,0),0)</f>
        <v>30361</v>
      </c>
      <c r="J242" s="34">
        <v>1040090</v>
      </c>
      <c r="K242" s="34">
        <v>432875</v>
      </c>
      <c r="L242" s="35">
        <f t="shared" si="18"/>
        <v>382</v>
      </c>
      <c r="M242" s="36">
        <f>IFERROR(AVERAGE('Data Bulanan'!F53,'Data Bulanan'!H53,'Data Bulanan'!J53,'Data Bulanan'!L53,'Data Bulanan'!N53,'Data Bulanan'!P53,'Data Bulanan'!R53,'Data Bulanan'!T53,'Data Bulanan'!V53,'Data Bulanan'!X53,'Data Bulanan'!Z53,'Data Bulanan'!AB53),0)</f>
        <v>80.56038786482334</v>
      </c>
      <c r="N242" s="37">
        <f>'Data Bulanan'!AD53</f>
        <v>20.03415557733771</v>
      </c>
      <c r="O242" s="38">
        <f t="shared" si="19"/>
        <v>69.400350693376609</v>
      </c>
      <c r="P242" s="39">
        <f t="shared" si="20"/>
        <v>115</v>
      </c>
      <c r="Q242" s="40">
        <f t="shared" si="21"/>
        <v>1082</v>
      </c>
      <c r="R242" s="41">
        <f t="shared" si="22"/>
        <v>5282</v>
      </c>
      <c r="S242" s="42" t="str">
        <f t="shared" si="23"/>
        <v>Overstock 📦</v>
      </c>
      <c r="T242" s="43">
        <f>IFERROR(N242/AVERAGE(M242:M246),0)</f>
        <v>0.29200538910262908</v>
      </c>
      <c r="U242" s="44">
        <v>-153.66999999999999</v>
      </c>
      <c r="V242" s="45">
        <v>3.5000000000000001E-3</v>
      </c>
    </row>
    <row r="243" spans="1:22" ht="15" customHeight="1" x14ac:dyDescent="0.35">
      <c r="A243" s="46">
        <v>2</v>
      </c>
      <c r="B243" s="32">
        <v>2022</v>
      </c>
      <c r="C243" s="46" t="s">
        <v>263</v>
      </c>
      <c r="D243" s="46" t="s">
        <v>130</v>
      </c>
      <c r="E243" s="47" t="s">
        <v>131</v>
      </c>
      <c r="F243" s="46" t="s">
        <v>57</v>
      </c>
      <c r="G243" s="34">
        <v>2292</v>
      </c>
      <c r="H243" s="34">
        <v>12</v>
      </c>
      <c r="I243" s="34">
        <f>IFERROR(ROUND('Data Bulanan'!BC53,0),0)</f>
        <v>23699</v>
      </c>
      <c r="J243" s="34">
        <v>990816</v>
      </c>
      <c r="K243" s="34">
        <v>426880</v>
      </c>
      <c r="L243" s="35">
        <f t="shared" si="18"/>
        <v>332</v>
      </c>
      <c r="M243" s="36">
        <f>IFERROR(AVERAGE('Data Bulanan'!AF53,'Data Bulanan'!AH53,'Data Bulanan'!AJ53,'Data Bulanan'!AL53,'Data Bulanan'!AN53,'Data Bulanan'!AP53,'Data Bulanan'!AR53,'Data Bulanan'!AT53,'Data Bulanan'!AV53,'Data Bulanan'!AX53,'Data Bulanan'!AZ53,'Data Bulanan'!BB53),0)</f>
        <v>63.076068868407582</v>
      </c>
      <c r="N243" s="37">
        <f>'Data Bulanan'!BD53</f>
        <v>16.918265252796175</v>
      </c>
      <c r="O243" s="38">
        <f t="shared" si="19"/>
        <v>58.606589987540175</v>
      </c>
      <c r="P243" s="39">
        <f t="shared" si="20"/>
        <v>97</v>
      </c>
      <c r="Q243" s="40">
        <f t="shared" si="21"/>
        <v>854</v>
      </c>
      <c r="R243" s="41">
        <f t="shared" si="22"/>
        <v>1438</v>
      </c>
      <c r="S243" s="42" t="str">
        <f t="shared" si="23"/>
        <v>Overstock 📦</v>
      </c>
      <c r="T243" s="43">
        <f>IFERROR(N243/AVERAGE(M242:M246),0)</f>
        <v>0.24659011002552728</v>
      </c>
      <c r="U243" s="44">
        <v>-153.66999999999999</v>
      </c>
      <c r="V243" s="45">
        <v>3.5000000000000001E-3</v>
      </c>
    </row>
    <row r="244" spans="1:22" ht="15" customHeight="1" x14ac:dyDescent="0.35">
      <c r="A244" s="46">
        <v>3</v>
      </c>
      <c r="B244" s="32">
        <v>2023</v>
      </c>
      <c r="C244" s="46" t="s">
        <v>263</v>
      </c>
      <c r="D244" s="46" t="s">
        <v>130</v>
      </c>
      <c r="E244" s="47" t="s">
        <v>131</v>
      </c>
      <c r="F244" s="46" t="s">
        <v>57</v>
      </c>
      <c r="G244" s="34">
        <v>0</v>
      </c>
      <c r="H244" s="34">
        <v>12</v>
      </c>
      <c r="I244" s="34">
        <f>IFERROR(ROUND('Data Bulanan'!CC53,0),0)</f>
        <v>22259</v>
      </c>
      <c r="J244" s="34">
        <v>959710</v>
      </c>
      <c r="K244" s="34">
        <v>468461</v>
      </c>
      <c r="L244" s="35">
        <f t="shared" si="18"/>
        <v>302</v>
      </c>
      <c r="M244" s="36">
        <f>IFERROR(AVERAGE('Data Bulanan'!BF53,'Data Bulanan'!BH53,'Data Bulanan'!BJ53,'Data Bulanan'!BL53,'Data Bulanan'!BN53,'Data Bulanan'!BP53,'Data Bulanan'!BR53,'Data Bulanan'!BT53,'Data Bulanan'!BV53,'Data Bulanan'!BX53,'Data Bulanan'!BZ53,'Data Bulanan'!CB53),0)</f>
        <v>59.294022017409112</v>
      </c>
      <c r="N244" s="37">
        <f>'Data Bulanan'!CD53</f>
        <v>14.074073049133784</v>
      </c>
      <c r="O244" s="38">
        <f t="shared" si="19"/>
        <v>48.754019181071079</v>
      </c>
      <c r="P244" s="39">
        <f t="shared" si="20"/>
        <v>80</v>
      </c>
      <c r="Q244" s="40">
        <f t="shared" si="21"/>
        <v>792</v>
      </c>
      <c r="R244" s="41">
        <f t="shared" si="22"/>
        <v>-792</v>
      </c>
      <c r="S244" s="42" t="str">
        <f t="shared" si="23"/>
        <v>Stockout ⚠</v>
      </c>
      <c r="T244" s="43">
        <f>IFERROR(N244/AVERAGE(M242:M246),0)</f>
        <v>0.20513493374384908</v>
      </c>
      <c r="U244" s="44">
        <v>-153.66999999999999</v>
      </c>
      <c r="V244" s="45">
        <v>3.5000000000000001E-3</v>
      </c>
    </row>
    <row r="245" spans="1:22" ht="15" customHeight="1" x14ac:dyDescent="0.35">
      <c r="A245" s="46">
        <v>4</v>
      </c>
      <c r="B245" s="32">
        <v>2024</v>
      </c>
      <c r="C245" s="46" t="s">
        <v>263</v>
      </c>
      <c r="D245" s="46" t="s">
        <v>130</v>
      </c>
      <c r="E245" s="47" t="s">
        <v>131</v>
      </c>
      <c r="F245" s="46" t="s">
        <v>57</v>
      </c>
      <c r="G245" s="34">
        <v>2337</v>
      </c>
      <c r="H245" s="34">
        <v>12</v>
      </c>
      <c r="I245" s="34">
        <f>IFERROR(ROUND('Data Bulanan'!DC53,0),0)</f>
        <v>22541</v>
      </c>
      <c r="J245" s="34">
        <v>1070492</v>
      </c>
      <c r="K245" s="34">
        <v>458409</v>
      </c>
      <c r="L245" s="35">
        <f t="shared" si="18"/>
        <v>324</v>
      </c>
      <c r="M245" s="36">
        <f>IFERROR(AVERAGE('Data Bulanan'!CF53,'Data Bulanan'!CH53,'Data Bulanan'!CJ53,'Data Bulanan'!CL53,'Data Bulanan'!CN53,'Data Bulanan'!CP53,'Data Bulanan'!CR53,'Data Bulanan'!CT53,'Data Bulanan'!CV53,'Data Bulanan'!CX53,'Data Bulanan'!CZ53,'Data Bulanan'!DB53),0)</f>
        <v>59.85348182283667</v>
      </c>
      <c r="N245" s="37">
        <f>'Data Bulanan'!DD53</f>
        <v>14.584252773352619</v>
      </c>
      <c r="O245" s="38">
        <f t="shared" si="19"/>
        <v>50.521333587748082</v>
      </c>
      <c r="P245" s="39">
        <f t="shared" si="20"/>
        <v>83</v>
      </c>
      <c r="Q245" s="40">
        <f t="shared" si="21"/>
        <v>801</v>
      </c>
      <c r="R245" s="41">
        <f t="shared" si="22"/>
        <v>1536</v>
      </c>
      <c r="S245" s="42" t="str">
        <f t="shared" si="23"/>
        <v>Overstock 📦</v>
      </c>
      <c r="T245" s="43">
        <f>IFERROR(N245/AVERAGE(M242:M246),0)</f>
        <v>0.21257099603795004</v>
      </c>
      <c r="U245" s="44">
        <v>-153.66999999999999</v>
      </c>
      <c r="V245" s="45">
        <v>3.5000000000000001E-3</v>
      </c>
    </row>
    <row r="246" spans="1:22" ht="15" customHeight="1" x14ac:dyDescent="0.35">
      <c r="A246" s="46">
        <v>5</v>
      </c>
      <c r="B246" s="32">
        <v>2025</v>
      </c>
      <c r="C246" s="46" t="s">
        <v>263</v>
      </c>
      <c r="D246" s="46" t="s">
        <v>130</v>
      </c>
      <c r="E246" s="47" t="s">
        <v>131</v>
      </c>
      <c r="F246" s="46" t="s">
        <v>57</v>
      </c>
      <c r="G246" s="34">
        <v>0</v>
      </c>
      <c r="H246" s="34">
        <v>12</v>
      </c>
      <c r="I246" s="34">
        <f>IFERROR(ROUND('Data Bulanan'!EC53,0),0)</f>
        <v>30172</v>
      </c>
      <c r="J246" s="34">
        <v>956568</v>
      </c>
      <c r="K246" s="34">
        <v>455551</v>
      </c>
      <c r="L246" s="35">
        <f t="shared" si="18"/>
        <v>356</v>
      </c>
      <c r="M246" s="36">
        <f>IFERROR(AVERAGE('Data Bulanan'!DF53,'Data Bulanan'!DH53,'Data Bulanan'!DJ53,'Data Bulanan'!DL53,'Data Bulanan'!DN53,'Data Bulanan'!DP53,'Data Bulanan'!DR53,'Data Bulanan'!DT53,'Data Bulanan'!DV53,'Data Bulanan'!DX53,'Data Bulanan'!DZ53,'Data Bulanan'!EB53),0)</f>
        <v>80.260317460317452</v>
      </c>
      <c r="N246" s="37">
        <f>'Data Bulanan'!ED53</f>
        <v>12.011966161027827</v>
      </c>
      <c r="O246" s="38">
        <f t="shared" si="19"/>
        <v>41.610671379396543</v>
      </c>
      <c r="P246" s="39">
        <f t="shared" si="20"/>
        <v>69</v>
      </c>
      <c r="Q246" s="40">
        <f t="shared" si="21"/>
        <v>1032</v>
      </c>
      <c r="R246" s="41">
        <f t="shared" si="22"/>
        <v>-1032</v>
      </c>
      <c r="S246" s="42" t="str">
        <f t="shared" si="23"/>
        <v>Stockout ⚠</v>
      </c>
      <c r="T246" s="43">
        <f>IFERROR(N246/AVERAGE(M242:M246),0)</f>
        <v>0.1750789465120374</v>
      </c>
      <c r="U246" s="44">
        <v>-153.66999999999999</v>
      </c>
      <c r="V246" s="45">
        <v>3.5000000000000001E-3</v>
      </c>
    </row>
    <row r="247" spans="1:22" ht="15" customHeight="1" x14ac:dyDescent="0.35">
      <c r="A247" s="31">
        <v>1</v>
      </c>
      <c r="B247" s="32">
        <v>2021</v>
      </c>
      <c r="C247" s="31" t="s">
        <v>263</v>
      </c>
      <c r="D247" s="31" t="s">
        <v>132</v>
      </c>
      <c r="E247" s="33" t="s">
        <v>133</v>
      </c>
      <c r="F247" s="31" t="s">
        <v>57</v>
      </c>
      <c r="G247" s="34">
        <v>6033</v>
      </c>
      <c r="H247" s="34">
        <v>31</v>
      </c>
      <c r="I247" s="34">
        <f>IFERROR(ROUND('Data Bulanan'!AC54,0),0)</f>
        <v>15691</v>
      </c>
      <c r="J247" s="34">
        <v>9078551</v>
      </c>
      <c r="K247" s="34">
        <v>393438</v>
      </c>
      <c r="L247" s="35">
        <f t="shared" si="18"/>
        <v>851</v>
      </c>
      <c r="M247" s="36">
        <f>IFERROR(AVERAGE('Data Bulanan'!F54,'Data Bulanan'!H54,'Data Bulanan'!J54,'Data Bulanan'!L54,'Data Bulanan'!N54,'Data Bulanan'!P54,'Data Bulanan'!R54,'Data Bulanan'!T54,'Data Bulanan'!V54,'Data Bulanan'!X54,'Data Bulanan'!Z54,'Data Bulanan'!AB54),0)</f>
        <v>41.693413978494625</v>
      </c>
      <c r="N247" s="37">
        <f>'Data Bulanan'!AD54</f>
        <v>11.729918998089966</v>
      </c>
      <c r="O247" s="38">
        <f t="shared" si="19"/>
        <v>65.309424976448142</v>
      </c>
      <c r="P247" s="39">
        <f t="shared" si="20"/>
        <v>108</v>
      </c>
      <c r="Q247" s="40">
        <f t="shared" si="21"/>
        <v>1400</v>
      </c>
      <c r="R247" s="41">
        <f t="shared" si="22"/>
        <v>4633</v>
      </c>
      <c r="S247" s="42" t="str">
        <f t="shared" si="23"/>
        <v>Overstock 📦</v>
      </c>
      <c r="T247" s="43">
        <f>IFERROR(N247/AVERAGE(M247:M251),0)</f>
        <v>0.31639897765601083</v>
      </c>
      <c r="U247" s="44">
        <v>-637.1</v>
      </c>
      <c r="V247" s="45">
        <v>0.60070000000000001</v>
      </c>
    </row>
    <row r="248" spans="1:22" ht="15" customHeight="1" x14ac:dyDescent="0.35">
      <c r="A248" s="31">
        <v>2</v>
      </c>
      <c r="B248" s="32">
        <v>2022</v>
      </c>
      <c r="C248" s="31" t="s">
        <v>263</v>
      </c>
      <c r="D248" s="31" t="s">
        <v>132</v>
      </c>
      <c r="E248" s="33" t="s">
        <v>133</v>
      </c>
      <c r="F248" s="31" t="s">
        <v>57</v>
      </c>
      <c r="G248" s="34">
        <v>3332</v>
      </c>
      <c r="H248" s="34">
        <v>31</v>
      </c>
      <c r="I248" s="34">
        <f>IFERROR(ROUND('Data Bulanan'!BC54,0),0)</f>
        <v>13500</v>
      </c>
      <c r="J248" s="34">
        <v>8487086</v>
      </c>
      <c r="K248" s="34">
        <v>363554</v>
      </c>
      <c r="L248" s="35">
        <f t="shared" si="18"/>
        <v>794</v>
      </c>
      <c r="M248" s="36">
        <f>IFERROR(AVERAGE('Data Bulanan'!AF54,'Data Bulanan'!AH54,'Data Bulanan'!AJ54,'Data Bulanan'!AL54,'Data Bulanan'!AN54,'Data Bulanan'!AP54,'Data Bulanan'!AR54,'Data Bulanan'!AT54,'Data Bulanan'!AV54,'Data Bulanan'!AX54,'Data Bulanan'!AZ54,'Data Bulanan'!BB54),0)</f>
        <v>35.933410138248853</v>
      </c>
      <c r="N248" s="37">
        <f>'Data Bulanan'!BD54</f>
        <v>8.3019240578597646</v>
      </c>
      <c r="O248" s="38">
        <f t="shared" si="19"/>
        <v>46.223156912272799</v>
      </c>
      <c r="P248" s="39">
        <f t="shared" si="20"/>
        <v>76</v>
      </c>
      <c r="Q248" s="40">
        <f t="shared" si="21"/>
        <v>1190</v>
      </c>
      <c r="R248" s="41">
        <f t="shared" si="22"/>
        <v>2142</v>
      </c>
      <c r="S248" s="42" t="str">
        <f t="shared" si="23"/>
        <v>Overstock 📦</v>
      </c>
      <c r="T248" s="43">
        <f>IFERROR(N248/AVERAGE(M247:M251),0)</f>
        <v>0.22393336943864581</v>
      </c>
      <c r="U248" s="44">
        <v>-637.1</v>
      </c>
      <c r="V248" s="45">
        <v>0.60070000000000001</v>
      </c>
    </row>
    <row r="249" spans="1:22" ht="15" customHeight="1" x14ac:dyDescent="0.35">
      <c r="A249" s="31">
        <v>3</v>
      </c>
      <c r="B249" s="32">
        <v>2023</v>
      </c>
      <c r="C249" s="31" t="s">
        <v>263</v>
      </c>
      <c r="D249" s="31" t="s">
        <v>132</v>
      </c>
      <c r="E249" s="33" t="s">
        <v>133</v>
      </c>
      <c r="F249" s="31" t="s">
        <v>57</v>
      </c>
      <c r="G249" s="34">
        <v>3880</v>
      </c>
      <c r="H249" s="34">
        <v>31</v>
      </c>
      <c r="I249" s="34">
        <f>IFERROR(ROUND('Data Bulanan'!CC54,0),0)</f>
        <v>14888</v>
      </c>
      <c r="J249" s="34">
        <v>9206959</v>
      </c>
      <c r="K249" s="34">
        <v>393373</v>
      </c>
      <c r="L249" s="35">
        <f t="shared" si="18"/>
        <v>835</v>
      </c>
      <c r="M249" s="36">
        <f>IFERROR(AVERAGE('Data Bulanan'!BF54,'Data Bulanan'!BH54,'Data Bulanan'!BJ54,'Data Bulanan'!BL54,'Data Bulanan'!BN54,'Data Bulanan'!BP54,'Data Bulanan'!BR54,'Data Bulanan'!BT54,'Data Bulanan'!BV54,'Data Bulanan'!BX54,'Data Bulanan'!BZ54,'Data Bulanan'!CB54),0)</f>
        <v>39.583813364055295</v>
      </c>
      <c r="N249" s="37">
        <f>'Data Bulanan'!CD54</f>
        <v>9.0480399231435413</v>
      </c>
      <c r="O249" s="38">
        <f t="shared" si="19"/>
        <v>50.377354237541894</v>
      </c>
      <c r="P249" s="39">
        <f t="shared" si="20"/>
        <v>83</v>
      </c>
      <c r="Q249" s="40">
        <f t="shared" si="21"/>
        <v>1310</v>
      </c>
      <c r="R249" s="41">
        <f t="shared" si="22"/>
        <v>2570</v>
      </c>
      <c r="S249" s="42" t="str">
        <f t="shared" si="23"/>
        <v>Overstock 📦</v>
      </c>
      <c r="T249" s="43">
        <f>IFERROR(N249/AVERAGE(M247:M251),0)</f>
        <v>0.24405885342767908</v>
      </c>
      <c r="U249" s="44">
        <v>-637.1</v>
      </c>
      <c r="V249" s="45">
        <v>0.60070000000000001</v>
      </c>
    </row>
    <row r="250" spans="1:22" ht="15" customHeight="1" x14ac:dyDescent="0.35">
      <c r="A250" s="31">
        <v>4</v>
      </c>
      <c r="B250" s="32">
        <v>2024</v>
      </c>
      <c r="C250" s="31" t="s">
        <v>263</v>
      </c>
      <c r="D250" s="31" t="s">
        <v>132</v>
      </c>
      <c r="E250" s="33" t="s">
        <v>133</v>
      </c>
      <c r="F250" s="31" t="s">
        <v>57</v>
      </c>
      <c r="G250" s="34">
        <v>0</v>
      </c>
      <c r="H250" s="34">
        <v>31</v>
      </c>
      <c r="I250" s="34">
        <f>IFERROR(ROUND('Data Bulanan'!DC54,0),0)</f>
        <v>12706</v>
      </c>
      <c r="J250" s="34">
        <v>9461470</v>
      </c>
      <c r="K250" s="34">
        <v>377100</v>
      </c>
      <c r="L250" s="35">
        <f t="shared" si="18"/>
        <v>798</v>
      </c>
      <c r="M250" s="36">
        <f>IFERROR(AVERAGE('Data Bulanan'!CF54,'Data Bulanan'!CH54,'Data Bulanan'!CJ54,'Data Bulanan'!CL54,'Data Bulanan'!CN54,'Data Bulanan'!CP54,'Data Bulanan'!CR54,'Data Bulanan'!CT54,'Data Bulanan'!CV54,'Data Bulanan'!CX54,'Data Bulanan'!CZ54,'Data Bulanan'!DB54),0)</f>
        <v>33.785323860727082</v>
      </c>
      <c r="N250" s="37">
        <f>'Data Bulanan'!DD54</f>
        <v>8.7976166038691233</v>
      </c>
      <c r="O250" s="38">
        <f t="shared" si="19"/>
        <v>48.983056204864184</v>
      </c>
      <c r="P250" s="39">
        <f t="shared" si="20"/>
        <v>81</v>
      </c>
      <c r="Q250" s="40">
        <f t="shared" si="21"/>
        <v>1128</v>
      </c>
      <c r="R250" s="41">
        <f t="shared" si="22"/>
        <v>-1128</v>
      </c>
      <c r="S250" s="42" t="str">
        <f t="shared" si="23"/>
        <v>Stockout ⚠</v>
      </c>
      <c r="T250" s="43">
        <f>IFERROR(N250/AVERAGE(M247:M251),0)</f>
        <v>0.23730401716559127</v>
      </c>
      <c r="U250" s="44">
        <v>-637.1</v>
      </c>
      <c r="V250" s="45">
        <v>0.60070000000000001</v>
      </c>
    </row>
    <row r="251" spans="1:22" ht="15" customHeight="1" x14ac:dyDescent="0.35">
      <c r="A251" s="31">
        <v>5</v>
      </c>
      <c r="B251" s="32">
        <v>2025</v>
      </c>
      <c r="C251" s="31" t="s">
        <v>263</v>
      </c>
      <c r="D251" s="31" t="s">
        <v>132</v>
      </c>
      <c r="E251" s="33" t="s">
        <v>133</v>
      </c>
      <c r="F251" s="31" t="s">
        <v>57</v>
      </c>
      <c r="G251" s="34">
        <v>2591</v>
      </c>
      <c r="H251" s="34">
        <v>31</v>
      </c>
      <c r="I251" s="34">
        <f>IFERROR(ROUND('Data Bulanan'!EC54,0),0)</f>
        <v>12902</v>
      </c>
      <c r="J251" s="34">
        <v>8705874</v>
      </c>
      <c r="K251" s="34">
        <v>362388</v>
      </c>
      <c r="L251" s="35">
        <f t="shared" si="18"/>
        <v>787</v>
      </c>
      <c r="M251" s="36">
        <f>IFERROR(AVERAGE('Data Bulanan'!DF54,'Data Bulanan'!DH54,'Data Bulanan'!DJ54,'Data Bulanan'!DL54,'Data Bulanan'!DN54,'Data Bulanan'!DP54,'Data Bulanan'!DR54,'Data Bulanan'!DT54,'Data Bulanan'!DV54,'Data Bulanan'!DX54,'Data Bulanan'!DZ54,'Data Bulanan'!EB54),0)</f>
        <v>34.369982078853042</v>
      </c>
      <c r="N251" s="37">
        <f>'Data Bulanan'!ED54</f>
        <v>7.3963381554654228</v>
      </c>
      <c r="O251" s="38">
        <f t="shared" si="19"/>
        <v>41.181067997440316</v>
      </c>
      <c r="P251" s="39">
        <f t="shared" si="20"/>
        <v>68</v>
      </c>
      <c r="Q251" s="40">
        <f t="shared" si="21"/>
        <v>1133</v>
      </c>
      <c r="R251" s="41">
        <f t="shared" si="22"/>
        <v>1458</v>
      </c>
      <c r="S251" s="42" t="str">
        <f t="shared" si="23"/>
        <v>Overstock 📦</v>
      </c>
      <c r="T251" s="43">
        <f>IFERROR(N251/AVERAGE(M247:M251),0)</f>
        <v>0.19950639311051241</v>
      </c>
      <c r="U251" s="44">
        <v>-637.1</v>
      </c>
      <c r="V251" s="45">
        <v>0.60070000000000001</v>
      </c>
    </row>
    <row r="252" spans="1:22" ht="15" customHeight="1" x14ac:dyDescent="0.35">
      <c r="A252" s="46">
        <v>1</v>
      </c>
      <c r="B252" s="32">
        <v>2021</v>
      </c>
      <c r="C252" s="46" t="s">
        <v>263</v>
      </c>
      <c r="D252" s="46" t="s">
        <v>134</v>
      </c>
      <c r="E252" s="47" t="s">
        <v>135</v>
      </c>
      <c r="F252" s="46" t="s">
        <v>57</v>
      </c>
      <c r="G252" s="34">
        <v>91</v>
      </c>
      <c r="H252" s="34">
        <v>36</v>
      </c>
      <c r="I252" s="34">
        <f>IFERROR(ROUND('Data Bulanan'!AC55,0),0)</f>
        <v>1029</v>
      </c>
      <c r="J252" s="34">
        <v>5761243</v>
      </c>
      <c r="K252" s="34">
        <v>520477</v>
      </c>
      <c r="L252" s="35">
        <f t="shared" si="18"/>
        <v>151</v>
      </c>
      <c r="M252" s="36">
        <f>IFERROR(AVERAGE('Data Bulanan'!F55,'Data Bulanan'!H55,'Data Bulanan'!J55,'Data Bulanan'!L55,'Data Bulanan'!N55,'Data Bulanan'!P55,'Data Bulanan'!R55,'Data Bulanan'!T55,'Data Bulanan'!V55,'Data Bulanan'!X55,'Data Bulanan'!Z55,'Data Bulanan'!AB55),0)</f>
        <v>2.7360087045570918</v>
      </c>
      <c r="N252" s="37">
        <f>'Data Bulanan'!AD55</f>
        <v>0.74949705703842051</v>
      </c>
      <c r="O252" s="38">
        <f t="shared" si="19"/>
        <v>4.4969823422305231</v>
      </c>
      <c r="P252" s="39">
        <f t="shared" si="20"/>
        <v>7</v>
      </c>
      <c r="Q252" s="40">
        <f t="shared" si="21"/>
        <v>105</v>
      </c>
      <c r="R252" s="41">
        <f t="shared" si="22"/>
        <v>-14</v>
      </c>
      <c r="S252" s="42" t="str">
        <f t="shared" si="23"/>
        <v>Reorder 🔄</v>
      </c>
      <c r="T252" s="43">
        <f>IFERROR(N252/AVERAGE(M252:M256),0)</f>
        <v>0.27349256322175192</v>
      </c>
      <c r="U252" s="44">
        <v>0.33</v>
      </c>
      <c r="V252" s="45">
        <v>0.14899999999999999</v>
      </c>
    </row>
    <row r="253" spans="1:22" ht="15" customHeight="1" x14ac:dyDescent="0.35">
      <c r="A253" s="46">
        <v>2</v>
      </c>
      <c r="B253" s="32">
        <v>2022</v>
      </c>
      <c r="C253" s="46" t="s">
        <v>263</v>
      </c>
      <c r="D253" s="46" t="s">
        <v>134</v>
      </c>
      <c r="E253" s="47" t="s">
        <v>135</v>
      </c>
      <c r="F253" s="46" t="s">
        <v>57</v>
      </c>
      <c r="G253" s="34">
        <v>564</v>
      </c>
      <c r="H253" s="34">
        <v>36</v>
      </c>
      <c r="I253" s="34">
        <f>IFERROR(ROUND('Data Bulanan'!BC55,0),0)</f>
        <v>1027</v>
      </c>
      <c r="J253" s="34">
        <v>5950152</v>
      </c>
      <c r="K253" s="34">
        <v>488894</v>
      </c>
      <c r="L253" s="35">
        <f t="shared" si="18"/>
        <v>158</v>
      </c>
      <c r="M253" s="36">
        <f>IFERROR(AVERAGE('Data Bulanan'!AF55,'Data Bulanan'!AH55,'Data Bulanan'!AJ55,'Data Bulanan'!AL55,'Data Bulanan'!AN55,'Data Bulanan'!AP55,'Data Bulanan'!AR55,'Data Bulanan'!AT55,'Data Bulanan'!AV55,'Data Bulanan'!AX55,'Data Bulanan'!AZ55,'Data Bulanan'!BB55),0)</f>
        <v>2.7374807987711218</v>
      </c>
      <c r="N253" s="37">
        <f>'Data Bulanan'!BD55</f>
        <v>0.65306471299867275</v>
      </c>
      <c r="O253" s="38">
        <f t="shared" si="19"/>
        <v>3.9183882779920367</v>
      </c>
      <c r="P253" s="39">
        <f t="shared" si="20"/>
        <v>6</v>
      </c>
      <c r="Q253" s="40">
        <f t="shared" si="21"/>
        <v>105</v>
      </c>
      <c r="R253" s="41">
        <f t="shared" si="22"/>
        <v>459</v>
      </c>
      <c r="S253" s="42" t="str">
        <f t="shared" si="23"/>
        <v>Overstock 📦</v>
      </c>
      <c r="T253" s="43">
        <f>IFERROR(N253/AVERAGE(M252:M256),0)</f>
        <v>0.23830426101129976</v>
      </c>
      <c r="U253" s="44">
        <v>0.33</v>
      </c>
      <c r="V253" s="45">
        <v>0.14899999999999999</v>
      </c>
    </row>
    <row r="254" spans="1:22" ht="15" customHeight="1" x14ac:dyDescent="0.35">
      <c r="A254" s="46">
        <v>3</v>
      </c>
      <c r="B254" s="32">
        <v>2023</v>
      </c>
      <c r="C254" s="46" t="s">
        <v>263</v>
      </c>
      <c r="D254" s="46" t="s">
        <v>134</v>
      </c>
      <c r="E254" s="47" t="s">
        <v>135</v>
      </c>
      <c r="F254" s="46" t="s">
        <v>57</v>
      </c>
      <c r="G254" s="34">
        <v>457</v>
      </c>
      <c r="H254" s="34">
        <v>36</v>
      </c>
      <c r="I254" s="34">
        <f>IFERROR(ROUND('Data Bulanan'!CC55,0),0)</f>
        <v>1029</v>
      </c>
      <c r="J254" s="34">
        <v>5667363</v>
      </c>
      <c r="K254" s="34">
        <v>579368</v>
      </c>
      <c r="L254" s="35">
        <f t="shared" si="18"/>
        <v>142</v>
      </c>
      <c r="M254" s="36">
        <f>IFERROR(AVERAGE('Data Bulanan'!BF55,'Data Bulanan'!BH55,'Data Bulanan'!BJ55,'Data Bulanan'!BL55,'Data Bulanan'!BN55,'Data Bulanan'!BP55,'Data Bulanan'!BR55,'Data Bulanan'!BT55,'Data Bulanan'!BV55,'Data Bulanan'!BX55,'Data Bulanan'!BZ55,'Data Bulanan'!CB55),0)</f>
        <v>2.7412826420890934</v>
      </c>
      <c r="N254" s="37">
        <f>'Data Bulanan'!CD55</f>
        <v>0.72754888787658589</v>
      </c>
      <c r="O254" s="38">
        <f t="shared" si="19"/>
        <v>4.3652933272595149</v>
      </c>
      <c r="P254" s="39">
        <f t="shared" si="20"/>
        <v>7</v>
      </c>
      <c r="Q254" s="40">
        <f t="shared" si="21"/>
        <v>106</v>
      </c>
      <c r="R254" s="41">
        <f t="shared" si="22"/>
        <v>351</v>
      </c>
      <c r="S254" s="42" t="str">
        <f t="shared" si="23"/>
        <v>Overstock 📦</v>
      </c>
      <c r="T254" s="43">
        <f>IFERROR(N254/AVERAGE(M252:M256),0)</f>
        <v>0.26548364445986405</v>
      </c>
      <c r="U254" s="44">
        <v>0.33</v>
      </c>
      <c r="V254" s="45">
        <v>0.14899999999999999</v>
      </c>
    </row>
    <row r="255" spans="1:22" ht="15" customHeight="1" x14ac:dyDescent="0.35">
      <c r="A255" s="46">
        <v>4</v>
      </c>
      <c r="B255" s="32">
        <v>2024</v>
      </c>
      <c r="C255" s="46" t="s">
        <v>263</v>
      </c>
      <c r="D255" s="46" t="s">
        <v>134</v>
      </c>
      <c r="E255" s="47" t="s">
        <v>135</v>
      </c>
      <c r="F255" s="46" t="s">
        <v>57</v>
      </c>
      <c r="G255" s="34">
        <v>112</v>
      </c>
      <c r="H255" s="34">
        <v>36</v>
      </c>
      <c r="I255" s="34">
        <f>IFERROR(ROUND('Data Bulanan'!DC55,0),0)</f>
        <v>1031</v>
      </c>
      <c r="J255" s="34">
        <v>5838772</v>
      </c>
      <c r="K255" s="34">
        <v>545179</v>
      </c>
      <c r="L255" s="35">
        <f t="shared" si="18"/>
        <v>149</v>
      </c>
      <c r="M255" s="36">
        <f>IFERROR(AVERAGE('Data Bulanan'!CF55,'Data Bulanan'!CH55,'Data Bulanan'!CJ55,'Data Bulanan'!CL55,'Data Bulanan'!CN55,'Data Bulanan'!CP55,'Data Bulanan'!CR55,'Data Bulanan'!CT55,'Data Bulanan'!CV55,'Data Bulanan'!CX55,'Data Bulanan'!CZ55,'Data Bulanan'!DB55),0)</f>
        <v>2.7545954941116233</v>
      </c>
      <c r="N255" s="37">
        <f>'Data Bulanan'!DD55</f>
        <v>0.81735811025271621</v>
      </c>
      <c r="O255" s="38">
        <f t="shared" si="19"/>
        <v>4.904148661516297</v>
      </c>
      <c r="P255" s="39">
        <f t="shared" si="20"/>
        <v>8</v>
      </c>
      <c r="Q255" s="40">
        <f t="shared" si="21"/>
        <v>107</v>
      </c>
      <c r="R255" s="41">
        <f t="shared" si="22"/>
        <v>5</v>
      </c>
      <c r="S255" s="42" t="str">
        <f t="shared" si="23"/>
        <v>Aman ✅</v>
      </c>
      <c r="T255" s="43">
        <f>IFERROR(N255/AVERAGE(M252:M256),0)</f>
        <v>0.29825515996875163</v>
      </c>
      <c r="U255" s="44">
        <v>0.33</v>
      </c>
      <c r="V255" s="45">
        <v>0.14899999999999999</v>
      </c>
    </row>
    <row r="256" spans="1:22" ht="15" customHeight="1" x14ac:dyDescent="0.35">
      <c r="A256" s="46">
        <v>5</v>
      </c>
      <c r="B256" s="32">
        <v>2025</v>
      </c>
      <c r="C256" s="46" t="s">
        <v>263</v>
      </c>
      <c r="D256" s="46" t="s">
        <v>134</v>
      </c>
      <c r="E256" s="47" t="s">
        <v>135</v>
      </c>
      <c r="F256" s="46" t="s">
        <v>57</v>
      </c>
      <c r="G256" s="34">
        <v>127</v>
      </c>
      <c r="H256" s="34">
        <v>36</v>
      </c>
      <c r="I256" s="34">
        <f>IFERROR(ROUND('Data Bulanan'!EC55,0),0)</f>
        <v>1029</v>
      </c>
      <c r="J256" s="34">
        <v>6886289</v>
      </c>
      <c r="K256" s="34">
        <v>480086</v>
      </c>
      <c r="L256" s="35">
        <f t="shared" si="18"/>
        <v>172</v>
      </c>
      <c r="M256" s="36">
        <f>IFERROR(AVERAGE('Data Bulanan'!DF55,'Data Bulanan'!DH55,'Data Bulanan'!DJ55,'Data Bulanan'!DL55,'Data Bulanan'!DN55,'Data Bulanan'!DP55,'Data Bulanan'!DR55,'Data Bulanan'!DT55,'Data Bulanan'!DV55,'Data Bulanan'!DX55,'Data Bulanan'!DZ55,'Data Bulanan'!EB55),0)</f>
        <v>2.7329621095750127</v>
      </c>
      <c r="N256" s="37">
        <f>'Data Bulanan'!ED55</f>
        <v>0.68597028702850971</v>
      </c>
      <c r="O256" s="38">
        <f t="shared" si="19"/>
        <v>4.1158217221710585</v>
      </c>
      <c r="P256" s="39">
        <f t="shared" si="20"/>
        <v>7</v>
      </c>
      <c r="Q256" s="40">
        <f t="shared" si="21"/>
        <v>105</v>
      </c>
      <c r="R256" s="41">
        <f t="shared" si="22"/>
        <v>22</v>
      </c>
      <c r="S256" s="42" t="str">
        <f t="shared" si="23"/>
        <v>Aman ✅</v>
      </c>
      <c r="T256" s="43">
        <f>IFERROR(N256/AVERAGE(M252:M256),0)</f>
        <v>0.25031155270269584</v>
      </c>
      <c r="U256" s="44">
        <v>0.33</v>
      </c>
      <c r="V256" s="45">
        <v>0.14899999999999999</v>
      </c>
    </row>
    <row r="257" spans="1:22" ht="15" customHeight="1" x14ac:dyDescent="0.35">
      <c r="A257" s="31">
        <v>1</v>
      </c>
      <c r="B257" s="32">
        <v>2021</v>
      </c>
      <c r="C257" s="31" t="s">
        <v>264</v>
      </c>
      <c r="D257" s="31" t="s">
        <v>136</v>
      </c>
      <c r="E257" s="33" t="s">
        <v>137</v>
      </c>
      <c r="F257" s="31" t="s">
        <v>36</v>
      </c>
      <c r="G257" s="34">
        <v>1237</v>
      </c>
      <c r="H257" s="34">
        <v>6</v>
      </c>
      <c r="I257" s="34">
        <f>IFERROR(ROUND('Data Bulanan'!AC56,0),0)</f>
        <v>12456</v>
      </c>
      <c r="J257" s="34">
        <v>1991503</v>
      </c>
      <c r="K257" s="34">
        <v>173634</v>
      </c>
      <c r="L257" s="35">
        <f t="shared" si="18"/>
        <v>535</v>
      </c>
      <c r="M257" s="36">
        <f>IFERROR(AVERAGE('Data Bulanan'!F56,'Data Bulanan'!H56,'Data Bulanan'!J56,'Data Bulanan'!L56,'Data Bulanan'!N56,'Data Bulanan'!P56,'Data Bulanan'!R56,'Data Bulanan'!T56,'Data Bulanan'!V56,'Data Bulanan'!X56,'Data Bulanan'!Z56,'Data Bulanan'!AB56),0)</f>
        <v>33.215655401945725</v>
      </c>
      <c r="N257" s="37">
        <f>'Data Bulanan'!AD56</f>
        <v>9.296387997685871</v>
      </c>
      <c r="O257" s="38">
        <f t="shared" si="19"/>
        <v>22.771407045264187</v>
      </c>
      <c r="P257" s="39">
        <f t="shared" si="20"/>
        <v>38</v>
      </c>
      <c r="Q257" s="40">
        <f t="shared" si="21"/>
        <v>237</v>
      </c>
      <c r="R257" s="41">
        <f t="shared" si="22"/>
        <v>1000</v>
      </c>
      <c r="S257" s="42" t="str">
        <f t="shared" si="23"/>
        <v>Overstock 📦</v>
      </c>
      <c r="T257" s="43">
        <f>IFERROR(N257/AVERAGE(M257:M261),0)</f>
        <v>0.28011434334209606</v>
      </c>
      <c r="U257" s="44">
        <v>-75.83</v>
      </c>
      <c r="V257" s="45">
        <v>1.3100000000000001E-2</v>
      </c>
    </row>
    <row r="258" spans="1:22" ht="15" customHeight="1" x14ac:dyDescent="0.35">
      <c r="A258" s="31">
        <v>2</v>
      </c>
      <c r="B258" s="32">
        <v>2022</v>
      </c>
      <c r="C258" s="31" t="s">
        <v>264</v>
      </c>
      <c r="D258" s="31" t="s">
        <v>136</v>
      </c>
      <c r="E258" s="33" t="s">
        <v>137</v>
      </c>
      <c r="F258" s="31" t="s">
        <v>36</v>
      </c>
      <c r="G258" s="34">
        <v>932</v>
      </c>
      <c r="H258" s="34">
        <v>6</v>
      </c>
      <c r="I258" s="34">
        <f>IFERROR(ROUND('Data Bulanan'!BC56,0),0)</f>
        <v>11603</v>
      </c>
      <c r="J258" s="34">
        <v>1932866</v>
      </c>
      <c r="K258" s="34">
        <v>171656</v>
      </c>
      <c r="L258" s="35">
        <f t="shared" si="18"/>
        <v>511</v>
      </c>
      <c r="M258" s="36">
        <f>IFERROR(AVERAGE('Data Bulanan'!AF56,'Data Bulanan'!AH56,'Data Bulanan'!AJ56,'Data Bulanan'!AL56,'Data Bulanan'!AN56,'Data Bulanan'!AP56,'Data Bulanan'!AR56,'Data Bulanan'!AT56,'Data Bulanan'!AV56,'Data Bulanan'!AX56,'Data Bulanan'!AZ56,'Data Bulanan'!BB56),0)</f>
        <v>30.899065540194574</v>
      </c>
      <c r="N258" s="37">
        <f>'Data Bulanan'!BD56</f>
        <v>8.2524289124622765</v>
      </c>
      <c r="O258" s="38">
        <f t="shared" si="19"/>
        <v>20.214239974123682</v>
      </c>
      <c r="P258" s="39">
        <f t="shared" si="20"/>
        <v>33</v>
      </c>
      <c r="Q258" s="40">
        <f t="shared" si="21"/>
        <v>218</v>
      </c>
      <c r="R258" s="41">
        <f t="shared" si="22"/>
        <v>714</v>
      </c>
      <c r="S258" s="42" t="str">
        <f t="shared" si="23"/>
        <v>Overstock 📦</v>
      </c>
      <c r="T258" s="43">
        <f>IFERROR(N258/AVERAGE(M257:M261),0)</f>
        <v>0.24865826451812528</v>
      </c>
      <c r="U258" s="44">
        <v>-75.83</v>
      </c>
      <c r="V258" s="45">
        <v>1.3100000000000001E-2</v>
      </c>
    </row>
    <row r="259" spans="1:22" ht="15" customHeight="1" x14ac:dyDescent="0.35">
      <c r="A259" s="31">
        <v>3</v>
      </c>
      <c r="B259" s="32">
        <v>2023</v>
      </c>
      <c r="C259" s="31" t="s">
        <v>264</v>
      </c>
      <c r="D259" s="31" t="s">
        <v>136</v>
      </c>
      <c r="E259" s="33" t="s">
        <v>137</v>
      </c>
      <c r="F259" s="31" t="s">
        <v>36</v>
      </c>
      <c r="G259" s="34">
        <v>1853</v>
      </c>
      <c r="H259" s="34">
        <v>6</v>
      </c>
      <c r="I259" s="34">
        <f>IFERROR(ROUND('Data Bulanan'!CC56,0),0)</f>
        <v>13735</v>
      </c>
      <c r="J259" s="34">
        <v>2041217</v>
      </c>
      <c r="K259" s="34">
        <v>154233</v>
      </c>
      <c r="L259" s="35">
        <f t="shared" si="18"/>
        <v>603</v>
      </c>
      <c r="M259" s="36">
        <f>IFERROR(AVERAGE('Data Bulanan'!BF56,'Data Bulanan'!BH56,'Data Bulanan'!BJ56,'Data Bulanan'!BL56,'Data Bulanan'!BN56,'Data Bulanan'!BP56,'Data Bulanan'!BR56,'Data Bulanan'!BT56,'Data Bulanan'!BV56,'Data Bulanan'!BX56,'Data Bulanan'!BZ56,'Data Bulanan'!CB56),0)</f>
        <v>36.588863287250383</v>
      </c>
      <c r="N259" s="37">
        <f>'Data Bulanan'!CD56</f>
        <v>8.9078878718853556</v>
      </c>
      <c r="O259" s="38">
        <f t="shared" si="19"/>
        <v>21.819779972045851</v>
      </c>
      <c r="P259" s="39">
        <f t="shared" si="20"/>
        <v>36</v>
      </c>
      <c r="Q259" s="40">
        <f t="shared" si="21"/>
        <v>256</v>
      </c>
      <c r="R259" s="41">
        <f t="shared" si="22"/>
        <v>1597</v>
      </c>
      <c r="S259" s="42" t="str">
        <f t="shared" si="23"/>
        <v>Overstock 📦</v>
      </c>
      <c r="T259" s="43">
        <f>IFERROR(N259/AVERAGE(M257:M261),0)</f>
        <v>0.26840824225702703</v>
      </c>
      <c r="U259" s="44">
        <v>-75.83</v>
      </c>
      <c r="V259" s="45">
        <v>1.3100000000000001E-2</v>
      </c>
    </row>
    <row r="260" spans="1:22" ht="15" customHeight="1" x14ac:dyDescent="0.35">
      <c r="A260" s="31">
        <v>4</v>
      </c>
      <c r="B260" s="32">
        <v>2024</v>
      </c>
      <c r="C260" s="31" t="s">
        <v>264</v>
      </c>
      <c r="D260" s="31" t="s">
        <v>136</v>
      </c>
      <c r="E260" s="33" t="s">
        <v>137</v>
      </c>
      <c r="F260" s="31" t="s">
        <v>36</v>
      </c>
      <c r="G260" s="34">
        <v>0</v>
      </c>
      <c r="H260" s="34">
        <v>6</v>
      </c>
      <c r="I260" s="34">
        <f>IFERROR(ROUND('Data Bulanan'!DC56,0),0)</f>
        <v>13237</v>
      </c>
      <c r="J260" s="34">
        <v>2107512</v>
      </c>
      <c r="K260" s="34">
        <v>155572</v>
      </c>
      <c r="L260" s="35">
        <f t="shared" si="18"/>
        <v>599</v>
      </c>
      <c r="M260" s="36">
        <f>IFERROR(AVERAGE('Data Bulanan'!CF56,'Data Bulanan'!CH56,'Data Bulanan'!CJ56,'Data Bulanan'!CL56,'Data Bulanan'!CN56,'Data Bulanan'!CP56,'Data Bulanan'!CR56,'Data Bulanan'!CT56,'Data Bulanan'!CV56,'Data Bulanan'!CX56,'Data Bulanan'!CZ56,'Data Bulanan'!DB56),0)</f>
        <v>35.259190988223246</v>
      </c>
      <c r="N260" s="37">
        <f>'Data Bulanan'!DD56</f>
        <v>7.9808679228182138</v>
      </c>
      <c r="O260" s="38">
        <f t="shared" si="19"/>
        <v>19.549054115450502</v>
      </c>
      <c r="P260" s="39">
        <f t="shared" si="20"/>
        <v>32</v>
      </c>
      <c r="Q260" s="40">
        <f t="shared" si="21"/>
        <v>244</v>
      </c>
      <c r="R260" s="41">
        <f t="shared" si="22"/>
        <v>-244</v>
      </c>
      <c r="S260" s="42" t="str">
        <f t="shared" si="23"/>
        <v>Stockout ⚠</v>
      </c>
      <c r="T260" s="43">
        <f>IFERROR(N260/AVERAGE(M257:M261),0)</f>
        <v>0.24047571788706687</v>
      </c>
      <c r="U260" s="44">
        <v>-75.83</v>
      </c>
      <c r="V260" s="45">
        <v>1.3100000000000001E-2</v>
      </c>
    </row>
    <row r="261" spans="1:22" ht="15" customHeight="1" x14ac:dyDescent="0.35">
      <c r="A261" s="31">
        <v>5</v>
      </c>
      <c r="B261" s="32">
        <v>2025</v>
      </c>
      <c r="C261" s="31" t="s">
        <v>264</v>
      </c>
      <c r="D261" s="31" t="s">
        <v>136</v>
      </c>
      <c r="E261" s="33" t="s">
        <v>137</v>
      </c>
      <c r="F261" s="31" t="s">
        <v>36</v>
      </c>
      <c r="G261" s="34">
        <v>2061</v>
      </c>
      <c r="H261" s="34">
        <v>6</v>
      </c>
      <c r="I261" s="34">
        <f>IFERROR(ROUND('Data Bulanan'!EC56,0),0)</f>
        <v>11260</v>
      </c>
      <c r="J261" s="34">
        <v>2082324</v>
      </c>
      <c r="K261" s="34">
        <v>173065</v>
      </c>
      <c r="L261" s="35">
        <f t="shared" si="18"/>
        <v>521</v>
      </c>
      <c r="M261" s="36">
        <f>IFERROR(AVERAGE('Data Bulanan'!DF56,'Data Bulanan'!DH56,'Data Bulanan'!DJ56,'Data Bulanan'!DL56,'Data Bulanan'!DN56,'Data Bulanan'!DP56,'Data Bulanan'!DR56,'Data Bulanan'!DT56,'Data Bulanan'!DV56,'Data Bulanan'!DX56,'Data Bulanan'!DZ56,'Data Bulanan'!EB56),0)</f>
        <v>29.976388888888888</v>
      </c>
      <c r="N261" s="37">
        <f>'Data Bulanan'!ED56</f>
        <v>5.4654403376296612</v>
      </c>
      <c r="O261" s="38">
        <f t="shared" si="19"/>
        <v>13.387540046817284</v>
      </c>
      <c r="P261" s="39">
        <f t="shared" si="20"/>
        <v>22</v>
      </c>
      <c r="Q261" s="40">
        <f t="shared" si="21"/>
        <v>202</v>
      </c>
      <c r="R261" s="41">
        <f t="shared" si="22"/>
        <v>1859</v>
      </c>
      <c r="S261" s="42" t="str">
        <f t="shared" si="23"/>
        <v>Overstock 📦</v>
      </c>
      <c r="T261" s="43">
        <f>IFERROR(N261/AVERAGE(M257:M261),0)</f>
        <v>0.16468204980597106</v>
      </c>
      <c r="U261" s="44">
        <v>-75.83</v>
      </c>
      <c r="V261" s="45">
        <v>1.3100000000000001E-2</v>
      </c>
    </row>
    <row r="262" spans="1:22" ht="15" customHeight="1" x14ac:dyDescent="0.35">
      <c r="A262" s="46">
        <v>1</v>
      </c>
      <c r="B262" s="32">
        <v>2021</v>
      </c>
      <c r="C262" s="46" t="s">
        <v>263</v>
      </c>
      <c r="D262" s="46" t="s">
        <v>138</v>
      </c>
      <c r="E262" s="47" t="s">
        <v>139</v>
      </c>
      <c r="F262" s="46" t="s">
        <v>36</v>
      </c>
      <c r="G262" s="34">
        <v>2198</v>
      </c>
      <c r="H262" s="34">
        <v>8</v>
      </c>
      <c r="I262" s="34">
        <f>IFERROR(ROUND('Data Bulanan'!AC57,0),0)</f>
        <v>29494</v>
      </c>
      <c r="J262" s="34">
        <v>1426510</v>
      </c>
      <c r="K262" s="34">
        <v>318836</v>
      </c>
      <c r="L262" s="35">
        <f t="shared" si="18"/>
        <v>514</v>
      </c>
      <c r="M262" s="36">
        <f>IFERROR(AVERAGE('Data Bulanan'!F57,'Data Bulanan'!H57,'Data Bulanan'!J57,'Data Bulanan'!L57,'Data Bulanan'!N57,'Data Bulanan'!P57,'Data Bulanan'!R57,'Data Bulanan'!T57,'Data Bulanan'!V57,'Data Bulanan'!X57,'Data Bulanan'!Z57,'Data Bulanan'!AB57),0)</f>
        <v>78.50650281618023</v>
      </c>
      <c r="N262" s="37">
        <f>'Data Bulanan'!AD57</f>
        <v>18.568185256347647</v>
      </c>
      <c r="O262" s="38">
        <f t="shared" si="19"/>
        <v>52.518758836365976</v>
      </c>
      <c r="P262" s="39">
        <f t="shared" si="20"/>
        <v>87</v>
      </c>
      <c r="Q262" s="40">
        <f t="shared" si="21"/>
        <v>715</v>
      </c>
      <c r="R262" s="41">
        <f t="shared" si="22"/>
        <v>1483</v>
      </c>
      <c r="S262" s="42" t="str">
        <f t="shared" si="23"/>
        <v>Overstock 📦</v>
      </c>
      <c r="T262" s="43">
        <f>IFERROR(N262/AVERAGE(M262:M266),0)</f>
        <v>0.22875814440353395</v>
      </c>
      <c r="U262" s="44">
        <v>293.02999999999997</v>
      </c>
      <c r="V262" s="45">
        <v>1.14E-2</v>
      </c>
    </row>
    <row r="263" spans="1:22" ht="15" customHeight="1" x14ac:dyDescent="0.35">
      <c r="A263" s="46">
        <v>2</v>
      </c>
      <c r="B263" s="32">
        <v>2022</v>
      </c>
      <c r="C263" s="46" t="s">
        <v>263</v>
      </c>
      <c r="D263" s="46" t="s">
        <v>138</v>
      </c>
      <c r="E263" s="47" t="s">
        <v>139</v>
      </c>
      <c r="F263" s="46" t="s">
        <v>36</v>
      </c>
      <c r="G263" s="34">
        <v>1391</v>
      </c>
      <c r="H263" s="34">
        <v>8</v>
      </c>
      <c r="I263" s="34">
        <f>IFERROR(ROUND('Data Bulanan'!BC57,0),0)</f>
        <v>34706</v>
      </c>
      <c r="J263" s="34">
        <v>1452791</v>
      </c>
      <c r="K263" s="34">
        <v>327645</v>
      </c>
      <c r="L263" s="35">
        <f t="shared" ref="L263:L326" si="24">IFERROR(ROUND(SQRT(2*I263*J263/K263),0),0)</f>
        <v>555</v>
      </c>
      <c r="M263" s="36">
        <f>IFERROR(AVERAGE('Data Bulanan'!AF57,'Data Bulanan'!AH57,'Data Bulanan'!AJ57,'Data Bulanan'!AL57,'Data Bulanan'!AN57,'Data Bulanan'!AP57,'Data Bulanan'!AR57,'Data Bulanan'!AT57,'Data Bulanan'!AV57,'Data Bulanan'!AX57,'Data Bulanan'!AZ57,'Data Bulanan'!BB57),0)</f>
        <v>92.411053507424484</v>
      </c>
      <c r="N263" s="37">
        <f>'Data Bulanan'!BD57</f>
        <v>17.327408154296759</v>
      </c>
      <c r="O263" s="38">
        <f t="shared" ref="O263:O326" si="25">IFERROR(N263*SQRT(H263),0)</f>
        <v>49.009311225161269</v>
      </c>
      <c r="P263" s="39">
        <f t="shared" ref="P263:P326" si="26">IFERROR(ROUND(1.65*O263,0),0)</f>
        <v>81</v>
      </c>
      <c r="Q263" s="40">
        <f t="shared" ref="Q263:Q326" si="27">IFERROR(ROUND(M263*H263+P263,0),0)</f>
        <v>820</v>
      </c>
      <c r="R263" s="41">
        <f t="shared" ref="R263:R326" si="28">G263-Q263</f>
        <v>571</v>
      </c>
      <c r="S263" s="42" t="str">
        <f t="shared" ref="S263:S326" si="29">IF(G263=0,"Stockout ⚠",IF(G263&lt;Q263,"Reorder 🔄",IF(G263&gt;Q263+L263,"Overstock 📦","Aman ✅")))</f>
        <v>Overstock 📦</v>
      </c>
      <c r="T263" s="43">
        <f>IFERROR(N263/AVERAGE(M262:M266),0)</f>
        <v>0.21347189733280722</v>
      </c>
      <c r="U263" s="44">
        <v>293.02999999999997</v>
      </c>
      <c r="V263" s="45">
        <v>1.14E-2</v>
      </c>
    </row>
    <row r="264" spans="1:22" ht="15" customHeight="1" x14ac:dyDescent="0.35">
      <c r="A264" s="46">
        <v>3</v>
      </c>
      <c r="B264" s="32">
        <v>2023</v>
      </c>
      <c r="C264" s="46" t="s">
        <v>263</v>
      </c>
      <c r="D264" s="46" t="s">
        <v>138</v>
      </c>
      <c r="E264" s="47" t="s">
        <v>139</v>
      </c>
      <c r="F264" s="46" t="s">
        <v>36</v>
      </c>
      <c r="G264" s="34">
        <v>0</v>
      </c>
      <c r="H264" s="34">
        <v>8</v>
      </c>
      <c r="I264" s="34">
        <f>IFERROR(ROUND('Data Bulanan'!CC57,0),0)</f>
        <v>26776</v>
      </c>
      <c r="J264" s="34">
        <v>1388436</v>
      </c>
      <c r="K264" s="34">
        <v>321027</v>
      </c>
      <c r="L264" s="35">
        <f t="shared" si="24"/>
        <v>481</v>
      </c>
      <c r="M264" s="36">
        <f>IFERROR(AVERAGE('Data Bulanan'!BF57,'Data Bulanan'!BH57,'Data Bulanan'!BJ57,'Data Bulanan'!BL57,'Data Bulanan'!BN57,'Data Bulanan'!BP57,'Data Bulanan'!BR57,'Data Bulanan'!BT57,'Data Bulanan'!BV57,'Data Bulanan'!BX57,'Data Bulanan'!BZ57,'Data Bulanan'!CB57),0)</f>
        <v>71.210451868919606</v>
      </c>
      <c r="N264" s="37">
        <f>'Data Bulanan'!CD57</f>
        <v>16.854282775603256</v>
      </c>
      <c r="O264" s="38">
        <f t="shared" si="25"/>
        <v>47.671110570658755</v>
      </c>
      <c r="P264" s="39">
        <f t="shared" si="26"/>
        <v>79</v>
      </c>
      <c r="Q264" s="40">
        <f t="shared" si="27"/>
        <v>649</v>
      </c>
      <c r="R264" s="41">
        <f t="shared" si="28"/>
        <v>-649</v>
      </c>
      <c r="S264" s="42" t="str">
        <f t="shared" si="29"/>
        <v>Stockout ⚠</v>
      </c>
      <c r="T264" s="43">
        <f>IFERROR(N264/AVERAGE(M262:M266),0)</f>
        <v>0.20764304102800785</v>
      </c>
      <c r="U264" s="44">
        <v>293.02999999999997</v>
      </c>
      <c r="V264" s="45">
        <v>1.14E-2</v>
      </c>
    </row>
    <row r="265" spans="1:22" ht="15" customHeight="1" x14ac:dyDescent="0.35">
      <c r="A265" s="46">
        <v>4</v>
      </c>
      <c r="B265" s="32">
        <v>2024</v>
      </c>
      <c r="C265" s="46" t="s">
        <v>263</v>
      </c>
      <c r="D265" s="46" t="s">
        <v>138</v>
      </c>
      <c r="E265" s="47" t="s">
        <v>139</v>
      </c>
      <c r="F265" s="46" t="s">
        <v>36</v>
      </c>
      <c r="G265" s="34">
        <v>1840</v>
      </c>
      <c r="H265" s="34">
        <v>8</v>
      </c>
      <c r="I265" s="34">
        <f>IFERROR(ROUND('Data Bulanan'!DC57,0),0)</f>
        <v>26071</v>
      </c>
      <c r="J265" s="34">
        <v>1356182</v>
      </c>
      <c r="K265" s="34">
        <v>284115</v>
      </c>
      <c r="L265" s="35">
        <f t="shared" si="24"/>
        <v>499</v>
      </c>
      <c r="M265" s="36">
        <f>IFERROR(AVERAGE('Data Bulanan'!CF57,'Data Bulanan'!CH57,'Data Bulanan'!CJ57,'Data Bulanan'!CL57,'Data Bulanan'!CN57,'Data Bulanan'!CP57,'Data Bulanan'!CR57,'Data Bulanan'!CT57,'Data Bulanan'!CV57,'Data Bulanan'!CX57,'Data Bulanan'!CZ57,'Data Bulanan'!DB57),0)</f>
        <v>69.610170250896047</v>
      </c>
      <c r="N265" s="37">
        <f>'Data Bulanan'!DD57</f>
        <v>18.205191672983563</v>
      </c>
      <c r="O265" s="38">
        <f t="shared" si="25"/>
        <v>51.492057939070186</v>
      </c>
      <c r="P265" s="39">
        <f t="shared" si="26"/>
        <v>85</v>
      </c>
      <c r="Q265" s="40">
        <f t="shared" si="27"/>
        <v>642</v>
      </c>
      <c r="R265" s="41">
        <f t="shared" si="28"/>
        <v>1198</v>
      </c>
      <c r="S265" s="42" t="str">
        <f t="shared" si="29"/>
        <v>Overstock 📦</v>
      </c>
      <c r="T265" s="43">
        <f>IFERROR(N265/AVERAGE(M262:M266),0)</f>
        <v>0.2242861005600264</v>
      </c>
      <c r="U265" s="44">
        <v>293.02999999999997</v>
      </c>
      <c r="V265" s="45">
        <v>1.14E-2</v>
      </c>
    </row>
    <row r="266" spans="1:22" ht="15" customHeight="1" x14ac:dyDescent="0.35">
      <c r="A266" s="46">
        <v>5</v>
      </c>
      <c r="B266" s="32">
        <v>2025</v>
      </c>
      <c r="C266" s="46" t="s">
        <v>263</v>
      </c>
      <c r="D266" s="46" t="s">
        <v>138</v>
      </c>
      <c r="E266" s="47" t="s">
        <v>139</v>
      </c>
      <c r="F266" s="46" t="s">
        <v>36</v>
      </c>
      <c r="G266" s="34">
        <v>2218</v>
      </c>
      <c r="H266" s="34">
        <v>8</v>
      </c>
      <c r="I266" s="34">
        <f>IFERROR(ROUND('Data Bulanan'!EC57,0),0)</f>
        <v>35277</v>
      </c>
      <c r="J266" s="34">
        <v>1381597</v>
      </c>
      <c r="K266" s="34">
        <v>341121</v>
      </c>
      <c r="L266" s="35">
        <f t="shared" si="24"/>
        <v>535</v>
      </c>
      <c r="M266" s="36">
        <f>IFERROR(AVERAGE('Data Bulanan'!DF57,'Data Bulanan'!DH57,'Data Bulanan'!DJ57,'Data Bulanan'!DL57,'Data Bulanan'!DN57,'Data Bulanan'!DP57,'Data Bulanan'!DR57,'Data Bulanan'!DT57,'Data Bulanan'!DV57,'Data Bulanan'!DX57,'Data Bulanan'!DZ57,'Data Bulanan'!EB57),0)</f>
        <v>94.109344598054278</v>
      </c>
      <c r="N266" s="37">
        <f>'Data Bulanan'!ED57</f>
        <v>17.900178274631859</v>
      </c>
      <c r="O266" s="38">
        <f t="shared" si="25"/>
        <v>50.629349769761212</v>
      </c>
      <c r="P266" s="39">
        <f t="shared" si="26"/>
        <v>84</v>
      </c>
      <c r="Q266" s="40">
        <f t="shared" si="27"/>
        <v>837</v>
      </c>
      <c r="R266" s="41">
        <f t="shared" si="28"/>
        <v>1381</v>
      </c>
      <c r="S266" s="42" t="str">
        <f t="shared" si="29"/>
        <v>Overstock 📦</v>
      </c>
      <c r="T266" s="43">
        <f>IFERROR(N266/AVERAGE(M262:M266),0)</f>
        <v>0.22052836666940298</v>
      </c>
      <c r="U266" s="44">
        <v>293.02999999999997</v>
      </c>
      <c r="V266" s="45">
        <v>1.14E-2</v>
      </c>
    </row>
    <row r="267" spans="1:22" ht="15" customHeight="1" x14ac:dyDescent="0.35">
      <c r="A267" s="31">
        <v>1</v>
      </c>
      <c r="B267" s="32">
        <v>2021</v>
      </c>
      <c r="C267" s="31" t="s">
        <v>264</v>
      </c>
      <c r="D267" s="31" t="s">
        <v>140</v>
      </c>
      <c r="E267" s="33" t="s">
        <v>141</v>
      </c>
      <c r="F267" s="31" t="s">
        <v>36</v>
      </c>
      <c r="G267" s="34">
        <v>0</v>
      </c>
      <c r="H267" s="34">
        <v>38</v>
      </c>
      <c r="I267" s="34">
        <f>IFERROR(ROUND('Data Bulanan'!AC58,0),0)</f>
        <v>34964</v>
      </c>
      <c r="J267" s="34">
        <v>7801476</v>
      </c>
      <c r="K267" s="34">
        <v>86627</v>
      </c>
      <c r="L267" s="35">
        <f t="shared" si="24"/>
        <v>2510</v>
      </c>
      <c r="M267" s="36">
        <f>IFERROR(AVERAGE('Data Bulanan'!F58,'Data Bulanan'!H58,'Data Bulanan'!J58,'Data Bulanan'!L58,'Data Bulanan'!N58,'Data Bulanan'!P58,'Data Bulanan'!R58,'Data Bulanan'!T58,'Data Bulanan'!V58,'Data Bulanan'!X58,'Data Bulanan'!Z58,'Data Bulanan'!AB58),0)</f>
        <v>92.936424731182797</v>
      </c>
      <c r="N267" s="37">
        <f>'Data Bulanan'!AD58</f>
        <v>15.554435774497056</v>
      </c>
      <c r="O267" s="38">
        <f t="shared" si="25"/>
        <v>95.883981696591249</v>
      </c>
      <c r="P267" s="39">
        <f t="shared" si="26"/>
        <v>158</v>
      </c>
      <c r="Q267" s="40">
        <f t="shared" si="27"/>
        <v>3690</v>
      </c>
      <c r="R267" s="41">
        <f t="shared" si="28"/>
        <v>-3690</v>
      </c>
      <c r="S267" s="42" t="str">
        <f t="shared" si="29"/>
        <v>Stockout ⚠</v>
      </c>
      <c r="T267" s="43">
        <f>IFERROR(N267/AVERAGE(M267:M271),0)</f>
        <v>0.16122754191603672</v>
      </c>
      <c r="U267" s="44">
        <v>1022.76</v>
      </c>
      <c r="V267" s="45">
        <v>0.4078</v>
      </c>
    </row>
    <row r="268" spans="1:22" ht="15" customHeight="1" x14ac:dyDescent="0.35">
      <c r="A268" s="31">
        <v>2</v>
      </c>
      <c r="B268" s="32">
        <v>2022</v>
      </c>
      <c r="C268" s="31" t="s">
        <v>264</v>
      </c>
      <c r="D268" s="31" t="s">
        <v>140</v>
      </c>
      <c r="E268" s="33" t="s">
        <v>141</v>
      </c>
      <c r="F268" s="31" t="s">
        <v>36</v>
      </c>
      <c r="G268" s="34">
        <v>0</v>
      </c>
      <c r="H268" s="34">
        <v>38</v>
      </c>
      <c r="I268" s="34">
        <f>IFERROR(ROUND('Data Bulanan'!BC58,0),0)</f>
        <v>34691</v>
      </c>
      <c r="J268" s="34">
        <v>7187067</v>
      </c>
      <c r="K268" s="34">
        <v>84679</v>
      </c>
      <c r="L268" s="35">
        <f t="shared" si="24"/>
        <v>2427</v>
      </c>
      <c r="M268" s="36">
        <f>IFERROR(AVERAGE('Data Bulanan'!AF58,'Data Bulanan'!AH58,'Data Bulanan'!AJ58,'Data Bulanan'!AL58,'Data Bulanan'!AN58,'Data Bulanan'!AP58,'Data Bulanan'!AR58,'Data Bulanan'!AT58,'Data Bulanan'!AV58,'Data Bulanan'!AX58,'Data Bulanan'!AZ58,'Data Bulanan'!BB58),0)</f>
        <v>92.509280593958024</v>
      </c>
      <c r="N268" s="37">
        <f>'Data Bulanan'!BD58</f>
        <v>25.076344525192237</v>
      </c>
      <c r="O268" s="38">
        <f t="shared" si="25"/>
        <v>154.58096933436946</v>
      </c>
      <c r="P268" s="39">
        <f t="shared" si="26"/>
        <v>255</v>
      </c>
      <c r="Q268" s="40">
        <f t="shared" si="27"/>
        <v>3770</v>
      </c>
      <c r="R268" s="41">
        <f t="shared" si="28"/>
        <v>-3770</v>
      </c>
      <c r="S268" s="42" t="str">
        <f t="shared" si="29"/>
        <v>Stockout ⚠</v>
      </c>
      <c r="T268" s="43">
        <f>IFERROR(N268/AVERAGE(M267:M271),0)</f>
        <v>0.25992568593618032</v>
      </c>
      <c r="U268" s="44">
        <v>1022.76</v>
      </c>
      <c r="V268" s="45">
        <v>0.4078</v>
      </c>
    </row>
    <row r="269" spans="1:22" ht="15" customHeight="1" x14ac:dyDescent="0.35">
      <c r="A269" s="31">
        <v>3</v>
      </c>
      <c r="B269" s="32">
        <v>2023</v>
      </c>
      <c r="C269" s="31" t="s">
        <v>264</v>
      </c>
      <c r="D269" s="31" t="s">
        <v>140</v>
      </c>
      <c r="E269" s="33" t="s">
        <v>141</v>
      </c>
      <c r="F269" s="31" t="s">
        <v>36</v>
      </c>
      <c r="G269" s="34">
        <v>14393</v>
      </c>
      <c r="H269" s="34">
        <v>38</v>
      </c>
      <c r="I269" s="34">
        <f>IFERROR(ROUND('Data Bulanan'!CC58,0),0)</f>
        <v>34077</v>
      </c>
      <c r="J269" s="34">
        <v>7945194</v>
      </c>
      <c r="K269" s="34">
        <v>91815</v>
      </c>
      <c r="L269" s="35">
        <f t="shared" si="24"/>
        <v>2429</v>
      </c>
      <c r="M269" s="36">
        <f>IFERROR(AVERAGE('Data Bulanan'!BF58,'Data Bulanan'!BH58,'Data Bulanan'!BJ58,'Data Bulanan'!BL58,'Data Bulanan'!BN58,'Data Bulanan'!BP58,'Data Bulanan'!BR58,'Data Bulanan'!BT58,'Data Bulanan'!BV58,'Data Bulanan'!BX58,'Data Bulanan'!BZ58,'Data Bulanan'!CB58),0)</f>
        <v>90.603705837173564</v>
      </c>
      <c r="N269" s="37">
        <f>'Data Bulanan'!CD58</f>
        <v>20.421719676989628</v>
      </c>
      <c r="O269" s="38">
        <f t="shared" si="25"/>
        <v>125.88793474154194</v>
      </c>
      <c r="P269" s="39">
        <f t="shared" si="26"/>
        <v>208</v>
      </c>
      <c r="Q269" s="40">
        <f t="shared" si="27"/>
        <v>3651</v>
      </c>
      <c r="R269" s="41">
        <f t="shared" si="28"/>
        <v>10742</v>
      </c>
      <c r="S269" s="42" t="str">
        <f t="shared" si="29"/>
        <v>Overstock 📦</v>
      </c>
      <c r="T269" s="43">
        <f>IFERROR(N269/AVERAGE(M267:M271),0)</f>
        <v>0.21167875922685853</v>
      </c>
      <c r="U269" s="44">
        <v>1022.76</v>
      </c>
      <c r="V269" s="45">
        <v>0.4078</v>
      </c>
    </row>
    <row r="270" spans="1:22" ht="15" customHeight="1" x14ac:dyDescent="0.35">
      <c r="A270" s="31">
        <v>4</v>
      </c>
      <c r="B270" s="32">
        <v>2024</v>
      </c>
      <c r="C270" s="31" t="s">
        <v>264</v>
      </c>
      <c r="D270" s="31" t="s">
        <v>140</v>
      </c>
      <c r="E270" s="33" t="s">
        <v>141</v>
      </c>
      <c r="F270" s="31" t="s">
        <v>36</v>
      </c>
      <c r="G270" s="34">
        <v>12844</v>
      </c>
      <c r="H270" s="34">
        <v>38</v>
      </c>
      <c r="I270" s="34">
        <f>IFERROR(ROUND('Data Bulanan'!DC58,0),0)</f>
        <v>40213</v>
      </c>
      <c r="J270" s="34">
        <v>6850556</v>
      </c>
      <c r="K270" s="34">
        <v>88706</v>
      </c>
      <c r="L270" s="35">
        <f t="shared" si="24"/>
        <v>2492</v>
      </c>
      <c r="M270" s="36">
        <f>IFERROR(AVERAGE('Data Bulanan'!CF58,'Data Bulanan'!CH58,'Data Bulanan'!CJ58,'Data Bulanan'!CL58,'Data Bulanan'!CN58,'Data Bulanan'!CP58,'Data Bulanan'!CR58,'Data Bulanan'!CT58,'Data Bulanan'!CV58,'Data Bulanan'!CX58,'Data Bulanan'!CZ58,'Data Bulanan'!DB58),0)</f>
        <v>106.79849590373783</v>
      </c>
      <c r="N270" s="37">
        <f>'Data Bulanan'!DD58</f>
        <v>24.300306052621679</v>
      </c>
      <c r="O270" s="38">
        <f t="shared" si="25"/>
        <v>149.79714690721283</v>
      </c>
      <c r="P270" s="39">
        <f t="shared" si="26"/>
        <v>247</v>
      </c>
      <c r="Q270" s="40">
        <f t="shared" si="27"/>
        <v>4305</v>
      </c>
      <c r="R270" s="41">
        <f t="shared" si="28"/>
        <v>8539</v>
      </c>
      <c r="S270" s="42" t="str">
        <f t="shared" si="29"/>
        <v>Overstock 📦</v>
      </c>
      <c r="T270" s="43">
        <f>IFERROR(N270/AVERAGE(M267:M271),0)</f>
        <v>0.25188175704163496</v>
      </c>
      <c r="U270" s="44">
        <v>1022.76</v>
      </c>
      <c r="V270" s="45">
        <v>0.4078</v>
      </c>
    </row>
    <row r="271" spans="1:22" ht="15" customHeight="1" x14ac:dyDescent="0.35">
      <c r="A271" s="31">
        <v>5</v>
      </c>
      <c r="B271" s="32">
        <v>2025</v>
      </c>
      <c r="C271" s="31" t="s">
        <v>264</v>
      </c>
      <c r="D271" s="31" t="s">
        <v>140</v>
      </c>
      <c r="E271" s="33" t="s">
        <v>141</v>
      </c>
      <c r="F271" s="31" t="s">
        <v>36</v>
      </c>
      <c r="G271" s="34">
        <v>25980</v>
      </c>
      <c r="H271" s="34">
        <v>38</v>
      </c>
      <c r="I271" s="34">
        <f>IFERROR(ROUND('Data Bulanan'!EC58,0),0)</f>
        <v>37317</v>
      </c>
      <c r="J271" s="34">
        <v>7467591</v>
      </c>
      <c r="K271" s="34">
        <v>84584</v>
      </c>
      <c r="L271" s="35">
        <f t="shared" si="24"/>
        <v>2567</v>
      </c>
      <c r="M271" s="36">
        <f>IFERROR(AVERAGE('Data Bulanan'!DF58,'Data Bulanan'!DH58,'Data Bulanan'!DJ58,'Data Bulanan'!DL58,'Data Bulanan'!DN58,'Data Bulanan'!DP58,'Data Bulanan'!DR58,'Data Bulanan'!DT58,'Data Bulanan'!DV58,'Data Bulanan'!DX58,'Data Bulanan'!DZ58,'Data Bulanan'!EB58),0)</f>
        <v>99.527361751152071</v>
      </c>
      <c r="N271" s="37">
        <f>'Data Bulanan'!ED58</f>
        <v>25.043920512453159</v>
      </c>
      <c r="O271" s="38">
        <f t="shared" si="25"/>
        <v>154.38109429620823</v>
      </c>
      <c r="P271" s="39">
        <f t="shared" si="26"/>
        <v>255</v>
      </c>
      <c r="Q271" s="40">
        <f t="shared" si="27"/>
        <v>4037</v>
      </c>
      <c r="R271" s="41">
        <f t="shared" si="28"/>
        <v>21943</v>
      </c>
      <c r="S271" s="42" t="str">
        <f t="shared" si="29"/>
        <v>Overstock 📦</v>
      </c>
      <c r="T271" s="43">
        <f>IFERROR(N271/AVERAGE(M267:M271),0)</f>
        <v>0.25958959892224009</v>
      </c>
      <c r="U271" s="44">
        <v>1022.76</v>
      </c>
      <c r="V271" s="45">
        <v>0.4078</v>
      </c>
    </row>
    <row r="272" spans="1:22" ht="15" customHeight="1" x14ac:dyDescent="0.35">
      <c r="A272" s="46">
        <v>1</v>
      </c>
      <c r="B272" s="32">
        <v>2021</v>
      </c>
      <c r="C272" s="46" t="s">
        <v>264</v>
      </c>
      <c r="D272" s="46" t="s">
        <v>142</v>
      </c>
      <c r="E272" s="47" t="s">
        <v>143</v>
      </c>
      <c r="F272" s="46" t="s">
        <v>36</v>
      </c>
      <c r="G272" s="34">
        <v>2995</v>
      </c>
      <c r="H272" s="34">
        <v>38</v>
      </c>
      <c r="I272" s="34">
        <f>IFERROR(ROUND('Data Bulanan'!AC59,0),0)</f>
        <v>10947</v>
      </c>
      <c r="J272" s="34">
        <v>10172491</v>
      </c>
      <c r="K272" s="34">
        <v>512359</v>
      </c>
      <c r="L272" s="35">
        <f t="shared" si="24"/>
        <v>659</v>
      </c>
      <c r="M272" s="36">
        <f>IFERROR(AVERAGE('Data Bulanan'!F59,'Data Bulanan'!H59,'Data Bulanan'!J59,'Data Bulanan'!L59,'Data Bulanan'!N59,'Data Bulanan'!P59,'Data Bulanan'!R59,'Data Bulanan'!T59,'Data Bulanan'!V59,'Data Bulanan'!X59,'Data Bulanan'!Z59,'Data Bulanan'!AB59),0)</f>
        <v>29.179454685099842</v>
      </c>
      <c r="N272" s="37">
        <f>'Data Bulanan'!AD59</f>
        <v>7.1268998509171277</v>
      </c>
      <c r="O272" s="38">
        <f t="shared" si="25"/>
        <v>43.933161238751048</v>
      </c>
      <c r="P272" s="39">
        <f t="shared" si="26"/>
        <v>72</v>
      </c>
      <c r="Q272" s="40">
        <f t="shared" si="27"/>
        <v>1181</v>
      </c>
      <c r="R272" s="41">
        <f t="shared" si="28"/>
        <v>1814</v>
      </c>
      <c r="S272" s="42" t="str">
        <f t="shared" si="29"/>
        <v>Overstock 📦</v>
      </c>
      <c r="T272" s="43">
        <f>IFERROR(N272/AVERAGE(M272:M276),0)</f>
        <v>0.2166844974192601</v>
      </c>
      <c r="U272" s="44">
        <v>14.36</v>
      </c>
      <c r="V272" s="45">
        <v>2.9999999999999997E-4</v>
      </c>
    </row>
    <row r="273" spans="1:22" ht="15" customHeight="1" x14ac:dyDescent="0.35">
      <c r="A273" s="46">
        <v>2</v>
      </c>
      <c r="B273" s="32">
        <v>2022</v>
      </c>
      <c r="C273" s="46" t="s">
        <v>264</v>
      </c>
      <c r="D273" s="46" t="s">
        <v>142</v>
      </c>
      <c r="E273" s="47" t="s">
        <v>143</v>
      </c>
      <c r="F273" s="46" t="s">
        <v>36</v>
      </c>
      <c r="G273" s="34">
        <v>0</v>
      </c>
      <c r="H273" s="34">
        <v>38</v>
      </c>
      <c r="I273" s="34">
        <f>IFERROR(ROUND('Data Bulanan'!BC59,0),0)</f>
        <v>12985</v>
      </c>
      <c r="J273" s="34">
        <v>11605018</v>
      </c>
      <c r="K273" s="34">
        <v>512603</v>
      </c>
      <c r="L273" s="35">
        <f t="shared" si="24"/>
        <v>767</v>
      </c>
      <c r="M273" s="36">
        <f>IFERROR(AVERAGE('Data Bulanan'!AF59,'Data Bulanan'!AH59,'Data Bulanan'!AJ59,'Data Bulanan'!AL59,'Data Bulanan'!AN59,'Data Bulanan'!AP59,'Data Bulanan'!AR59,'Data Bulanan'!AT59,'Data Bulanan'!AV59,'Data Bulanan'!AX59,'Data Bulanan'!AZ59,'Data Bulanan'!BB59),0)</f>
        <v>34.555549155145933</v>
      </c>
      <c r="N273" s="37">
        <f>'Data Bulanan'!BD59</f>
        <v>6.7150023811147719</v>
      </c>
      <c r="O273" s="38">
        <f t="shared" si="25"/>
        <v>41.394054708113913</v>
      </c>
      <c r="P273" s="39">
        <f t="shared" si="26"/>
        <v>68</v>
      </c>
      <c r="Q273" s="40">
        <f t="shared" si="27"/>
        <v>1381</v>
      </c>
      <c r="R273" s="41">
        <f t="shared" si="28"/>
        <v>-1381</v>
      </c>
      <c r="S273" s="42" t="str">
        <f t="shared" si="29"/>
        <v>Stockout ⚠</v>
      </c>
      <c r="T273" s="43">
        <f>IFERROR(N273/AVERAGE(M272:M276),0)</f>
        <v>0.20416126879259391</v>
      </c>
      <c r="U273" s="44">
        <v>14.36</v>
      </c>
      <c r="V273" s="45">
        <v>2.9999999999999997E-4</v>
      </c>
    </row>
    <row r="274" spans="1:22" ht="15" customHeight="1" x14ac:dyDescent="0.35">
      <c r="A274" s="46">
        <v>3</v>
      </c>
      <c r="B274" s="32">
        <v>2023</v>
      </c>
      <c r="C274" s="46" t="s">
        <v>264</v>
      </c>
      <c r="D274" s="46" t="s">
        <v>142</v>
      </c>
      <c r="E274" s="47" t="s">
        <v>143</v>
      </c>
      <c r="F274" s="46" t="s">
        <v>36</v>
      </c>
      <c r="G274" s="34">
        <v>5738</v>
      </c>
      <c r="H274" s="34">
        <v>38</v>
      </c>
      <c r="I274" s="34">
        <f>IFERROR(ROUND('Data Bulanan'!CC59,0),0)</f>
        <v>14225</v>
      </c>
      <c r="J274" s="34">
        <v>10922828</v>
      </c>
      <c r="K274" s="34">
        <v>529773</v>
      </c>
      <c r="L274" s="35">
        <f t="shared" si="24"/>
        <v>766</v>
      </c>
      <c r="M274" s="36">
        <f>IFERROR(AVERAGE('Data Bulanan'!BF59,'Data Bulanan'!BH59,'Data Bulanan'!BJ59,'Data Bulanan'!BL59,'Data Bulanan'!BN59,'Data Bulanan'!BP59,'Data Bulanan'!BR59,'Data Bulanan'!BT59,'Data Bulanan'!BV59,'Data Bulanan'!BX59,'Data Bulanan'!BZ59,'Data Bulanan'!CB59),0)</f>
        <v>37.903552227342551</v>
      </c>
      <c r="N274" s="37">
        <f>'Data Bulanan'!CD59</f>
        <v>11.084138719031383</v>
      </c>
      <c r="O274" s="38">
        <f t="shared" si="25"/>
        <v>68.327219930447669</v>
      </c>
      <c r="P274" s="39">
        <f t="shared" si="26"/>
        <v>113</v>
      </c>
      <c r="Q274" s="40">
        <f t="shared" si="27"/>
        <v>1553</v>
      </c>
      <c r="R274" s="41">
        <f t="shared" si="28"/>
        <v>4185</v>
      </c>
      <c r="S274" s="42" t="str">
        <f t="shared" si="29"/>
        <v>Overstock 📦</v>
      </c>
      <c r="T274" s="43">
        <f>IFERROR(N274/AVERAGE(M272:M276),0)</f>
        <v>0.33699940758247149</v>
      </c>
      <c r="U274" s="44">
        <v>14.36</v>
      </c>
      <c r="V274" s="45">
        <v>2.9999999999999997E-4</v>
      </c>
    </row>
    <row r="275" spans="1:22" ht="15" customHeight="1" x14ac:dyDescent="0.35">
      <c r="A275" s="46">
        <v>4</v>
      </c>
      <c r="B275" s="32">
        <v>2024</v>
      </c>
      <c r="C275" s="46" t="s">
        <v>264</v>
      </c>
      <c r="D275" s="46" t="s">
        <v>142</v>
      </c>
      <c r="E275" s="47" t="s">
        <v>143</v>
      </c>
      <c r="F275" s="46" t="s">
        <v>36</v>
      </c>
      <c r="G275" s="34">
        <v>2841</v>
      </c>
      <c r="H275" s="34">
        <v>38</v>
      </c>
      <c r="I275" s="34">
        <f>IFERROR(ROUND('Data Bulanan'!DC59,0),0)</f>
        <v>12227</v>
      </c>
      <c r="J275" s="34">
        <v>11362682</v>
      </c>
      <c r="K275" s="34">
        <v>520425</v>
      </c>
      <c r="L275" s="35">
        <f t="shared" si="24"/>
        <v>731</v>
      </c>
      <c r="M275" s="36">
        <f>IFERROR(AVERAGE('Data Bulanan'!CF59,'Data Bulanan'!CH59,'Data Bulanan'!CJ59,'Data Bulanan'!CL59,'Data Bulanan'!CN59,'Data Bulanan'!CP59,'Data Bulanan'!CR59,'Data Bulanan'!CT59,'Data Bulanan'!CV59,'Data Bulanan'!CX59,'Data Bulanan'!CZ59,'Data Bulanan'!DB59),0)</f>
        <v>32.532200460829486</v>
      </c>
      <c r="N275" s="37">
        <f>'Data Bulanan'!DD59</f>
        <v>5.2240420236395595</v>
      </c>
      <c r="O275" s="38">
        <f t="shared" si="25"/>
        <v>32.203157802622087</v>
      </c>
      <c r="P275" s="39">
        <f t="shared" si="26"/>
        <v>53</v>
      </c>
      <c r="Q275" s="40">
        <f t="shared" si="27"/>
        <v>1289</v>
      </c>
      <c r="R275" s="41">
        <f t="shared" si="28"/>
        <v>1552</v>
      </c>
      <c r="S275" s="42" t="str">
        <f t="shared" si="29"/>
        <v>Overstock 📦</v>
      </c>
      <c r="T275" s="43">
        <f>IFERROR(N275/AVERAGE(M272:M276),0)</f>
        <v>0.15883047946068227</v>
      </c>
      <c r="U275" s="44">
        <v>14.36</v>
      </c>
      <c r="V275" s="45">
        <v>2.9999999999999997E-4</v>
      </c>
    </row>
    <row r="276" spans="1:22" ht="15" customHeight="1" x14ac:dyDescent="0.35">
      <c r="A276" s="46">
        <v>5</v>
      </c>
      <c r="B276" s="32">
        <v>2025</v>
      </c>
      <c r="C276" s="46" t="s">
        <v>264</v>
      </c>
      <c r="D276" s="46" t="s">
        <v>142</v>
      </c>
      <c r="E276" s="47" t="s">
        <v>143</v>
      </c>
      <c r="F276" s="46" t="s">
        <v>36</v>
      </c>
      <c r="G276" s="34">
        <v>3761</v>
      </c>
      <c r="H276" s="34">
        <v>38</v>
      </c>
      <c r="I276" s="34">
        <f>IFERROR(ROUND('Data Bulanan'!EC59,0),0)</f>
        <v>11398</v>
      </c>
      <c r="J276" s="34">
        <v>9806323</v>
      </c>
      <c r="K276" s="34">
        <v>592915</v>
      </c>
      <c r="L276" s="35">
        <f t="shared" si="24"/>
        <v>614</v>
      </c>
      <c r="M276" s="36">
        <f>IFERROR(AVERAGE('Data Bulanan'!DF59,'Data Bulanan'!DH59,'Data Bulanan'!DJ59,'Data Bulanan'!DL59,'Data Bulanan'!DN59,'Data Bulanan'!DP59,'Data Bulanan'!DR59,'Data Bulanan'!DT59,'Data Bulanan'!DV59,'Data Bulanan'!DX59,'Data Bulanan'!DZ59,'Data Bulanan'!EB59),0)</f>
        <v>30.28262928827445</v>
      </c>
      <c r="N276" s="37">
        <f>'Data Bulanan'!ED59</f>
        <v>6.9130340762018809</v>
      </c>
      <c r="O276" s="38">
        <f t="shared" si="25"/>
        <v>42.614804062340575</v>
      </c>
      <c r="P276" s="39">
        <f t="shared" si="26"/>
        <v>70</v>
      </c>
      <c r="Q276" s="40">
        <f t="shared" si="27"/>
        <v>1221</v>
      </c>
      <c r="R276" s="41">
        <f t="shared" si="28"/>
        <v>2540</v>
      </c>
      <c r="S276" s="42" t="str">
        <f t="shared" si="29"/>
        <v>Overstock 📦</v>
      </c>
      <c r="T276" s="43">
        <f>IFERROR(N276/AVERAGE(M272:M276),0)</f>
        <v>0.21018217538882067</v>
      </c>
      <c r="U276" s="44">
        <v>14.36</v>
      </c>
      <c r="V276" s="45">
        <v>2.9999999999999997E-4</v>
      </c>
    </row>
    <row r="277" spans="1:22" ht="15" customHeight="1" x14ac:dyDescent="0.35">
      <c r="A277" s="31">
        <v>1</v>
      </c>
      <c r="B277" s="32">
        <v>2021</v>
      </c>
      <c r="C277" s="31" t="s">
        <v>264</v>
      </c>
      <c r="D277" s="31" t="s">
        <v>144</v>
      </c>
      <c r="E277" s="33" t="s">
        <v>145</v>
      </c>
      <c r="F277" s="31" t="s">
        <v>36</v>
      </c>
      <c r="G277" s="34">
        <v>0</v>
      </c>
      <c r="H277" s="34">
        <v>31</v>
      </c>
      <c r="I277" s="34">
        <f>IFERROR(ROUND('Data Bulanan'!AC60,0),0)</f>
        <v>58702</v>
      </c>
      <c r="J277" s="34">
        <v>8834691</v>
      </c>
      <c r="K277" s="34">
        <v>246550</v>
      </c>
      <c r="L277" s="35">
        <f t="shared" si="24"/>
        <v>2051</v>
      </c>
      <c r="M277" s="36">
        <f>IFERROR(AVERAGE('Data Bulanan'!F60,'Data Bulanan'!H60,'Data Bulanan'!J60,'Data Bulanan'!L60,'Data Bulanan'!N60,'Data Bulanan'!P60,'Data Bulanan'!R60,'Data Bulanan'!T60,'Data Bulanan'!V60,'Data Bulanan'!X60,'Data Bulanan'!Z60,'Data Bulanan'!AB60),0)</f>
        <v>155.99188428059395</v>
      </c>
      <c r="N277" s="37">
        <f>'Data Bulanan'!AD60</f>
        <v>23.753996809413316</v>
      </c>
      <c r="O277" s="38">
        <f t="shared" si="25"/>
        <v>132.25665691022948</v>
      </c>
      <c r="P277" s="39">
        <f t="shared" si="26"/>
        <v>218</v>
      </c>
      <c r="Q277" s="40">
        <f t="shared" si="27"/>
        <v>5054</v>
      </c>
      <c r="R277" s="41">
        <f t="shared" si="28"/>
        <v>-5054</v>
      </c>
      <c r="S277" s="42" t="str">
        <f t="shared" si="29"/>
        <v>Stockout ⚠</v>
      </c>
      <c r="T277" s="43">
        <f>IFERROR(N277/AVERAGE(M277:M281),0)</f>
        <v>0.16704424975408413</v>
      </c>
      <c r="U277" s="44">
        <v>-1854.25</v>
      </c>
      <c r="V277" s="45">
        <v>0.77780000000000005</v>
      </c>
    </row>
    <row r="278" spans="1:22" ht="15" customHeight="1" x14ac:dyDescent="0.35">
      <c r="A278" s="31">
        <v>2</v>
      </c>
      <c r="B278" s="32">
        <v>2022</v>
      </c>
      <c r="C278" s="31" t="s">
        <v>264</v>
      </c>
      <c r="D278" s="31" t="s">
        <v>144</v>
      </c>
      <c r="E278" s="33" t="s">
        <v>145</v>
      </c>
      <c r="F278" s="31" t="s">
        <v>36</v>
      </c>
      <c r="G278" s="34">
        <v>26989</v>
      </c>
      <c r="H278" s="34">
        <v>31</v>
      </c>
      <c r="I278" s="34">
        <f>IFERROR(ROUND('Data Bulanan'!BC60,0),0)</f>
        <v>54500</v>
      </c>
      <c r="J278" s="34">
        <v>9496768</v>
      </c>
      <c r="K278" s="34">
        <v>244451</v>
      </c>
      <c r="L278" s="35">
        <f t="shared" si="24"/>
        <v>2058</v>
      </c>
      <c r="M278" s="36">
        <f>IFERROR(AVERAGE('Data Bulanan'!AF60,'Data Bulanan'!AH60,'Data Bulanan'!AJ60,'Data Bulanan'!AL60,'Data Bulanan'!AN60,'Data Bulanan'!AP60,'Data Bulanan'!AR60,'Data Bulanan'!AT60,'Data Bulanan'!AV60,'Data Bulanan'!AX60,'Data Bulanan'!AZ60,'Data Bulanan'!BB60),0)</f>
        <v>145.0509536610343</v>
      </c>
      <c r="N278" s="37">
        <f>'Data Bulanan'!BD60</f>
        <v>32.909725790843282</v>
      </c>
      <c r="O278" s="38">
        <f t="shared" si="25"/>
        <v>183.23359844876526</v>
      </c>
      <c r="P278" s="39">
        <f t="shared" si="26"/>
        <v>302</v>
      </c>
      <c r="Q278" s="40">
        <f t="shared" si="27"/>
        <v>4799</v>
      </c>
      <c r="R278" s="41">
        <f t="shared" si="28"/>
        <v>22190</v>
      </c>
      <c r="S278" s="42" t="str">
        <f t="shared" si="29"/>
        <v>Overstock 📦</v>
      </c>
      <c r="T278" s="43">
        <f>IFERROR(N278/AVERAGE(M277:M281),0)</f>
        <v>0.23142970416521774</v>
      </c>
      <c r="U278" s="44">
        <v>-1854.25</v>
      </c>
      <c r="V278" s="45">
        <v>0.77780000000000005</v>
      </c>
    </row>
    <row r="279" spans="1:22" ht="15" customHeight="1" x14ac:dyDescent="0.35">
      <c r="A279" s="31">
        <v>3</v>
      </c>
      <c r="B279" s="32">
        <v>2023</v>
      </c>
      <c r="C279" s="31" t="s">
        <v>264</v>
      </c>
      <c r="D279" s="31" t="s">
        <v>144</v>
      </c>
      <c r="E279" s="33" t="s">
        <v>145</v>
      </c>
      <c r="F279" s="31" t="s">
        <v>36</v>
      </c>
      <c r="G279" s="34">
        <v>28514</v>
      </c>
      <c r="H279" s="34">
        <v>31</v>
      </c>
      <c r="I279" s="34">
        <f>IFERROR(ROUND('Data Bulanan'!CC60,0),0)</f>
        <v>51765</v>
      </c>
      <c r="J279" s="34">
        <v>8806875</v>
      </c>
      <c r="K279" s="34">
        <v>215176</v>
      </c>
      <c r="L279" s="35">
        <f t="shared" si="24"/>
        <v>2058</v>
      </c>
      <c r="M279" s="36">
        <f>IFERROR(AVERAGE('Data Bulanan'!BF60,'Data Bulanan'!BH60,'Data Bulanan'!BJ60,'Data Bulanan'!BL60,'Data Bulanan'!BN60,'Data Bulanan'!BP60,'Data Bulanan'!BR60,'Data Bulanan'!BT60,'Data Bulanan'!BV60,'Data Bulanan'!BX60,'Data Bulanan'!BZ60,'Data Bulanan'!CB60),0)</f>
        <v>138.01568740399387</v>
      </c>
      <c r="N279" s="37">
        <f>'Data Bulanan'!CD60</f>
        <v>34.325921952396847</v>
      </c>
      <c r="O279" s="38">
        <f t="shared" si="25"/>
        <v>191.11864496783988</v>
      </c>
      <c r="P279" s="39">
        <f t="shared" si="26"/>
        <v>315</v>
      </c>
      <c r="Q279" s="40">
        <f t="shared" si="27"/>
        <v>4593</v>
      </c>
      <c r="R279" s="41">
        <f t="shared" si="28"/>
        <v>23921</v>
      </c>
      <c r="S279" s="42" t="str">
        <f t="shared" si="29"/>
        <v>Overstock 📦</v>
      </c>
      <c r="T279" s="43">
        <f>IFERROR(N279/AVERAGE(M277:M281),0)</f>
        <v>0.2413887618854571</v>
      </c>
      <c r="U279" s="44">
        <v>-1854.25</v>
      </c>
      <c r="V279" s="45">
        <v>0.77780000000000005</v>
      </c>
    </row>
    <row r="280" spans="1:22" ht="15" customHeight="1" x14ac:dyDescent="0.35">
      <c r="A280" s="31">
        <v>4</v>
      </c>
      <c r="B280" s="32">
        <v>2024</v>
      </c>
      <c r="C280" s="31" t="s">
        <v>264</v>
      </c>
      <c r="D280" s="31" t="s">
        <v>144</v>
      </c>
      <c r="E280" s="33" t="s">
        <v>145</v>
      </c>
      <c r="F280" s="31" t="s">
        <v>36</v>
      </c>
      <c r="G280" s="34">
        <v>5714</v>
      </c>
      <c r="H280" s="34">
        <v>31</v>
      </c>
      <c r="I280" s="34">
        <f>IFERROR(ROUND('Data Bulanan'!DC60,0),0)</f>
        <v>50521</v>
      </c>
      <c r="J280" s="34">
        <v>10039764</v>
      </c>
      <c r="K280" s="34">
        <v>224102</v>
      </c>
      <c r="L280" s="35">
        <f t="shared" si="24"/>
        <v>2128</v>
      </c>
      <c r="M280" s="36">
        <f>IFERROR(AVERAGE('Data Bulanan'!CF60,'Data Bulanan'!CH60,'Data Bulanan'!CJ60,'Data Bulanan'!CL60,'Data Bulanan'!CN60,'Data Bulanan'!CP60,'Data Bulanan'!CR60,'Data Bulanan'!CT60,'Data Bulanan'!CV60,'Data Bulanan'!CX60,'Data Bulanan'!CZ60,'Data Bulanan'!DB60),0)</f>
        <v>134.74135304659498</v>
      </c>
      <c r="N280" s="37">
        <f>'Data Bulanan'!DD60</f>
        <v>30.417703269790007</v>
      </c>
      <c r="O280" s="38">
        <f t="shared" si="25"/>
        <v>169.35860426467502</v>
      </c>
      <c r="P280" s="39">
        <f t="shared" si="26"/>
        <v>279</v>
      </c>
      <c r="Q280" s="40">
        <f t="shared" si="27"/>
        <v>4456</v>
      </c>
      <c r="R280" s="41">
        <f t="shared" si="28"/>
        <v>1258</v>
      </c>
      <c r="S280" s="42" t="str">
        <f t="shared" si="29"/>
        <v>Aman ✅</v>
      </c>
      <c r="T280" s="43">
        <f>IFERROR(N280/AVERAGE(M277:M281),0)</f>
        <v>0.21390515721256925</v>
      </c>
      <c r="U280" s="44">
        <v>-1854.25</v>
      </c>
      <c r="V280" s="45">
        <v>0.77780000000000005</v>
      </c>
    </row>
    <row r="281" spans="1:22" ht="15" customHeight="1" x14ac:dyDescent="0.35">
      <c r="A281" s="31">
        <v>5</v>
      </c>
      <c r="B281" s="32">
        <v>2025</v>
      </c>
      <c r="C281" s="31" t="s">
        <v>264</v>
      </c>
      <c r="D281" s="31" t="s">
        <v>144</v>
      </c>
      <c r="E281" s="33" t="s">
        <v>145</v>
      </c>
      <c r="F281" s="31" t="s">
        <v>36</v>
      </c>
      <c r="G281" s="34">
        <v>12246</v>
      </c>
      <c r="H281" s="34">
        <v>31</v>
      </c>
      <c r="I281" s="34">
        <f>IFERROR(ROUND('Data Bulanan'!EC60,0),0)</f>
        <v>51421</v>
      </c>
      <c r="J281" s="34">
        <v>9049144</v>
      </c>
      <c r="K281" s="34">
        <v>203788</v>
      </c>
      <c r="L281" s="35">
        <f t="shared" si="24"/>
        <v>2137</v>
      </c>
      <c r="M281" s="36">
        <f>IFERROR(AVERAGE('Data Bulanan'!DF60,'Data Bulanan'!DH60,'Data Bulanan'!DJ60,'Data Bulanan'!DL60,'Data Bulanan'!DN60,'Data Bulanan'!DP60,'Data Bulanan'!DR60,'Data Bulanan'!DT60,'Data Bulanan'!DV60,'Data Bulanan'!DX60,'Data Bulanan'!DZ60,'Data Bulanan'!EB60),0)</f>
        <v>137.20923579109061</v>
      </c>
      <c r="N281" s="37">
        <f>'Data Bulanan'!ED60</f>
        <v>35.194356482278387</v>
      </c>
      <c r="O281" s="38">
        <f t="shared" si="25"/>
        <v>195.95388379476537</v>
      </c>
      <c r="P281" s="39">
        <f t="shared" si="26"/>
        <v>323</v>
      </c>
      <c r="Q281" s="40">
        <f t="shared" si="27"/>
        <v>4576</v>
      </c>
      <c r="R281" s="41">
        <f t="shared" si="28"/>
        <v>7670</v>
      </c>
      <c r="S281" s="42" t="str">
        <f t="shared" si="29"/>
        <v>Overstock 📦</v>
      </c>
      <c r="T281" s="43">
        <f>IFERROR(N281/AVERAGE(M277:M281),0)</f>
        <v>0.24749581812818233</v>
      </c>
      <c r="U281" s="44">
        <v>-1854.25</v>
      </c>
      <c r="V281" s="45">
        <v>0.77780000000000005</v>
      </c>
    </row>
    <row r="282" spans="1:22" ht="15" customHeight="1" x14ac:dyDescent="0.35">
      <c r="A282" s="46">
        <v>1</v>
      </c>
      <c r="B282" s="32">
        <v>2021</v>
      </c>
      <c r="C282" s="46" t="s">
        <v>263</v>
      </c>
      <c r="D282" s="46" t="s">
        <v>146</v>
      </c>
      <c r="E282" s="47" t="s">
        <v>147</v>
      </c>
      <c r="F282" s="46" t="s">
        <v>36</v>
      </c>
      <c r="G282" s="34">
        <v>2548</v>
      </c>
      <c r="H282" s="34">
        <v>10</v>
      </c>
      <c r="I282" s="34">
        <f>IFERROR(ROUND('Data Bulanan'!AC61,0),0)</f>
        <v>29497</v>
      </c>
      <c r="J282" s="34">
        <v>1785550</v>
      </c>
      <c r="K282" s="34">
        <v>517523</v>
      </c>
      <c r="L282" s="35">
        <f t="shared" si="24"/>
        <v>451</v>
      </c>
      <c r="M282" s="36">
        <f>IFERROR(AVERAGE('Data Bulanan'!F61,'Data Bulanan'!H61,'Data Bulanan'!J61,'Data Bulanan'!L61,'Data Bulanan'!N61,'Data Bulanan'!P61,'Data Bulanan'!R61,'Data Bulanan'!T61,'Data Bulanan'!V61,'Data Bulanan'!X61,'Data Bulanan'!Z61,'Data Bulanan'!AB61),0)</f>
        <v>78.391762672811083</v>
      </c>
      <c r="N282" s="37">
        <f>'Data Bulanan'!AD61</f>
        <v>15.542319931385649</v>
      </c>
      <c r="O282" s="38">
        <f t="shared" si="25"/>
        <v>49.149131106210575</v>
      </c>
      <c r="P282" s="39">
        <f t="shared" si="26"/>
        <v>81</v>
      </c>
      <c r="Q282" s="40">
        <f t="shared" si="27"/>
        <v>865</v>
      </c>
      <c r="R282" s="41">
        <f t="shared" si="28"/>
        <v>1683</v>
      </c>
      <c r="S282" s="42" t="str">
        <f t="shared" si="29"/>
        <v>Overstock 📦</v>
      </c>
      <c r="T282" s="43">
        <f>IFERROR(N282/AVERAGE(M282:M286),0)</f>
        <v>0.19534071418187304</v>
      </c>
      <c r="U282" s="44">
        <v>40.799999999999997</v>
      </c>
      <c r="V282" s="45">
        <v>1.24E-2</v>
      </c>
    </row>
    <row r="283" spans="1:22" ht="15" customHeight="1" x14ac:dyDescent="0.35">
      <c r="A283" s="46">
        <v>2</v>
      </c>
      <c r="B283" s="32">
        <v>2022</v>
      </c>
      <c r="C283" s="46" t="s">
        <v>263</v>
      </c>
      <c r="D283" s="46" t="s">
        <v>146</v>
      </c>
      <c r="E283" s="47" t="s">
        <v>147</v>
      </c>
      <c r="F283" s="46" t="s">
        <v>36</v>
      </c>
      <c r="G283" s="34">
        <v>3676</v>
      </c>
      <c r="H283" s="34">
        <v>10</v>
      </c>
      <c r="I283" s="34">
        <f>IFERROR(ROUND('Data Bulanan'!BC61,0),0)</f>
        <v>30272</v>
      </c>
      <c r="J283" s="34">
        <v>1956052</v>
      </c>
      <c r="K283" s="34">
        <v>532522</v>
      </c>
      <c r="L283" s="35">
        <f t="shared" si="24"/>
        <v>472</v>
      </c>
      <c r="M283" s="36">
        <f>IFERROR(AVERAGE('Data Bulanan'!AF61,'Data Bulanan'!AH61,'Data Bulanan'!AJ61,'Data Bulanan'!AL61,'Data Bulanan'!AN61,'Data Bulanan'!AP61,'Data Bulanan'!AR61,'Data Bulanan'!AT61,'Data Bulanan'!AV61,'Data Bulanan'!AX61,'Data Bulanan'!AZ61,'Data Bulanan'!BB61),0)</f>
        <v>80.367607526881713</v>
      </c>
      <c r="N283" s="37">
        <f>'Data Bulanan'!BD61</f>
        <v>17.689415211114234</v>
      </c>
      <c r="O283" s="38">
        <f t="shared" si="25"/>
        <v>55.938842543549264</v>
      </c>
      <c r="P283" s="39">
        <f t="shared" si="26"/>
        <v>92</v>
      </c>
      <c r="Q283" s="40">
        <f t="shared" si="27"/>
        <v>896</v>
      </c>
      <c r="R283" s="41">
        <f t="shared" si="28"/>
        <v>2780</v>
      </c>
      <c r="S283" s="42" t="str">
        <f t="shared" si="29"/>
        <v>Overstock 📦</v>
      </c>
      <c r="T283" s="43">
        <f>IFERROR(N283/AVERAGE(M282:M286),0)</f>
        <v>0.22232607590459486</v>
      </c>
      <c r="U283" s="44">
        <v>40.799999999999997</v>
      </c>
      <c r="V283" s="45">
        <v>1.24E-2</v>
      </c>
    </row>
    <row r="284" spans="1:22" ht="15" customHeight="1" x14ac:dyDescent="0.35">
      <c r="A284" s="46">
        <v>3</v>
      </c>
      <c r="B284" s="32">
        <v>2023</v>
      </c>
      <c r="C284" s="46" t="s">
        <v>263</v>
      </c>
      <c r="D284" s="46" t="s">
        <v>146</v>
      </c>
      <c r="E284" s="47" t="s">
        <v>147</v>
      </c>
      <c r="F284" s="46" t="s">
        <v>36</v>
      </c>
      <c r="G284" s="34">
        <v>0</v>
      </c>
      <c r="H284" s="34">
        <v>10</v>
      </c>
      <c r="I284" s="34">
        <f>IFERROR(ROUND('Data Bulanan'!CC61,0),0)</f>
        <v>30478</v>
      </c>
      <c r="J284" s="34">
        <v>1822997</v>
      </c>
      <c r="K284" s="34">
        <v>505826</v>
      </c>
      <c r="L284" s="35">
        <f t="shared" si="24"/>
        <v>469</v>
      </c>
      <c r="M284" s="36">
        <f>IFERROR(AVERAGE('Data Bulanan'!BF61,'Data Bulanan'!BH61,'Data Bulanan'!BJ61,'Data Bulanan'!BL61,'Data Bulanan'!BN61,'Data Bulanan'!BP61,'Data Bulanan'!BR61,'Data Bulanan'!BT61,'Data Bulanan'!BV61,'Data Bulanan'!BX61,'Data Bulanan'!BZ61,'Data Bulanan'!CB61),0)</f>
        <v>80.968522785458276</v>
      </c>
      <c r="N284" s="37">
        <f>'Data Bulanan'!CD61</f>
        <v>20.85218696096539</v>
      </c>
      <c r="O284" s="38">
        <f t="shared" si="25"/>
        <v>65.940404992315223</v>
      </c>
      <c r="P284" s="39">
        <f t="shared" si="26"/>
        <v>109</v>
      </c>
      <c r="Q284" s="40">
        <f t="shared" si="27"/>
        <v>919</v>
      </c>
      <c r="R284" s="41">
        <f t="shared" si="28"/>
        <v>-919</v>
      </c>
      <c r="S284" s="42" t="str">
        <f t="shared" si="29"/>
        <v>Stockout ⚠</v>
      </c>
      <c r="T284" s="43">
        <f>IFERROR(N284/AVERAGE(M282:M286),0)</f>
        <v>0.26207677561594078</v>
      </c>
      <c r="U284" s="44">
        <v>40.799999999999997</v>
      </c>
      <c r="V284" s="45">
        <v>1.24E-2</v>
      </c>
    </row>
    <row r="285" spans="1:22" ht="15" customHeight="1" x14ac:dyDescent="0.35">
      <c r="A285" s="46">
        <v>4</v>
      </c>
      <c r="B285" s="32">
        <v>2024</v>
      </c>
      <c r="C285" s="46" t="s">
        <v>263</v>
      </c>
      <c r="D285" s="46" t="s">
        <v>146</v>
      </c>
      <c r="E285" s="47" t="s">
        <v>147</v>
      </c>
      <c r="F285" s="46" t="s">
        <v>36</v>
      </c>
      <c r="G285" s="34">
        <v>3673</v>
      </c>
      <c r="H285" s="34">
        <v>10</v>
      </c>
      <c r="I285" s="34">
        <f>IFERROR(ROUND('Data Bulanan'!DC61,0),0)</f>
        <v>29139</v>
      </c>
      <c r="J285" s="34">
        <v>1841977</v>
      </c>
      <c r="K285" s="34">
        <v>490501</v>
      </c>
      <c r="L285" s="35">
        <f t="shared" si="24"/>
        <v>468</v>
      </c>
      <c r="M285" s="36">
        <f>IFERROR(AVERAGE('Data Bulanan'!CF61,'Data Bulanan'!CH61,'Data Bulanan'!CJ61,'Data Bulanan'!CL61,'Data Bulanan'!CN61,'Data Bulanan'!CP61,'Data Bulanan'!CR61,'Data Bulanan'!CT61,'Data Bulanan'!CV61,'Data Bulanan'!CX61,'Data Bulanan'!CZ61,'Data Bulanan'!DB61),0)</f>
        <v>77.420622119815675</v>
      </c>
      <c r="N285" s="37">
        <f>'Data Bulanan'!DD61</f>
        <v>14.135831604025769</v>
      </c>
      <c r="O285" s="38">
        <f t="shared" si="25"/>
        <v>44.701424489312842</v>
      </c>
      <c r="P285" s="39">
        <f t="shared" si="26"/>
        <v>74</v>
      </c>
      <c r="Q285" s="40">
        <f t="shared" si="27"/>
        <v>848</v>
      </c>
      <c r="R285" s="41">
        <f t="shared" si="28"/>
        <v>2825</v>
      </c>
      <c r="S285" s="42" t="str">
        <f t="shared" si="29"/>
        <v>Overstock 📦</v>
      </c>
      <c r="T285" s="43">
        <f>IFERROR(N285/AVERAGE(M282:M286),0)</f>
        <v>0.1776635311379095</v>
      </c>
      <c r="U285" s="44">
        <v>40.799999999999997</v>
      </c>
      <c r="V285" s="45">
        <v>1.24E-2</v>
      </c>
    </row>
    <row r="286" spans="1:22" ht="15" customHeight="1" x14ac:dyDescent="0.35">
      <c r="A286" s="46">
        <v>5</v>
      </c>
      <c r="B286" s="32">
        <v>2025</v>
      </c>
      <c r="C286" s="46" t="s">
        <v>263</v>
      </c>
      <c r="D286" s="46" t="s">
        <v>146</v>
      </c>
      <c r="E286" s="47" t="s">
        <v>147</v>
      </c>
      <c r="F286" s="46" t="s">
        <v>36</v>
      </c>
      <c r="G286" s="34">
        <v>1523</v>
      </c>
      <c r="H286" s="34">
        <v>10</v>
      </c>
      <c r="I286" s="34">
        <f>IFERROR(ROUND('Data Bulanan'!EC61,0),0)</f>
        <v>30267</v>
      </c>
      <c r="J286" s="34">
        <v>1981379</v>
      </c>
      <c r="K286" s="34">
        <v>505475</v>
      </c>
      <c r="L286" s="35">
        <f t="shared" si="24"/>
        <v>487</v>
      </c>
      <c r="M286" s="36">
        <f>IFERROR(AVERAGE('Data Bulanan'!DF61,'Data Bulanan'!DH61,'Data Bulanan'!DJ61,'Data Bulanan'!DL61,'Data Bulanan'!DN61,'Data Bulanan'!DP61,'Data Bulanan'!DR61,'Data Bulanan'!DT61,'Data Bulanan'!DV61,'Data Bulanan'!DX61,'Data Bulanan'!DZ61,'Data Bulanan'!EB61),0)</f>
        <v>80.677406554019441</v>
      </c>
      <c r="N286" s="37">
        <f>'Data Bulanan'!ED61</f>
        <v>21.453298159163104</v>
      </c>
      <c r="O286" s="38">
        <f t="shared" si="25"/>
        <v>67.841285505652905</v>
      </c>
      <c r="P286" s="39">
        <f t="shared" si="26"/>
        <v>112</v>
      </c>
      <c r="Q286" s="40">
        <f t="shared" si="27"/>
        <v>919</v>
      </c>
      <c r="R286" s="41">
        <f t="shared" si="28"/>
        <v>604</v>
      </c>
      <c r="S286" s="42" t="str">
        <f t="shared" si="29"/>
        <v>Overstock 📦</v>
      </c>
      <c r="T286" s="43">
        <f>IFERROR(N286/AVERAGE(M282:M286),0)</f>
        <v>0.26963172824058373</v>
      </c>
      <c r="U286" s="44">
        <v>40.799999999999997</v>
      </c>
      <c r="V286" s="45">
        <v>1.24E-2</v>
      </c>
    </row>
    <row r="287" spans="1:22" ht="15" customHeight="1" x14ac:dyDescent="0.35">
      <c r="A287" s="31">
        <v>1</v>
      </c>
      <c r="B287" s="32">
        <v>2021</v>
      </c>
      <c r="C287" s="31" t="s">
        <v>263</v>
      </c>
      <c r="D287" s="31" t="s">
        <v>148</v>
      </c>
      <c r="E287" s="33" t="s">
        <v>149</v>
      </c>
      <c r="F287" s="31" t="s">
        <v>36</v>
      </c>
      <c r="G287" s="34">
        <v>5789</v>
      </c>
      <c r="H287" s="34">
        <v>12</v>
      </c>
      <c r="I287" s="34">
        <f>IFERROR(ROUND('Data Bulanan'!AC62,0),0)</f>
        <v>28676</v>
      </c>
      <c r="J287" s="34">
        <v>2659863</v>
      </c>
      <c r="K287" s="34">
        <v>528568</v>
      </c>
      <c r="L287" s="35">
        <f t="shared" si="24"/>
        <v>537</v>
      </c>
      <c r="M287" s="36">
        <f>IFERROR(AVERAGE('Data Bulanan'!F62,'Data Bulanan'!H62,'Data Bulanan'!J62,'Data Bulanan'!L62,'Data Bulanan'!N62,'Data Bulanan'!P62,'Data Bulanan'!R62,'Data Bulanan'!T62,'Data Bulanan'!V62,'Data Bulanan'!X62,'Data Bulanan'!Z62,'Data Bulanan'!AB62),0)</f>
        <v>76.394508448540705</v>
      </c>
      <c r="N287" s="37">
        <f>'Data Bulanan'!AD62</f>
        <v>19.721927794708662</v>
      </c>
      <c r="O287" s="38">
        <f t="shared" si="25"/>
        <v>68.318761927280448</v>
      </c>
      <c r="P287" s="39">
        <f t="shared" si="26"/>
        <v>113</v>
      </c>
      <c r="Q287" s="40">
        <f t="shared" si="27"/>
        <v>1030</v>
      </c>
      <c r="R287" s="41">
        <f t="shared" si="28"/>
        <v>4759</v>
      </c>
      <c r="S287" s="42" t="str">
        <f t="shared" si="29"/>
        <v>Overstock 📦</v>
      </c>
      <c r="T287" s="43">
        <f>IFERROR(N287/AVERAGE(M287:M291),0)</f>
        <v>0.2743354800544856</v>
      </c>
      <c r="U287" s="44">
        <v>-492.86</v>
      </c>
      <c r="V287" s="45">
        <v>7.5999999999999998E-2</v>
      </c>
    </row>
    <row r="288" spans="1:22" ht="15" customHeight="1" x14ac:dyDescent="0.35">
      <c r="A288" s="31">
        <v>2</v>
      </c>
      <c r="B288" s="32">
        <v>2022</v>
      </c>
      <c r="C288" s="31" t="s">
        <v>263</v>
      </c>
      <c r="D288" s="31" t="s">
        <v>148</v>
      </c>
      <c r="E288" s="33" t="s">
        <v>149</v>
      </c>
      <c r="F288" s="31" t="s">
        <v>36</v>
      </c>
      <c r="G288" s="34">
        <v>5802</v>
      </c>
      <c r="H288" s="34">
        <v>12</v>
      </c>
      <c r="I288" s="34">
        <f>IFERROR(ROUND('Data Bulanan'!BC62,0),0)</f>
        <v>29737</v>
      </c>
      <c r="J288" s="34">
        <v>2357384</v>
      </c>
      <c r="K288" s="34">
        <v>504369</v>
      </c>
      <c r="L288" s="35">
        <f t="shared" si="24"/>
        <v>527</v>
      </c>
      <c r="M288" s="36">
        <f>IFERROR(AVERAGE('Data Bulanan'!AF62,'Data Bulanan'!AH62,'Data Bulanan'!AJ62,'Data Bulanan'!AL62,'Data Bulanan'!AN62,'Data Bulanan'!AP62,'Data Bulanan'!AR62,'Data Bulanan'!AT62,'Data Bulanan'!AV62,'Data Bulanan'!AX62,'Data Bulanan'!AZ62,'Data Bulanan'!BB62),0)</f>
        <v>78.949974398361505</v>
      </c>
      <c r="N288" s="37">
        <f>'Data Bulanan'!BD62</f>
        <v>13.461762625581095</v>
      </c>
      <c r="O288" s="38">
        <f t="shared" si="25"/>
        <v>46.632913653876528</v>
      </c>
      <c r="P288" s="39">
        <f t="shared" si="26"/>
        <v>77</v>
      </c>
      <c r="Q288" s="40">
        <f t="shared" si="27"/>
        <v>1024</v>
      </c>
      <c r="R288" s="41">
        <f t="shared" si="28"/>
        <v>4778</v>
      </c>
      <c r="S288" s="42" t="str">
        <f t="shared" si="29"/>
        <v>Overstock 📦</v>
      </c>
      <c r="T288" s="43">
        <f>IFERROR(N288/AVERAGE(M287:M291),0)</f>
        <v>0.18725548286710358</v>
      </c>
      <c r="U288" s="44">
        <v>-492.86</v>
      </c>
      <c r="V288" s="45">
        <v>7.5999999999999998E-2</v>
      </c>
    </row>
    <row r="289" spans="1:22" ht="15" customHeight="1" x14ac:dyDescent="0.35">
      <c r="A289" s="31">
        <v>3</v>
      </c>
      <c r="B289" s="32">
        <v>2023</v>
      </c>
      <c r="C289" s="31" t="s">
        <v>263</v>
      </c>
      <c r="D289" s="31" t="s">
        <v>148</v>
      </c>
      <c r="E289" s="33" t="s">
        <v>149</v>
      </c>
      <c r="F289" s="31" t="s">
        <v>36</v>
      </c>
      <c r="G289" s="34">
        <v>2066</v>
      </c>
      <c r="H289" s="34">
        <v>12</v>
      </c>
      <c r="I289" s="34">
        <f>IFERROR(ROUND('Data Bulanan'!CC62,0),0)</f>
        <v>22673</v>
      </c>
      <c r="J289" s="34">
        <v>2626591</v>
      </c>
      <c r="K289" s="34">
        <v>520235</v>
      </c>
      <c r="L289" s="35">
        <f t="shared" si="24"/>
        <v>478</v>
      </c>
      <c r="M289" s="36">
        <f>IFERROR(AVERAGE('Data Bulanan'!BF62,'Data Bulanan'!BH62,'Data Bulanan'!BJ62,'Data Bulanan'!BL62,'Data Bulanan'!BN62,'Data Bulanan'!BP62,'Data Bulanan'!BR62,'Data Bulanan'!BT62,'Data Bulanan'!BV62,'Data Bulanan'!BX62,'Data Bulanan'!BZ62,'Data Bulanan'!CB62),0)</f>
        <v>60.176356886840757</v>
      </c>
      <c r="N289" s="37">
        <f>'Data Bulanan'!CD62</f>
        <v>14.683441399858772</v>
      </c>
      <c r="O289" s="38">
        <f t="shared" si="25"/>
        <v>50.864933069031345</v>
      </c>
      <c r="P289" s="39">
        <f t="shared" si="26"/>
        <v>84</v>
      </c>
      <c r="Q289" s="40">
        <f t="shared" si="27"/>
        <v>806</v>
      </c>
      <c r="R289" s="41">
        <f t="shared" si="28"/>
        <v>1260</v>
      </c>
      <c r="S289" s="42" t="str">
        <f t="shared" si="29"/>
        <v>Overstock 📦</v>
      </c>
      <c r="T289" s="43">
        <f>IFERROR(N289/AVERAGE(M287:M291),0)</f>
        <v>0.20424924922212301</v>
      </c>
      <c r="U289" s="44">
        <v>-492.86</v>
      </c>
      <c r="V289" s="45">
        <v>7.5999999999999998E-2</v>
      </c>
    </row>
    <row r="290" spans="1:22" ht="15" customHeight="1" x14ac:dyDescent="0.35">
      <c r="A290" s="31">
        <v>4</v>
      </c>
      <c r="B290" s="32">
        <v>2024</v>
      </c>
      <c r="C290" s="31" t="s">
        <v>263</v>
      </c>
      <c r="D290" s="31" t="s">
        <v>148</v>
      </c>
      <c r="E290" s="33" t="s">
        <v>149</v>
      </c>
      <c r="F290" s="31" t="s">
        <v>36</v>
      </c>
      <c r="G290" s="34">
        <v>4493</v>
      </c>
      <c r="H290" s="34">
        <v>12</v>
      </c>
      <c r="I290" s="34">
        <f>IFERROR(ROUND('Data Bulanan'!DC62,0),0)</f>
        <v>25777</v>
      </c>
      <c r="J290" s="34">
        <v>2589310</v>
      </c>
      <c r="K290" s="34">
        <v>546706</v>
      </c>
      <c r="L290" s="35">
        <f t="shared" si="24"/>
        <v>494</v>
      </c>
      <c r="M290" s="36">
        <f>IFERROR(AVERAGE('Data Bulanan'!CF62,'Data Bulanan'!CH62,'Data Bulanan'!CJ62,'Data Bulanan'!CL62,'Data Bulanan'!CN62,'Data Bulanan'!CP62,'Data Bulanan'!CR62,'Data Bulanan'!CT62,'Data Bulanan'!CV62,'Data Bulanan'!CX62,'Data Bulanan'!CZ62,'Data Bulanan'!DB62),0)</f>
        <v>68.740655401945716</v>
      </c>
      <c r="N290" s="37">
        <f>'Data Bulanan'!DD62</f>
        <v>17.638360904436581</v>
      </c>
      <c r="O290" s="38">
        <f t="shared" si="25"/>
        <v>61.101074497441381</v>
      </c>
      <c r="P290" s="39">
        <f t="shared" si="26"/>
        <v>101</v>
      </c>
      <c r="Q290" s="40">
        <f t="shared" si="27"/>
        <v>926</v>
      </c>
      <c r="R290" s="41">
        <f t="shared" si="28"/>
        <v>3567</v>
      </c>
      <c r="S290" s="42" t="str">
        <f t="shared" si="29"/>
        <v>Overstock 📦</v>
      </c>
      <c r="T290" s="43">
        <f>IFERROR(N290/AVERAGE(M287:M291),0)</f>
        <v>0.24535269860338521</v>
      </c>
      <c r="U290" s="44">
        <v>-492.86</v>
      </c>
      <c r="V290" s="45">
        <v>7.5999999999999998E-2</v>
      </c>
    </row>
    <row r="291" spans="1:22" ht="15" customHeight="1" x14ac:dyDescent="0.35">
      <c r="A291" s="31">
        <v>5</v>
      </c>
      <c r="B291" s="32">
        <v>2025</v>
      </c>
      <c r="C291" s="31" t="s">
        <v>263</v>
      </c>
      <c r="D291" s="31" t="s">
        <v>148</v>
      </c>
      <c r="E291" s="33" t="s">
        <v>149</v>
      </c>
      <c r="F291" s="31" t="s">
        <v>36</v>
      </c>
      <c r="G291" s="34">
        <v>1497</v>
      </c>
      <c r="H291" s="34">
        <v>12</v>
      </c>
      <c r="I291" s="34">
        <f>IFERROR(ROUND('Data Bulanan'!EC62,0),0)</f>
        <v>28192</v>
      </c>
      <c r="J291" s="34">
        <v>2552474</v>
      </c>
      <c r="K291" s="34">
        <v>575825</v>
      </c>
      <c r="L291" s="35">
        <f t="shared" si="24"/>
        <v>500</v>
      </c>
      <c r="M291" s="36">
        <f>IFERROR(AVERAGE('Data Bulanan'!DF62,'Data Bulanan'!DH62,'Data Bulanan'!DJ62,'Data Bulanan'!DL62,'Data Bulanan'!DN62,'Data Bulanan'!DP62,'Data Bulanan'!DR62,'Data Bulanan'!DT62,'Data Bulanan'!DV62,'Data Bulanan'!DX62,'Data Bulanan'!DZ62,'Data Bulanan'!EB62),0)</f>
        <v>75.187596006144375</v>
      </c>
      <c r="N291" s="37">
        <f>'Data Bulanan'!ED62</f>
        <v>21.240032939155419</v>
      </c>
      <c r="O291" s="38">
        <f t="shared" si="25"/>
        <v>73.577632410107398</v>
      </c>
      <c r="P291" s="39">
        <f t="shared" si="26"/>
        <v>121</v>
      </c>
      <c r="Q291" s="40">
        <f t="shared" si="27"/>
        <v>1023</v>
      </c>
      <c r="R291" s="41">
        <f t="shared" si="28"/>
        <v>474</v>
      </c>
      <c r="S291" s="42" t="str">
        <f t="shared" si="29"/>
        <v>Aman ✅</v>
      </c>
      <c r="T291" s="43">
        <f>IFERROR(N291/AVERAGE(M287:M291),0)</f>
        <v>0.29545258928995916</v>
      </c>
      <c r="U291" s="44">
        <v>-492.86</v>
      </c>
      <c r="V291" s="45">
        <v>7.5999999999999998E-2</v>
      </c>
    </row>
    <row r="292" spans="1:22" ht="15" customHeight="1" x14ac:dyDescent="0.35">
      <c r="A292" s="46">
        <v>1</v>
      </c>
      <c r="B292" s="32">
        <v>2021</v>
      </c>
      <c r="C292" s="46" t="s">
        <v>263</v>
      </c>
      <c r="D292" s="46" t="s">
        <v>150</v>
      </c>
      <c r="E292" s="47" t="s">
        <v>151</v>
      </c>
      <c r="F292" s="46" t="s">
        <v>36</v>
      </c>
      <c r="G292" s="34">
        <v>4242</v>
      </c>
      <c r="H292" s="34">
        <v>6</v>
      </c>
      <c r="I292" s="34">
        <f>IFERROR(ROUND('Data Bulanan'!AC63,0),0)</f>
        <v>49887</v>
      </c>
      <c r="J292" s="34">
        <v>643722</v>
      </c>
      <c r="K292" s="34">
        <v>586794</v>
      </c>
      <c r="L292" s="35">
        <f t="shared" si="24"/>
        <v>331</v>
      </c>
      <c r="M292" s="36">
        <f>IFERROR(AVERAGE('Data Bulanan'!F63,'Data Bulanan'!H63,'Data Bulanan'!J63,'Data Bulanan'!L63,'Data Bulanan'!N63,'Data Bulanan'!P63,'Data Bulanan'!R63,'Data Bulanan'!T63,'Data Bulanan'!V63,'Data Bulanan'!X63,'Data Bulanan'!Z63,'Data Bulanan'!AB63),0)</f>
        <v>132.45821172555043</v>
      </c>
      <c r="N292" s="37">
        <f>'Data Bulanan'!AD63</f>
        <v>35.606174547923381</v>
      </c>
      <c r="O292" s="38">
        <f t="shared" si="25"/>
        <v>87.216959334885772</v>
      </c>
      <c r="P292" s="39">
        <f t="shared" si="26"/>
        <v>144</v>
      </c>
      <c r="Q292" s="40">
        <f t="shared" si="27"/>
        <v>939</v>
      </c>
      <c r="R292" s="41">
        <f t="shared" si="28"/>
        <v>3303</v>
      </c>
      <c r="S292" s="42" t="str">
        <f t="shared" si="29"/>
        <v>Overstock 📦</v>
      </c>
      <c r="T292" s="43">
        <f>IFERROR(N292/AVERAGE(M292:M296),0)</f>
        <v>0.27854040068535668</v>
      </c>
      <c r="U292" s="44">
        <v>-2072.0700000000002</v>
      </c>
      <c r="V292" s="45">
        <v>0.436</v>
      </c>
    </row>
    <row r="293" spans="1:22" ht="15" customHeight="1" x14ac:dyDescent="0.35">
      <c r="A293" s="46">
        <v>2</v>
      </c>
      <c r="B293" s="32">
        <v>2022</v>
      </c>
      <c r="C293" s="46" t="s">
        <v>263</v>
      </c>
      <c r="D293" s="46" t="s">
        <v>150</v>
      </c>
      <c r="E293" s="47" t="s">
        <v>151</v>
      </c>
      <c r="F293" s="46" t="s">
        <v>36</v>
      </c>
      <c r="G293" s="34">
        <v>1445</v>
      </c>
      <c r="H293" s="34">
        <v>6</v>
      </c>
      <c r="I293" s="34">
        <f>IFERROR(ROUND('Data Bulanan'!BC63,0),0)</f>
        <v>49563</v>
      </c>
      <c r="J293" s="34">
        <v>716868</v>
      </c>
      <c r="K293" s="34">
        <v>571226</v>
      </c>
      <c r="L293" s="35">
        <f t="shared" si="24"/>
        <v>353</v>
      </c>
      <c r="M293" s="36">
        <f>IFERROR(AVERAGE('Data Bulanan'!AF63,'Data Bulanan'!AH63,'Data Bulanan'!AJ63,'Data Bulanan'!AL63,'Data Bulanan'!AN63,'Data Bulanan'!AP63,'Data Bulanan'!AR63,'Data Bulanan'!AT63,'Data Bulanan'!AV63,'Data Bulanan'!AX63,'Data Bulanan'!AZ63,'Data Bulanan'!BB63),0)</f>
        <v>131.71402969790068</v>
      </c>
      <c r="N293" s="37">
        <f>'Data Bulanan'!BD63</f>
        <v>31.164358008284029</v>
      </c>
      <c r="O293" s="38">
        <f t="shared" si="25"/>
        <v>76.336775281714523</v>
      </c>
      <c r="P293" s="39">
        <f t="shared" si="26"/>
        <v>126</v>
      </c>
      <c r="Q293" s="40">
        <f t="shared" si="27"/>
        <v>916</v>
      </c>
      <c r="R293" s="41">
        <f t="shared" si="28"/>
        <v>529</v>
      </c>
      <c r="S293" s="42" t="str">
        <f t="shared" si="29"/>
        <v>Overstock 📦</v>
      </c>
      <c r="T293" s="43">
        <f>IFERROR(N293/AVERAGE(M292:M296),0)</f>
        <v>0.24379290606032269</v>
      </c>
      <c r="U293" s="44">
        <v>-2072.0700000000002</v>
      </c>
      <c r="V293" s="45">
        <v>0.436</v>
      </c>
    </row>
    <row r="294" spans="1:22" ht="15" customHeight="1" x14ac:dyDescent="0.35">
      <c r="A294" s="46">
        <v>3</v>
      </c>
      <c r="B294" s="32">
        <v>2023</v>
      </c>
      <c r="C294" s="46" t="s">
        <v>263</v>
      </c>
      <c r="D294" s="46" t="s">
        <v>150</v>
      </c>
      <c r="E294" s="47" t="s">
        <v>151</v>
      </c>
      <c r="F294" s="46" t="s">
        <v>36</v>
      </c>
      <c r="G294" s="34">
        <v>2007</v>
      </c>
      <c r="H294" s="34">
        <v>6</v>
      </c>
      <c r="I294" s="34">
        <f>IFERROR(ROUND('Data Bulanan'!CC63,0),0)</f>
        <v>51538</v>
      </c>
      <c r="J294" s="34">
        <v>664989</v>
      </c>
      <c r="K294" s="34">
        <v>582242</v>
      </c>
      <c r="L294" s="35">
        <f t="shared" si="24"/>
        <v>343</v>
      </c>
      <c r="M294" s="36">
        <f>IFERROR(AVERAGE('Data Bulanan'!BF63,'Data Bulanan'!BH63,'Data Bulanan'!BJ63,'Data Bulanan'!BL63,'Data Bulanan'!BN63,'Data Bulanan'!BP63,'Data Bulanan'!BR63,'Data Bulanan'!BT63,'Data Bulanan'!BV63,'Data Bulanan'!BX63,'Data Bulanan'!BZ63,'Data Bulanan'!CB63),0)</f>
        <v>137.46066308243726</v>
      </c>
      <c r="N294" s="37">
        <f>'Data Bulanan'!CD63</f>
        <v>34.266045036644115</v>
      </c>
      <c r="O294" s="38">
        <f t="shared" si="25"/>
        <v>83.934325843006178</v>
      </c>
      <c r="P294" s="39">
        <f t="shared" si="26"/>
        <v>138</v>
      </c>
      <c r="Q294" s="40">
        <f t="shared" si="27"/>
        <v>963</v>
      </c>
      <c r="R294" s="41">
        <f t="shared" si="28"/>
        <v>1044</v>
      </c>
      <c r="S294" s="42" t="str">
        <f t="shared" si="29"/>
        <v>Overstock 📦</v>
      </c>
      <c r="T294" s="43">
        <f>IFERROR(N294/AVERAGE(M292:M296),0)</f>
        <v>0.26805681979576718</v>
      </c>
      <c r="U294" s="44">
        <v>-2072.0700000000002</v>
      </c>
      <c r="V294" s="45">
        <v>0.436</v>
      </c>
    </row>
    <row r="295" spans="1:22" ht="15" customHeight="1" x14ac:dyDescent="0.35">
      <c r="A295" s="46">
        <v>4</v>
      </c>
      <c r="B295" s="32">
        <v>2024</v>
      </c>
      <c r="C295" s="46" t="s">
        <v>263</v>
      </c>
      <c r="D295" s="46" t="s">
        <v>150</v>
      </c>
      <c r="E295" s="47" t="s">
        <v>151</v>
      </c>
      <c r="F295" s="46" t="s">
        <v>36</v>
      </c>
      <c r="G295" s="34">
        <v>1721</v>
      </c>
      <c r="H295" s="34">
        <v>6</v>
      </c>
      <c r="I295" s="34">
        <f>IFERROR(ROUND('Data Bulanan'!DC63,0),0)</f>
        <v>50034</v>
      </c>
      <c r="J295" s="34">
        <v>605905</v>
      </c>
      <c r="K295" s="34">
        <v>578226</v>
      </c>
      <c r="L295" s="35">
        <f t="shared" si="24"/>
        <v>324</v>
      </c>
      <c r="M295" s="36">
        <f>IFERROR(AVERAGE('Data Bulanan'!CF63,'Data Bulanan'!CH63,'Data Bulanan'!CJ63,'Data Bulanan'!CL63,'Data Bulanan'!CN63,'Data Bulanan'!CP63,'Data Bulanan'!CR63,'Data Bulanan'!CT63,'Data Bulanan'!CV63,'Data Bulanan'!CX63,'Data Bulanan'!CZ63,'Data Bulanan'!DB63),0)</f>
        <v>133.29159626216077</v>
      </c>
      <c r="N295" s="37">
        <f>'Data Bulanan'!DD63</f>
        <v>37.748293125358224</v>
      </c>
      <c r="O295" s="38">
        <f t="shared" si="25"/>
        <v>92.46405681813772</v>
      </c>
      <c r="P295" s="39">
        <f t="shared" si="26"/>
        <v>153</v>
      </c>
      <c r="Q295" s="40">
        <f t="shared" si="27"/>
        <v>953</v>
      </c>
      <c r="R295" s="41">
        <f t="shared" si="28"/>
        <v>768</v>
      </c>
      <c r="S295" s="42" t="str">
        <f t="shared" si="29"/>
        <v>Overstock 📦</v>
      </c>
      <c r="T295" s="43">
        <f>IFERROR(N295/AVERAGE(M292:M296),0)</f>
        <v>0.29529779106637544</v>
      </c>
      <c r="U295" s="44">
        <v>-2072.0700000000002</v>
      </c>
      <c r="V295" s="45">
        <v>0.436</v>
      </c>
    </row>
    <row r="296" spans="1:22" ht="15" customHeight="1" x14ac:dyDescent="0.35">
      <c r="A296" s="46">
        <v>5</v>
      </c>
      <c r="B296" s="32">
        <v>2025</v>
      </c>
      <c r="C296" s="46" t="s">
        <v>263</v>
      </c>
      <c r="D296" s="46" t="s">
        <v>150</v>
      </c>
      <c r="E296" s="47" t="s">
        <v>151</v>
      </c>
      <c r="F296" s="46" t="s">
        <v>36</v>
      </c>
      <c r="G296" s="34">
        <v>2235</v>
      </c>
      <c r="H296" s="34">
        <v>6</v>
      </c>
      <c r="I296" s="34">
        <f>IFERROR(ROUND('Data Bulanan'!EC63,0),0)</f>
        <v>39291</v>
      </c>
      <c r="J296" s="34">
        <v>651569</v>
      </c>
      <c r="K296" s="34">
        <v>575922</v>
      </c>
      <c r="L296" s="35">
        <f t="shared" si="24"/>
        <v>298</v>
      </c>
      <c r="M296" s="36">
        <f>IFERROR(AVERAGE('Data Bulanan'!DF63,'Data Bulanan'!DH63,'Data Bulanan'!DJ63,'Data Bulanan'!DL63,'Data Bulanan'!DN63,'Data Bulanan'!DP63,'Data Bulanan'!DR63,'Data Bulanan'!DT63,'Data Bulanan'!DV63,'Data Bulanan'!DX63,'Data Bulanan'!DZ63,'Data Bulanan'!EB63),0)</f>
        <v>104.23187403993855</v>
      </c>
      <c r="N296" s="37">
        <f>'Data Bulanan'!ED63</f>
        <v>19.973851264063125</v>
      </c>
      <c r="O296" s="38">
        <f t="shared" si="25"/>
        <v>48.925743795199438</v>
      </c>
      <c r="P296" s="39">
        <f t="shared" si="26"/>
        <v>81</v>
      </c>
      <c r="Q296" s="40">
        <f t="shared" si="27"/>
        <v>706</v>
      </c>
      <c r="R296" s="41">
        <f t="shared" si="28"/>
        <v>1529</v>
      </c>
      <c r="S296" s="42" t="str">
        <f t="shared" si="29"/>
        <v>Overstock 📦</v>
      </c>
      <c r="T296" s="43">
        <f>IFERROR(N296/AVERAGE(M292:M296),0)</f>
        <v>0.15625167839453666</v>
      </c>
      <c r="U296" s="44">
        <v>-2072.0700000000002</v>
      </c>
      <c r="V296" s="45">
        <v>0.436</v>
      </c>
    </row>
    <row r="297" spans="1:22" ht="15" customHeight="1" x14ac:dyDescent="0.35">
      <c r="A297" s="31">
        <v>1</v>
      </c>
      <c r="B297" s="32">
        <v>2021</v>
      </c>
      <c r="C297" s="31" t="s">
        <v>263</v>
      </c>
      <c r="D297" s="31" t="s">
        <v>152</v>
      </c>
      <c r="E297" s="33" t="s">
        <v>153</v>
      </c>
      <c r="F297" s="31" t="s">
        <v>36</v>
      </c>
      <c r="G297" s="34">
        <v>0</v>
      </c>
      <c r="H297" s="34">
        <v>33</v>
      </c>
      <c r="I297" s="34">
        <f>IFERROR(ROUND('Data Bulanan'!AC64,0),0)</f>
        <v>39053</v>
      </c>
      <c r="J297" s="34">
        <v>11462688</v>
      </c>
      <c r="K297" s="34">
        <v>248609</v>
      </c>
      <c r="L297" s="35">
        <f t="shared" si="24"/>
        <v>1898</v>
      </c>
      <c r="M297" s="36">
        <f>IFERROR(AVERAGE('Data Bulanan'!F64,'Data Bulanan'!H64,'Data Bulanan'!J64,'Data Bulanan'!L64,'Data Bulanan'!N64,'Data Bulanan'!P64,'Data Bulanan'!R64,'Data Bulanan'!T64,'Data Bulanan'!V64,'Data Bulanan'!X64,'Data Bulanan'!Z64,'Data Bulanan'!AB64),0)</f>
        <v>104.1583205325141</v>
      </c>
      <c r="N297" s="37">
        <f>'Data Bulanan'!AD64</f>
        <v>25.557121133985643</v>
      </c>
      <c r="O297" s="38">
        <f t="shared" si="25"/>
        <v>146.81448341934154</v>
      </c>
      <c r="P297" s="39">
        <f t="shared" si="26"/>
        <v>242</v>
      </c>
      <c r="Q297" s="40">
        <f t="shared" si="27"/>
        <v>3679</v>
      </c>
      <c r="R297" s="41">
        <f t="shared" si="28"/>
        <v>-3679</v>
      </c>
      <c r="S297" s="42" t="str">
        <f t="shared" si="29"/>
        <v>Stockout ⚠</v>
      </c>
      <c r="T297" s="43">
        <f>IFERROR(N297/AVERAGE(M297:M301),0)</f>
        <v>0.2765927795124743</v>
      </c>
      <c r="U297" s="44">
        <v>-1962.78</v>
      </c>
      <c r="V297" s="45">
        <v>0.62409999999999999</v>
      </c>
    </row>
    <row r="298" spans="1:22" ht="15" customHeight="1" x14ac:dyDescent="0.35">
      <c r="A298" s="31">
        <v>2</v>
      </c>
      <c r="B298" s="32">
        <v>2022</v>
      </c>
      <c r="C298" s="31" t="s">
        <v>263</v>
      </c>
      <c r="D298" s="31" t="s">
        <v>152</v>
      </c>
      <c r="E298" s="33" t="s">
        <v>153</v>
      </c>
      <c r="F298" s="31" t="s">
        <v>36</v>
      </c>
      <c r="G298" s="34">
        <v>8352</v>
      </c>
      <c r="H298" s="34">
        <v>33</v>
      </c>
      <c r="I298" s="34">
        <f>IFERROR(ROUND('Data Bulanan'!BC64,0),0)</f>
        <v>34125</v>
      </c>
      <c r="J298" s="34">
        <v>10750224</v>
      </c>
      <c r="K298" s="34">
        <v>242361</v>
      </c>
      <c r="L298" s="35">
        <f t="shared" si="24"/>
        <v>1740</v>
      </c>
      <c r="M298" s="36">
        <f>IFERROR(AVERAGE('Data Bulanan'!AF64,'Data Bulanan'!AH64,'Data Bulanan'!AJ64,'Data Bulanan'!AL64,'Data Bulanan'!AN64,'Data Bulanan'!AP64,'Data Bulanan'!AR64,'Data Bulanan'!AT64,'Data Bulanan'!AV64,'Data Bulanan'!AX64,'Data Bulanan'!AZ64,'Data Bulanan'!BB64),0)</f>
        <v>90.658915770609326</v>
      </c>
      <c r="N298" s="37">
        <f>'Data Bulanan'!BD64</f>
        <v>24.210318036753041</v>
      </c>
      <c r="O298" s="38">
        <f t="shared" si="25"/>
        <v>139.07768865473741</v>
      </c>
      <c r="P298" s="39">
        <f t="shared" si="26"/>
        <v>229</v>
      </c>
      <c r="Q298" s="40">
        <f t="shared" si="27"/>
        <v>3221</v>
      </c>
      <c r="R298" s="41">
        <f t="shared" si="28"/>
        <v>5131</v>
      </c>
      <c r="S298" s="42" t="str">
        <f t="shared" si="29"/>
        <v>Overstock 📦</v>
      </c>
      <c r="T298" s="43">
        <f>IFERROR(N298/AVERAGE(M297:M301),0)</f>
        <v>0.26201695893524168</v>
      </c>
      <c r="U298" s="44">
        <v>-1962.78</v>
      </c>
      <c r="V298" s="45">
        <v>0.62409999999999999</v>
      </c>
    </row>
    <row r="299" spans="1:22" ht="15" customHeight="1" x14ac:dyDescent="0.35">
      <c r="A299" s="31">
        <v>3</v>
      </c>
      <c r="B299" s="32">
        <v>2023</v>
      </c>
      <c r="C299" s="31" t="s">
        <v>263</v>
      </c>
      <c r="D299" s="31" t="s">
        <v>152</v>
      </c>
      <c r="E299" s="33" t="s">
        <v>153</v>
      </c>
      <c r="F299" s="31" t="s">
        <v>36</v>
      </c>
      <c r="G299" s="34">
        <v>10635</v>
      </c>
      <c r="H299" s="34">
        <v>33</v>
      </c>
      <c r="I299" s="34">
        <f>IFERROR(ROUND('Data Bulanan'!CC64,0),0)</f>
        <v>38512</v>
      </c>
      <c r="J299" s="34">
        <v>12524636</v>
      </c>
      <c r="K299" s="34">
        <v>240266</v>
      </c>
      <c r="L299" s="35">
        <f t="shared" si="24"/>
        <v>2004</v>
      </c>
      <c r="M299" s="36">
        <f>IFERROR(AVERAGE('Data Bulanan'!BF64,'Data Bulanan'!BH64,'Data Bulanan'!BJ64,'Data Bulanan'!BL64,'Data Bulanan'!BN64,'Data Bulanan'!BP64,'Data Bulanan'!BR64,'Data Bulanan'!BT64,'Data Bulanan'!BV64,'Data Bulanan'!BX64,'Data Bulanan'!BZ64,'Data Bulanan'!CB64),0)</f>
        <v>102.43858806963645</v>
      </c>
      <c r="N299" s="37">
        <f>'Data Bulanan'!CD64</f>
        <v>20.179404851775185</v>
      </c>
      <c r="O299" s="38">
        <f t="shared" si="25"/>
        <v>115.92185534087599</v>
      </c>
      <c r="P299" s="39">
        <f t="shared" si="26"/>
        <v>191</v>
      </c>
      <c r="Q299" s="40">
        <f t="shared" si="27"/>
        <v>3571</v>
      </c>
      <c r="R299" s="41">
        <f t="shared" si="28"/>
        <v>7064</v>
      </c>
      <c r="S299" s="42" t="str">
        <f t="shared" si="29"/>
        <v>Overstock 📦</v>
      </c>
      <c r="T299" s="43">
        <f>IFERROR(N299/AVERAGE(M297:M301),0)</f>
        <v>0.21839226912916285</v>
      </c>
      <c r="U299" s="44">
        <v>-1962.78</v>
      </c>
      <c r="V299" s="45">
        <v>0.62409999999999999</v>
      </c>
    </row>
    <row r="300" spans="1:22" ht="15" customHeight="1" x14ac:dyDescent="0.35">
      <c r="A300" s="31">
        <v>4</v>
      </c>
      <c r="B300" s="32">
        <v>2024</v>
      </c>
      <c r="C300" s="31" t="s">
        <v>263</v>
      </c>
      <c r="D300" s="31" t="s">
        <v>152</v>
      </c>
      <c r="E300" s="33" t="s">
        <v>153</v>
      </c>
      <c r="F300" s="31" t="s">
        <v>36</v>
      </c>
      <c r="G300" s="34">
        <v>8044</v>
      </c>
      <c r="H300" s="34">
        <v>33</v>
      </c>
      <c r="I300" s="34">
        <f>IFERROR(ROUND('Data Bulanan'!DC64,0),0)</f>
        <v>31309</v>
      </c>
      <c r="J300" s="34">
        <v>11005724</v>
      </c>
      <c r="K300" s="34">
        <v>267423</v>
      </c>
      <c r="L300" s="35">
        <f t="shared" si="24"/>
        <v>1605</v>
      </c>
      <c r="M300" s="36">
        <f>IFERROR(AVERAGE('Data Bulanan'!CF64,'Data Bulanan'!CH64,'Data Bulanan'!CJ64,'Data Bulanan'!CL64,'Data Bulanan'!CN64,'Data Bulanan'!CP64,'Data Bulanan'!CR64,'Data Bulanan'!CT64,'Data Bulanan'!CV64,'Data Bulanan'!CX64,'Data Bulanan'!CZ64,'Data Bulanan'!DB64),0)</f>
        <v>83.073687916026614</v>
      </c>
      <c r="N300" s="37">
        <f>'Data Bulanan'!DD64</f>
        <v>20.092146008239361</v>
      </c>
      <c r="O300" s="38">
        <f t="shared" si="25"/>
        <v>115.42059144771999</v>
      </c>
      <c r="P300" s="39">
        <f t="shared" si="26"/>
        <v>190</v>
      </c>
      <c r="Q300" s="40">
        <f t="shared" si="27"/>
        <v>2931</v>
      </c>
      <c r="R300" s="41">
        <f t="shared" si="28"/>
        <v>5113</v>
      </c>
      <c r="S300" s="42" t="str">
        <f t="shared" si="29"/>
        <v>Overstock 📦</v>
      </c>
      <c r="T300" s="43">
        <f>IFERROR(N300/AVERAGE(M297:M301),0)</f>
        <v>0.21744790744053261</v>
      </c>
      <c r="U300" s="44">
        <v>-1962.78</v>
      </c>
      <c r="V300" s="45">
        <v>0.62409999999999999</v>
      </c>
    </row>
    <row r="301" spans="1:22" ht="15" customHeight="1" x14ac:dyDescent="0.35">
      <c r="A301" s="31">
        <v>5</v>
      </c>
      <c r="B301" s="32">
        <v>2025</v>
      </c>
      <c r="C301" s="31" t="s">
        <v>263</v>
      </c>
      <c r="D301" s="31" t="s">
        <v>152</v>
      </c>
      <c r="E301" s="33" t="s">
        <v>153</v>
      </c>
      <c r="F301" s="31" t="s">
        <v>36</v>
      </c>
      <c r="G301" s="34">
        <v>0</v>
      </c>
      <c r="H301" s="34">
        <v>33</v>
      </c>
      <c r="I301" s="34">
        <f>IFERROR(ROUND('Data Bulanan'!EC64,0),0)</f>
        <v>30647</v>
      </c>
      <c r="J301" s="34">
        <v>10410753</v>
      </c>
      <c r="K301" s="34">
        <v>259314</v>
      </c>
      <c r="L301" s="35">
        <f t="shared" si="24"/>
        <v>1569</v>
      </c>
      <c r="M301" s="36">
        <f>IFERROR(AVERAGE('Data Bulanan'!DF64,'Data Bulanan'!DH64,'Data Bulanan'!DJ64,'Data Bulanan'!DL64,'Data Bulanan'!DN64,'Data Bulanan'!DP64,'Data Bulanan'!DR64,'Data Bulanan'!DT64,'Data Bulanan'!DV64,'Data Bulanan'!DX64,'Data Bulanan'!DZ64,'Data Bulanan'!EB64),0)</f>
        <v>81.66955325140809</v>
      </c>
      <c r="N301" s="37">
        <f>'Data Bulanan'!ED64</f>
        <v>15.517312722949899</v>
      </c>
      <c r="O301" s="38">
        <f t="shared" si="25"/>
        <v>89.140175042907302</v>
      </c>
      <c r="P301" s="39">
        <f t="shared" si="26"/>
        <v>147</v>
      </c>
      <c r="Q301" s="40">
        <f t="shared" si="27"/>
        <v>2842</v>
      </c>
      <c r="R301" s="41">
        <f t="shared" si="28"/>
        <v>-2842</v>
      </c>
      <c r="S301" s="42" t="str">
        <f t="shared" si="29"/>
        <v>Stockout ⚠</v>
      </c>
      <c r="T301" s="43">
        <f>IFERROR(N301/AVERAGE(M297:M301),0)</f>
        <v>0.16793662455579003</v>
      </c>
      <c r="U301" s="44">
        <v>-1962.78</v>
      </c>
      <c r="V301" s="45">
        <v>0.62409999999999999</v>
      </c>
    </row>
    <row r="302" spans="1:22" ht="15" customHeight="1" x14ac:dyDescent="0.35">
      <c r="A302" s="46">
        <v>1</v>
      </c>
      <c r="B302" s="32">
        <v>2021</v>
      </c>
      <c r="C302" s="46" t="s">
        <v>264</v>
      </c>
      <c r="D302" s="46" t="s">
        <v>154</v>
      </c>
      <c r="E302" s="47" t="s">
        <v>155</v>
      </c>
      <c r="F302" s="46" t="s">
        <v>36</v>
      </c>
      <c r="G302" s="34">
        <v>3311</v>
      </c>
      <c r="H302" s="34">
        <v>10</v>
      </c>
      <c r="I302" s="34">
        <f>IFERROR(ROUND('Data Bulanan'!AC65,0),0)</f>
        <v>53603</v>
      </c>
      <c r="J302" s="34">
        <v>1215081</v>
      </c>
      <c r="K302" s="34">
        <v>236826</v>
      </c>
      <c r="L302" s="35">
        <f t="shared" si="24"/>
        <v>742</v>
      </c>
      <c r="M302" s="36">
        <f>IFERROR(AVERAGE('Data Bulanan'!F65,'Data Bulanan'!H65,'Data Bulanan'!J65,'Data Bulanan'!L65,'Data Bulanan'!N65,'Data Bulanan'!P65,'Data Bulanan'!R65,'Data Bulanan'!T65,'Data Bulanan'!V65,'Data Bulanan'!X65,'Data Bulanan'!Z65,'Data Bulanan'!AB65),0)</f>
        <v>142.60315540194571</v>
      </c>
      <c r="N302" s="37">
        <f>'Data Bulanan'!AD65</f>
        <v>37.244740127817089</v>
      </c>
      <c r="O302" s="38">
        <f t="shared" si="25"/>
        <v>117.77820966497278</v>
      </c>
      <c r="P302" s="39">
        <f t="shared" si="26"/>
        <v>194</v>
      </c>
      <c r="Q302" s="40">
        <f t="shared" si="27"/>
        <v>1620</v>
      </c>
      <c r="R302" s="41">
        <f t="shared" si="28"/>
        <v>1691</v>
      </c>
      <c r="S302" s="42" t="str">
        <f t="shared" si="29"/>
        <v>Overstock 📦</v>
      </c>
      <c r="T302" s="43">
        <f>IFERROR(N302/AVERAGE(M302:M306),0)</f>
        <v>0.27601250979448094</v>
      </c>
      <c r="U302" s="44">
        <v>1602.18</v>
      </c>
      <c r="V302" s="45">
        <v>0.15620000000000001</v>
      </c>
    </row>
    <row r="303" spans="1:22" ht="15" customHeight="1" x14ac:dyDescent="0.35">
      <c r="A303" s="46">
        <v>2</v>
      </c>
      <c r="B303" s="32">
        <v>2022</v>
      </c>
      <c r="C303" s="46" t="s">
        <v>264</v>
      </c>
      <c r="D303" s="46" t="s">
        <v>154</v>
      </c>
      <c r="E303" s="47" t="s">
        <v>155</v>
      </c>
      <c r="F303" s="46" t="s">
        <v>36</v>
      </c>
      <c r="G303" s="34">
        <v>0</v>
      </c>
      <c r="H303" s="34">
        <v>10</v>
      </c>
      <c r="I303" s="34">
        <f>IFERROR(ROUND('Data Bulanan'!BC65,0),0)</f>
        <v>43827</v>
      </c>
      <c r="J303" s="34">
        <v>1264246</v>
      </c>
      <c r="K303" s="34">
        <v>228260</v>
      </c>
      <c r="L303" s="35">
        <f t="shared" si="24"/>
        <v>697</v>
      </c>
      <c r="M303" s="36">
        <f>IFERROR(AVERAGE('Data Bulanan'!AF65,'Data Bulanan'!AH65,'Data Bulanan'!AJ65,'Data Bulanan'!AL65,'Data Bulanan'!AN65,'Data Bulanan'!AP65,'Data Bulanan'!AR65,'Data Bulanan'!AT65,'Data Bulanan'!AV65,'Data Bulanan'!AX65,'Data Bulanan'!AZ65,'Data Bulanan'!BB65),0)</f>
        <v>116.46245519713261</v>
      </c>
      <c r="N303" s="37">
        <f>'Data Bulanan'!BD65</f>
        <v>21.09391740546301</v>
      </c>
      <c r="O303" s="38">
        <f t="shared" si="25"/>
        <v>66.704823776732624</v>
      </c>
      <c r="P303" s="39">
        <f t="shared" si="26"/>
        <v>110</v>
      </c>
      <c r="Q303" s="40">
        <f t="shared" si="27"/>
        <v>1275</v>
      </c>
      <c r="R303" s="41">
        <f t="shared" si="28"/>
        <v>-1275</v>
      </c>
      <c r="S303" s="42" t="str">
        <f t="shared" si="29"/>
        <v>Stockout ⚠</v>
      </c>
      <c r="T303" s="43">
        <f>IFERROR(N303/AVERAGE(M302:M306),0)</f>
        <v>0.15632234416185115</v>
      </c>
      <c r="U303" s="44">
        <v>1602.18</v>
      </c>
      <c r="V303" s="45">
        <v>0.15620000000000001</v>
      </c>
    </row>
    <row r="304" spans="1:22" ht="15" customHeight="1" x14ac:dyDescent="0.35">
      <c r="A304" s="46">
        <v>3</v>
      </c>
      <c r="B304" s="32">
        <v>2023</v>
      </c>
      <c r="C304" s="46" t="s">
        <v>264</v>
      </c>
      <c r="D304" s="46" t="s">
        <v>154</v>
      </c>
      <c r="E304" s="47" t="s">
        <v>155</v>
      </c>
      <c r="F304" s="46" t="s">
        <v>36</v>
      </c>
      <c r="G304" s="34">
        <v>3858</v>
      </c>
      <c r="H304" s="34">
        <v>10</v>
      </c>
      <c r="I304" s="34">
        <f>IFERROR(ROUND('Data Bulanan'!CC65,0),0)</f>
        <v>43767</v>
      </c>
      <c r="J304" s="34">
        <v>1133106</v>
      </c>
      <c r="K304" s="34">
        <v>231809</v>
      </c>
      <c r="L304" s="35">
        <f t="shared" si="24"/>
        <v>654</v>
      </c>
      <c r="M304" s="36">
        <f>IFERROR(AVERAGE('Data Bulanan'!BF65,'Data Bulanan'!BH65,'Data Bulanan'!BJ65,'Data Bulanan'!BL65,'Data Bulanan'!BN65,'Data Bulanan'!BP65,'Data Bulanan'!BR65,'Data Bulanan'!BT65,'Data Bulanan'!BV65,'Data Bulanan'!BX65,'Data Bulanan'!BZ65,'Data Bulanan'!CB65),0)</f>
        <v>116.6373783922171</v>
      </c>
      <c r="N304" s="37">
        <f>'Data Bulanan'!CD65</f>
        <v>29.964050062129996</v>
      </c>
      <c r="O304" s="38">
        <f t="shared" si="25"/>
        <v>94.754646119640626</v>
      </c>
      <c r="P304" s="39">
        <f t="shared" si="26"/>
        <v>156</v>
      </c>
      <c r="Q304" s="40">
        <f t="shared" si="27"/>
        <v>1322</v>
      </c>
      <c r="R304" s="41">
        <f t="shared" si="28"/>
        <v>2536</v>
      </c>
      <c r="S304" s="42" t="str">
        <f t="shared" si="29"/>
        <v>Overstock 📦</v>
      </c>
      <c r="T304" s="43">
        <f>IFERROR(N304/AVERAGE(M302:M306),0)</f>
        <v>0.22205693026379839</v>
      </c>
      <c r="U304" s="44">
        <v>1602.18</v>
      </c>
      <c r="V304" s="45">
        <v>0.15620000000000001</v>
      </c>
    </row>
    <row r="305" spans="1:22" ht="15" customHeight="1" x14ac:dyDescent="0.35">
      <c r="A305" s="46">
        <v>4</v>
      </c>
      <c r="B305" s="32">
        <v>2024</v>
      </c>
      <c r="C305" s="46" t="s">
        <v>264</v>
      </c>
      <c r="D305" s="46" t="s">
        <v>154</v>
      </c>
      <c r="E305" s="47" t="s">
        <v>155</v>
      </c>
      <c r="F305" s="46" t="s">
        <v>36</v>
      </c>
      <c r="G305" s="34">
        <v>0</v>
      </c>
      <c r="H305" s="34">
        <v>10</v>
      </c>
      <c r="I305" s="34">
        <f>IFERROR(ROUND('Data Bulanan'!DC65,0),0)</f>
        <v>57258</v>
      </c>
      <c r="J305" s="34">
        <v>1326855</v>
      </c>
      <c r="K305" s="34">
        <v>204565</v>
      </c>
      <c r="L305" s="35">
        <f t="shared" si="24"/>
        <v>862</v>
      </c>
      <c r="M305" s="36">
        <f>IFERROR(AVERAGE('Data Bulanan'!CF65,'Data Bulanan'!CH65,'Data Bulanan'!CJ65,'Data Bulanan'!CL65,'Data Bulanan'!CN65,'Data Bulanan'!CP65,'Data Bulanan'!CR65,'Data Bulanan'!CT65,'Data Bulanan'!CV65,'Data Bulanan'!CX65,'Data Bulanan'!CZ65,'Data Bulanan'!DB65),0)</f>
        <v>152.62450076804913</v>
      </c>
      <c r="N305" s="37">
        <f>'Data Bulanan'!DD65</f>
        <v>32.506489128653079</v>
      </c>
      <c r="O305" s="38">
        <f t="shared" si="25"/>
        <v>102.79454438204593</v>
      </c>
      <c r="P305" s="39">
        <f t="shared" si="26"/>
        <v>170</v>
      </c>
      <c r="Q305" s="40">
        <f t="shared" si="27"/>
        <v>1696</v>
      </c>
      <c r="R305" s="41">
        <f t="shared" si="28"/>
        <v>-1696</v>
      </c>
      <c r="S305" s="42" t="str">
        <f t="shared" si="29"/>
        <v>Stockout ⚠</v>
      </c>
      <c r="T305" s="43">
        <f>IFERROR(N305/AVERAGE(M302:M306),0)</f>
        <v>0.24089838238139441</v>
      </c>
      <c r="U305" s="44">
        <v>1602.18</v>
      </c>
      <c r="V305" s="45">
        <v>0.15620000000000001</v>
      </c>
    </row>
    <row r="306" spans="1:22" ht="15" customHeight="1" x14ac:dyDescent="0.35">
      <c r="A306" s="46">
        <v>5</v>
      </c>
      <c r="B306" s="32">
        <v>2025</v>
      </c>
      <c r="C306" s="46" t="s">
        <v>264</v>
      </c>
      <c r="D306" s="46" t="s">
        <v>154</v>
      </c>
      <c r="E306" s="47" t="s">
        <v>155</v>
      </c>
      <c r="F306" s="46" t="s">
        <v>36</v>
      </c>
      <c r="G306" s="34">
        <v>1104</v>
      </c>
      <c r="H306" s="34">
        <v>10</v>
      </c>
      <c r="I306" s="34">
        <f>IFERROR(ROUND('Data Bulanan'!EC65,0),0)</f>
        <v>54899</v>
      </c>
      <c r="J306" s="34">
        <v>1336737</v>
      </c>
      <c r="K306" s="34">
        <v>239582</v>
      </c>
      <c r="L306" s="35">
        <f t="shared" si="24"/>
        <v>783</v>
      </c>
      <c r="M306" s="36">
        <f>IFERROR(AVERAGE('Data Bulanan'!DF65,'Data Bulanan'!DH65,'Data Bulanan'!DJ65,'Data Bulanan'!DL65,'Data Bulanan'!DN65,'Data Bulanan'!DP65,'Data Bulanan'!DR65,'Data Bulanan'!DT65,'Data Bulanan'!DV65,'Data Bulanan'!DX65,'Data Bulanan'!DZ65,'Data Bulanan'!EB65),0)</f>
        <v>146.36548259088582</v>
      </c>
      <c r="N306" s="37">
        <f>'Data Bulanan'!ED65</f>
        <v>30.077373671904887</v>
      </c>
      <c r="O306" s="38">
        <f t="shared" si="25"/>
        <v>95.113006839201404</v>
      </c>
      <c r="P306" s="39">
        <f t="shared" si="26"/>
        <v>157</v>
      </c>
      <c r="Q306" s="40">
        <f t="shared" si="27"/>
        <v>1621</v>
      </c>
      <c r="R306" s="41">
        <f t="shared" si="28"/>
        <v>-517</v>
      </c>
      <c r="S306" s="42" t="str">
        <f t="shared" si="29"/>
        <v>Reorder 🔄</v>
      </c>
      <c r="T306" s="43">
        <f>IFERROR(N306/AVERAGE(M302:M306),0)</f>
        <v>0.22289674640550308</v>
      </c>
      <c r="U306" s="44">
        <v>1602.18</v>
      </c>
      <c r="V306" s="45">
        <v>0.15620000000000001</v>
      </c>
    </row>
    <row r="307" spans="1:22" ht="15" customHeight="1" x14ac:dyDescent="0.35">
      <c r="A307" s="31">
        <v>1</v>
      </c>
      <c r="B307" s="32">
        <v>2021</v>
      </c>
      <c r="C307" s="31" t="s">
        <v>264</v>
      </c>
      <c r="D307" s="31" t="s">
        <v>156</v>
      </c>
      <c r="E307" s="33" t="s">
        <v>157</v>
      </c>
      <c r="F307" s="31" t="s">
        <v>36</v>
      </c>
      <c r="G307" s="34">
        <v>637</v>
      </c>
      <c r="H307" s="34">
        <v>33</v>
      </c>
      <c r="I307" s="34">
        <f>IFERROR(ROUND('Data Bulanan'!AC66,0),0)</f>
        <v>1033</v>
      </c>
      <c r="J307" s="34">
        <v>7421343</v>
      </c>
      <c r="K307" s="34">
        <v>539864</v>
      </c>
      <c r="L307" s="35">
        <f t="shared" si="24"/>
        <v>169</v>
      </c>
      <c r="M307" s="36">
        <f>IFERROR(AVERAGE('Data Bulanan'!F66,'Data Bulanan'!H66,'Data Bulanan'!J66,'Data Bulanan'!L66,'Data Bulanan'!N66,'Data Bulanan'!P66,'Data Bulanan'!R66,'Data Bulanan'!T66,'Data Bulanan'!V66,'Data Bulanan'!X66,'Data Bulanan'!Z66,'Data Bulanan'!AB66),0)</f>
        <v>2.7426395289298515</v>
      </c>
      <c r="N307" s="37">
        <f>'Data Bulanan'!AD66</f>
        <v>0.50109079334265927</v>
      </c>
      <c r="O307" s="38">
        <f t="shared" si="25"/>
        <v>2.8785474539603473</v>
      </c>
      <c r="P307" s="39">
        <f t="shared" si="26"/>
        <v>5</v>
      </c>
      <c r="Q307" s="40">
        <f t="shared" si="27"/>
        <v>96</v>
      </c>
      <c r="R307" s="41">
        <f t="shared" si="28"/>
        <v>541</v>
      </c>
      <c r="S307" s="42" t="str">
        <f t="shared" si="29"/>
        <v>Overstock 📦</v>
      </c>
      <c r="T307" s="43">
        <f>IFERROR(N307/AVERAGE(M307:M311),0)</f>
        <v>0.18261724983475452</v>
      </c>
      <c r="U307" s="44">
        <v>-0.42</v>
      </c>
      <c r="V307" s="45">
        <v>0.54879999999999995</v>
      </c>
    </row>
    <row r="308" spans="1:22" ht="15" customHeight="1" x14ac:dyDescent="0.35">
      <c r="A308" s="31">
        <v>2</v>
      </c>
      <c r="B308" s="32">
        <v>2022</v>
      </c>
      <c r="C308" s="31" t="s">
        <v>264</v>
      </c>
      <c r="D308" s="31" t="s">
        <v>156</v>
      </c>
      <c r="E308" s="33" t="s">
        <v>157</v>
      </c>
      <c r="F308" s="31" t="s">
        <v>36</v>
      </c>
      <c r="G308" s="34">
        <v>707</v>
      </c>
      <c r="H308" s="34">
        <v>33</v>
      </c>
      <c r="I308" s="34">
        <f>IFERROR(ROUND('Data Bulanan'!BC66,0),0)</f>
        <v>1031</v>
      </c>
      <c r="J308" s="34">
        <v>6971215</v>
      </c>
      <c r="K308" s="34">
        <v>589665</v>
      </c>
      <c r="L308" s="35">
        <f t="shared" si="24"/>
        <v>156</v>
      </c>
      <c r="M308" s="36">
        <f>IFERROR(AVERAGE('Data Bulanan'!AF66,'Data Bulanan'!AH66,'Data Bulanan'!AJ66,'Data Bulanan'!AL66,'Data Bulanan'!AN66,'Data Bulanan'!AP66,'Data Bulanan'!AR66,'Data Bulanan'!AT66,'Data Bulanan'!AV66,'Data Bulanan'!AX66,'Data Bulanan'!AZ66,'Data Bulanan'!BB66),0)</f>
        <v>2.7401433691756267</v>
      </c>
      <c r="N308" s="37">
        <f>'Data Bulanan'!BD66</f>
        <v>0.47856860902492016</v>
      </c>
      <c r="O308" s="38">
        <f t="shared" si="25"/>
        <v>2.7491673552102185</v>
      </c>
      <c r="P308" s="39">
        <f t="shared" si="26"/>
        <v>5</v>
      </c>
      <c r="Q308" s="40">
        <f t="shared" si="27"/>
        <v>95</v>
      </c>
      <c r="R308" s="41">
        <f t="shared" si="28"/>
        <v>612</v>
      </c>
      <c r="S308" s="42" t="str">
        <f t="shared" si="29"/>
        <v>Overstock 📦</v>
      </c>
      <c r="T308" s="43">
        <f>IFERROR(N308/AVERAGE(M307:M311),0)</f>
        <v>0.17440927751712221</v>
      </c>
      <c r="U308" s="44">
        <v>-0.42</v>
      </c>
      <c r="V308" s="45">
        <v>0.54879999999999995</v>
      </c>
    </row>
    <row r="309" spans="1:22" ht="15" customHeight="1" x14ac:dyDescent="0.35">
      <c r="A309" s="31">
        <v>3</v>
      </c>
      <c r="B309" s="32">
        <v>2023</v>
      </c>
      <c r="C309" s="31" t="s">
        <v>264</v>
      </c>
      <c r="D309" s="31" t="s">
        <v>156</v>
      </c>
      <c r="E309" s="33" t="s">
        <v>157</v>
      </c>
      <c r="F309" s="31" t="s">
        <v>36</v>
      </c>
      <c r="G309" s="34">
        <v>175</v>
      </c>
      <c r="H309" s="34">
        <v>33</v>
      </c>
      <c r="I309" s="34">
        <f>IFERROR(ROUND('Data Bulanan'!CC66,0),0)</f>
        <v>1030</v>
      </c>
      <c r="J309" s="34">
        <v>7074309</v>
      </c>
      <c r="K309" s="34">
        <v>580991</v>
      </c>
      <c r="L309" s="35">
        <f t="shared" si="24"/>
        <v>158</v>
      </c>
      <c r="M309" s="36">
        <f>IFERROR(AVERAGE('Data Bulanan'!BF66,'Data Bulanan'!BH66,'Data Bulanan'!BJ66,'Data Bulanan'!BL66,'Data Bulanan'!BN66,'Data Bulanan'!BP66,'Data Bulanan'!BR66,'Data Bulanan'!BT66,'Data Bulanan'!BV66,'Data Bulanan'!BX66,'Data Bulanan'!BZ66,'Data Bulanan'!CB66),0)</f>
        <v>2.7379672299027136</v>
      </c>
      <c r="N309" s="37">
        <f>'Data Bulanan'!CD66</f>
        <v>0.65584097569582744</v>
      </c>
      <c r="O309" s="38">
        <f t="shared" si="25"/>
        <v>3.7675195710513054</v>
      </c>
      <c r="P309" s="39">
        <f t="shared" si="26"/>
        <v>6</v>
      </c>
      <c r="Q309" s="40">
        <f t="shared" si="27"/>
        <v>96</v>
      </c>
      <c r="R309" s="41">
        <f t="shared" si="28"/>
        <v>79</v>
      </c>
      <c r="S309" s="42" t="str">
        <f t="shared" si="29"/>
        <v>Aman ✅</v>
      </c>
      <c r="T309" s="43">
        <f>IFERROR(N309/AVERAGE(M307:M311),0)</f>
        <v>0.23901432016256108</v>
      </c>
      <c r="U309" s="44">
        <v>-0.42</v>
      </c>
      <c r="V309" s="45">
        <v>0.54879999999999995</v>
      </c>
    </row>
    <row r="310" spans="1:22" ht="15" customHeight="1" x14ac:dyDescent="0.35">
      <c r="A310" s="31">
        <v>4</v>
      </c>
      <c r="B310" s="32">
        <v>2024</v>
      </c>
      <c r="C310" s="31" t="s">
        <v>264</v>
      </c>
      <c r="D310" s="31" t="s">
        <v>156</v>
      </c>
      <c r="E310" s="33" t="s">
        <v>157</v>
      </c>
      <c r="F310" s="31" t="s">
        <v>36</v>
      </c>
      <c r="G310" s="34">
        <v>255</v>
      </c>
      <c r="H310" s="34">
        <v>33</v>
      </c>
      <c r="I310" s="34">
        <f>IFERROR(ROUND('Data Bulanan'!DC66,0),0)</f>
        <v>1031</v>
      </c>
      <c r="J310" s="34">
        <v>6457757</v>
      </c>
      <c r="K310" s="34">
        <v>575443</v>
      </c>
      <c r="L310" s="35">
        <f t="shared" si="24"/>
        <v>152</v>
      </c>
      <c r="M310" s="36">
        <f>IFERROR(AVERAGE('Data Bulanan'!CF66,'Data Bulanan'!CH66,'Data Bulanan'!CJ66,'Data Bulanan'!CL66,'Data Bulanan'!CN66,'Data Bulanan'!CP66,'Data Bulanan'!CR66,'Data Bulanan'!CT66,'Data Bulanan'!CV66,'Data Bulanan'!CX66,'Data Bulanan'!CZ66,'Data Bulanan'!DB66),0)</f>
        <v>2.7493023553507423</v>
      </c>
      <c r="N310" s="37">
        <f>'Data Bulanan'!DD66</f>
        <v>0.69240610547296866</v>
      </c>
      <c r="O310" s="38">
        <f t="shared" si="25"/>
        <v>3.9775702497348862</v>
      </c>
      <c r="P310" s="39">
        <f t="shared" si="26"/>
        <v>7</v>
      </c>
      <c r="Q310" s="40">
        <f t="shared" si="27"/>
        <v>98</v>
      </c>
      <c r="R310" s="41">
        <f t="shared" si="28"/>
        <v>157</v>
      </c>
      <c r="S310" s="42" t="str">
        <f t="shared" si="29"/>
        <v>Overstock 📦</v>
      </c>
      <c r="T310" s="43">
        <f>IFERROR(N310/AVERAGE(M307:M311),0)</f>
        <v>0.25234009570756538</v>
      </c>
      <c r="U310" s="44">
        <v>-0.42</v>
      </c>
      <c r="V310" s="45">
        <v>0.54879999999999995</v>
      </c>
    </row>
    <row r="311" spans="1:22" ht="15" customHeight="1" x14ac:dyDescent="0.35">
      <c r="A311" s="31">
        <v>5</v>
      </c>
      <c r="B311" s="32">
        <v>2025</v>
      </c>
      <c r="C311" s="31" t="s">
        <v>264</v>
      </c>
      <c r="D311" s="31" t="s">
        <v>156</v>
      </c>
      <c r="E311" s="33" t="s">
        <v>157</v>
      </c>
      <c r="F311" s="31" t="s">
        <v>36</v>
      </c>
      <c r="G311" s="34">
        <v>152</v>
      </c>
      <c r="H311" s="34">
        <v>33</v>
      </c>
      <c r="I311" s="34">
        <f>IFERROR(ROUND('Data Bulanan'!EC66,0),0)</f>
        <v>1031</v>
      </c>
      <c r="J311" s="34">
        <v>6551296</v>
      </c>
      <c r="K311" s="34">
        <v>566018</v>
      </c>
      <c r="L311" s="35">
        <f t="shared" si="24"/>
        <v>154</v>
      </c>
      <c r="M311" s="36">
        <f>IFERROR(AVERAGE('Data Bulanan'!DF66,'Data Bulanan'!DH66,'Data Bulanan'!DJ66,'Data Bulanan'!DL66,'Data Bulanan'!DN66,'Data Bulanan'!DP66,'Data Bulanan'!DR66,'Data Bulanan'!DT66,'Data Bulanan'!DV66,'Data Bulanan'!DX66,'Data Bulanan'!DZ66,'Data Bulanan'!EB66),0)</f>
        <v>2.7496479774705587</v>
      </c>
      <c r="N311" s="37">
        <f>'Data Bulanan'!ED66</f>
        <v>0.66526000780868844</v>
      </c>
      <c r="O311" s="38">
        <f t="shared" si="25"/>
        <v>3.8216277910933889</v>
      </c>
      <c r="P311" s="39">
        <f t="shared" si="26"/>
        <v>6</v>
      </c>
      <c r="Q311" s="40">
        <f t="shared" si="27"/>
        <v>97</v>
      </c>
      <c r="R311" s="41">
        <f t="shared" si="28"/>
        <v>55</v>
      </c>
      <c r="S311" s="42" t="str">
        <f t="shared" si="29"/>
        <v>Aman ✅</v>
      </c>
      <c r="T311" s="43">
        <f>IFERROR(N311/AVERAGE(M307:M311),0)</f>
        <v>0.24244698698344133</v>
      </c>
      <c r="U311" s="44">
        <v>-0.42</v>
      </c>
      <c r="V311" s="45">
        <v>0.54879999999999995</v>
      </c>
    </row>
    <row r="312" spans="1:22" ht="15" customHeight="1" x14ac:dyDescent="0.35">
      <c r="A312" s="46">
        <v>1</v>
      </c>
      <c r="B312" s="32">
        <v>2021</v>
      </c>
      <c r="C312" s="46" t="s">
        <v>263</v>
      </c>
      <c r="D312" s="46" t="s">
        <v>158</v>
      </c>
      <c r="E312" s="47" t="s">
        <v>159</v>
      </c>
      <c r="F312" s="46" t="s">
        <v>57</v>
      </c>
      <c r="G312" s="34">
        <v>2980</v>
      </c>
      <c r="H312" s="34">
        <v>12</v>
      </c>
      <c r="I312" s="34">
        <f>IFERROR(ROUND('Data Bulanan'!AC67,0),0)</f>
        <v>32224</v>
      </c>
      <c r="J312" s="34">
        <v>2481124</v>
      </c>
      <c r="K312" s="34">
        <v>519645</v>
      </c>
      <c r="L312" s="35">
        <f t="shared" si="24"/>
        <v>555</v>
      </c>
      <c r="M312" s="36">
        <f>IFERROR(AVERAGE('Data Bulanan'!F67,'Data Bulanan'!H67,'Data Bulanan'!J67,'Data Bulanan'!L67,'Data Bulanan'!N67,'Data Bulanan'!P67,'Data Bulanan'!R67,'Data Bulanan'!T67,'Data Bulanan'!V67,'Data Bulanan'!X67,'Data Bulanan'!Z67,'Data Bulanan'!AB67),0)</f>
        <v>85.854582693292357</v>
      </c>
      <c r="N312" s="37">
        <f>'Data Bulanan'!AD67</f>
        <v>15.143217135088438</v>
      </c>
      <c r="O312" s="38">
        <f t="shared" si="25"/>
        <v>52.457642936041573</v>
      </c>
      <c r="P312" s="39">
        <f t="shared" si="26"/>
        <v>87</v>
      </c>
      <c r="Q312" s="40">
        <f t="shared" si="27"/>
        <v>1117</v>
      </c>
      <c r="R312" s="41">
        <f t="shared" si="28"/>
        <v>1863</v>
      </c>
      <c r="S312" s="42" t="str">
        <f t="shared" si="29"/>
        <v>Overstock 📦</v>
      </c>
      <c r="T312" s="43">
        <f>IFERROR(N312/AVERAGE(M312:M316),0)</f>
        <v>0.16415907201445057</v>
      </c>
      <c r="U312" s="44">
        <v>-383.81</v>
      </c>
      <c r="V312" s="45">
        <v>4.0500000000000001E-2</v>
      </c>
    </row>
    <row r="313" spans="1:22" ht="15" customHeight="1" x14ac:dyDescent="0.35">
      <c r="A313" s="46">
        <v>2</v>
      </c>
      <c r="B313" s="32">
        <v>2022</v>
      </c>
      <c r="C313" s="46" t="s">
        <v>263</v>
      </c>
      <c r="D313" s="46" t="s">
        <v>158</v>
      </c>
      <c r="E313" s="47" t="s">
        <v>159</v>
      </c>
      <c r="F313" s="46" t="s">
        <v>57</v>
      </c>
      <c r="G313" s="34">
        <v>0</v>
      </c>
      <c r="H313" s="34">
        <v>12</v>
      </c>
      <c r="I313" s="34">
        <f>IFERROR(ROUND('Data Bulanan'!BC67,0),0)</f>
        <v>39907</v>
      </c>
      <c r="J313" s="34">
        <v>2112391</v>
      </c>
      <c r="K313" s="34">
        <v>570081</v>
      </c>
      <c r="L313" s="35">
        <f t="shared" si="24"/>
        <v>544</v>
      </c>
      <c r="M313" s="36">
        <f>IFERROR(AVERAGE('Data Bulanan'!AF67,'Data Bulanan'!AH67,'Data Bulanan'!AJ67,'Data Bulanan'!AL67,'Data Bulanan'!AN67,'Data Bulanan'!AP67,'Data Bulanan'!AR67,'Data Bulanan'!AT67,'Data Bulanan'!AV67,'Data Bulanan'!AX67,'Data Bulanan'!AZ67,'Data Bulanan'!BB67),0)</f>
        <v>106.11755632360469</v>
      </c>
      <c r="N313" s="37">
        <f>'Data Bulanan'!BD67</f>
        <v>18.349115273578921</v>
      </c>
      <c r="O313" s="38">
        <f t="shared" si="25"/>
        <v>63.563199855553577</v>
      </c>
      <c r="P313" s="39">
        <f t="shared" si="26"/>
        <v>105</v>
      </c>
      <c r="Q313" s="40">
        <f t="shared" si="27"/>
        <v>1378</v>
      </c>
      <c r="R313" s="41">
        <f t="shared" si="28"/>
        <v>-1378</v>
      </c>
      <c r="S313" s="42" t="str">
        <f t="shared" si="29"/>
        <v>Stockout ⚠</v>
      </c>
      <c r="T313" s="43">
        <f>IFERROR(N313/AVERAGE(M312:M316),0)</f>
        <v>0.19891240472391902</v>
      </c>
      <c r="U313" s="44">
        <v>-383.81</v>
      </c>
      <c r="V313" s="45">
        <v>4.0500000000000001E-2</v>
      </c>
    </row>
    <row r="314" spans="1:22" ht="15" customHeight="1" x14ac:dyDescent="0.35">
      <c r="A314" s="46">
        <v>3</v>
      </c>
      <c r="B314" s="32">
        <v>2023</v>
      </c>
      <c r="C314" s="46" t="s">
        <v>263</v>
      </c>
      <c r="D314" s="46" t="s">
        <v>158</v>
      </c>
      <c r="E314" s="47" t="s">
        <v>159</v>
      </c>
      <c r="F314" s="46" t="s">
        <v>57</v>
      </c>
      <c r="G314" s="34">
        <v>6662</v>
      </c>
      <c r="H314" s="34">
        <v>12</v>
      </c>
      <c r="I314" s="34">
        <f>IFERROR(ROUND('Data Bulanan'!CC67,0),0)</f>
        <v>33946</v>
      </c>
      <c r="J314" s="34">
        <v>2152693</v>
      </c>
      <c r="K314" s="34">
        <v>573402</v>
      </c>
      <c r="L314" s="35">
        <f t="shared" si="24"/>
        <v>505</v>
      </c>
      <c r="M314" s="36">
        <f>IFERROR(AVERAGE('Data Bulanan'!BF67,'Data Bulanan'!BH67,'Data Bulanan'!BJ67,'Data Bulanan'!BL67,'Data Bulanan'!BN67,'Data Bulanan'!BP67,'Data Bulanan'!BR67,'Data Bulanan'!BT67,'Data Bulanan'!BV67,'Data Bulanan'!BX67,'Data Bulanan'!BZ67,'Data Bulanan'!CB67),0)</f>
        <v>90.306349206349196</v>
      </c>
      <c r="N314" s="37">
        <f>'Data Bulanan'!CD67</f>
        <v>19.955615560666423</v>
      </c>
      <c r="O314" s="38">
        <f t="shared" si="25"/>
        <v>69.128280094772663</v>
      </c>
      <c r="P314" s="39">
        <f t="shared" si="26"/>
        <v>114</v>
      </c>
      <c r="Q314" s="40">
        <f t="shared" si="27"/>
        <v>1198</v>
      </c>
      <c r="R314" s="41">
        <f t="shared" si="28"/>
        <v>5464</v>
      </c>
      <c r="S314" s="42" t="str">
        <f t="shared" si="29"/>
        <v>Overstock 📦</v>
      </c>
      <c r="T314" s="43">
        <f>IFERROR(N314/AVERAGE(M312:M316),0)</f>
        <v>0.21632756782741586</v>
      </c>
      <c r="U314" s="44">
        <v>-383.81</v>
      </c>
      <c r="V314" s="45">
        <v>4.0500000000000001E-2</v>
      </c>
    </row>
    <row r="315" spans="1:22" ht="15" customHeight="1" x14ac:dyDescent="0.35">
      <c r="A315" s="46">
        <v>4</v>
      </c>
      <c r="B315" s="32">
        <v>2024</v>
      </c>
      <c r="C315" s="46" t="s">
        <v>263</v>
      </c>
      <c r="D315" s="46" t="s">
        <v>158</v>
      </c>
      <c r="E315" s="47" t="s">
        <v>159</v>
      </c>
      <c r="F315" s="46" t="s">
        <v>57</v>
      </c>
      <c r="G315" s="34">
        <v>4625</v>
      </c>
      <c r="H315" s="34">
        <v>12</v>
      </c>
      <c r="I315" s="34">
        <f>IFERROR(ROUND('Data Bulanan'!DC67,0),0)</f>
        <v>33884</v>
      </c>
      <c r="J315" s="34">
        <v>2381251</v>
      </c>
      <c r="K315" s="34">
        <v>571981</v>
      </c>
      <c r="L315" s="35">
        <f t="shared" si="24"/>
        <v>531</v>
      </c>
      <c r="M315" s="36">
        <f>IFERROR(AVERAGE('Data Bulanan'!CF67,'Data Bulanan'!CH67,'Data Bulanan'!CJ67,'Data Bulanan'!CL67,'Data Bulanan'!CN67,'Data Bulanan'!CP67,'Data Bulanan'!CR67,'Data Bulanan'!CT67,'Data Bulanan'!CV67,'Data Bulanan'!CX67,'Data Bulanan'!CZ67,'Data Bulanan'!DB67),0)</f>
        <v>90.042959549411179</v>
      </c>
      <c r="N315" s="37">
        <f>'Data Bulanan'!DD67</f>
        <v>15.608379364906362</v>
      </c>
      <c r="O315" s="38">
        <f t="shared" si="25"/>
        <v>54.069012167654925</v>
      </c>
      <c r="P315" s="39">
        <f t="shared" si="26"/>
        <v>89</v>
      </c>
      <c r="Q315" s="40">
        <f t="shared" si="27"/>
        <v>1170</v>
      </c>
      <c r="R315" s="41">
        <f t="shared" si="28"/>
        <v>3455</v>
      </c>
      <c r="S315" s="42" t="str">
        <f t="shared" si="29"/>
        <v>Overstock 📦</v>
      </c>
      <c r="T315" s="43">
        <f>IFERROR(N315/AVERAGE(M312:M316),0)</f>
        <v>0.16920163326823776</v>
      </c>
      <c r="U315" s="44">
        <v>-383.81</v>
      </c>
      <c r="V315" s="45">
        <v>4.0500000000000001E-2</v>
      </c>
    </row>
    <row r="316" spans="1:22" ht="15" customHeight="1" x14ac:dyDescent="0.35">
      <c r="A316" s="46">
        <v>5</v>
      </c>
      <c r="B316" s="32">
        <v>2025</v>
      </c>
      <c r="C316" s="46" t="s">
        <v>263</v>
      </c>
      <c r="D316" s="46" t="s">
        <v>158</v>
      </c>
      <c r="E316" s="47" t="s">
        <v>159</v>
      </c>
      <c r="F316" s="46" t="s">
        <v>57</v>
      </c>
      <c r="G316" s="34">
        <v>1277</v>
      </c>
      <c r="H316" s="34">
        <v>12</v>
      </c>
      <c r="I316" s="34">
        <f>IFERROR(ROUND('Data Bulanan'!EC67,0),0)</f>
        <v>33316</v>
      </c>
      <c r="J316" s="34">
        <v>2397515</v>
      </c>
      <c r="K316" s="34">
        <v>546125</v>
      </c>
      <c r="L316" s="35">
        <f t="shared" si="24"/>
        <v>541</v>
      </c>
      <c r="M316" s="36">
        <f>IFERROR(AVERAGE('Data Bulanan'!DF67,'Data Bulanan'!DH67,'Data Bulanan'!DJ67,'Data Bulanan'!DL67,'Data Bulanan'!DN67,'Data Bulanan'!DP67,'Data Bulanan'!DR67,'Data Bulanan'!DT67,'Data Bulanan'!DV67,'Data Bulanan'!DX67,'Data Bulanan'!DZ67,'Data Bulanan'!EB67),0)</f>
        <v>88.914624935995903</v>
      </c>
      <c r="N316" s="37">
        <f>'Data Bulanan'!ED67</f>
        <v>18.970862421938115</v>
      </c>
      <c r="O316" s="38">
        <f t="shared" si="25"/>
        <v>65.71699515639196</v>
      </c>
      <c r="P316" s="39">
        <f t="shared" si="26"/>
        <v>108</v>
      </c>
      <c r="Q316" s="40">
        <f t="shared" si="27"/>
        <v>1175</v>
      </c>
      <c r="R316" s="41">
        <f t="shared" si="28"/>
        <v>102</v>
      </c>
      <c r="S316" s="42" t="str">
        <f t="shared" si="29"/>
        <v>Aman ✅</v>
      </c>
      <c r="T316" s="43">
        <f>IFERROR(N316/AVERAGE(M312:M316),0)</f>
        <v>0.20565241472257248</v>
      </c>
      <c r="U316" s="44">
        <v>-383.81</v>
      </c>
      <c r="V316" s="45">
        <v>4.0500000000000001E-2</v>
      </c>
    </row>
    <row r="317" spans="1:22" ht="15" customHeight="1" x14ac:dyDescent="0.35">
      <c r="A317" s="31">
        <v>1</v>
      </c>
      <c r="B317" s="32">
        <v>2021</v>
      </c>
      <c r="C317" s="31" t="s">
        <v>263</v>
      </c>
      <c r="D317" s="31" t="s">
        <v>160</v>
      </c>
      <c r="E317" s="33" t="s">
        <v>161</v>
      </c>
      <c r="F317" s="31" t="s">
        <v>57</v>
      </c>
      <c r="G317" s="34">
        <v>0</v>
      </c>
      <c r="H317" s="34">
        <v>6</v>
      </c>
      <c r="I317" s="34">
        <f>IFERROR(ROUND('Data Bulanan'!AC68,0),0)</f>
        <v>61232</v>
      </c>
      <c r="J317" s="34">
        <v>315671</v>
      </c>
      <c r="K317" s="34">
        <v>515953</v>
      </c>
      <c r="L317" s="35">
        <f t="shared" si="24"/>
        <v>274</v>
      </c>
      <c r="M317" s="36">
        <f>IFERROR(AVERAGE('Data Bulanan'!F68,'Data Bulanan'!H68,'Data Bulanan'!J68,'Data Bulanan'!L68,'Data Bulanan'!N68,'Data Bulanan'!P68,'Data Bulanan'!R68,'Data Bulanan'!T68,'Data Bulanan'!V68,'Data Bulanan'!X68,'Data Bulanan'!Z68,'Data Bulanan'!AB68),0)</f>
        <v>162.92144137224781</v>
      </c>
      <c r="N317" s="37">
        <f>'Data Bulanan'!AD68</f>
        <v>38.361359791959444</v>
      </c>
      <c r="O317" s="38">
        <f t="shared" si="25"/>
        <v>93.965757329619677</v>
      </c>
      <c r="P317" s="39">
        <f t="shared" si="26"/>
        <v>155</v>
      </c>
      <c r="Q317" s="40">
        <f t="shared" si="27"/>
        <v>1133</v>
      </c>
      <c r="R317" s="41">
        <f t="shared" si="28"/>
        <v>-1133</v>
      </c>
      <c r="S317" s="42" t="str">
        <f t="shared" si="29"/>
        <v>Stockout ⚠</v>
      </c>
      <c r="T317" s="43">
        <f>IFERROR(N317/AVERAGE(M317:M321),0)</f>
        <v>0.25672784971299045</v>
      </c>
      <c r="U317" s="44">
        <v>-1873.2</v>
      </c>
      <c r="V317" s="45">
        <v>0.1804</v>
      </c>
    </row>
    <row r="318" spans="1:22" ht="15" customHeight="1" x14ac:dyDescent="0.35">
      <c r="A318" s="31">
        <v>2</v>
      </c>
      <c r="B318" s="32">
        <v>2022</v>
      </c>
      <c r="C318" s="31" t="s">
        <v>263</v>
      </c>
      <c r="D318" s="31" t="s">
        <v>160</v>
      </c>
      <c r="E318" s="33" t="s">
        <v>161</v>
      </c>
      <c r="F318" s="31" t="s">
        <v>57</v>
      </c>
      <c r="G318" s="34">
        <v>3850</v>
      </c>
      <c r="H318" s="34">
        <v>6</v>
      </c>
      <c r="I318" s="34">
        <f>IFERROR(ROUND('Data Bulanan'!BC68,0),0)</f>
        <v>58310</v>
      </c>
      <c r="J318" s="34">
        <v>348161</v>
      </c>
      <c r="K318" s="34">
        <v>483679</v>
      </c>
      <c r="L318" s="35">
        <f t="shared" si="24"/>
        <v>290</v>
      </c>
      <c r="M318" s="36">
        <f>IFERROR(AVERAGE('Data Bulanan'!AF68,'Data Bulanan'!AH68,'Data Bulanan'!AJ68,'Data Bulanan'!AL68,'Data Bulanan'!AN68,'Data Bulanan'!AP68,'Data Bulanan'!AR68,'Data Bulanan'!AT68,'Data Bulanan'!AV68,'Data Bulanan'!AX68,'Data Bulanan'!AZ68,'Data Bulanan'!BB68),0)</f>
        <v>155.10748207885305</v>
      </c>
      <c r="N318" s="37">
        <f>'Data Bulanan'!BD68</f>
        <v>42.414272214919897</v>
      </c>
      <c r="O318" s="38">
        <f t="shared" si="25"/>
        <v>103.89332473805983</v>
      </c>
      <c r="P318" s="39">
        <f t="shared" si="26"/>
        <v>171</v>
      </c>
      <c r="Q318" s="40">
        <f t="shared" si="27"/>
        <v>1102</v>
      </c>
      <c r="R318" s="41">
        <f t="shared" si="28"/>
        <v>2748</v>
      </c>
      <c r="S318" s="42" t="str">
        <f t="shared" si="29"/>
        <v>Overstock 📦</v>
      </c>
      <c r="T318" s="43">
        <f>IFERROR(N318/AVERAGE(M317:M321),0)</f>
        <v>0.28385137966772872</v>
      </c>
      <c r="U318" s="44">
        <v>-1873.2</v>
      </c>
      <c r="V318" s="45">
        <v>0.1804</v>
      </c>
    </row>
    <row r="319" spans="1:22" ht="15" customHeight="1" x14ac:dyDescent="0.35">
      <c r="A319" s="31">
        <v>3</v>
      </c>
      <c r="B319" s="32">
        <v>2023</v>
      </c>
      <c r="C319" s="31" t="s">
        <v>263</v>
      </c>
      <c r="D319" s="31" t="s">
        <v>160</v>
      </c>
      <c r="E319" s="33" t="s">
        <v>161</v>
      </c>
      <c r="F319" s="31" t="s">
        <v>57</v>
      </c>
      <c r="G319" s="34">
        <v>2642</v>
      </c>
      <c r="H319" s="34">
        <v>6</v>
      </c>
      <c r="I319" s="34">
        <f>IFERROR(ROUND('Data Bulanan'!CC68,0),0)</f>
        <v>58511</v>
      </c>
      <c r="J319" s="34">
        <v>349761</v>
      </c>
      <c r="K319" s="34">
        <v>511254</v>
      </c>
      <c r="L319" s="35">
        <f t="shared" si="24"/>
        <v>283</v>
      </c>
      <c r="M319" s="36">
        <f>IFERROR(AVERAGE('Data Bulanan'!BF68,'Data Bulanan'!BH68,'Data Bulanan'!BJ68,'Data Bulanan'!BL68,'Data Bulanan'!BN68,'Data Bulanan'!BP68,'Data Bulanan'!BR68,'Data Bulanan'!BT68,'Data Bulanan'!BV68,'Data Bulanan'!BX68,'Data Bulanan'!BZ68,'Data Bulanan'!CB68),0)</f>
        <v>155.32711853558629</v>
      </c>
      <c r="N319" s="37">
        <f>'Data Bulanan'!CD68</f>
        <v>32.224659352641979</v>
      </c>
      <c r="O319" s="38">
        <f t="shared" si="25"/>
        <v>78.933972548978531</v>
      </c>
      <c r="P319" s="39">
        <f t="shared" si="26"/>
        <v>130</v>
      </c>
      <c r="Q319" s="40">
        <f t="shared" si="27"/>
        <v>1062</v>
      </c>
      <c r="R319" s="41">
        <f t="shared" si="28"/>
        <v>1580</v>
      </c>
      <c r="S319" s="42" t="str">
        <f t="shared" si="29"/>
        <v>Overstock 📦</v>
      </c>
      <c r="T319" s="43">
        <f>IFERROR(N319/AVERAGE(M317:M321),0)</f>
        <v>0.21565886997236733</v>
      </c>
      <c r="U319" s="44">
        <v>-1873.2</v>
      </c>
      <c r="V319" s="45">
        <v>0.1804</v>
      </c>
    </row>
    <row r="320" spans="1:22" ht="15" customHeight="1" x14ac:dyDescent="0.35">
      <c r="A320" s="31">
        <v>4</v>
      </c>
      <c r="B320" s="32">
        <v>2024</v>
      </c>
      <c r="C320" s="31" t="s">
        <v>263</v>
      </c>
      <c r="D320" s="31" t="s">
        <v>160</v>
      </c>
      <c r="E320" s="33" t="s">
        <v>161</v>
      </c>
      <c r="F320" s="31" t="s">
        <v>57</v>
      </c>
      <c r="G320" s="34">
        <v>1479</v>
      </c>
      <c r="H320" s="34">
        <v>6</v>
      </c>
      <c r="I320" s="34">
        <f>IFERROR(ROUND('Data Bulanan'!DC68,0),0)</f>
        <v>43904</v>
      </c>
      <c r="J320" s="34">
        <v>323623</v>
      </c>
      <c r="K320" s="34">
        <v>494904</v>
      </c>
      <c r="L320" s="35">
        <f t="shared" si="24"/>
        <v>240</v>
      </c>
      <c r="M320" s="36">
        <f>IFERROR(AVERAGE('Data Bulanan'!CF68,'Data Bulanan'!CH68,'Data Bulanan'!CJ68,'Data Bulanan'!CL68,'Data Bulanan'!CN68,'Data Bulanan'!CP68,'Data Bulanan'!CR68,'Data Bulanan'!CT68,'Data Bulanan'!CV68,'Data Bulanan'!CX68,'Data Bulanan'!CZ68,'Data Bulanan'!DB68),0)</f>
        <v>116.60318740399386</v>
      </c>
      <c r="N320" s="37">
        <f>'Data Bulanan'!DD68</f>
        <v>25.515104006680343</v>
      </c>
      <c r="O320" s="38">
        <f t="shared" si="25"/>
        <v>62.498985550409465</v>
      </c>
      <c r="P320" s="39">
        <f t="shared" si="26"/>
        <v>103</v>
      </c>
      <c r="Q320" s="40">
        <f t="shared" si="27"/>
        <v>803</v>
      </c>
      <c r="R320" s="41">
        <f t="shared" si="28"/>
        <v>676</v>
      </c>
      <c r="S320" s="42" t="str">
        <f t="shared" si="29"/>
        <v>Overstock 📦</v>
      </c>
      <c r="T320" s="43">
        <f>IFERROR(N320/AVERAGE(M317:M321),0)</f>
        <v>0.17075614165823511</v>
      </c>
      <c r="U320" s="44">
        <v>-1873.2</v>
      </c>
      <c r="V320" s="45">
        <v>0.1804</v>
      </c>
    </row>
    <row r="321" spans="1:22" ht="15" customHeight="1" x14ac:dyDescent="0.35">
      <c r="A321" s="31">
        <v>5</v>
      </c>
      <c r="B321" s="32">
        <v>2025</v>
      </c>
      <c r="C321" s="31" t="s">
        <v>263</v>
      </c>
      <c r="D321" s="31" t="s">
        <v>160</v>
      </c>
      <c r="E321" s="33" t="s">
        <v>161</v>
      </c>
      <c r="F321" s="31" t="s">
        <v>57</v>
      </c>
      <c r="G321" s="34">
        <v>4113</v>
      </c>
      <c r="H321" s="34">
        <v>6</v>
      </c>
      <c r="I321" s="34">
        <f>IFERROR(ROUND('Data Bulanan'!EC68,0),0)</f>
        <v>59069</v>
      </c>
      <c r="J321" s="34">
        <v>316974</v>
      </c>
      <c r="K321" s="34">
        <v>527312</v>
      </c>
      <c r="L321" s="35">
        <f t="shared" si="24"/>
        <v>266</v>
      </c>
      <c r="M321" s="36">
        <f>IFERROR(AVERAGE('Data Bulanan'!DF68,'Data Bulanan'!DH68,'Data Bulanan'!DJ68,'Data Bulanan'!DL68,'Data Bulanan'!DN68,'Data Bulanan'!DP68,'Data Bulanan'!DR68,'Data Bulanan'!DT68,'Data Bulanan'!DV68,'Data Bulanan'!DX68,'Data Bulanan'!DZ68,'Data Bulanan'!EB68),0)</f>
        <v>157.1618919610855</v>
      </c>
      <c r="N321" s="37">
        <f>'Data Bulanan'!ED68</f>
        <v>37.337140175274072</v>
      </c>
      <c r="O321" s="38">
        <f t="shared" si="25"/>
        <v>91.456941884191551</v>
      </c>
      <c r="P321" s="39">
        <f t="shared" si="26"/>
        <v>151</v>
      </c>
      <c r="Q321" s="40">
        <f t="shared" si="27"/>
        <v>1094</v>
      </c>
      <c r="R321" s="41">
        <f t="shared" si="28"/>
        <v>3019</v>
      </c>
      <c r="S321" s="42" t="str">
        <f t="shared" si="29"/>
        <v>Overstock 📦</v>
      </c>
      <c r="T321" s="43">
        <f>IFERROR(N321/AVERAGE(M317:M321),0)</f>
        <v>0.24987340812772077</v>
      </c>
      <c r="U321" s="44">
        <v>-1873.2</v>
      </c>
      <c r="V321" s="45">
        <v>0.1804</v>
      </c>
    </row>
    <row r="322" spans="1:22" ht="15" customHeight="1" x14ac:dyDescent="0.35">
      <c r="A322" s="46">
        <v>1</v>
      </c>
      <c r="B322" s="32">
        <v>2021</v>
      </c>
      <c r="C322" s="46" t="s">
        <v>264</v>
      </c>
      <c r="D322" s="46" t="s">
        <v>162</v>
      </c>
      <c r="E322" s="47" t="s">
        <v>163</v>
      </c>
      <c r="F322" s="46" t="s">
        <v>57</v>
      </c>
      <c r="G322" s="34">
        <v>554</v>
      </c>
      <c r="H322" s="34">
        <v>5</v>
      </c>
      <c r="I322" s="34">
        <f>IFERROR(ROUND('Data Bulanan'!AC69,0),0)</f>
        <v>48441</v>
      </c>
      <c r="J322" s="34">
        <v>507924</v>
      </c>
      <c r="K322" s="34">
        <v>257768</v>
      </c>
      <c r="L322" s="35">
        <f t="shared" si="24"/>
        <v>437</v>
      </c>
      <c r="M322" s="36">
        <f>IFERROR(AVERAGE('Data Bulanan'!F69,'Data Bulanan'!H69,'Data Bulanan'!J69,'Data Bulanan'!L69,'Data Bulanan'!N69,'Data Bulanan'!P69,'Data Bulanan'!R69,'Data Bulanan'!T69,'Data Bulanan'!V69,'Data Bulanan'!X69,'Data Bulanan'!Z69,'Data Bulanan'!AB69),0)</f>
        <v>128.99422043010753</v>
      </c>
      <c r="N322" s="37">
        <f>'Data Bulanan'!AD69</f>
        <v>26.323725176934865</v>
      </c>
      <c r="O322" s="38">
        <f t="shared" si="25"/>
        <v>58.861638916649042</v>
      </c>
      <c r="P322" s="39">
        <f t="shared" si="26"/>
        <v>97</v>
      </c>
      <c r="Q322" s="40">
        <f t="shared" si="27"/>
        <v>742</v>
      </c>
      <c r="R322" s="41">
        <f t="shared" si="28"/>
        <v>-188</v>
      </c>
      <c r="S322" s="42" t="str">
        <f t="shared" si="29"/>
        <v>Reorder 🔄</v>
      </c>
      <c r="T322" s="43">
        <f>IFERROR(N322/AVERAGE(M322:M326),0)</f>
        <v>0.19226918636465332</v>
      </c>
      <c r="U322" s="44">
        <v>-1137.73</v>
      </c>
      <c r="V322" s="45">
        <v>9.9500000000000005E-2</v>
      </c>
    </row>
    <row r="323" spans="1:22" ht="15" customHeight="1" x14ac:dyDescent="0.35">
      <c r="A323" s="46">
        <v>2</v>
      </c>
      <c r="B323" s="32">
        <v>2022</v>
      </c>
      <c r="C323" s="46" t="s">
        <v>264</v>
      </c>
      <c r="D323" s="46" t="s">
        <v>162</v>
      </c>
      <c r="E323" s="47" t="s">
        <v>163</v>
      </c>
      <c r="F323" s="46" t="s">
        <v>57</v>
      </c>
      <c r="G323" s="34">
        <v>1689</v>
      </c>
      <c r="H323" s="34">
        <v>5</v>
      </c>
      <c r="I323" s="34">
        <f>IFERROR(ROUND('Data Bulanan'!BC69,0),0)</f>
        <v>55923</v>
      </c>
      <c r="J323" s="34">
        <v>464729</v>
      </c>
      <c r="K323" s="34">
        <v>235050</v>
      </c>
      <c r="L323" s="35">
        <f t="shared" si="24"/>
        <v>470</v>
      </c>
      <c r="M323" s="36">
        <f>IFERROR(AVERAGE('Data Bulanan'!AF69,'Data Bulanan'!AH69,'Data Bulanan'!AJ69,'Data Bulanan'!AL69,'Data Bulanan'!AN69,'Data Bulanan'!AP69,'Data Bulanan'!AR69,'Data Bulanan'!AT69,'Data Bulanan'!AV69,'Data Bulanan'!AX69,'Data Bulanan'!AZ69,'Data Bulanan'!BB69),0)</f>
        <v>149.20682923707116</v>
      </c>
      <c r="N323" s="37">
        <f>'Data Bulanan'!BD69</f>
        <v>35.005223359324489</v>
      </c>
      <c r="O323" s="38">
        <f t="shared" si="25"/>
        <v>78.274058999013107</v>
      </c>
      <c r="P323" s="39">
        <f t="shared" si="26"/>
        <v>129</v>
      </c>
      <c r="Q323" s="40">
        <f t="shared" si="27"/>
        <v>875</v>
      </c>
      <c r="R323" s="41">
        <f t="shared" si="28"/>
        <v>814</v>
      </c>
      <c r="S323" s="42" t="str">
        <f t="shared" si="29"/>
        <v>Overstock 📦</v>
      </c>
      <c r="T323" s="43">
        <f>IFERROR(N323/AVERAGE(M322:M326),0)</f>
        <v>0.2556790791793993</v>
      </c>
      <c r="U323" s="44">
        <v>-1137.73</v>
      </c>
      <c r="V323" s="45">
        <v>9.9500000000000005E-2</v>
      </c>
    </row>
    <row r="324" spans="1:22" ht="15" customHeight="1" x14ac:dyDescent="0.35">
      <c r="A324" s="46">
        <v>3</v>
      </c>
      <c r="B324" s="32">
        <v>2023</v>
      </c>
      <c r="C324" s="46" t="s">
        <v>264</v>
      </c>
      <c r="D324" s="46" t="s">
        <v>162</v>
      </c>
      <c r="E324" s="47" t="s">
        <v>163</v>
      </c>
      <c r="F324" s="46" t="s">
        <v>57</v>
      </c>
      <c r="G324" s="34">
        <v>1095</v>
      </c>
      <c r="H324" s="34">
        <v>5</v>
      </c>
      <c r="I324" s="34">
        <f>IFERROR(ROUND('Data Bulanan'!CC69,0),0)</f>
        <v>54030</v>
      </c>
      <c r="J324" s="34">
        <v>505536</v>
      </c>
      <c r="K324" s="34">
        <v>259863</v>
      </c>
      <c r="L324" s="35">
        <f t="shared" si="24"/>
        <v>458</v>
      </c>
      <c r="M324" s="36">
        <f>IFERROR(AVERAGE('Data Bulanan'!BF69,'Data Bulanan'!BH69,'Data Bulanan'!BJ69,'Data Bulanan'!BL69,'Data Bulanan'!BN69,'Data Bulanan'!BP69,'Data Bulanan'!BR69,'Data Bulanan'!BT69,'Data Bulanan'!BV69,'Data Bulanan'!BX69,'Data Bulanan'!BZ69,'Data Bulanan'!CB69),0)</f>
        <v>143.57606246799796</v>
      </c>
      <c r="N324" s="37">
        <f>'Data Bulanan'!CD69</f>
        <v>32.125468723489774</v>
      </c>
      <c r="O324" s="38">
        <f t="shared" si="25"/>
        <v>71.834731874766533</v>
      </c>
      <c r="P324" s="39">
        <f t="shared" si="26"/>
        <v>119</v>
      </c>
      <c r="Q324" s="40">
        <f t="shared" si="27"/>
        <v>837</v>
      </c>
      <c r="R324" s="41">
        <f t="shared" si="28"/>
        <v>258</v>
      </c>
      <c r="S324" s="42" t="str">
        <f t="shared" si="29"/>
        <v>Aman ✅</v>
      </c>
      <c r="T324" s="43">
        <f>IFERROR(N324/AVERAGE(M322:M326),0)</f>
        <v>0.23464527499552462</v>
      </c>
      <c r="U324" s="44">
        <v>-1137.73</v>
      </c>
      <c r="V324" s="45">
        <v>9.9500000000000005E-2</v>
      </c>
    </row>
    <row r="325" spans="1:22" ht="15" customHeight="1" x14ac:dyDescent="0.35">
      <c r="A325" s="46">
        <v>4</v>
      </c>
      <c r="B325" s="32">
        <v>2024</v>
      </c>
      <c r="C325" s="46" t="s">
        <v>264</v>
      </c>
      <c r="D325" s="46" t="s">
        <v>162</v>
      </c>
      <c r="E325" s="47" t="s">
        <v>163</v>
      </c>
      <c r="F325" s="46" t="s">
        <v>57</v>
      </c>
      <c r="G325" s="34">
        <v>2258</v>
      </c>
      <c r="H325" s="34">
        <v>5</v>
      </c>
      <c r="I325" s="34">
        <f>IFERROR(ROUND('Data Bulanan'!DC69,0),0)</f>
        <v>55850</v>
      </c>
      <c r="J325" s="34">
        <v>499943</v>
      </c>
      <c r="K325" s="34">
        <v>228688</v>
      </c>
      <c r="L325" s="35">
        <f t="shared" si="24"/>
        <v>494</v>
      </c>
      <c r="M325" s="36">
        <f>IFERROR(AVERAGE('Data Bulanan'!CF69,'Data Bulanan'!CH69,'Data Bulanan'!CJ69,'Data Bulanan'!CL69,'Data Bulanan'!CN69,'Data Bulanan'!CP69,'Data Bulanan'!CR69,'Data Bulanan'!CT69,'Data Bulanan'!CV69,'Data Bulanan'!CX69,'Data Bulanan'!CZ69,'Data Bulanan'!DB69),0)</f>
        <v>148.90961981566818</v>
      </c>
      <c r="N325" s="37">
        <f>'Data Bulanan'!DD69</f>
        <v>39.507146152349037</v>
      </c>
      <c r="O325" s="38">
        <f t="shared" si="25"/>
        <v>88.340664393671716</v>
      </c>
      <c r="P325" s="39">
        <f t="shared" si="26"/>
        <v>146</v>
      </c>
      <c r="Q325" s="40">
        <f t="shared" si="27"/>
        <v>891</v>
      </c>
      <c r="R325" s="41">
        <f t="shared" si="28"/>
        <v>1367</v>
      </c>
      <c r="S325" s="42" t="str">
        <f t="shared" si="29"/>
        <v>Overstock 📦</v>
      </c>
      <c r="T325" s="43">
        <f>IFERROR(N325/AVERAGE(M322:M326),0)</f>
        <v>0.28856124257661286</v>
      </c>
      <c r="U325" s="44">
        <v>-1137.73</v>
      </c>
      <c r="V325" s="45">
        <v>9.9500000000000005E-2</v>
      </c>
    </row>
    <row r="326" spans="1:22" ht="15" customHeight="1" x14ac:dyDescent="0.35">
      <c r="A326" s="46">
        <v>5</v>
      </c>
      <c r="B326" s="32">
        <v>2025</v>
      </c>
      <c r="C326" s="46" t="s">
        <v>264</v>
      </c>
      <c r="D326" s="46" t="s">
        <v>162</v>
      </c>
      <c r="E326" s="47" t="s">
        <v>163</v>
      </c>
      <c r="F326" s="46" t="s">
        <v>57</v>
      </c>
      <c r="G326" s="34">
        <v>1850</v>
      </c>
      <c r="H326" s="34">
        <v>5</v>
      </c>
      <c r="I326" s="34">
        <f>IFERROR(ROUND('Data Bulanan'!EC69,0),0)</f>
        <v>42789</v>
      </c>
      <c r="J326" s="34">
        <v>463081</v>
      </c>
      <c r="K326" s="34">
        <v>249110</v>
      </c>
      <c r="L326" s="35">
        <f t="shared" si="24"/>
        <v>399</v>
      </c>
      <c r="M326" s="36">
        <f>IFERROR(AVERAGE('Data Bulanan'!DF69,'Data Bulanan'!DH69,'Data Bulanan'!DJ69,'Data Bulanan'!DL69,'Data Bulanan'!DN69,'Data Bulanan'!DP69,'Data Bulanan'!DR69,'Data Bulanan'!DT69,'Data Bulanan'!DV69,'Data Bulanan'!DX69,'Data Bulanan'!DZ69,'Data Bulanan'!EB69),0)</f>
        <v>113.86719150025601</v>
      </c>
      <c r="N326" s="37">
        <f>'Data Bulanan'!ED69</f>
        <v>21.675723761181807</v>
      </c>
      <c r="O326" s="38">
        <f t="shared" si="25"/>
        <v>48.468391791509937</v>
      </c>
      <c r="P326" s="39">
        <f t="shared" si="26"/>
        <v>80</v>
      </c>
      <c r="Q326" s="40">
        <f t="shared" si="27"/>
        <v>649</v>
      </c>
      <c r="R326" s="41">
        <f t="shared" si="28"/>
        <v>1201</v>
      </c>
      <c r="S326" s="42" t="str">
        <f t="shared" si="29"/>
        <v>Overstock 📦</v>
      </c>
      <c r="T326" s="43">
        <f>IFERROR(N326/AVERAGE(M322:M326),0)</f>
        <v>0.15832006083542774</v>
      </c>
      <c r="U326" s="44">
        <v>-1137.73</v>
      </c>
      <c r="V326" s="45">
        <v>9.9500000000000005E-2</v>
      </c>
    </row>
    <row r="327" spans="1:22" ht="15" customHeight="1" x14ac:dyDescent="0.35">
      <c r="A327" s="31">
        <v>1</v>
      </c>
      <c r="B327" s="32">
        <v>2021</v>
      </c>
      <c r="C327" s="31" t="s">
        <v>264</v>
      </c>
      <c r="D327" s="31" t="s">
        <v>164</v>
      </c>
      <c r="E327" s="33" t="s">
        <v>165</v>
      </c>
      <c r="F327" s="31" t="s">
        <v>57</v>
      </c>
      <c r="G327" s="34">
        <v>0</v>
      </c>
      <c r="H327" s="34">
        <v>10</v>
      </c>
      <c r="I327" s="34">
        <f>IFERROR(ROUND('Data Bulanan'!AC70,0),0)</f>
        <v>24067</v>
      </c>
      <c r="J327" s="34">
        <v>1091066</v>
      </c>
      <c r="K327" s="34">
        <v>147507</v>
      </c>
      <c r="L327" s="35">
        <f t="shared" ref="L327:L390" si="30">IFERROR(ROUND(SQRT(2*I327*J327/K327),0),0)</f>
        <v>597</v>
      </c>
      <c r="M327" s="36">
        <f>IFERROR(AVERAGE('Data Bulanan'!F70,'Data Bulanan'!H70,'Data Bulanan'!J70,'Data Bulanan'!L70,'Data Bulanan'!N70,'Data Bulanan'!P70,'Data Bulanan'!R70,'Data Bulanan'!T70,'Data Bulanan'!V70,'Data Bulanan'!X70,'Data Bulanan'!Z70,'Data Bulanan'!AB70),0)</f>
        <v>64.015405785970302</v>
      </c>
      <c r="N327" s="37">
        <f>'Data Bulanan'!AD70</f>
        <v>13.652102169989924</v>
      </c>
      <c r="O327" s="38">
        <f t="shared" ref="O327:O390" si="31">IFERROR(N327*SQRT(H327),0)</f>
        <v>43.171737706495392</v>
      </c>
      <c r="P327" s="39">
        <f t="shared" ref="P327:P390" si="32">IFERROR(ROUND(1.65*O327,0),0)</f>
        <v>71</v>
      </c>
      <c r="Q327" s="40">
        <f t="shared" ref="Q327:Q390" si="33">IFERROR(ROUND(M327*H327+P327,0),0)</f>
        <v>711</v>
      </c>
      <c r="R327" s="41">
        <f t="shared" ref="R327:R390" si="34">G327-Q327</f>
        <v>-711</v>
      </c>
      <c r="S327" s="42" t="str">
        <f t="shared" ref="S327:S390" si="35">IF(G327=0,"Stockout ⚠",IF(G327&lt;Q327,"Reorder 🔄",IF(G327&gt;Q327+L327,"Overstock 📦","Aman ✅")))</f>
        <v>Stockout ⚠</v>
      </c>
      <c r="T327" s="43">
        <f>IFERROR(N327/AVERAGE(M327:M331),0)</f>
        <v>0.19692981091225101</v>
      </c>
      <c r="U327" s="44">
        <v>406.53</v>
      </c>
      <c r="V327" s="45">
        <v>0.14799999999999999</v>
      </c>
    </row>
    <row r="328" spans="1:22" ht="15" customHeight="1" x14ac:dyDescent="0.35">
      <c r="A328" s="31">
        <v>2</v>
      </c>
      <c r="B328" s="32">
        <v>2022</v>
      </c>
      <c r="C328" s="31" t="s">
        <v>264</v>
      </c>
      <c r="D328" s="31" t="s">
        <v>164</v>
      </c>
      <c r="E328" s="33" t="s">
        <v>165</v>
      </c>
      <c r="F328" s="31" t="s">
        <v>57</v>
      </c>
      <c r="G328" s="34">
        <v>5466</v>
      </c>
      <c r="H328" s="34">
        <v>10</v>
      </c>
      <c r="I328" s="34">
        <f>IFERROR(ROUND('Data Bulanan'!BC70,0),0)</f>
        <v>27104</v>
      </c>
      <c r="J328" s="34">
        <v>1269279</v>
      </c>
      <c r="K328" s="34">
        <v>150980</v>
      </c>
      <c r="L328" s="35">
        <f t="shared" si="30"/>
        <v>675</v>
      </c>
      <c r="M328" s="36">
        <f>IFERROR(AVERAGE('Data Bulanan'!AF70,'Data Bulanan'!AH70,'Data Bulanan'!AJ70,'Data Bulanan'!AL70,'Data Bulanan'!AN70,'Data Bulanan'!AP70,'Data Bulanan'!AR70,'Data Bulanan'!AT70,'Data Bulanan'!AV70,'Data Bulanan'!AX70,'Data Bulanan'!AZ70,'Data Bulanan'!BB70),0)</f>
        <v>72.071434971838201</v>
      </c>
      <c r="N328" s="37">
        <f>'Data Bulanan'!BD70</f>
        <v>14.976810957292001</v>
      </c>
      <c r="O328" s="38">
        <f t="shared" si="31"/>
        <v>47.360834710809499</v>
      </c>
      <c r="P328" s="39">
        <f t="shared" si="32"/>
        <v>78</v>
      </c>
      <c r="Q328" s="40">
        <f t="shared" si="33"/>
        <v>799</v>
      </c>
      <c r="R328" s="41">
        <f t="shared" si="34"/>
        <v>4667</v>
      </c>
      <c r="S328" s="42" t="str">
        <f t="shared" si="35"/>
        <v>Overstock 📦</v>
      </c>
      <c r="T328" s="43">
        <f>IFERROR(N328/AVERAGE(M327:M331),0)</f>
        <v>0.21603856411002964</v>
      </c>
      <c r="U328" s="44">
        <v>406.53</v>
      </c>
      <c r="V328" s="45">
        <v>0.14799999999999999</v>
      </c>
    </row>
    <row r="329" spans="1:22" ht="15" customHeight="1" x14ac:dyDescent="0.35">
      <c r="A329" s="31">
        <v>3</v>
      </c>
      <c r="B329" s="32">
        <v>2023</v>
      </c>
      <c r="C329" s="31" t="s">
        <v>264</v>
      </c>
      <c r="D329" s="31" t="s">
        <v>164</v>
      </c>
      <c r="E329" s="33" t="s">
        <v>165</v>
      </c>
      <c r="F329" s="31" t="s">
        <v>57</v>
      </c>
      <c r="G329" s="34">
        <v>2667</v>
      </c>
      <c r="H329" s="34">
        <v>10</v>
      </c>
      <c r="I329" s="34">
        <f>IFERROR(ROUND('Data Bulanan'!CC70,0),0)</f>
        <v>27285</v>
      </c>
      <c r="J329" s="34">
        <v>1183837</v>
      </c>
      <c r="K329" s="34">
        <v>145840</v>
      </c>
      <c r="L329" s="35">
        <f t="shared" si="30"/>
        <v>666</v>
      </c>
      <c r="M329" s="36">
        <f>IFERROR(AVERAGE('Data Bulanan'!BF70,'Data Bulanan'!BH70,'Data Bulanan'!BJ70,'Data Bulanan'!BL70,'Data Bulanan'!BN70,'Data Bulanan'!BP70,'Data Bulanan'!BR70,'Data Bulanan'!BT70,'Data Bulanan'!BV70,'Data Bulanan'!BX70,'Data Bulanan'!BZ70,'Data Bulanan'!CB70),0)</f>
        <v>72.370167690732202</v>
      </c>
      <c r="N329" s="37">
        <f>'Data Bulanan'!CD70</f>
        <v>18.412921156703153</v>
      </c>
      <c r="O329" s="38">
        <f t="shared" si="31"/>
        <v>58.226769232284099</v>
      </c>
      <c r="P329" s="39">
        <f t="shared" si="32"/>
        <v>96</v>
      </c>
      <c r="Q329" s="40">
        <f t="shared" si="33"/>
        <v>820</v>
      </c>
      <c r="R329" s="41">
        <f t="shared" si="34"/>
        <v>1847</v>
      </c>
      <c r="S329" s="42" t="str">
        <f t="shared" si="35"/>
        <v>Overstock 📦</v>
      </c>
      <c r="T329" s="43">
        <f>IFERROR(N329/AVERAGE(M327:M331),0)</f>
        <v>0.26560401003316064</v>
      </c>
      <c r="U329" s="44">
        <v>406.53</v>
      </c>
      <c r="V329" s="45">
        <v>0.14799999999999999</v>
      </c>
    </row>
    <row r="330" spans="1:22" ht="15" customHeight="1" x14ac:dyDescent="0.35">
      <c r="A330" s="31">
        <v>4</v>
      </c>
      <c r="B330" s="32">
        <v>2024</v>
      </c>
      <c r="C330" s="31" t="s">
        <v>264</v>
      </c>
      <c r="D330" s="31" t="s">
        <v>164</v>
      </c>
      <c r="E330" s="33" t="s">
        <v>165</v>
      </c>
      <c r="F330" s="31" t="s">
        <v>57</v>
      </c>
      <c r="G330" s="34">
        <v>0</v>
      </c>
      <c r="H330" s="34">
        <v>10</v>
      </c>
      <c r="I330" s="34">
        <f>IFERROR(ROUND('Data Bulanan'!DC70,0),0)</f>
        <v>24420</v>
      </c>
      <c r="J330" s="34">
        <v>1290888</v>
      </c>
      <c r="K330" s="34">
        <v>150768</v>
      </c>
      <c r="L330" s="35">
        <f t="shared" si="30"/>
        <v>647</v>
      </c>
      <c r="M330" s="36">
        <f>IFERROR(AVERAGE('Data Bulanan'!CF70,'Data Bulanan'!CH70,'Data Bulanan'!CJ70,'Data Bulanan'!CL70,'Data Bulanan'!CN70,'Data Bulanan'!CP70,'Data Bulanan'!CR70,'Data Bulanan'!CT70,'Data Bulanan'!CV70,'Data Bulanan'!CX70,'Data Bulanan'!CZ70,'Data Bulanan'!DB70),0)</f>
        <v>64.937928827444949</v>
      </c>
      <c r="N330" s="37">
        <f>'Data Bulanan'!DD70</f>
        <v>11.261218187793975</v>
      </c>
      <c r="O330" s="38">
        <f t="shared" si="31"/>
        <v>35.61109870154273</v>
      </c>
      <c r="P330" s="39">
        <f t="shared" si="32"/>
        <v>59</v>
      </c>
      <c r="Q330" s="40">
        <f t="shared" si="33"/>
        <v>708</v>
      </c>
      <c r="R330" s="41">
        <f t="shared" si="34"/>
        <v>-708</v>
      </c>
      <c r="S330" s="42" t="str">
        <f t="shared" si="35"/>
        <v>Stockout ⚠</v>
      </c>
      <c r="T330" s="43">
        <f>IFERROR(N330/AVERAGE(M327:M331),0)</f>
        <v>0.16244161820285485</v>
      </c>
      <c r="U330" s="44">
        <v>406.53</v>
      </c>
      <c r="V330" s="45">
        <v>0.14799999999999999</v>
      </c>
    </row>
    <row r="331" spans="1:22" ht="15" customHeight="1" x14ac:dyDescent="0.35">
      <c r="A331" s="31">
        <v>5</v>
      </c>
      <c r="B331" s="32">
        <v>2025</v>
      </c>
      <c r="C331" s="31" t="s">
        <v>264</v>
      </c>
      <c r="D331" s="31" t="s">
        <v>164</v>
      </c>
      <c r="E331" s="33" t="s">
        <v>165</v>
      </c>
      <c r="F331" s="31" t="s">
        <v>57</v>
      </c>
      <c r="G331" s="34">
        <v>985</v>
      </c>
      <c r="H331" s="34">
        <v>10</v>
      </c>
      <c r="I331" s="34">
        <f>IFERROR(ROUND('Data Bulanan'!EC70,0),0)</f>
        <v>27443</v>
      </c>
      <c r="J331" s="34">
        <v>1156779</v>
      </c>
      <c r="K331" s="34">
        <v>146094</v>
      </c>
      <c r="L331" s="35">
        <f t="shared" si="30"/>
        <v>659</v>
      </c>
      <c r="M331" s="36">
        <f>IFERROR(AVERAGE('Data Bulanan'!DF70,'Data Bulanan'!DH70,'Data Bulanan'!DJ70,'Data Bulanan'!DL70,'Data Bulanan'!DN70,'Data Bulanan'!DP70,'Data Bulanan'!DR70,'Data Bulanan'!DT70,'Data Bulanan'!DV70,'Data Bulanan'!DX70,'Data Bulanan'!DZ70,'Data Bulanan'!EB70),0)</f>
        <v>73.228616231438806</v>
      </c>
      <c r="N331" s="37">
        <f>'Data Bulanan'!ED70</f>
        <v>15.188174791090951</v>
      </c>
      <c r="O331" s="38">
        <f t="shared" si="31"/>
        <v>48.029225840599459</v>
      </c>
      <c r="P331" s="39">
        <f t="shared" si="32"/>
        <v>79</v>
      </c>
      <c r="Q331" s="40">
        <f t="shared" si="33"/>
        <v>811</v>
      </c>
      <c r="R331" s="41">
        <f t="shared" si="34"/>
        <v>174</v>
      </c>
      <c r="S331" s="42" t="str">
        <f t="shared" si="35"/>
        <v>Aman ✅</v>
      </c>
      <c r="T331" s="43">
        <f>IFERROR(N331/AVERAGE(M327:M331),0)</f>
        <v>0.21908746011926206</v>
      </c>
      <c r="U331" s="44">
        <v>406.53</v>
      </c>
      <c r="V331" s="45">
        <v>0.14799999999999999</v>
      </c>
    </row>
    <row r="332" spans="1:22" ht="15" customHeight="1" x14ac:dyDescent="0.35">
      <c r="A332" s="46">
        <v>1</v>
      </c>
      <c r="B332" s="32">
        <v>2021</v>
      </c>
      <c r="C332" s="46" t="s">
        <v>264</v>
      </c>
      <c r="D332" s="46" t="s">
        <v>166</v>
      </c>
      <c r="E332" s="47" t="s">
        <v>167</v>
      </c>
      <c r="F332" s="46" t="s">
        <v>57</v>
      </c>
      <c r="G332" s="34">
        <v>9027</v>
      </c>
      <c r="H332" s="34">
        <v>35</v>
      </c>
      <c r="I332" s="34">
        <f>IFERROR(ROUND('Data Bulanan'!AC71,0),0)</f>
        <v>28730</v>
      </c>
      <c r="J332" s="34">
        <v>9668589</v>
      </c>
      <c r="K332" s="34">
        <v>167745</v>
      </c>
      <c r="L332" s="35">
        <f t="shared" si="30"/>
        <v>1820</v>
      </c>
      <c r="M332" s="36">
        <f>IFERROR(AVERAGE('Data Bulanan'!F71,'Data Bulanan'!H71,'Data Bulanan'!J71,'Data Bulanan'!L71,'Data Bulanan'!N71,'Data Bulanan'!P71,'Data Bulanan'!R71,'Data Bulanan'!T71,'Data Bulanan'!V71,'Data Bulanan'!X71,'Data Bulanan'!Z71,'Data Bulanan'!AB71),0)</f>
        <v>76.613863287250382</v>
      </c>
      <c r="N332" s="37">
        <f>'Data Bulanan'!AD71</f>
        <v>16.589412606492903</v>
      </c>
      <c r="O332" s="38">
        <f t="shared" si="31"/>
        <v>98.144288534770567</v>
      </c>
      <c r="P332" s="39">
        <f t="shared" si="32"/>
        <v>162</v>
      </c>
      <c r="Q332" s="40">
        <f t="shared" si="33"/>
        <v>2843</v>
      </c>
      <c r="R332" s="41">
        <f t="shared" si="34"/>
        <v>6184</v>
      </c>
      <c r="S332" s="42" t="str">
        <f t="shared" si="35"/>
        <v>Overstock 📦</v>
      </c>
      <c r="T332" s="43">
        <f>IFERROR(N332/AVERAGE(M332:M336),0)</f>
        <v>0.19755694299659063</v>
      </c>
      <c r="U332" s="44">
        <v>754.39</v>
      </c>
      <c r="V332" s="45">
        <v>0.13320000000000001</v>
      </c>
    </row>
    <row r="333" spans="1:22" ht="15" customHeight="1" x14ac:dyDescent="0.35">
      <c r="A333" s="46">
        <v>2</v>
      </c>
      <c r="B333" s="32">
        <v>2022</v>
      </c>
      <c r="C333" s="46" t="s">
        <v>264</v>
      </c>
      <c r="D333" s="46" t="s">
        <v>166</v>
      </c>
      <c r="E333" s="47" t="s">
        <v>167</v>
      </c>
      <c r="F333" s="46" t="s">
        <v>57</v>
      </c>
      <c r="G333" s="34">
        <v>24327</v>
      </c>
      <c r="H333" s="34">
        <v>35</v>
      </c>
      <c r="I333" s="34">
        <f>IFERROR(ROUND('Data Bulanan'!BC71,0),0)</f>
        <v>34870</v>
      </c>
      <c r="J333" s="34">
        <v>10177544</v>
      </c>
      <c r="K333" s="34">
        <v>161459</v>
      </c>
      <c r="L333" s="35">
        <f t="shared" si="30"/>
        <v>2097</v>
      </c>
      <c r="M333" s="36">
        <f>IFERROR(AVERAGE('Data Bulanan'!AF71,'Data Bulanan'!AH71,'Data Bulanan'!AJ71,'Data Bulanan'!AL71,'Data Bulanan'!AN71,'Data Bulanan'!AP71,'Data Bulanan'!AR71,'Data Bulanan'!AT71,'Data Bulanan'!AV71,'Data Bulanan'!AX71,'Data Bulanan'!AZ71,'Data Bulanan'!BB71),0)</f>
        <v>93.192767537122378</v>
      </c>
      <c r="N333" s="37">
        <f>'Data Bulanan'!BD71</f>
        <v>23.643572001396528</v>
      </c>
      <c r="O333" s="38">
        <f t="shared" si="31"/>
        <v>139.87725831772212</v>
      </c>
      <c r="P333" s="39">
        <f t="shared" si="32"/>
        <v>231</v>
      </c>
      <c r="Q333" s="40">
        <f t="shared" si="33"/>
        <v>3493</v>
      </c>
      <c r="R333" s="41">
        <f t="shared" si="34"/>
        <v>20834</v>
      </c>
      <c r="S333" s="42" t="str">
        <f t="shared" si="35"/>
        <v>Overstock 📦</v>
      </c>
      <c r="T333" s="43">
        <f>IFERROR(N333/AVERAGE(M332:M336),0)</f>
        <v>0.28156221783811225</v>
      </c>
      <c r="U333" s="44">
        <v>754.39</v>
      </c>
      <c r="V333" s="45">
        <v>0.13320000000000001</v>
      </c>
    </row>
    <row r="334" spans="1:22" ht="15" customHeight="1" x14ac:dyDescent="0.35">
      <c r="A334" s="46">
        <v>3</v>
      </c>
      <c r="B334" s="32">
        <v>2023</v>
      </c>
      <c r="C334" s="46" t="s">
        <v>264</v>
      </c>
      <c r="D334" s="46" t="s">
        <v>166</v>
      </c>
      <c r="E334" s="47" t="s">
        <v>167</v>
      </c>
      <c r="F334" s="46" t="s">
        <v>57</v>
      </c>
      <c r="G334" s="34">
        <v>18550</v>
      </c>
      <c r="H334" s="34">
        <v>35</v>
      </c>
      <c r="I334" s="34">
        <f>IFERROR(ROUND('Data Bulanan'!CC71,0),0)</f>
        <v>29376</v>
      </c>
      <c r="J334" s="34">
        <v>10388491</v>
      </c>
      <c r="K334" s="34">
        <v>159575</v>
      </c>
      <c r="L334" s="35">
        <f t="shared" si="30"/>
        <v>1956</v>
      </c>
      <c r="M334" s="36">
        <f>IFERROR(AVERAGE('Data Bulanan'!BF71,'Data Bulanan'!BH71,'Data Bulanan'!BJ71,'Data Bulanan'!BL71,'Data Bulanan'!BN71,'Data Bulanan'!BP71,'Data Bulanan'!BR71,'Data Bulanan'!BT71,'Data Bulanan'!BV71,'Data Bulanan'!BX71,'Data Bulanan'!BZ71,'Data Bulanan'!CB71),0)</f>
        <v>78.23624551971325</v>
      </c>
      <c r="N334" s="37">
        <f>'Data Bulanan'!CD71</f>
        <v>11.725672190053698</v>
      </c>
      <c r="O334" s="38">
        <f t="shared" si="31"/>
        <v>69.370012186830081</v>
      </c>
      <c r="P334" s="39">
        <f t="shared" si="32"/>
        <v>114</v>
      </c>
      <c r="Q334" s="40">
        <f t="shared" si="33"/>
        <v>2852</v>
      </c>
      <c r="R334" s="41">
        <f t="shared" si="34"/>
        <v>15698</v>
      </c>
      <c r="S334" s="42" t="str">
        <f t="shared" si="35"/>
        <v>Overstock 📦</v>
      </c>
      <c r="T334" s="43">
        <f>IFERROR(N334/AVERAGE(M332:M336),0)</f>
        <v>0.13963652646390265</v>
      </c>
      <c r="U334" s="44">
        <v>754.39</v>
      </c>
      <c r="V334" s="45">
        <v>0.13320000000000001</v>
      </c>
    </row>
    <row r="335" spans="1:22" ht="15" customHeight="1" x14ac:dyDescent="0.35">
      <c r="A335" s="46">
        <v>4</v>
      </c>
      <c r="B335" s="32">
        <v>2024</v>
      </c>
      <c r="C335" s="46" t="s">
        <v>264</v>
      </c>
      <c r="D335" s="46" t="s">
        <v>166</v>
      </c>
      <c r="E335" s="47" t="s">
        <v>167</v>
      </c>
      <c r="F335" s="46" t="s">
        <v>57</v>
      </c>
      <c r="G335" s="34">
        <v>0</v>
      </c>
      <c r="H335" s="34">
        <v>35</v>
      </c>
      <c r="I335" s="34">
        <f>IFERROR(ROUND('Data Bulanan'!DC71,0),0)</f>
        <v>29301</v>
      </c>
      <c r="J335" s="34">
        <v>10378067</v>
      </c>
      <c r="K335" s="34">
        <v>160480</v>
      </c>
      <c r="L335" s="35">
        <f t="shared" si="30"/>
        <v>1947</v>
      </c>
      <c r="M335" s="36">
        <f>IFERROR(AVERAGE('Data Bulanan'!CF71,'Data Bulanan'!CH71,'Data Bulanan'!CJ71,'Data Bulanan'!CL71,'Data Bulanan'!CN71,'Data Bulanan'!CP71,'Data Bulanan'!CR71,'Data Bulanan'!CT71,'Data Bulanan'!CV71,'Data Bulanan'!CX71,'Data Bulanan'!CZ71,'Data Bulanan'!DB71),0)</f>
        <v>77.989535330261148</v>
      </c>
      <c r="N335" s="37">
        <f>'Data Bulanan'!DD71</f>
        <v>19.113643412604151</v>
      </c>
      <c r="O335" s="38">
        <f t="shared" si="31"/>
        <v>113.07783937468257</v>
      </c>
      <c r="P335" s="39">
        <f t="shared" si="32"/>
        <v>187</v>
      </c>
      <c r="Q335" s="40">
        <f t="shared" si="33"/>
        <v>2917</v>
      </c>
      <c r="R335" s="41">
        <f t="shared" si="34"/>
        <v>-2917</v>
      </c>
      <c r="S335" s="42" t="str">
        <f t="shared" si="35"/>
        <v>Stockout ⚠</v>
      </c>
      <c r="T335" s="43">
        <f>IFERROR(N335/AVERAGE(M332:M336),0)</f>
        <v>0.22761703814896395</v>
      </c>
      <c r="U335" s="44">
        <v>754.39</v>
      </c>
      <c r="V335" s="45">
        <v>0.13320000000000001</v>
      </c>
    </row>
    <row r="336" spans="1:22" ht="15" customHeight="1" x14ac:dyDescent="0.35">
      <c r="A336" s="46">
        <v>5</v>
      </c>
      <c r="B336" s="32">
        <v>2025</v>
      </c>
      <c r="C336" s="46" t="s">
        <v>264</v>
      </c>
      <c r="D336" s="46" t="s">
        <v>166</v>
      </c>
      <c r="E336" s="47" t="s">
        <v>167</v>
      </c>
      <c r="F336" s="46" t="s">
        <v>57</v>
      </c>
      <c r="G336" s="34">
        <v>17811</v>
      </c>
      <c r="H336" s="34">
        <v>35</v>
      </c>
      <c r="I336" s="34">
        <f>IFERROR(ROUND('Data Bulanan'!EC71,0),0)</f>
        <v>35286</v>
      </c>
      <c r="J336" s="34">
        <v>9366528</v>
      </c>
      <c r="K336" s="34">
        <v>174049</v>
      </c>
      <c r="L336" s="35">
        <f t="shared" si="30"/>
        <v>1949</v>
      </c>
      <c r="M336" s="36">
        <f>IFERROR(AVERAGE('Data Bulanan'!DF71,'Data Bulanan'!DH71,'Data Bulanan'!DJ71,'Data Bulanan'!DL71,'Data Bulanan'!DN71,'Data Bulanan'!DP71,'Data Bulanan'!DR71,'Data Bulanan'!DT71,'Data Bulanan'!DV71,'Data Bulanan'!DX71,'Data Bulanan'!DZ71,'Data Bulanan'!EB71),0)</f>
        <v>93.831662826420882</v>
      </c>
      <c r="N336" s="37">
        <f>'Data Bulanan'!ED71</f>
        <v>22.952916891324492</v>
      </c>
      <c r="O336" s="38">
        <f t="shared" si="31"/>
        <v>135.79128758393051</v>
      </c>
      <c r="P336" s="39">
        <f t="shared" si="32"/>
        <v>224</v>
      </c>
      <c r="Q336" s="40">
        <f t="shared" si="33"/>
        <v>3508</v>
      </c>
      <c r="R336" s="41">
        <f t="shared" si="34"/>
        <v>14303</v>
      </c>
      <c r="S336" s="42" t="str">
        <f t="shared" si="35"/>
        <v>Overstock 📦</v>
      </c>
      <c r="T336" s="43">
        <f>IFERROR(N336/AVERAGE(M332:M336),0)</f>
        <v>0.27333747140209902</v>
      </c>
      <c r="U336" s="44">
        <v>754.39</v>
      </c>
      <c r="V336" s="45">
        <v>0.13320000000000001</v>
      </c>
    </row>
    <row r="337" spans="1:22" ht="15" customHeight="1" x14ac:dyDescent="0.35">
      <c r="A337" s="31">
        <v>1</v>
      </c>
      <c r="B337" s="32">
        <v>2021</v>
      </c>
      <c r="C337" s="31" t="s">
        <v>263</v>
      </c>
      <c r="D337" s="31" t="s">
        <v>168</v>
      </c>
      <c r="E337" s="33" t="s">
        <v>169</v>
      </c>
      <c r="F337" s="31" t="s">
        <v>57</v>
      </c>
      <c r="G337" s="34">
        <v>16303</v>
      </c>
      <c r="H337" s="34">
        <v>34</v>
      </c>
      <c r="I337" s="34">
        <f>IFERROR(ROUND('Data Bulanan'!AC72,0),0)</f>
        <v>28588</v>
      </c>
      <c r="J337" s="34">
        <v>4863691</v>
      </c>
      <c r="K337" s="34">
        <v>244138</v>
      </c>
      <c r="L337" s="35">
        <f t="shared" si="30"/>
        <v>1067</v>
      </c>
      <c r="M337" s="36">
        <f>IFERROR(AVERAGE('Data Bulanan'!F72,'Data Bulanan'!H72,'Data Bulanan'!J72,'Data Bulanan'!L72,'Data Bulanan'!N72,'Data Bulanan'!P72,'Data Bulanan'!R72,'Data Bulanan'!T72,'Data Bulanan'!V72,'Data Bulanan'!X72,'Data Bulanan'!Z72,'Data Bulanan'!AB72),0)</f>
        <v>76.131944444444443</v>
      </c>
      <c r="N337" s="37">
        <f>'Data Bulanan'!AD72</f>
        <v>20.104324506045785</v>
      </c>
      <c r="O337" s="38">
        <f t="shared" si="31"/>
        <v>117.22734907311248</v>
      </c>
      <c r="P337" s="39">
        <f t="shared" si="32"/>
        <v>193</v>
      </c>
      <c r="Q337" s="40">
        <f t="shared" si="33"/>
        <v>2781</v>
      </c>
      <c r="R337" s="41">
        <f t="shared" si="34"/>
        <v>13522</v>
      </c>
      <c r="S337" s="42" t="str">
        <f t="shared" si="35"/>
        <v>Overstock 📦</v>
      </c>
      <c r="T337" s="43">
        <f>IFERROR(N337/AVERAGE(M337:M341),0)</f>
        <v>0.28115219269237596</v>
      </c>
      <c r="U337" s="44">
        <v>-600.83000000000004</v>
      </c>
      <c r="V337" s="45">
        <v>0.31309999999999999</v>
      </c>
    </row>
    <row r="338" spans="1:22" ht="15" customHeight="1" x14ac:dyDescent="0.35">
      <c r="A338" s="31">
        <v>2</v>
      </c>
      <c r="B338" s="32">
        <v>2022</v>
      </c>
      <c r="C338" s="31" t="s">
        <v>263</v>
      </c>
      <c r="D338" s="31" t="s">
        <v>168</v>
      </c>
      <c r="E338" s="33" t="s">
        <v>169</v>
      </c>
      <c r="F338" s="31" t="s">
        <v>57</v>
      </c>
      <c r="G338" s="34">
        <v>7178</v>
      </c>
      <c r="H338" s="34">
        <v>34</v>
      </c>
      <c r="I338" s="34">
        <f>IFERROR(ROUND('Data Bulanan'!BC72,0),0)</f>
        <v>26278</v>
      </c>
      <c r="J338" s="34">
        <v>5514650</v>
      </c>
      <c r="K338" s="34">
        <v>254685</v>
      </c>
      <c r="L338" s="35">
        <f t="shared" si="30"/>
        <v>1067</v>
      </c>
      <c r="M338" s="36">
        <f>IFERROR(AVERAGE('Data Bulanan'!AF72,'Data Bulanan'!AH72,'Data Bulanan'!AJ72,'Data Bulanan'!AL72,'Data Bulanan'!AN72,'Data Bulanan'!AP72,'Data Bulanan'!AR72,'Data Bulanan'!AT72,'Data Bulanan'!AV72,'Data Bulanan'!AX72,'Data Bulanan'!AZ72,'Data Bulanan'!BB72),0)</f>
        <v>70.102208141321043</v>
      </c>
      <c r="N338" s="37">
        <f>'Data Bulanan'!BD72</f>
        <v>16.016741974171708</v>
      </c>
      <c r="O338" s="38">
        <f t="shared" si="31"/>
        <v>93.392851963544786</v>
      </c>
      <c r="P338" s="39">
        <f t="shared" si="32"/>
        <v>154</v>
      </c>
      <c r="Q338" s="40">
        <f t="shared" si="33"/>
        <v>2537</v>
      </c>
      <c r="R338" s="41">
        <f t="shared" si="34"/>
        <v>4641</v>
      </c>
      <c r="S338" s="42" t="str">
        <f t="shared" si="35"/>
        <v>Overstock 📦</v>
      </c>
      <c r="T338" s="43">
        <f>IFERROR(N338/AVERAGE(M337:M341),0)</f>
        <v>0.22398873060729807</v>
      </c>
      <c r="U338" s="44">
        <v>-600.83000000000004</v>
      </c>
      <c r="V338" s="45">
        <v>0.31309999999999999</v>
      </c>
    </row>
    <row r="339" spans="1:22" ht="15" customHeight="1" x14ac:dyDescent="0.35">
      <c r="A339" s="31">
        <v>3</v>
      </c>
      <c r="B339" s="32">
        <v>2023</v>
      </c>
      <c r="C339" s="31" t="s">
        <v>263</v>
      </c>
      <c r="D339" s="31" t="s">
        <v>168</v>
      </c>
      <c r="E339" s="33" t="s">
        <v>169</v>
      </c>
      <c r="F339" s="31" t="s">
        <v>57</v>
      </c>
      <c r="G339" s="34">
        <v>0</v>
      </c>
      <c r="H339" s="34">
        <v>34</v>
      </c>
      <c r="I339" s="34">
        <f>IFERROR(ROUND('Data Bulanan'!CC72,0),0)</f>
        <v>28433</v>
      </c>
      <c r="J339" s="34">
        <v>4672474</v>
      </c>
      <c r="K339" s="34">
        <v>226814</v>
      </c>
      <c r="L339" s="35">
        <f t="shared" si="30"/>
        <v>1082</v>
      </c>
      <c r="M339" s="36">
        <f>IFERROR(AVERAGE('Data Bulanan'!BF72,'Data Bulanan'!BH72,'Data Bulanan'!BJ72,'Data Bulanan'!BL72,'Data Bulanan'!BN72,'Data Bulanan'!BP72,'Data Bulanan'!BR72,'Data Bulanan'!BT72,'Data Bulanan'!BV72,'Data Bulanan'!BX72,'Data Bulanan'!BZ72,'Data Bulanan'!CB72),0)</f>
        <v>75.751203277009722</v>
      </c>
      <c r="N339" s="37">
        <f>'Data Bulanan'!CD72</f>
        <v>15.762773364450988</v>
      </c>
      <c r="O339" s="38">
        <f t="shared" si="31"/>
        <v>91.911973217462517</v>
      </c>
      <c r="P339" s="39">
        <f t="shared" si="32"/>
        <v>152</v>
      </c>
      <c r="Q339" s="40">
        <f t="shared" si="33"/>
        <v>2728</v>
      </c>
      <c r="R339" s="41">
        <f t="shared" si="34"/>
        <v>-2728</v>
      </c>
      <c r="S339" s="42" t="str">
        <f t="shared" si="35"/>
        <v>Stockout ⚠</v>
      </c>
      <c r="T339" s="43">
        <f>IFERROR(N339/AVERAGE(M337:M341),0)</f>
        <v>0.22043706531874077</v>
      </c>
      <c r="U339" s="44">
        <v>-600.83000000000004</v>
      </c>
      <c r="V339" s="45">
        <v>0.31309999999999999</v>
      </c>
    </row>
    <row r="340" spans="1:22" ht="15" customHeight="1" x14ac:dyDescent="0.35">
      <c r="A340" s="31">
        <v>4</v>
      </c>
      <c r="B340" s="32">
        <v>2024</v>
      </c>
      <c r="C340" s="31" t="s">
        <v>263</v>
      </c>
      <c r="D340" s="31" t="s">
        <v>168</v>
      </c>
      <c r="E340" s="33" t="s">
        <v>169</v>
      </c>
      <c r="F340" s="31" t="s">
        <v>57</v>
      </c>
      <c r="G340" s="34">
        <v>10269</v>
      </c>
      <c r="H340" s="34">
        <v>34</v>
      </c>
      <c r="I340" s="34">
        <f>IFERROR(ROUND('Data Bulanan'!DC72,0),0)</f>
        <v>24497</v>
      </c>
      <c r="J340" s="34">
        <v>5032612</v>
      </c>
      <c r="K340" s="34">
        <v>241670</v>
      </c>
      <c r="L340" s="35">
        <f t="shared" si="30"/>
        <v>1010</v>
      </c>
      <c r="M340" s="36">
        <f>IFERROR(AVERAGE('Data Bulanan'!CF72,'Data Bulanan'!CH72,'Data Bulanan'!CJ72,'Data Bulanan'!CL72,'Data Bulanan'!CN72,'Data Bulanan'!CP72,'Data Bulanan'!CR72,'Data Bulanan'!CT72,'Data Bulanan'!CV72,'Data Bulanan'!CX72,'Data Bulanan'!CZ72,'Data Bulanan'!DB72),0)</f>
        <v>65.063600870455716</v>
      </c>
      <c r="N340" s="37">
        <f>'Data Bulanan'!DD72</f>
        <v>14.40040102494927</v>
      </c>
      <c r="O340" s="38">
        <f t="shared" si="31"/>
        <v>83.968045642960149</v>
      </c>
      <c r="P340" s="39">
        <f t="shared" si="32"/>
        <v>139</v>
      </c>
      <c r="Q340" s="40">
        <f t="shared" si="33"/>
        <v>2351</v>
      </c>
      <c r="R340" s="41">
        <f t="shared" si="34"/>
        <v>7918</v>
      </c>
      <c r="S340" s="42" t="str">
        <f t="shared" si="35"/>
        <v>Overstock 📦</v>
      </c>
      <c r="T340" s="43">
        <f>IFERROR(N340/AVERAGE(M337:M341),0)</f>
        <v>0.20138474797283026</v>
      </c>
      <c r="U340" s="44">
        <v>-600.83000000000004</v>
      </c>
      <c r="V340" s="45">
        <v>0.31309999999999999</v>
      </c>
    </row>
    <row r="341" spans="1:22" ht="15" customHeight="1" x14ac:dyDescent="0.35">
      <c r="A341" s="31">
        <v>5</v>
      </c>
      <c r="B341" s="32">
        <v>2025</v>
      </c>
      <c r="C341" s="31" t="s">
        <v>263</v>
      </c>
      <c r="D341" s="31" t="s">
        <v>168</v>
      </c>
      <c r="E341" s="33" t="s">
        <v>169</v>
      </c>
      <c r="F341" s="31" t="s">
        <v>57</v>
      </c>
      <c r="G341" s="34">
        <v>6974</v>
      </c>
      <c r="H341" s="34">
        <v>34</v>
      </c>
      <c r="I341" s="34">
        <f>IFERROR(ROUND('Data Bulanan'!EC72,0),0)</f>
        <v>26474</v>
      </c>
      <c r="J341" s="34">
        <v>5183069</v>
      </c>
      <c r="K341" s="34">
        <v>236108</v>
      </c>
      <c r="L341" s="35">
        <f t="shared" si="30"/>
        <v>1078</v>
      </c>
      <c r="M341" s="36">
        <f>IFERROR(AVERAGE('Data Bulanan'!DF72,'Data Bulanan'!DH72,'Data Bulanan'!DJ72,'Data Bulanan'!DL72,'Data Bulanan'!DN72,'Data Bulanan'!DP72,'Data Bulanan'!DR72,'Data Bulanan'!DT72,'Data Bulanan'!DV72,'Data Bulanan'!DX72,'Data Bulanan'!DZ72,'Data Bulanan'!EB72),0)</f>
        <v>70.485592677931393</v>
      </c>
      <c r="N341" s="37">
        <f>'Data Bulanan'!ED72</f>
        <v>13.277100116483142</v>
      </c>
      <c r="O341" s="38">
        <f t="shared" si="31"/>
        <v>77.41813208225814</v>
      </c>
      <c r="P341" s="39">
        <f t="shared" si="32"/>
        <v>128</v>
      </c>
      <c r="Q341" s="40">
        <f t="shared" si="33"/>
        <v>2525</v>
      </c>
      <c r="R341" s="41">
        <f t="shared" si="34"/>
        <v>4449</v>
      </c>
      <c r="S341" s="42" t="str">
        <f t="shared" si="35"/>
        <v>Overstock 📦</v>
      </c>
      <c r="T341" s="43">
        <f>IFERROR(N341/AVERAGE(M337:M341),0)</f>
        <v>0.18567576389959684</v>
      </c>
      <c r="U341" s="44">
        <v>-600.83000000000004</v>
      </c>
      <c r="V341" s="45">
        <v>0.31309999999999999</v>
      </c>
    </row>
    <row r="342" spans="1:22" ht="15" customHeight="1" x14ac:dyDescent="0.35">
      <c r="A342" s="46">
        <v>1</v>
      </c>
      <c r="B342" s="32">
        <v>2021</v>
      </c>
      <c r="C342" s="46" t="s">
        <v>264</v>
      </c>
      <c r="D342" s="46" t="s">
        <v>170</v>
      </c>
      <c r="E342" s="47" t="s">
        <v>171</v>
      </c>
      <c r="F342" s="46" t="s">
        <v>57</v>
      </c>
      <c r="G342" s="34">
        <v>4941</v>
      </c>
      <c r="H342" s="34">
        <v>10</v>
      </c>
      <c r="I342" s="34">
        <f>IFERROR(ROUND('Data Bulanan'!AC73,0),0)</f>
        <v>40342</v>
      </c>
      <c r="J342" s="34">
        <v>515040</v>
      </c>
      <c r="K342" s="34">
        <v>91279</v>
      </c>
      <c r="L342" s="35">
        <f t="shared" si="30"/>
        <v>675</v>
      </c>
      <c r="M342" s="36">
        <f>IFERROR(AVERAGE('Data Bulanan'!F73,'Data Bulanan'!H73,'Data Bulanan'!J73,'Data Bulanan'!L73,'Data Bulanan'!N73,'Data Bulanan'!P73,'Data Bulanan'!R73,'Data Bulanan'!T73,'Data Bulanan'!V73,'Data Bulanan'!X73,'Data Bulanan'!Z73,'Data Bulanan'!AB73),0)</f>
        <v>107.06039426523297</v>
      </c>
      <c r="N342" s="37">
        <f>'Data Bulanan'!AD73</f>
        <v>23.951166902596448</v>
      </c>
      <c r="O342" s="38">
        <f t="shared" si="31"/>
        <v>75.740240031045033</v>
      </c>
      <c r="P342" s="39">
        <f t="shared" si="32"/>
        <v>125</v>
      </c>
      <c r="Q342" s="40">
        <f t="shared" si="33"/>
        <v>1196</v>
      </c>
      <c r="R342" s="41">
        <f t="shared" si="34"/>
        <v>3745</v>
      </c>
      <c r="S342" s="42" t="str">
        <f t="shared" si="35"/>
        <v>Overstock 📦</v>
      </c>
      <c r="T342" s="43">
        <f>IFERROR(N342/AVERAGE(M342:M346),0)</f>
        <v>0.21018170765812388</v>
      </c>
      <c r="U342" s="44">
        <v>-532.53</v>
      </c>
      <c r="V342" s="45">
        <v>4.5199999999999997E-2</v>
      </c>
    </row>
    <row r="343" spans="1:22" ht="15" customHeight="1" x14ac:dyDescent="0.35">
      <c r="A343" s="46">
        <v>2</v>
      </c>
      <c r="B343" s="32">
        <v>2022</v>
      </c>
      <c r="C343" s="46" t="s">
        <v>264</v>
      </c>
      <c r="D343" s="46" t="s">
        <v>170</v>
      </c>
      <c r="E343" s="47" t="s">
        <v>171</v>
      </c>
      <c r="F343" s="46" t="s">
        <v>57</v>
      </c>
      <c r="G343" s="34">
        <v>4136</v>
      </c>
      <c r="H343" s="34">
        <v>10</v>
      </c>
      <c r="I343" s="34">
        <f>IFERROR(ROUND('Data Bulanan'!BC73,0),0)</f>
        <v>49048</v>
      </c>
      <c r="J343" s="34">
        <v>476640</v>
      </c>
      <c r="K343" s="34">
        <v>84809</v>
      </c>
      <c r="L343" s="35">
        <f t="shared" si="30"/>
        <v>743</v>
      </c>
      <c r="M343" s="36">
        <f>IFERROR(AVERAGE('Data Bulanan'!AF73,'Data Bulanan'!AH73,'Data Bulanan'!AJ73,'Data Bulanan'!AL73,'Data Bulanan'!AN73,'Data Bulanan'!AP73,'Data Bulanan'!AR73,'Data Bulanan'!AT73,'Data Bulanan'!AV73,'Data Bulanan'!AX73,'Data Bulanan'!AZ73,'Data Bulanan'!BB73),0)</f>
        <v>130.18707757296468</v>
      </c>
      <c r="N343" s="37">
        <f>'Data Bulanan'!BD73</f>
        <v>28.028256996625611</v>
      </c>
      <c r="O343" s="38">
        <f t="shared" si="31"/>
        <v>88.633130953887246</v>
      </c>
      <c r="P343" s="39">
        <f t="shared" si="32"/>
        <v>146</v>
      </c>
      <c r="Q343" s="40">
        <f t="shared" si="33"/>
        <v>1448</v>
      </c>
      <c r="R343" s="41">
        <f t="shared" si="34"/>
        <v>2688</v>
      </c>
      <c r="S343" s="42" t="str">
        <f t="shared" si="35"/>
        <v>Overstock 📦</v>
      </c>
      <c r="T343" s="43">
        <f>IFERROR(N343/AVERAGE(M342:M346),0)</f>
        <v>0.24595991260838768</v>
      </c>
      <c r="U343" s="44">
        <v>-532.53</v>
      </c>
      <c r="V343" s="45">
        <v>4.5199999999999997E-2</v>
      </c>
    </row>
    <row r="344" spans="1:22" ht="15" customHeight="1" x14ac:dyDescent="0.35">
      <c r="A344" s="46">
        <v>3</v>
      </c>
      <c r="B344" s="32">
        <v>2023</v>
      </c>
      <c r="C344" s="46" t="s">
        <v>264</v>
      </c>
      <c r="D344" s="46" t="s">
        <v>170</v>
      </c>
      <c r="E344" s="47" t="s">
        <v>171</v>
      </c>
      <c r="F344" s="46" t="s">
        <v>57</v>
      </c>
      <c r="G344" s="34">
        <v>0</v>
      </c>
      <c r="H344" s="34">
        <v>10</v>
      </c>
      <c r="I344" s="34">
        <f>IFERROR(ROUND('Data Bulanan'!CC73,0),0)</f>
        <v>43454</v>
      </c>
      <c r="J344" s="34">
        <v>529254</v>
      </c>
      <c r="K344" s="34">
        <v>93119</v>
      </c>
      <c r="L344" s="35">
        <f t="shared" si="30"/>
        <v>703</v>
      </c>
      <c r="M344" s="36">
        <f>IFERROR(AVERAGE('Data Bulanan'!BF73,'Data Bulanan'!BH73,'Data Bulanan'!BJ73,'Data Bulanan'!BL73,'Data Bulanan'!BN73,'Data Bulanan'!BP73,'Data Bulanan'!BR73,'Data Bulanan'!BT73,'Data Bulanan'!BV73,'Data Bulanan'!BX73,'Data Bulanan'!BZ73,'Data Bulanan'!CB73),0)</f>
        <v>115.73895929339477</v>
      </c>
      <c r="N344" s="37">
        <f>'Data Bulanan'!CD73</f>
        <v>18.750633202784631</v>
      </c>
      <c r="O344" s="38">
        <f t="shared" si="31"/>
        <v>59.29470849117731</v>
      </c>
      <c r="P344" s="39">
        <f t="shared" si="32"/>
        <v>98</v>
      </c>
      <c r="Q344" s="40">
        <f t="shared" si="33"/>
        <v>1255</v>
      </c>
      <c r="R344" s="41">
        <f t="shared" si="34"/>
        <v>-1255</v>
      </c>
      <c r="S344" s="42" t="str">
        <f t="shared" si="35"/>
        <v>Stockout ⚠</v>
      </c>
      <c r="T344" s="43">
        <f>IFERROR(N344/AVERAGE(M342:M346),0)</f>
        <v>0.16454480578168235</v>
      </c>
      <c r="U344" s="44">
        <v>-532.53</v>
      </c>
      <c r="V344" s="45">
        <v>4.5199999999999997E-2</v>
      </c>
    </row>
    <row r="345" spans="1:22" ht="15" customHeight="1" x14ac:dyDescent="0.35">
      <c r="A345" s="46">
        <v>4</v>
      </c>
      <c r="B345" s="32">
        <v>2024</v>
      </c>
      <c r="C345" s="46" t="s">
        <v>264</v>
      </c>
      <c r="D345" s="46" t="s">
        <v>170</v>
      </c>
      <c r="E345" s="47" t="s">
        <v>171</v>
      </c>
      <c r="F345" s="46" t="s">
        <v>57</v>
      </c>
      <c r="G345" s="34">
        <v>3793</v>
      </c>
      <c r="H345" s="34">
        <v>10</v>
      </c>
      <c r="I345" s="34">
        <f>IFERROR(ROUND('Data Bulanan'!DC73,0),0)</f>
        <v>38648</v>
      </c>
      <c r="J345" s="34">
        <v>505203</v>
      </c>
      <c r="K345" s="34">
        <v>83696</v>
      </c>
      <c r="L345" s="35">
        <f t="shared" si="30"/>
        <v>683</v>
      </c>
      <c r="M345" s="36">
        <f>IFERROR(AVERAGE('Data Bulanan'!CF73,'Data Bulanan'!CH73,'Data Bulanan'!CJ73,'Data Bulanan'!CL73,'Data Bulanan'!CN73,'Data Bulanan'!CP73,'Data Bulanan'!CR73,'Data Bulanan'!CT73,'Data Bulanan'!CV73,'Data Bulanan'!CX73,'Data Bulanan'!CZ73,'Data Bulanan'!DB73),0)</f>
        <v>103.1573732718894</v>
      </c>
      <c r="N345" s="37">
        <f>'Data Bulanan'!DD73</f>
        <v>20.017973667632866</v>
      </c>
      <c r="O345" s="38">
        <f t="shared" si="31"/>
        <v>63.302390930994292</v>
      </c>
      <c r="P345" s="39">
        <f t="shared" si="32"/>
        <v>104</v>
      </c>
      <c r="Q345" s="40">
        <f t="shared" si="33"/>
        <v>1136</v>
      </c>
      <c r="R345" s="41">
        <f t="shared" si="34"/>
        <v>2657</v>
      </c>
      <c r="S345" s="42" t="str">
        <f t="shared" si="35"/>
        <v>Overstock 📦</v>
      </c>
      <c r="T345" s="43">
        <f>IFERROR(N345/AVERAGE(M342:M346),0)</f>
        <v>0.17566625903568503</v>
      </c>
      <c r="U345" s="44">
        <v>-532.53</v>
      </c>
      <c r="V345" s="45">
        <v>4.5199999999999997E-2</v>
      </c>
    </row>
    <row r="346" spans="1:22" ht="15" customHeight="1" x14ac:dyDescent="0.35">
      <c r="A346" s="46">
        <v>5</v>
      </c>
      <c r="B346" s="32">
        <v>2025</v>
      </c>
      <c r="C346" s="46" t="s">
        <v>264</v>
      </c>
      <c r="D346" s="46" t="s">
        <v>170</v>
      </c>
      <c r="E346" s="47" t="s">
        <v>171</v>
      </c>
      <c r="F346" s="46" t="s">
        <v>57</v>
      </c>
      <c r="G346" s="34">
        <v>3407</v>
      </c>
      <c r="H346" s="34">
        <v>10</v>
      </c>
      <c r="I346" s="34">
        <f>IFERROR(ROUND('Data Bulanan'!EC73,0),0)</f>
        <v>42879</v>
      </c>
      <c r="J346" s="34">
        <v>446420</v>
      </c>
      <c r="K346" s="34">
        <v>100500</v>
      </c>
      <c r="L346" s="35">
        <f t="shared" si="30"/>
        <v>617</v>
      </c>
      <c r="M346" s="36">
        <f>IFERROR(AVERAGE('Data Bulanan'!DF73,'Data Bulanan'!DH73,'Data Bulanan'!DJ73,'Data Bulanan'!DL73,'Data Bulanan'!DN73,'Data Bulanan'!DP73,'Data Bulanan'!DR73,'Data Bulanan'!DT73,'Data Bulanan'!DV73,'Data Bulanan'!DX73,'Data Bulanan'!DZ73,'Data Bulanan'!EB73),0)</f>
        <v>113.62906426011263</v>
      </c>
      <c r="N346" s="37">
        <f>'Data Bulanan'!ED73</f>
        <v>35.787561217641972</v>
      </c>
      <c r="O346" s="38">
        <f t="shared" si="31"/>
        <v>113.17020535045749</v>
      </c>
      <c r="P346" s="39">
        <f t="shared" si="32"/>
        <v>187</v>
      </c>
      <c r="Q346" s="40">
        <f t="shared" si="33"/>
        <v>1323</v>
      </c>
      <c r="R346" s="41">
        <f t="shared" si="34"/>
        <v>2084</v>
      </c>
      <c r="S346" s="42" t="str">
        <f t="shared" si="35"/>
        <v>Overstock 📦</v>
      </c>
      <c r="T346" s="43">
        <f>IFERROR(N346/AVERAGE(M342:M346),0)</f>
        <v>0.31405111743546071</v>
      </c>
      <c r="U346" s="44">
        <v>-532.53</v>
      </c>
      <c r="V346" s="45">
        <v>4.5199999999999997E-2</v>
      </c>
    </row>
    <row r="347" spans="1:22" ht="15" customHeight="1" x14ac:dyDescent="0.35">
      <c r="A347" s="31">
        <v>1</v>
      </c>
      <c r="B347" s="32">
        <v>2021</v>
      </c>
      <c r="C347" s="31" t="s">
        <v>263</v>
      </c>
      <c r="D347" s="31" t="s">
        <v>172</v>
      </c>
      <c r="E347" s="33" t="s">
        <v>173</v>
      </c>
      <c r="F347" s="31" t="s">
        <v>36</v>
      </c>
      <c r="G347" s="34">
        <v>2167</v>
      </c>
      <c r="H347" s="34">
        <v>6</v>
      </c>
      <c r="I347" s="34">
        <f>IFERROR(ROUND('Data Bulanan'!AC74,0),0)</f>
        <v>36592</v>
      </c>
      <c r="J347" s="34">
        <v>1991119</v>
      </c>
      <c r="K347" s="34">
        <v>226811</v>
      </c>
      <c r="L347" s="35">
        <f t="shared" si="30"/>
        <v>802</v>
      </c>
      <c r="M347" s="36">
        <f>IFERROR(AVERAGE('Data Bulanan'!F74,'Data Bulanan'!H74,'Data Bulanan'!J74,'Data Bulanan'!L74,'Data Bulanan'!N74,'Data Bulanan'!P74,'Data Bulanan'!R74,'Data Bulanan'!T74,'Data Bulanan'!V74,'Data Bulanan'!X74,'Data Bulanan'!Z74,'Data Bulanan'!AB74),0)</f>
        <v>97.511405529953905</v>
      </c>
      <c r="N347" s="37">
        <f>'Data Bulanan'!AD74</f>
        <v>17.368554935602184</v>
      </c>
      <c r="O347" s="38">
        <f t="shared" si="31"/>
        <v>42.544097161723691</v>
      </c>
      <c r="P347" s="39">
        <f t="shared" si="32"/>
        <v>70</v>
      </c>
      <c r="Q347" s="40">
        <f t="shared" si="33"/>
        <v>655</v>
      </c>
      <c r="R347" s="41">
        <f t="shared" si="34"/>
        <v>1512</v>
      </c>
      <c r="S347" s="42" t="str">
        <f t="shared" si="35"/>
        <v>Overstock 📦</v>
      </c>
      <c r="T347" s="43">
        <f>IFERROR(N347/AVERAGE(M347:M351),0)</f>
        <v>0.16304477012750346</v>
      </c>
      <c r="U347" s="44">
        <v>1530.47</v>
      </c>
      <c r="V347" s="45">
        <v>0.86339999999999995</v>
      </c>
    </row>
    <row r="348" spans="1:22" ht="15" customHeight="1" x14ac:dyDescent="0.35">
      <c r="A348" s="31">
        <v>2</v>
      </c>
      <c r="B348" s="32">
        <v>2022</v>
      </c>
      <c r="C348" s="31" t="s">
        <v>263</v>
      </c>
      <c r="D348" s="31" t="s">
        <v>172</v>
      </c>
      <c r="E348" s="33" t="s">
        <v>173</v>
      </c>
      <c r="F348" s="31" t="s">
        <v>36</v>
      </c>
      <c r="G348" s="34">
        <v>4234</v>
      </c>
      <c r="H348" s="34">
        <v>6</v>
      </c>
      <c r="I348" s="34">
        <f>IFERROR(ROUND('Data Bulanan'!BC74,0),0)</f>
        <v>38106</v>
      </c>
      <c r="J348" s="34">
        <v>2039636</v>
      </c>
      <c r="K348" s="34">
        <v>221522</v>
      </c>
      <c r="L348" s="35">
        <f t="shared" si="30"/>
        <v>838</v>
      </c>
      <c r="M348" s="36">
        <f>IFERROR(AVERAGE('Data Bulanan'!AF74,'Data Bulanan'!AH74,'Data Bulanan'!AJ74,'Data Bulanan'!AL74,'Data Bulanan'!AN74,'Data Bulanan'!AP74,'Data Bulanan'!AR74,'Data Bulanan'!AT74,'Data Bulanan'!AV74,'Data Bulanan'!AX74,'Data Bulanan'!AZ74,'Data Bulanan'!BB74),0)</f>
        <v>101.51114311315924</v>
      </c>
      <c r="N348" s="37">
        <f>'Data Bulanan'!BD74</f>
        <v>29.348540852739053</v>
      </c>
      <c r="O348" s="38">
        <f t="shared" si="31"/>
        <v>71.888949784437372</v>
      </c>
      <c r="P348" s="39">
        <f t="shared" si="32"/>
        <v>119</v>
      </c>
      <c r="Q348" s="40">
        <f t="shared" si="33"/>
        <v>728</v>
      </c>
      <c r="R348" s="41">
        <f t="shared" si="34"/>
        <v>3506</v>
      </c>
      <c r="S348" s="42" t="str">
        <f t="shared" si="35"/>
        <v>Overstock 📦</v>
      </c>
      <c r="T348" s="43">
        <f>IFERROR(N348/AVERAGE(M347:M351),0)</f>
        <v>0.27550513641776259</v>
      </c>
      <c r="U348" s="44">
        <v>1530.47</v>
      </c>
      <c r="V348" s="45">
        <v>0.86339999999999995</v>
      </c>
    </row>
    <row r="349" spans="1:22" ht="15" customHeight="1" x14ac:dyDescent="0.35">
      <c r="A349" s="31">
        <v>3</v>
      </c>
      <c r="B349" s="32">
        <v>2023</v>
      </c>
      <c r="C349" s="31" t="s">
        <v>263</v>
      </c>
      <c r="D349" s="31" t="s">
        <v>172</v>
      </c>
      <c r="E349" s="33" t="s">
        <v>173</v>
      </c>
      <c r="F349" s="31" t="s">
        <v>36</v>
      </c>
      <c r="G349" s="34">
        <v>1319</v>
      </c>
      <c r="H349" s="34">
        <v>6</v>
      </c>
      <c r="I349" s="34">
        <f>IFERROR(ROUND('Data Bulanan'!CC74,0),0)</f>
        <v>40689</v>
      </c>
      <c r="J349" s="34">
        <v>2062709</v>
      </c>
      <c r="K349" s="34">
        <v>226692</v>
      </c>
      <c r="L349" s="35">
        <f t="shared" si="30"/>
        <v>861</v>
      </c>
      <c r="M349" s="36">
        <f>IFERROR(AVERAGE('Data Bulanan'!BF74,'Data Bulanan'!BH74,'Data Bulanan'!BJ74,'Data Bulanan'!BL74,'Data Bulanan'!BN74,'Data Bulanan'!BP74,'Data Bulanan'!BR74,'Data Bulanan'!BT74,'Data Bulanan'!BV74,'Data Bulanan'!BX74,'Data Bulanan'!BZ74,'Data Bulanan'!CB74),0)</f>
        <v>108.2895289298515</v>
      </c>
      <c r="N349" s="37">
        <f>'Data Bulanan'!CD74</f>
        <v>24.791715784990057</v>
      </c>
      <c r="O349" s="38">
        <f t="shared" si="31"/>
        <v>60.727053521328948</v>
      </c>
      <c r="P349" s="39">
        <f t="shared" si="32"/>
        <v>100</v>
      </c>
      <c r="Q349" s="40">
        <f t="shared" si="33"/>
        <v>750</v>
      </c>
      <c r="R349" s="41">
        <f t="shared" si="34"/>
        <v>569</v>
      </c>
      <c r="S349" s="42" t="str">
        <f t="shared" si="35"/>
        <v>Aman ✅</v>
      </c>
      <c r="T349" s="43">
        <f>IFERROR(N349/AVERAGE(M347:M351),0)</f>
        <v>0.23272860731461636</v>
      </c>
      <c r="U349" s="44">
        <v>1530.47</v>
      </c>
      <c r="V349" s="45">
        <v>0.86339999999999995</v>
      </c>
    </row>
    <row r="350" spans="1:22" ht="15" customHeight="1" x14ac:dyDescent="0.35">
      <c r="A350" s="31">
        <v>4</v>
      </c>
      <c r="B350" s="32">
        <v>2024</v>
      </c>
      <c r="C350" s="31" t="s">
        <v>263</v>
      </c>
      <c r="D350" s="31" t="s">
        <v>172</v>
      </c>
      <c r="E350" s="33" t="s">
        <v>173</v>
      </c>
      <c r="F350" s="31" t="s">
        <v>36</v>
      </c>
      <c r="G350" s="34">
        <v>2494</v>
      </c>
      <c r="H350" s="34">
        <v>6</v>
      </c>
      <c r="I350" s="34">
        <f>IFERROR(ROUND('Data Bulanan'!DC74,0),0)</f>
        <v>42804</v>
      </c>
      <c r="J350" s="34">
        <v>1955416</v>
      </c>
      <c r="K350" s="34">
        <v>243835</v>
      </c>
      <c r="L350" s="35">
        <f t="shared" si="30"/>
        <v>829</v>
      </c>
      <c r="M350" s="36">
        <f>IFERROR(AVERAGE('Data Bulanan'!CF74,'Data Bulanan'!CH74,'Data Bulanan'!CJ74,'Data Bulanan'!CL74,'Data Bulanan'!CN74,'Data Bulanan'!CP74,'Data Bulanan'!CR74,'Data Bulanan'!CT74,'Data Bulanan'!CV74,'Data Bulanan'!CX74,'Data Bulanan'!CZ74,'Data Bulanan'!DB74),0)</f>
        <v>113.71705069124425</v>
      </c>
      <c r="N350" s="37">
        <f>'Data Bulanan'!DD74</f>
        <v>29.288041029211069</v>
      </c>
      <c r="O350" s="38">
        <f t="shared" si="31"/>
        <v>71.740756087265382</v>
      </c>
      <c r="P350" s="39">
        <f t="shared" si="32"/>
        <v>118</v>
      </c>
      <c r="Q350" s="40">
        <f t="shared" si="33"/>
        <v>800</v>
      </c>
      <c r="R350" s="41">
        <f t="shared" si="34"/>
        <v>1694</v>
      </c>
      <c r="S350" s="42" t="str">
        <f t="shared" si="35"/>
        <v>Overstock 📦</v>
      </c>
      <c r="T350" s="43">
        <f>IFERROR(N350/AVERAGE(M347:M351),0)</f>
        <v>0.2749372031696341</v>
      </c>
      <c r="U350" s="44">
        <v>1530.47</v>
      </c>
      <c r="V350" s="45">
        <v>0.86339999999999995</v>
      </c>
    </row>
    <row r="351" spans="1:22" ht="15" customHeight="1" x14ac:dyDescent="0.35">
      <c r="A351" s="31">
        <v>5</v>
      </c>
      <c r="B351" s="32">
        <v>2025</v>
      </c>
      <c r="C351" s="31" t="s">
        <v>263</v>
      </c>
      <c r="D351" s="31" t="s">
        <v>172</v>
      </c>
      <c r="E351" s="33" t="s">
        <v>173</v>
      </c>
      <c r="F351" s="31" t="s">
        <v>36</v>
      </c>
      <c r="G351" s="34">
        <v>0</v>
      </c>
      <c r="H351" s="34">
        <v>6</v>
      </c>
      <c r="I351" s="34">
        <f>IFERROR(ROUND('Data Bulanan'!EC74,0),0)</f>
        <v>41895</v>
      </c>
      <c r="J351" s="34">
        <v>1843604</v>
      </c>
      <c r="K351" s="34">
        <v>267027</v>
      </c>
      <c r="L351" s="35">
        <f t="shared" si="30"/>
        <v>761</v>
      </c>
      <c r="M351" s="36">
        <f>IFERROR(AVERAGE('Data Bulanan'!DF74,'Data Bulanan'!DH74,'Data Bulanan'!DJ74,'Data Bulanan'!DL74,'Data Bulanan'!DN74,'Data Bulanan'!DP74,'Data Bulanan'!DR74,'Data Bulanan'!DT74,'Data Bulanan'!DV74,'Data Bulanan'!DX74,'Data Bulanan'!DZ74,'Data Bulanan'!EB74),0)</f>
        <v>111.60233614951356</v>
      </c>
      <c r="N351" s="37">
        <f>'Data Bulanan'!ED74</f>
        <v>14.240021945070891</v>
      </c>
      <c r="O351" s="38">
        <f t="shared" si="31"/>
        <v>34.880787691458508</v>
      </c>
      <c r="P351" s="39">
        <f t="shared" si="32"/>
        <v>58</v>
      </c>
      <c r="Q351" s="40">
        <f t="shared" si="33"/>
        <v>728</v>
      </c>
      <c r="R351" s="41">
        <f t="shared" si="34"/>
        <v>-728</v>
      </c>
      <c r="S351" s="42" t="str">
        <f t="shared" si="35"/>
        <v>Stockout ⚠</v>
      </c>
      <c r="T351" s="43">
        <f>IFERROR(N351/AVERAGE(M347:M351),0)</f>
        <v>0.13367612407901167</v>
      </c>
      <c r="U351" s="44">
        <v>1530.47</v>
      </c>
      <c r="V351" s="45">
        <v>0.86339999999999995</v>
      </c>
    </row>
    <row r="352" spans="1:22" ht="15" customHeight="1" x14ac:dyDescent="0.35">
      <c r="A352" s="46">
        <v>1</v>
      </c>
      <c r="B352" s="32">
        <v>2021</v>
      </c>
      <c r="C352" s="46" t="s">
        <v>263</v>
      </c>
      <c r="D352" s="46" t="s">
        <v>174</v>
      </c>
      <c r="E352" s="47" t="s">
        <v>175</v>
      </c>
      <c r="F352" s="46" t="s">
        <v>36</v>
      </c>
      <c r="G352" s="34">
        <v>3654</v>
      </c>
      <c r="H352" s="34">
        <v>10</v>
      </c>
      <c r="I352" s="34">
        <f>IFERROR(ROUND('Data Bulanan'!AC75,0),0)</f>
        <v>45363</v>
      </c>
      <c r="J352" s="34">
        <v>816186</v>
      </c>
      <c r="K352" s="34">
        <v>432608</v>
      </c>
      <c r="L352" s="35">
        <f t="shared" si="30"/>
        <v>414</v>
      </c>
      <c r="M352" s="36">
        <f>IFERROR(AVERAGE('Data Bulanan'!F75,'Data Bulanan'!H75,'Data Bulanan'!J75,'Data Bulanan'!L75,'Data Bulanan'!N75,'Data Bulanan'!P75,'Data Bulanan'!R75,'Data Bulanan'!T75,'Data Bulanan'!V75,'Data Bulanan'!X75,'Data Bulanan'!Z75,'Data Bulanan'!AB75),0)</f>
        <v>120.87464797747056</v>
      </c>
      <c r="N352" s="37">
        <f>'Data Bulanan'!AD75</f>
        <v>32.852205460043642</v>
      </c>
      <c r="O352" s="38">
        <f t="shared" si="31"/>
        <v>103.88779541355767</v>
      </c>
      <c r="P352" s="39">
        <f t="shared" si="32"/>
        <v>171</v>
      </c>
      <c r="Q352" s="40">
        <f t="shared" si="33"/>
        <v>1380</v>
      </c>
      <c r="R352" s="41">
        <f t="shared" si="34"/>
        <v>2274</v>
      </c>
      <c r="S352" s="42" t="str">
        <f t="shared" si="35"/>
        <v>Overstock 📦</v>
      </c>
      <c r="T352" s="43">
        <f>IFERROR(N352/AVERAGE(M352:M356),0)</f>
        <v>0.31487894871586253</v>
      </c>
      <c r="U352" s="44">
        <v>-459.45</v>
      </c>
      <c r="V352" s="45">
        <v>2.5899999999999999E-2</v>
      </c>
    </row>
    <row r="353" spans="1:22" ht="15" customHeight="1" x14ac:dyDescent="0.35">
      <c r="A353" s="46">
        <v>2</v>
      </c>
      <c r="B353" s="32">
        <v>2022</v>
      </c>
      <c r="C353" s="46" t="s">
        <v>263</v>
      </c>
      <c r="D353" s="46" t="s">
        <v>174</v>
      </c>
      <c r="E353" s="47" t="s">
        <v>175</v>
      </c>
      <c r="F353" s="46" t="s">
        <v>36</v>
      </c>
      <c r="G353" s="34">
        <v>4385</v>
      </c>
      <c r="H353" s="34">
        <v>10</v>
      </c>
      <c r="I353" s="34">
        <f>IFERROR(ROUND('Data Bulanan'!BC75,0),0)</f>
        <v>32935</v>
      </c>
      <c r="J353" s="34">
        <v>858526</v>
      </c>
      <c r="K353" s="34">
        <v>382650</v>
      </c>
      <c r="L353" s="35">
        <f t="shared" si="30"/>
        <v>384</v>
      </c>
      <c r="M353" s="36">
        <f>IFERROR(AVERAGE('Data Bulanan'!AF75,'Data Bulanan'!AH75,'Data Bulanan'!AJ75,'Data Bulanan'!AL75,'Data Bulanan'!AN75,'Data Bulanan'!AP75,'Data Bulanan'!AR75,'Data Bulanan'!AT75,'Data Bulanan'!AV75,'Data Bulanan'!AX75,'Data Bulanan'!AZ75,'Data Bulanan'!BB75),0)</f>
        <v>87.915232974910396</v>
      </c>
      <c r="N353" s="37">
        <f>'Data Bulanan'!BD75</f>
        <v>26.025845129151534</v>
      </c>
      <c r="O353" s="38">
        <f t="shared" si="31"/>
        <v>82.30094863891793</v>
      </c>
      <c r="P353" s="39">
        <f t="shared" si="32"/>
        <v>136</v>
      </c>
      <c r="Q353" s="40">
        <f t="shared" si="33"/>
        <v>1015</v>
      </c>
      <c r="R353" s="41">
        <f t="shared" si="34"/>
        <v>3370</v>
      </c>
      <c r="S353" s="42" t="str">
        <f t="shared" si="35"/>
        <v>Overstock 📦</v>
      </c>
      <c r="T353" s="43">
        <f>IFERROR(N353/AVERAGE(M352:M356),0)</f>
        <v>0.24945024661057261</v>
      </c>
      <c r="U353" s="44">
        <v>-459.45</v>
      </c>
      <c r="V353" s="45">
        <v>2.5899999999999999E-2</v>
      </c>
    </row>
    <row r="354" spans="1:22" ht="15" customHeight="1" x14ac:dyDescent="0.35">
      <c r="A354" s="46">
        <v>3</v>
      </c>
      <c r="B354" s="32">
        <v>2023</v>
      </c>
      <c r="C354" s="46" t="s">
        <v>263</v>
      </c>
      <c r="D354" s="46" t="s">
        <v>174</v>
      </c>
      <c r="E354" s="47" t="s">
        <v>175</v>
      </c>
      <c r="F354" s="46" t="s">
        <v>36</v>
      </c>
      <c r="G354" s="34">
        <v>0</v>
      </c>
      <c r="H354" s="34">
        <v>10</v>
      </c>
      <c r="I354" s="34">
        <f>IFERROR(ROUND('Data Bulanan'!CC75,0),0)</f>
        <v>38994</v>
      </c>
      <c r="J354" s="34">
        <v>726122</v>
      </c>
      <c r="K354" s="34">
        <v>400539</v>
      </c>
      <c r="L354" s="35">
        <f t="shared" si="30"/>
        <v>376</v>
      </c>
      <c r="M354" s="36">
        <f>IFERROR(AVERAGE('Data Bulanan'!BF75,'Data Bulanan'!BH75,'Data Bulanan'!BJ75,'Data Bulanan'!BL75,'Data Bulanan'!BN75,'Data Bulanan'!BP75,'Data Bulanan'!BR75,'Data Bulanan'!BT75,'Data Bulanan'!BV75,'Data Bulanan'!BX75,'Data Bulanan'!BZ75,'Data Bulanan'!CB75),0)</f>
        <v>103.81219278033795</v>
      </c>
      <c r="N354" s="37">
        <f>'Data Bulanan'!CD75</f>
        <v>25.564951424946496</v>
      </c>
      <c r="O354" s="38">
        <f t="shared" si="31"/>
        <v>80.843474774398089</v>
      </c>
      <c r="P354" s="39">
        <f t="shared" si="32"/>
        <v>133</v>
      </c>
      <c r="Q354" s="40">
        <f t="shared" si="33"/>
        <v>1171</v>
      </c>
      <c r="R354" s="41">
        <f t="shared" si="34"/>
        <v>-1171</v>
      </c>
      <c r="S354" s="42" t="str">
        <f t="shared" si="35"/>
        <v>Stockout ⚠</v>
      </c>
      <c r="T354" s="43">
        <f>IFERROR(N354/AVERAGE(M352:M356),0)</f>
        <v>0.24503271290111281</v>
      </c>
      <c r="U354" s="44">
        <v>-459.45</v>
      </c>
      <c r="V354" s="45">
        <v>2.5899999999999999E-2</v>
      </c>
    </row>
    <row r="355" spans="1:22" ht="15" customHeight="1" x14ac:dyDescent="0.35">
      <c r="A355" s="46">
        <v>4</v>
      </c>
      <c r="B355" s="32">
        <v>2024</v>
      </c>
      <c r="C355" s="46" t="s">
        <v>263</v>
      </c>
      <c r="D355" s="46" t="s">
        <v>174</v>
      </c>
      <c r="E355" s="47" t="s">
        <v>175</v>
      </c>
      <c r="F355" s="46" t="s">
        <v>36</v>
      </c>
      <c r="G355" s="34">
        <v>2035</v>
      </c>
      <c r="H355" s="34">
        <v>10</v>
      </c>
      <c r="I355" s="34">
        <f>IFERROR(ROUND('Data Bulanan'!DC75,0),0)</f>
        <v>37742</v>
      </c>
      <c r="J355" s="34">
        <v>767452</v>
      </c>
      <c r="K355" s="34">
        <v>437771</v>
      </c>
      <c r="L355" s="35">
        <f t="shared" si="30"/>
        <v>364</v>
      </c>
      <c r="M355" s="36">
        <f>IFERROR(AVERAGE('Data Bulanan'!CF75,'Data Bulanan'!CH75,'Data Bulanan'!CJ75,'Data Bulanan'!CL75,'Data Bulanan'!CN75,'Data Bulanan'!CP75,'Data Bulanan'!CR75,'Data Bulanan'!CT75,'Data Bulanan'!CV75,'Data Bulanan'!CX75,'Data Bulanan'!CZ75,'Data Bulanan'!DB75),0)</f>
        <v>100.77793778801843</v>
      </c>
      <c r="N355" s="37">
        <f>'Data Bulanan'!DD75</f>
        <v>22.748817995013649</v>
      </c>
      <c r="O355" s="38">
        <f t="shared" si="31"/>
        <v>71.938078940868095</v>
      </c>
      <c r="P355" s="39">
        <f t="shared" si="32"/>
        <v>119</v>
      </c>
      <c r="Q355" s="40">
        <f t="shared" si="33"/>
        <v>1127</v>
      </c>
      <c r="R355" s="41">
        <f t="shared" si="34"/>
        <v>908</v>
      </c>
      <c r="S355" s="42" t="str">
        <f t="shared" si="35"/>
        <v>Overstock 📦</v>
      </c>
      <c r="T355" s="43">
        <f>IFERROR(N355/AVERAGE(M352:M356),0)</f>
        <v>0.21804088323721563</v>
      </c>
      <c r="U355" s="44">
        <v>-459.45</v>
      </c>
      <c r="V355" s="45">
        <v>2.5899999999999999E-2</v>
      </c>
    </row>
    <row r="356" spans="1:22" ht="15" customHeight="1" x14ac:dyDescent="0.35">
      <c r="A356" s="46">
        <v>5</v>
      </c>
      <c r="B356" s="32">
        <v>2025</v>
      </c>
      <c r="C356" s="46" t="s">
        <v>263</v>
      </c>
      <c r="D356" s="46" t="s">
        <v>174</v>
      </c>
      <c r="E356" s="47" t="s">
        <v>175</v>
      </c>
      <c r="F356" s="46" t="s">
        <v>36</v>
      </c>
      <c r="G356" s="34">
        <v>2945</v>
      </c>
      <c r="H356" s="34">
        <v>10</v>
      </c>
      <c r="I356" s="34">
        <f>IFERROR(ROUND('Data Bulanan'!EC75,0),0)</f>
        <v>40662</v>
      </c>
      <c r="J356" s="34">
        <v>783204</v>
      </c>
      <c r="K356" s="34">
        <v>408421</v>
      </c>
      <c r="L356" s="35">
        <f t="shared" si="30"/>
        <v>395</v>
      </c>
      <c r="M356" s="36">
        <f>IFERROR(AVERAGE('Data Bulanan'!DF75,'Data Bulanan'!DH75,'Data Bulanan'!DJ75,'Data Bulanan'!DL75,'Data Bulanan'!DN75,'Data Bulanan'!DP75,'Data Bulanan'!DR75,'Data Bulanan'!DT75,'Data Bulanan'!DV75,'Data Bulanan'!DX75,'Data Bulanan'!DZ75,'Data Bulanan'!EB75),0)</f>
        <v>108.28403737839221</v>
      </c>
      <c r="N356" s="37">
        <f>'Data Bulanan'!ED75</f>
        <v>25.333089056051417</v>
      </c>
      <c r="O356" s="38">
        <f t="shared" si="31"/>
        <v>80.110261585007464</v>
      </c>
      <c r="P356" s="39">
        <f t="shared" si="32"/>
        <v>132</v>
      </c>
      <c r="Q356" s="40">
        <f t="shared" si="33"/>
        <v>1215</v>
      </c>
      <c r="R356" s="41">
        <f t="shared" si="34"/>
        <v>1730</v>
      </c>
      <c r="S356" s="42" t="str">
        <f t="shared" si="35"/>
        <v>Overstock 📦</v>
      </c>
      <c r="T356" s="43">
        <f>IFERROR(N356/AVERAGE(M352:M356),0)</f>
        <v>0.24281037872469813</v>
      </c>
      <c r="U356" s="44">
        <v>-459.45</v>
      </c>
      <c r="V356" s="45">
        <v>2.5899999999999999E-2</v>
      </c>
    </row>
    <row r="357" spans="1:22" ht="15" customHeight="1" x14ac:dyDescent="0.35">
      <c r="A357" s="31">
        <v>1</v>
      </c>
      <c r="B357" s="32">
        <v>2021</v>
      </c>
      <c r="C357" s="31" t="s">
        <v>263</v>
      </c>
      <c r="D357" s="31" t="s">
        <v>176</v>
      </c>
      <c r="E357" s="33" t="s">
        <v>177</v>
      </c>
      <c r="F357" s="31" t="s">
        <v>36</v>
      </c>
      <c r="G357" s="34">
        <v>3064</v>
      </c>
      <c r="H357" s="34">
        <v>31</v>
      </c>
      <c r="I357" s="34">
        <f>IFERROR(ROUND('Data Bulanan'!AC76,0),0)</f>
        <v>52227</v>
      </c>
      <c r="J357" s="34">
        <v>5132146</v>
      </c>
      <c r="K357" s="34">
        <v>579729</v>
      </c>
      <c r="L357" s="35">
        <f t="shared" si="30"/>
        <v>962</v>
      </c>
      <c r="M357" s="36">
        <f>IFERROR(AVERAGE('Data Bulanan'!F76,'Data Bulanan'!H76,'Data Bulanan'!J76,'Data Bulanan'!L76,'Data Bulanan'!N76,'Data Bulanan'!P76,'Data Bulanan'!R76,'Data Bulanan'!T76,'Data Bulanan'!V76,'Data Bulanan'!X76,'Data Bulanan'!Z76,'Data Bulanan'!AB76),0)</f>
        <v>138.75280337941629</v>
      </c>
      <c r="N357" s="37">
        <f>'Data Bulanan'!AD76</f>
        <v>29.799487744799972</v>
      </c>
      <c r="O357" s="38">
        <f t="shared" si="31"/>
        <v>165.91652589608725</v>
      </c>
      <c r="P357" s="39">
        <f t="shared" si="32"/>
        <v>274</v>
      </c>
      <c r="Q357" s="40">
        <f t="shared" si="33"/>
        <v>4575</v>
      </c>
      <c r="R357" s="41">
        <f t="shared" si="34"/>
        <v>-1511</v>
      </c>
      <c r="S357" s="42" t="str">
        <f t="shared" si="35"/>
        <v>Reorder 🔄</v>
      </c>
      <c r="T357" s="43">
        <f>IFERROR(N357/AVERAGE(M357:M361),0)</f>
        <v>0.25736361913786543</v>
      </c>
      <c r="U357" s="44">
        <v>-2748.61</v>
      </c>
      <c r="V357" s="45">
        <v>0.69620000000000004</v>
      </c>
    </row>
    <row r="358" spans="1:22" ht="15" customHeight="1" x14ac:dyDescent="0.35">
      <c r="A358" s="31">
        <v>2</v>
      </c>
      <c r="B358" s="32">
        <v>2022</v>
      </c>
      <c r="C358" s="31" t="s">
        <v>263</v>
      </c>
      <c r="D358" s="31" t="s">
        <v>176</v>
      </c>
      <c r="E358" s="33" t="s">
        <v>177</v>
      </c>
      <c r="F358" s="31" t="s">
        <v>36</v>
      </c>
      <c r="G358" s="34">
        <v>0</v>
      </c>
      <c r="H358" s="34">
        <v>31</v>
      </c>
      <c r="I358" s="34">
        <f>IFERROR(ROUND('Data Bulanan'!BC76,0),0)</f>
        <v>42488</v>
      </c>
      <c r="J358" s="34">
        <v>5645420</v>
      </c>
      <c r="K358" s="34">
        <v>529461</v>
      </c>
      <c r="L358" s="35">
        <f t="shared" si="30"/>
        <v>952</v>
      </c>
      <c r="M358" s="36">
        <f>IFERROR(AVERAGE('Data Bulanan'!AF76,'Data Bulanan'!AH76,'Data Bulanan'!AJ76,'Data Bulanan'!AL76,'Data Bulanan'!AN76,'Data Bulanan'!AP76,'Data Bulanan'!AR76,'Data Bulanan'!AT76,'Data Bulanan'!AV76,'Data Bulanan'!AX76,'Data Bulanan'!AZ76,'Data Bulanan'!BB76),0)</f>
        <v>112.8886008704557</v>
      </c>
      <c r="N358" s="37">
        <f>'Data Bulanan'!BD76</f>
        <v>16.551699327393703</v>
      </c>
      <c r="O358" s="38">
        <f t="shared" si="31"/>
        <v>92.155961659340292</v>
      </c>
      <c r="P358" s="39">
        <f t="shared" si="32"/>
        <v>152</v>
      </c>
      <c r="Q358" s="40">
        <f t="shared" si="33"/>
        <v>3652</v>
      </c>
      <c r="R358" s="41">
        <f t="shared" si="34"/>
        <v>-3652</v>
      </c>
      <c r="S358" s="42" t="str">
        <f t="shared" si="35"/>
        <v>Stockout ⚠</v>
      </c>
      <c r="T358" s="43">
        <f>IFERROR(N358/AVERAGE(M357:M361),0)</f>
        <v>0.14294894188317564</v>
      </c>
      <c r="U358" s="44">
        <v>-2748.61</v>
      </c>
      <c r="V358" s="45">
        <v>0.69620000000000004</v>
      </c>
    </row>
    <row r="359" spans="1:22" ht="15" customHeight="1" x14ac:dyDescent="0.35">
      <c r="A359" s="31">
        <v>3</v>
      </c>
      <c r="B359" s="32">
        <v>2023</v>
      </c>
      <c r="C359" s="31" t="s">
        <v>263</v>
      </c>
      <c r="D359" s="31" t="s">
        <v>176</v>
      </c>
      <c r="E359" s="33" t="s">
        <v>177</v>
      </c>
      <c r="F359" s="31" t="s">
        <v>36</v>
      </c>
      <c r="G359" s="34">
        <v>17675</v>
      </c>
      <c r="H359" s="34">
        <v>31</v>
      </c>
      <c r="I359" s="34">
        <f>IFERROR(ROUND('Data Bulanan'!CC76,0),0)</f>
        <v>41589</v>
      </c>
      <c r="J359" s="34">
        <v>5649488</v>
      </c>
      <c r="K359" s="34">
        <v>546951</v>
      </c>
      <c r="L359" s="35">
        <f t="shared" si="30"/>
        <v>927</v>
      </c>
      <c r="M359" s="36">
        <f>IFERROR(AVERAGE('Data Bulanan'!BF76,'Data Bulanan'!BH76,'Data Bulanan'!BJ76,'Data Bulanan'!BL76,'Data Bulanan'!BN76,'Data Bulanan'!BP76,'Data Bulanan'!BR76,'Data Bulanan'!BT76,'Data Bulanan'!BV76,'Data Bulanan'!BX76,'Data Bulanan'!BZ76,'Data Bulanan'!CB76),0)</f>
        <v>110.72200460829494</v>
      </c>
      <c r="N359" s="37">
        <f>'Data Bulanan'!CD76</f>
        <v>24.182347706309645</v>
      </c>
      <c r="O359" s="38">
        <f t="shared" si="31"/>
        <v>134.64161376875515</v>
      </c>
      <c r="P359" s="39">
        <f t="shared" si="32"/>
        <v>222</v>
      </c>
      <c r="Q359" s="40">
        <f t="shared" si="33"/>
        <v>3654</v>
      </c>
      <c r="R359" s="41">
        <f t="shared" si="34"/>
        <v>14021</v>
      </c>
      <c r="S359" s="42" t="str">
        <f t="shared" si="35"/>
        <v>Overstock 📦</v>
      </c>
      <c r="T359" s="43">
        <f>IFERROR(N359/AVERAGE(M357:M361),0)</f>
        <v>0.20885112449733773</v>
      </c>
      <c r="U359" s="44">
        <v>-2748.61</v>
      </c>
      <c r="V359" s="45">
        <v>0.69620000000000004</v>
      </c>
    </row>
    <row r="360" spans="1:22" ht="15" customHeight="1" x14ac:dyDescent="0.35">
      <c r="A360" s="31">
        <v>4</v>
      </c>
      <c r="B360" s="32">
        <v>2024</v>
      </c>
      <c r="C360" s="31" t="s">
        <v>263</v>
      </c>
      <c r="D360" s="31" t="s">
        <v>176</v>
      </c>
      <c r="E360" s="33" t="s">
        <v>177</v>
      </c>
      <c r="F360" s="31" t="s">
        <v>36</v>
      </c>
      <c r="G360" s="34">
        <v>5369</v>
      </c>
      <c r="H360" s="34">
        <v>31</v>
      </c>
      <c r="I360" s="34">
        <f>IFERROR(ROUND('Data Bulanan'!DC76,0),0)</f>
        <v>42911</v>
      </c>
      <c r="J360" s="34">
        <v>5636791</v>
      </c>
      <c r="K360" s="34">
        <v>574220</v>
      </c>
      <c r="L360" s="35">
        <f t="shared" si="30"/>
        <v>918</v>
      </c>
      <c r="M360" s="36">
        <f>IFERROR(AVERAGE('Data Bulanan'!CF76,'Data Bulanan'!CH76,'Data Bulanan'!CJ76,'Data Bulanan'!CL76,'Data Bulanan'!CN76,'Data Bulanan'!CP76,'Data Bulanan'!CR76,'Data Bulanan'!CT76,'Data Bulanan'!CV76,'Data Bulanan'!CX76,'Data Bulanan'!CZ76,'Data Bulanan'!DB76),0)</f>
        <v>114.46563620071684</v>
      </c>
      <c r="N360" s="37">
        <f>'Data Bulanan'!DD76</f>
        <v>24.655458073663997</v>
      </c>
      <c r="O360" s="38">
        <f t="shared" si="31"/>
        <v>137.27578081179612</v>
      </c>
      <c r="P360" s="39">
        <f t="shared" si="32"/>
        <v>227</v>
      </c>
      <c r="Q360" s="40">
        <f t="shared" si="33"/>
        <v>3775</v>
      </c>
      <c r="R360" s="41">
        <f t="shared" si="34"/>
        <v>1594</v>
      </c>
      <c r="S360" s="42" t="str">
        <f t="shared" si="35"/>
        <v>Overstock 📦</v>
      </c>
      <c r="T360" s="43">
        <f>IFERROR(N360/AVERAGE(M357:M361),0)</f>
        <v>0.21293714763426927</v>
      </c>
      <c r="U360" s="44">
        <v>-2748.61</v>
      </c>
      <c r="V360" s="45">
        <v>0.69620000000000004</v>
      </c>
    </row>
    <row r="361" spans="1:22" ht="15" customHeight="1" x14ac:dyDescent="0.35">
      <c r="A361" s="31">
        <v>5</v>
      </c>
      <c r="B361" s="32">
        <v>2025</v>
      </c>
      <c r="C361" s="31" t="s">
        <v>263</v>
      </c>
      <c r="D361" s="31" t="s">
        <v>176</v>
      </c>
      <c r="E361" s="33" t="s">
        <v>177</v>
      </c>
      <c r="F361" s="31" t="s">
        <v>36</v>
      </c>
      <c r="G361" s="34">
        <v>9537</v>
      </c>
      <c r="H361" s="34">
        <v>31</v>
      </c>
      <c r="I361" s="34">
        <f>IFERROR(ROUND('Data Bulanan'!EC76,0),0)</f>
        <v>38272</v>
      </c>
      <c r="J361" s="34">
        <v>5600494</v>
      </c>
      <c r="K361" s="34">
        <v>509806</v>
      </c>
      <c r="L361" s="35">
        <f t="shared" si="30"/>
        <v>917</v>
      </c>
      <c r="M361" s="36">
        <f>IFERROR(AVERAGE('Data Bulanan'!DF76,'Data Bulanan'!DH76,'Data Bulanan'!DJ76,'Data Bulanan'!DL76,'Data Bulanan'!DN76,'Data Bulanan'!DP76,'Data Bulanan'!DR76,'Data Bulanan'!DT76,'Data Bulanan'!DV76,'Data Bulanan'!DX76,'Data Bulanan'!DZ76,'Data Bulanan'!EB76),0)</f>
        <v>102.10841013824886</v>
      </c>
      <c r="N361" s="37">
        <f>'Data Bulanan'!ED76</f>
        <v>21.864047144572371</v>
      </c>
      <c r="O361" s="38">
        <f t="shared" si="31"/>
        <v>121.73386251878554</v>
      </c>
      <c r="P361" s="39">
        <f t="shared" si="32"/>
        <v>201</v>
      </c>
      <c r="Q361" s="40">
        <f t="shared" si="33"/>
        <v>3366</v>
      </c>
      <c r="R361" s="41">
        <f t="shared" si="34"/>
        <v>6171</v>
      </c>
      <c r="S361" s="42" t="str">
        <f t="shared" si="35"/>
        <v>Overstock 📦</v>
      </c>
      <c r="T361" s="43">
        <f>IFERROR(N361/AVERAGE(M357:M361),0)</f>
        <v>0.18882909499375453</v>
      </c>
      <c r="U361" s="44">
        <v>-2748.61</v>
      </c>
      <c r="V361" s="45">
        <v>0.69620000000000004</v>
      </c>
    </row>
    <row r="362" spans="1:22" ht="15" customHeight="1" x14ac:dyDescent="0.35">
      <c r="A362" s="46">
        <v>1</v>
      </c>
      <c r="B362" s="32">
        <v>2021</v>
      </c>
      <c r="C362" s="46" t="s">
        <v>263</v>
      </c>
      <c r="D362" s="46" t="s">
        <v>178</v>
      </c>
      <c r="E362" s="47" t="s">
        <v>179</v>
      </c>
      <c r="F362" s="46" t="s">
        <v>36</v>
      </c>
      <c r="G362" s="34">
        <v>10423</v>
      </c>
      <c r="H362" s="34">
        <v>44</v>
      </c>
      <c r="I362" s="34">
        <f>IFERROR(ROUND('Data Bulanan'!AC77,0),0)</f>
        <v>26989</v>
      </c>
      <c r="J362" s="34">
        <v>10941704</v>
      </c>
      <c r="K362" s="34">
        <v>82742</v>
      </c>
      <c r="L362" s="35">
        <f t="shared" si="30"/>
        <v>2672</v>
      </c>
      <c r="M362" s="36">
        <f>IFERROR(AVERAGE('Data Bulanan'!F77,'Data Bulanan'!H77,'Data Bulanan'!J77,'Data Bulanan'!L77,'Data Bulanan'!N77,'Data Bulanan'!P77,'Data Bulanan'!R77,'Data Bulanan'!T77,'Data Bulanan'!V77,'Data Bulanan'!X77,'Data Bulanan'!Z77,'Data Bulanan'!AB77),0)</f>
        <v>71.813165642601135</v>
      </c>
      <c r="N362" s="37">
        <f>'Data Bulanan'!AD77</f>
        <v>18.209263124937742</v>
      </c>
      <c r="O362" s="38">
        <f t="shared" si="31"/>
        <v>120.78658698854591</v>
      </c>
      <c r="P362" s="39">
        <f t="shared" si="32"/>
        <v>199</v>
      </c>
      <c r="Q362" s="40">
        <f t="shared" si="33"/>
        <v>3359</v>
      </c>
      <c r="R362" s="41">
        <f t="shared" si="34"/>
        <v>7064</v>
      </c>
      <c r="S362" s="42" t="str">
        <f t="shared" si="35"/>
        <v>Overstock 📦</v>
      </c>
      <c r="T362" s="43">
        <f>IFERROR(N362/AVERAGE(M362:M366),0)</f>
        <v>0.2278130732292884</v>
      </c>
      <c r="U362" s="44">
        <v>609.54999999999995</v>
      </c>
      <c r="V362" s="45">
        <v>0.1321</v>
      </c>
    </row>
    <row r="363" spans="1:22" ht="15" customHeight="1" x14ac:dyDescent="0.35">
      <c r="A363" s="46">
        <v>2</v>
      </c>
      <c r="B363" s="32">
        <v>2022</v>
      </c>
      <c r="C363" s="46" t="s">
        <v>263</v>
      </c>
      <c r="D363" s="46" t="s">
        <v>178</v>
      </c>
      <c r="E363" s="47" t="s">
        <v>179</v>
      </c>
      <c r="F363" s="46" t="s">
        <v>36</v>
      </c>
      <c r="G363" s="34">
        <v>25794</v>
      </c>
      <c r="H363" s="34">
        <v>44</v>
      </c>
      <c r="I363" s="34">
        <f>IFERROR(ROUND('Data Bulanan'!BC77,0),0)</f>
        <v>31664</v>
      </c>
      <c r="J363" s="34">
        <v>11835298</v>
      </c>
      <c r="K363" s="34">
        <v>84952</v>
      </c>
      <c r="L363" s="35">
        <f t="shared" si="30"/>
        <v>2970</v>
      </c>
      <c r="M363" s="36">
        <f>IFERROR(AVERAGE('Data Bulanan'!AF77,'Data Bulanan'!AH77,'Data Bulanan'!AJ77,'Data Bulanan'!AL77,'Data Bulanan'!AN77,'Data Bulanan'!AP77,'Data Bulanan'!AR77,'Data Bulanan'!AT77,'Data Bulanan'!AV77,'Data Bulanan'!AX77,'Data Bulanan'!AZ77,'Data Bulanan'!BB77),0)</f>
        <v>84.387909626216072</v>
      </c>
      <c r="N363" s="37">
        <f>'Data Bulanan'!BD77</f>
        <v>18.086247798271181</v>
      </c>
      <c r="O363" s="38">
        <f t="shared" si="31"/>
        <v>119.97059562451393</v>
      </c>
      <c r="P363" s="39">
        <f t="shared" si="32"/>
        <v>198</v>
      </c>
      <c r="Q363" s="40">
        <f t="shared" si="33"/>
        <v>3911</v>
      </c>
      <c r="R363" s="41">
        <f t="shared" si="34"/>
        <v>21883</v>
      </c>
      <c r="S363" s="42" t="str">
        <f t="shared" si="35"/>
        <v>Overstock 📦</v>
      </c>
      <c r="T363" s="43">
        <f>IFERROR(N363/AVERAGE(M362:M366),0)</f>
        <v>0.22627404886405561</v>
      </c>
      <c r="U363" s="44">
        <v>609.54999999999995</v>
      </c>
      <c r="V363" s="45">
        <v>0.1321</v>
      </c>
    </row>
    <row r="364" spans="1:22" ht="15" customHeight="1" x14ac:dyDescent="0.35">
      <c r="A364" s="46">
        <v>3</v>
      </c>
      <c r="B364" s="32">
        <v>2023</v>
      </c>
      <c r="C364" s="46" t="s">
        <v>263</v>
      </c>
      <c r="D364" s="46" t="s">
        <v>178</v>
      </c>
      <c r="E364" s="47" t="s">
        <v>179</v>
      </c>
      <c r="F364" s="46" t="s">
        <v>36</v>
      </c>
      <c r="G364" s="34">
        <v>10927</v>
      </c>
      <c r="H364" s="34">
        <v>44</v>
      </c>
      <c r="I364" s="34">
        <f>IFERROR(ROUND('Data Bulanan'!CC77,0),0)</f>
        <v>32063</v>
      </c>
      <c r="J364" s="34">
        <v>10073316</v>
      </c>
      <c r="K364" s="34">
        <v>85857</v>
      </c>
      <c r="L364" s="35">
        <f t="shared" si="30"/>
        <v>2743</v>
      </c>
      <c r="M364" s="36">
        <f>IFERROR(AVERAGE('Data Bulanan'!BF77,'Data Bulanan'!BH77,'Data Bulanan'!BJ77,'Data Bulanan'!BL77,'Data Bulanan'!BN77,'Data Bulanan'!BP77,'Data Bulanan'!BR77,'Data Bulanan'!BT77,'Data Bulanan'!BV77,'Data Bulanan'!BX77,'Data Bulanan'!BZ77,'Data Bulanan'!CB77),0)</f>
        <v>85.222260624679961</v>
      </c>
      <c r="N364" s="37">
        <f>'Data Bulanan'!CD77</f>
        <v>16.060319876145819</v>
      </c>
      <c r="O364" s="38">
        <f t="shared" si="31"/>
        <v>106.53211008452557</v>
      </c>
      <c r="P364" s="39">
        <f t="shared" si="32"/>
        <v>176</v>
      </c>
      <c r="Q364" s="40">
        <f t="shared" si="33"/>
        <v>3926</v>
      </c>
      <c r="R364" s="41">
        <f t="shared" si="34"/>
        <v>7001</v>
      </c>
      <c r="S364" s="42" t="str">
        <f t="shared" si="35"/>
        <v>Overstock 📦</v>
      </c>
      <c r="T364" s="43">
        <f>IFERROR(N364/AVERAGE(M362:M366),0)</f>
        <v>0.2009280003768803</v>
      </c>
      <c r="U364" s="44">
        <v>609.54999999999995</v>
      </c>
      <c r="V364" s="45">
        <v>0.1321</v>
      </c>
    </row>
    <row r="365" spans="1:22" ht="15" customHeight="1" x14ac:dyDescent="0.35">
      <c r="A365" s="46">
        <v>4</v>
      </c>
      <c r="B365" s="32">
        <v>2024</v>
      </c>
      <c r="C365" s="46" t="s">
        <v>263</v>
      </c>
      <c r="D365" s="46" t="s">
        <v>178</v>
      </c>
      <c r="E365" s="47" t="s">
        <v>179</v>
      </c>
      <c r="F365" s="46" t="s">
        <v>36</v>
      </c>
      <c r="G365" s="34">
        <v>0</v>
      </c>
      <c r="H365" s="34">
        <v>44</v>
      </c>
      <c r="I365" s="34">
        <f>IFERROR(ROUND('Data Bulanan'!DC77,0),0)</f>
        <v>27321</v>
      </c>
      <c r="J365" s="34">
        <v>11041403</v>
      </c>
      <c r="K365" s="34">
        <v>88231</v>
      </c>
      <c r="L365" s="35">
        <f t="shared" si="30"/>
        <v>2615</v>
      </c>
      <c r="M365" s="36">
        <f>IFERROR(AVERAGE('Data Bulanan'!CF77,'Data Bulanan'!CH77,'Data Bulanan'!CJ77,'Data Bulanan'!CL77,'Data Bulanan'!CN77,'Data Bulanan'!CP77,'Data Bulanan'!CR77,'Data Bulanan'!CT77,'Data Bulanan'!CV77,'Data Bulanan'!CX77,'Data Bulanan'!CZ77,'Data Bulanan'!DB77),0)</f>
        <v>72.524283154121875</v>
      </c>
      <c r="N365" s="37">
        <f>'Data Bulanan'!DD77</f>
        <v>21.729713880086038</v>
      </c>
      <c r="O365" s="38">
        <f t="shared" si="31"/>
        <v>144.13861548404637</v>
      </c>
      <c r="P365" s="39">
        <f t="shared" si="32"/>
        <v>238</v>
      </c>
      <c r="Q365" s="40">
        <f t="shared" si="33"/>
        <v>3429</v>
      </c>
      <c r="R365" s="41">
        <f t="shared" si="34"/>
        <v>-3429</v>
      </c>
      <c r="S365" s="42" t="str">
        <f t="shared" si="35"/>
        <v>Stockout ⚠</v>
      </c>
      <c r="T365" s="43">
        <f>IFERROR(N365/AVERAGE(M362:M366),0)</f>
        <v>0.27185684920088993</v>
      </c>
      <c r="U365" s="44">
        <v>609.54999999999995</v>
      </c>
      <c r="V365" s="45">
        <v>0.1321</v>
      </c>
    </row>
    <row r="366" spans="1:22" ht="15" customHeight="1" x14ac:dyDescent="0.35">
      <c r="A366" s="46">
        <v>5</v>
      </c>
      <c r="B366" s="32">
        <v>2025</v>
      </c>
      <c r="C366" s="46" t="s">
        <v>263</v>
      </c>
      <c r="D366" s="46" t="s">
        <v>178</v>
      </c>
      <c r="E366" s="47" t="s">
        <v>179</v>
      </c>
      <c r="F366" s="46" t="s">
        <v>36</v>
      </c>
      <c r="G366" s="34">
        <v>4505</v>
      </c>
      <c r="H366" s="34">
        <v>44</v>
      </c>
      <c r="I366" s="34">
        <f>IFERROR(ROUND('Data Bulanan'!EC77,0),0)</f>
        <v>32209</v>
      </c>
      <c r="J366" s="34">
        <v>9832876</v>
      </c>
      <c r="K366" s="34">
        <v>81045</v>
      </c>
      <c r="L366" s="35">
        <f t="shared" si="30"/>
        <v>2796</v>
      </c>
      <c r="M366" s="36">
        <f>IFERROR(AVERAGE('Data Bulanan'!DF77,'Data Bulanan'!DH77,'Data Bulanan'!DJ77,'Data Bulanan'!DL77,'Data Bulanan'!DN77,'Data Bulanan'!DP77,'Data Bulanan'!DR77,'Data Bulanan'!DT77,'Data Bulanan'!DV77,'Data Bulanan'!DX77,'Data Bulanan'!DZ77,'Data Bulanan'!EB77),0)</f>
        <v>85.705984383000512</v>
      </c>
      <c r="N366" s="37">
        <f>'Data Bulanan'!ED77</f>
        <v>22.023258915848327</v>
      </c>
      <c r="O366" s="38">
        <f t="shared" si="31"/>
        <v>146.08577296943631</v>
      </c>
      <c r="P366" s="39">
        <f t="shared" si="32"/>
        <v>241</v>
      </c>
      <c r="Q366" s="40">
        <f t="shared" si="33"/>
        <v>4012</v>
      </c>
      <c r="R366" s="41">
        <f t="shared" si="34"/>
        <v>493</v>
      </c>
      <c r="S366" s="42" t="str">
        <f t="shared" si="35"/>
        <v>Aman ✅</v>
      </c>
      <c r="T366" s="43">
        <f>IFERROR(N366/AVERAGE(M362:M366),0)</f>
        <v>0.27552934249561445</v>
      </c>
      <c r="U366" s="44">
        <v>609.54999999999995</v>
      </c>
      <c r="V366" s="45">
        <v>0.1321</v>
      </c>
    </row>
    <row r="367" spans="1:22" ht="15" customHeight="1" x14ac:dyDescent="0.35">
      <c r="A367" s="31">
        <v>1</v>
      </c>
      <c r="B367" s="32">
        <v>2021</v>
      </c>
      <c r="C367" s="31" t="s">
        <v>264</v>
      </c>
      <c r="D367" s="31" t="s">
        <v>180</v>
      </c>
      <c r="E367" s="33" t="s">
        <v>181</v>
      </c>
      <c r="F367" s="31" t="s">
        <v>36</v>
      </c>
      <c r="G367" s="34">
        <v>0</v>
      </c>
      <c r="H367" s="34">
        <v>35</v>
      </c>
      <c r="I367" s="34">
        <f>IFERROR(ROUND('Data Bulanan'!AC78,0),0)</f>
        <v>35347</v>
      </c>
      <c r="J367" s="34">
        <v>6162279</v>
      </c>
      <c r="K367" s="34">
        <v>440980</v>
      </c>
      <c r="L367" s="35">
        <f t="shared" si="30"/>
        <v>994</v>
      </c>
      <c r="M367" s="36">
        <f>IFERROR(AVERAGE('Data Bulanan'!F78,'Data Bulanan'!H78,'Data Bulanan'!J78,'Data Bulanan'!L78,'Data Bulanan'!N78,'Data Bulanan'!P78,'Data Bulanan'!R78,'Data Bulanan'!T78,'Data Bulanan'!V78,'Data Bulanan'!X78,'Data Bulanan'!Z78,'Data Bulanan'!AB78),0)</f>
        <v>94.216602662570395</v>
      </c>
      <c r="N367" s="37">
        <f>'Data Bulanan'!AD78</f>
        <v>23.414936707371023</v>
      </c>
      <c r="O367" s="38">
        <f t="shared" si="31"/>
        <v>138.52463367703481</v>
      </c>
      <c r="P367" s="39">
        <f t="shared" si="32"/>
        <v>229</v>
      </c>
      <c r="Q367" s="40">
        <f t="shared" si="33"/>
        <v>3527</v>
      </c>
      <c r="R367" s="41">
        <f t="shared" si="34"/>
        <v>-3527</v>
      </c>
      <c r="S367" s="42" t="str">
        <f t="shared" si="35"/>
        <v>Stockout ⚠</v>
      </c>
      <c r="T367" s="43">
        <f>IFERROR(N367/AVERAGE(M367:M371),0)</f>
        <v>0.21953123407363428</v>
      </c>
      <c r="U367" s="44">
        <v>1338.17</v>
      </c>
      <c r="V367" s="45">
        <v>0.12520000000000001</v>
      </c>
    </row>
    <row r="368" spans="1:22" ht="15" customHeight="1" x14ac:dyDescent="0.35">
      <c r="A368" s="31">
        <v>2</v>
      </c>
      <c r="B368" s="32">
        <v>2022</v>
      </c>
      <c r="C368" s="31" t="s">
        <v>264</v>
      </c>
      <c r="D368" s="31" t="s">
        <v>180</v>
      </c>
      <c r="E368" s="33" t="s">
        <v>181</v>
      </c>
      <c r="F368" s="31" t="s">
        <v>36</v>
      </c>
      <c r="G368" s="34">
        <v>7770</v>
      </c>
      <c r="H368" s="34">
        <v>35</v>
      </c>
      <c r="I368" s="34">
        <f>IFERROR(ROUND('Data Bulanan'!BC78,0),0)</f>
        <v>34946</v>
      </c>
      <c r="J368" s="34">
        <v>6137304</v>
      </c>
      <c r="K368" s="34">
        <v>476034</v>
      </c>
      <c r="L368" s="35">
        <f t="shared" si="30"/>
        <v>949</v>
      </c>
      <c r="M368" s="36">
        <f>IFERROR(AVERAGE('Data Bulanan'!AF78,'Data Bulanan'!AH78,'Data Bulanan'!AJ78,'Data Bulanan'!AL78,'Data Bulanan'!AN78,'Data Bulanan'!AP78,'Data Bulanan'!AR78,'Data Bulanan'!AT78,'Data Bulanan'!AV78,'Data Bulanan'!AX78,'Data Bulanan'!AZ78,'Data Bulanan'!BB78),0)</f>
        <v>93.133621351766507</v>
      </c>
      <c r="N368" s="37">
        <f>'Data Bulanan'!BD78</f>
        <v>16.791421225142489</v>
      </c>
      <c r="O368" s="38">
        <f t="shared" si="31"/>
        <v>99.339387639575264</v>
      </c>
      <c r="P368" s="39">
        <f t="shared" si="32"/>
        <v>164</v>
      </c>
      <c r="Q368" s="40">
        <f t="shared" si="33"/>
        <v>3424</v>
      </c>
      <c r="R368" s="41">
        <f t="shared" si="34"/>
        <v>4346</v>
      </c>
      <c r="S368" s="42" t="str">
        <f t="shared" si="35"/>
        <v>Overstock 📦</v>
      </c>
      <c r="T368" s="43">
        <f>IFERROR(N368/AVERAGE(M367:M371),0)</f>
        <v>0.15743119315139203</v>
      </c>
      <c r="U368" s="44">
        <v>1338.17</v>
      </c>
      <c r="V368" s="45">
        <v>0.12520000000000001</v>
      </c>
    </row>
    <row r="369" spans="1:22" ht="15" customHeight="1" x14ac:dyDescent="0.35">
      <c r="A369" s="31">
        <v>3</v>
      </c>
      <c r="B369" s="32">
        <v>2023</v>
      </c>
      <c r="C369" s="31" t="s">
        <v>264</v>
      </c>
      <c r="D369" s="31" t="s">
        <v>180</v>
      </c>
      <c r="E369" s="33" t="s">
        <v>181</v>
      </c>
      <c r="F369" s="31" t="s">
        <v>36</v>
      </c>
      <c r="G369" s="34">
        <v>5259</v>
      </c>
      <c r="H369" s="34">
        <v>35</v>
      </c>
      <c r="I369" s="34">
        <f>IFERROR(ROUND('Data Bulanan'!CC78,0),0)</f>
        <v>47399</v>
      </c>
      <c r="J369" s="34">
        <v>5064860</v>
      </c>
      <c r="K369" s="34">
        <v>405440</v>
      </c>
      <c r="L369" s="35">
        <f t="shared" si="30"/>
        <v>1088</v>
      </c>
      <c r="M369" s="36">
        <f>IFERROR(AVERAGE('Data Bulanan'!BF78,'Data Bulanan'!BH78,'Data Bulanan'!BJ78,'Data Bulanan'!BL78,'Data Bulanan'!BN78,'Data Bulanan'!BP78,'Data Bulanan'!BR78,'Data Bulanan'!BT78,'Data Bulanan'!BV78,'Data Bulanan'!BX78,'Data Bulanan'!BZ78,'Data Bulanan'!CB78),0)</f>
        <v>126.4465309779826</v>
      </c>
      <c r="N369" s="37">
        <f>'Data Bulanan'!CD78</f>
        <v>32.695857951596047</v>
      </c>
      <c r="O369" s="38">
        <f t="shared" si="31"/>
        <v>193.43130421853419</v>
      </c>
      <c r="P369" s="39">
        <f t="shared" si="32"/>
        <v>319</v>
      </c>
      <c r="Q369" s="40">
        <f t="shared" si="33"/>
        <v>4745</v>
      </c>
      <c r="R369" s="41">
        <f t="shared" si="34"/>
        <v>514</v>
      </c>
      <c r="S369" s="42" t="str">
        <f t="shared" si="35"/>
        <v>Aman ✅</v>
      </c>
      <c r="T369" s="43">
        <f>IFERROR(N369/AVERAGE(M367:M371),0)</f>
        <v>0.3065462928605982</v>
      </c>
      <c r="U369" s="44">
        <v>1338.17</v>
      </c>
      <c r="V369" s="45">
        <v>0.12520000000000001</v>
      </c>
    </row>
    <row r="370" spans="1:22" ht="15" customHeight="1" x14ac:dyDescent="0.35">
      <c r="A370" s="31">
        <v>4</v>
      </c>
      <c r="B370" s="32">
        <v>2024</v>
      </c>
      <c r="C370" s="31" t="s">
        <v>264</v>
      </c>
      <c r="D370" s="31" t="s">
        <v>180</v>
      </c>
      <c r="E370" s="33" t="s">
        <v>181</v>
      </c>
      <c r="F370" s="31" t="s">
        <v>36</v>
      </c>
      <c r="G370" s="34">
        <v>9759</v>
      </c>
      <c r="H370" s="34">
        <v>35</v>
      </c>
      <c r="I370" s="34">
        <f>IFERROR(ROUND('Data Bulanan'!DC78,0),0)</f>
        <v>45523</v>
      </c>
      <c r="J370" s="34">
        <v>5576778</v>
      </c>
      <c r="K370" s="34">
        <v>487686</v>
      </c>
      <c r="L370" s="35">
        <f t="shared" si="30"/>
        <v>1020</v>
      </c>
      <c r="M370" s="36">
        <f>IFERROR(AVERAGE('Data Bulanan'!CF78,'Data Bulanan'!CH78,'Data Bulanan'!CJ78,'Data Bulanan'!CL78,'Data Bulanan'!CN78,'Data Bulanan'!CP78,'Data Bulanan'!CR78,'Data Bulanan'!CT78,'Data Bulanan'!CV78,'Data Bulanan'!CX78,'Data Bulanan'!CZ78,'Data Bulanan'!DB78),0)</f>
        <v>121.49514208909369</v>
      </c>
      <c r="N370" s="37">
        <f>'Data Bulanan'!DD78</f>
        <v>32.72022945382205</v>
      </c>
      <c r="O370" s="38">
        <f t="shared" si="31"/>
        <v>193.57548797013723</v>
      </c>
      <c r="P370" s="39">
        <f t="shared" si="32"/>
        <v>319</v>
      </c>
      <c r="Q370" s="40">
        <f t="shared" si="33"/>
        <v>4571</v>
      </c>
      <c r="R370" s="41">
        <f t="shared" si="34"/>
        <v>5188</v>
      </c>
      <c r="S370" s="42" t="str">
        <f t="shared" si="35"/>
        <v>Overstock 📦</v>
      </c>
      <c r="T370" s="43">
        <f>IFERROR(N370/AVERAGE(M367:M371),0)</f>
        <v>0.30677479255832402</v>
      </c>
      <c r="U370" s="44">
        <v>1338.17</v>
      </c>
      <c r="V370" s="45">
        <v>0.12520000000000001</v>
      </c>
    </row>
    <row r="371" spans="1:22" ht="15" customHeight="1" x14ac:dyDescent="0.35">
      <c r="A371" s="31">
        <v>5</v>
      </c>
      <c r="B371" s="32">
        <v>2025</v>
      </c>
      <c r="C371" s="31" t="s">
        <v>264</v>
      </c>
      <c r="D371" s="31" t="s">
        <v>180</v>
      </c>
      <c r="E371" s="33" t="s">
        <v>181</v>
      </c>
      <c r="F371" s="31" t="s">
        <v>36</v>
      </c>
      <c r="G371" s="34">
        <v>18576</v>
      </c>
      <c r="H371" s="34">
        <v>35</v>
      </c>
      <c r="I371" s="34">
        <f>IFERROR(ROUND('Data Bulanan'!EC78,0),0)</f>
        <v>36750</v>
      </c>
      <c r="J371" s="34">
        <v>5192534</v>
      </c>
      <c r="K371" s="34">
        <v>410477</v>
      </c>
      <c r="L371" s="35">
        <f t="shared" si="30"/>
        <v>964</v>
      </c>
      <c r="M371" s="36">
        <f>IFERROR(AVERAGE('Data Bulanan'!DF78,'Data Bulanan'!DH78,'Data Bulanan'!DJ78,'Data Bulanan'!DL78,'Data Bulanan'!DN78,'Data Bulanan'!DP78,'Data Bulanan'!DR78,'Data Bulanan'!DT78,'Data Bulanan'!DV78,'Data Bulanan'!DX78,'Data Bulanan'!DZ78,'Data Bulanan'!EB78),0)</f>
        <v>98.00207373271887</v>
      </c>
      <c r="N371" s="37">
        <f>'Data Bulanan'!ED78</f>
        <v>21.676807676486888</v>
      </c>
      <c r="O371" s="38">
        <f t="shared" si="31"/>
        <v>128.24172365700264</v>
      </c>
      <c r="P371" s="39">
        <f t="shared" si="32"/>
        <v>212</v>
      </c>
      <c r="Q371" s="40">
        <f t="shared" si="33"/>
        <v>3642</v>
      </c>
      <c r="R371" s="41">
        <f t="shared" si="34"/>
        <v>14934</v>
      </c>
      <c r="S371" s="42" t="str">
        <f t="shared" si="35"/>
        <v>Overstock 📦</v>
      </c>
      <c r="T371" s="43">
        <f>IFERROR(N371/AVERAGE(M367:M371),0)</f>
        <v>0.20323507167533555</v>
      </c>
      <c r="U371" s="44">
        <v>1338.17</v>
      </c>
      <c r="V371" s="45">
        <v>0.12520000000000001</v>
      </c>
    </row>
    <row r="372" spans="1:22" ht="15" customHeight="1" x14ac:dyDescent="0.35">
      <c r="A372" s="46">
        <v>1</v>
      </c>
      <c r="B372" s="32">
        <v>2021</v>
      </c>
      <c r="C372" s="46" t="s">
        <v>264</v>
      </c>
      <c r="D372" s="46" t="s">
        <v>182</v>
      </c>
      <c r="E372" s="47" t="s">
        <v>183</v>
      </c>
      <c r="F372" s="46" t="s">
        <v>36</v>
      </c>
      <c r="G372" s="34">
        <v>19343</v>
      </c>
      <c r="H372" s="34">
        <v>32</v>
      </c>
      <c r="I372" s="34">
        <f>IFERROR(ROUND('Data Bulanan'!AC79,0),0)</f>
        <v>42606</v>
      </c>
      <c r="J372" s="34">
        <v>8826369</v>
      </c>
      <c r="K372" s="34">
        <v>145058</v>
      </c>
      <c r="L372" s="35">
        <f t="shared" si="30"/>
        <v>2277</v>
      </c>
      <c r="M372" s="36">
        <f>IFERROR(AVERAGE('Data Bulanan'!F79,'Data Bulanan'!H79,'Data Bulanan'!J79,'Data Bulanan'!L79,'Data Bulanan'!N79,'Data Bulanan'!P79,'Data Bulanan'!R79,'Data Bulanan'!T79,'Data Bulanan'!V79,'Data Bulanan'!X79,'Data Bulanan'!Z79,'Data Bulanan'!AB79),0)</f>
        <v>113.48899769585255</v>
      </c>
      <c r="N372" s="37">
        <f>'Data Bulanan'!AD79</f>
        <v>27.235108892386179</v>
      </c>
      <c r="O372" s="38">
        <f t="shared" si="31"/>
        <v>154.06504147328249</v>
      </c>
      <c r="P372" s="39">
        <f t="shared" si="32"/>
        <v>254</v>
      </c>
      <c r="Q372" s="40">
        <f t="shared" si="33"/>
        <v>3886</v>
      </c>
      <c r="R372" s="41">
        <f t="shared" si="34"/>
        <v>15457</v>
      </c>
      <c r="S372" s="42" t="str">
        <f t="shared" si="35"/>
        <v>Overstock 📦</v>
      </c>
      <c r="T372" s="43">
        <f>IFERROR(N372/AVERAGE(M372:M376),0)</f>
        <v>0.26030417696023234</v>
      </c>
      <c r="U372" s="44">
        <v>-1297.31</v>
      </c>
      <c r="V372" s="45">
        <v>0.28260000000000002</v>
      </c>
    </row>
    <row r="373" spans="1:22" ht="15" customHeight="1" x14ac:dyDescent="0.35">
      <c r="A373" s="46">
        <v>2</v>
      </c>
      <c r="B373" s="32">
        <v>2022</v>
      </c>
      <c r="C373" s="46" t="s">
        <v>264</v>
      </c>
      <c r="D373" s="46" t="s">
        <v>182</v>
      </c>
      <c r="E373" s="47" t="s">
        <v>183</v>
      </c>
      <c r="F373" s="46" t="s">
        <v>36</v>
      </c>
      <c r="G373" s="34">
        <v>0</v>
      </c>
      <c r="H373" s="34">
        <v>32</v>
      </c>
      <c r="I373" s="34">
        <f>IFERROR(ROUND('Data Bulanan'!BC79,0),0)</f>
        <v>36795</v>
      </c>
      <c r="J373" s="34">
        <v>8464719</v>
      </c>
      <c r="K373" s="34">
        <v>135160</v>
      </c>
      <c r="L373" s="35">
        <f t="shared" si="30"/>
        <v>2147</v>
      </c>
      <c r="M373" s="36">
        <f>IFERROR(AVERAGE('Data Bulanan'!AF79,'Data Bulanan'!AH79,'Data Bulanan'!AJ79,'Data Bulanan'!AL79,'Data Bulanan'!AN79,'Data Bulanan'!AP79,'Data Bulanan'!AR79,'Data Bulanan'!AT79,'Data Bulanan'!AV79,'Data Bulanan'!AX79,'Data Bulanan'!AZ79,'Data Bulanan'!BB79),0)</f>
        <v>98.059479006656431</v>
      </c>
      <c r="N373" s="37">
        <f>'Data Bulanan'!BD79</f>
        <v>21.377813810001822</v>
      </c>
      <c r="O373" s="38">
        <f t="shared" si="31"/>
        <v>120.93117689596571</v>
      </c>
      <c r="P373" s="39">
        <f t="shared" si="32"/>
        <v>200</v>
      </c>
      <c r="Q373" s="40">
        <f t="shared" si="33"/>
        <v>3338</v>
      </c>
      <c r="R373" s="41">
        <f t="shared" si="34"/>
        <v>-3338</v>
      </c>
      <c r="S373" s="42" t="str">
        <f t="shared" si="35"/>
        <v>Stockout ⚠</v>
      </c>
      <c r="T373" s="43">
        <f>IFERROR(N373/AVERAGE(M372:M376),0)</f>
        <v>0.20432208481374148</v>
      </c>
      <c r="U373" s="44">
        <v>-1297.31</v>
      </c>
      <c r="V373" s="45">
        <v>0.28260000000000002</v>
      </c>
    </row>
    <row r="374" spans="1:22" ht="15" customHeight="1" x14ac:dyDescent="0.35">
      <c r="A374" s="46">
        <v>3</v>
      </c>
      <c r="B374" s="32">
        <v>2023</v>
      </c>
      <c r="C374" s="46" t="s">
        <v>264</v>
      </c>
      <c r="D374" s="46" t="s">
        <v>182</v>
      </c>
      <c r="E374" s="47" t="s">
        <v>183</v>
      </c>
      <c r="F374" s="46" t="s">
        <v>36</v>
      </c>
      <c r="G374" s="34">
        <v>24428</v>
      </c>
      <c r="H374" s="34">
        <v>32</v>
      </c>
      <c r="I374" s="34">
        <f>IFERROR(ROUND('Data Bulanan'!CC79,0),0)</f>
        <v>41401</v>
      </c>
      <c r="J374" s="34">
        <v>8684958</v>
      </c>
      <c r="K374" s="34">
        <v>134259</v>
      </c>
      <c r="L374" s="35">
        <f t="shared" si="30"/>
        <v>2314</v>
      </c>
      <c r="M374" s="36">
        <f>IFERROR(AVERAGE('Data Bulanan'!BF79,'Data Bulanan'!BH79,'Data Bulanan'!BJ79,'Data Bulanan'!BL79,'Data Bulanan'!BN79,'Data Bulanan'!BP79,'Data Bulanan'!BR79,'Data Bulanan'!BT79,'Data Bulanan'!BV79,'Data Bulanan'!BX79,'Data Bulanan'!BZ79,'Data Bulanan'!CB79),0)</f>
        <v>110.56337685611879</v>
      </c>
      <c r="N374" s="37">
        <f>'Data Bulanan'!CD79</f>
        <v>30.828329059479525</v>
      </c>
      <c r="O374" s="38">
        <f t="shared" si="31"/>
        <v>174.3913642448662</v>
      </c>
      <c r="P374" s="39">
        <f t="shared" si="32"/>
        <v>288</v>
      </c>
      <c r="Q374" s="40">
        <f t="shared" si="33"/>
        <v>3826</v>
      </c>
      <c r="R374" s="41">
        <f t="shared" si="34"/>
        <v>20602</v>
      </c>
      <c r="S374" s="42" t="str">
        <f t="shared" si="35"/>
        <v>Overstock 📦</v>
      </c>
      <c r="T374" s="43">
        <f>IFERROR(N374/AVERAGE(M372:M376),0)</f>
        <v>0.29464698873043321</v>
      </c>
      <c r="U374" s="44">
        <v>-1297.31</v>
      </c>
      <c r="V374" s="45">
        <v>0.28260000000000002</v>
      </c>
    </row>
    <row r="375" spans="1:22" ht="15" customHeight="1" x14ac:dyDescent="0.35">
      <c r="A375" s="46">
        <v>4</v>
      </c>
      <c r="B375" s="32">
        <v>2024</v>
      </c>
      <c r="C375" s="46" t="s">
        <v>264</v>
      </c>
      <c r="D375" s="46" t="s">
        <v>182</v>
      </c>
      <c r="E375" s="47" t="s">
        <v>183</v>
      </c>
      <c r="F375" s="46" t="s">
        <v>36</v>
      </c>
      <c r="G375" s="34">
        <v>10651</v>
      </c>
      <c r="H375" s="34">
        <v>32</v>
      </c>
      <c r="I375" s="34">
        <f>IFERROR(ROUND('Data Bulanan'!DC79,0),0)</f>
        <v>41744</v>
      </c>
      <c r="J375" s="34">
        <v>9113221</v>
      </c>
      <c r="K375" s="34">
        <v>131438</v>
      </c>
      <c r="L375" s="35">
        <f t="shared" si="30"/>
        <v>2406</v>
      </c>
      <c r="M375" s="36">
        <f>IFERROR(AVERAGE('Data Bulanan'!CF79,'Data Bulanan'!CH79,'Data Bulanan'!CJ79,'Data Bulanan'!CL79,'Data Bulanan'!CN79,'Data Bulanan'!CP79,'Data Bulanan'!CR79,'Data Bulanan'!CT79,'Data Bulanan'!CV79,'Data Bulanan'!CX79,'Data Bulanan'!CZ79,'Data Bulanan'!DB79),0)</f>
        <v>111.17027649769585</v>
      </c>
      <c r="N375" s="37">
        <f>'Data Bulanan'!DD79</f>
        <v>25.356672780689742</v>
      </c>
      <c r="O375" s="38">
        <f t="shared" si="31"/>
        <v>143.43900217243254</v>
      </c>
      <c r="P375" s="39">
        <f t="shared" si="32"/>
        <v>237</v>
      </c>
      <c r="Q375" s="40">
        <f t="shared" si="33"/>
        <v>3794</v>
      </c>
      <c r="R375" s="41">
        <f t="shared" si="34"/>
        <v>6857</v>
      </c>
      <c r="S375" s="42" t="str">
        <f t="shared" si="35"/>
        <v>Overstock 📦</v>
      </c>
      <c r="T375" s="43">
        <f>IFERROR(N375/AVERAGE(M372:M376),0)</f>
        <v>0.24235070491943525</v>
      </c>
      <c r="U375" s="44">
        <v>-1297.31</v>
      </c>
      <c r="V375" s="45">
        <v>0.28260000000000002</v>
      </c>
    </row>
    <row r="376" spans="1:22" ht="15" customHeight="1" x14ac:dyDescent="0.35">
      <c r="A376" s="46">
        <v>5</v>
      </c>
      <c r="B376" s="32">
        <v>2025</v>
      </c>
      <c r="C376" s="46" t="s">
        <v>264</v>
      </c>
      <c r="D376" s="46" t="s">
        <v>182</v>
      </c>
      <c r="E376" s="47" t="s">
        <v>183</v>
      </c>
      <c r="F376" s="46" t="s">
        <v>36</v>
      </c>
      <c r="G376" s="34">
        <v>10389</v>
      </c>
      <c r="H376" s="34">
        <v>32</v>
      </c>
      <c r="I376" s="34">
        <f>IFERROR(ROUND('Data Bulanan'!EC79,0),0)</f>
        <v>33645</v>
      </c>
      <c r="J376" s="34">
        <v>9797791</v>
      </c>
      <c r="K376" s="34">
        <v>145881</v>
      </c>
      <c r="L376" s="35">
        <f t="shared" si="30"/>
        <v>2126</v>
      </c>
      <c r="M376" s="36">
        <f>IFERROR(AVERAGE('Data Bulanan'!DF79,'Data Bulanan'!DH79,'Data Bulanan'!DJ79,'Data Bulanan'!DL79,'Data Bulanan'!DN79,'Data Bulanan'!DP79,'Data Bulanan'!DR79,'Data Bulanan'!DT79,'Data Bulanan'!DV79,'Data Bulanan'!DX79,'Data Bulanan'!DZ79,'Data Bulanan'!EB79),0)</f>
        <v>89.857936507936515</v>
      </c>
      <c r="N376" s="37">
        <f>'Data Bulanan'!ED79</f>
        <v>21.272858192522698</v>
      </c>
      <c r="O376" s="38">
        <f t="shared" si="31"/>
        <v>120.33745826522082</v>
      </c>
      <c r="P376" s="39">
        <f t="shared" si="32"/>
        <v>199</v>
      </c>
      <c r="Q376" s="40">
        <f t="shared" si="33"/>
        <v>3074</v>
      </c>
      <c r="R376" s="41">
        <f t="shared" si="34"/>
        <v>7315</v>
      </c>
      <c r="S376" s="42" t="str">
        <f t="shared" si="35"/>
        <v>Overstock 📦</v>
      </c>
      <c r="T376" s="43">
        <f>IFERROR(N376/AVERAGE(M372:M376),0)</f>
        <v>0.20331895368130476</v>
      </c>
      <c r="U376" s="44">
        <v>-1297.31</v>
      </c>
      <c r="V376" s="45">
        <v>0.28260000000000002</v>
      </c>
    </row>
    <row r="377" spans="1:22" ht="15" customHeight="1" x14ac:dyDescent="0.35">
      <c r="A377" s="31">
        <v>1</v>
      </c>
      <c r="B377" s="32">
        <v>2021</v>
      </c>
      <c r="C377" s="31" t="s">
        <v>264</v>
      </c>
      <c r="D377" s="31" t="s">
        <v>184</v>
      </c>
      <c r="E377" s="33" t="s">
        <v>185</v>
      </c>
      <c r="F377" s="31" t="s">
        <v>36</v>
      </c>
      <c r="G377" s="34">
        <v>10945</v>
      </c>
      <c r="H377" s="34">
        <v>34</v>
      </c>
      <c r="I377" s="34">
        <f>IFERROR(ROUND('Data Bulanan'!AC80,0),0)</f>
        <v>41034</v>
      </c>
      <c r="J377" s="34">
        <v>9073518</v>
      </c>
      <c r="K377" s="34">
        <v>385685</v>
      </c>
      <c r="L377" s="35">
        <f t="shared" si="30"/>
        <v>1389</v>
      </c>
      <c r="M377" s="36">
        <f>IFERROR(AVERAGE('Data Bulanan'!F80,'Data Bulanan'!H80,'Data Bulanan'!J80,'Data Bulanan'!L80,'Data Bulanan'!N80,'Data Bulanan'!P80,'Data Bulanan'!R80,'Data Bulanan'!T80,'Data Bulanan'!V80,'Data Bulanan'!X80,'Data Bulanan'!Z80,'Data Bulanan'!AB80),0)</f>
        <v>109.63106118791602</v>
      </c>
      <c r="N377" s="37">
        <f>'Data Bulanan'!AD80</f>
        <v>33.295330433810676</v>
      </c>
      <c r="O377" s="38">
        <f t="shared" si="31"/>
        <v>194.14347008252878</v>
      </c>
      <c r="P377" s="39">
        <f t="shared" si="32"/>
        <v>320</v>
      </c>
      <c r="Q377" s="40">
        <f t="shared" si="33"/>
        <v>4047</v>
      </c>
      <c r="R377" s="41">
        <f t="shared" si="34"/>
        <v>6898</v>
      </c>
      <c r="S377" s="42" t="str">
        <f t="shared" si="35"/>
        <v>Overstock 📦</v>
      </c>
      <c r="T377" s="43">
        <f>IFERROR(N377/AVERAGE(M377:M381),0)</f>
        <v>0.30507166746387315</v>
      </c>
      <c r="U377" s="44">
        <v>-292.83</v>
      </c>
      <c r="V377" s="45">
        <v>3.2300000000000002E-2</v>
      </c>
    </row>
    <row r="378" spans="1:22" ht="15" customHeight="1" x14ac:dyDescent="0.35">
      <c r="A378" s="31">
        <v>2</v>
      </c>
      <c r="B378" s="32">
        <v>2022</v>
      </c>
      <c r="C378" s="31" t="s">
        <v>264</v>
      </c>
      <c r="D378" s="31" t="s">
        <v>184</v>
      </c>
      <c r="E378" s="33" t="s">
        <v>185</v>
      </c>
      <c r="F378" s="31" t="s">
        <v>36</v>
      </c>
      <c r="G378" s="34">
        <v>6895</v>
      </c>
      <c r="H378" s="34">
        <v>34</v>
      </c>
      <c r="I378" s="34">
        <f>IFERROR(ROUND('Data Bulanan'!BC80,0),0)</f>
        <v>42382</v>
      </c>
      <c r="J378" s="34">
        <v>9496067</v>
      </c>
      <c r="K378" s="34">
        <v>370591</v>
      </c>
      <c r="L378" s="35">
        <f t="shared" si="30"/>
        <v>1474</v>
      </c>
      <c r="M378" s="36">
        <f>IFERROR(AVERAGE('Data Bulanan'!AF80,'Data Bulanan'!AH80,'Data Bulanan'!AJ80,'Data Bulanan'!AL80,'Data Bulanan'!AN80,'Data Bulanan'!AP80,'Data Bulanan'!AR80,'Data Bulanan'!AT80,'Data Bulanan'!AV80,'Data Bulanan'!AX80,'Data Bulanan'!AZ80,'Data Bulanan'!BB80),0)</f>
        <v>113.16532258064517</v>
      </c>
      <c r="N378" s="37">
        <f>'Data Bulanan'!BD80</f>
        <v>32.195119667097202</v>
      </c>
      <c r="O378" s="38">
        <f t="shared" si="31"/>
        <v>187.72819402763164</v>
      </c>
      <c r="P378" s="39">
        <f t="shared" si="32"/>
        <v>310</v>
      </c>
      <c r="Q378" s="40">
        <f t="shared" si="33"/>
        <v>4158</v>
      </c>
      <c r="R378" s="41">
        <f t="shared" si="34"/>
        <v>2737</v>
      </c>
      <c r="S378" s="42" t="str">
        <f t="shared" si="35"/>
        <v>Overstock 📦</v>
      </c>
      <c r="T378" s="43">
        <f>IFERROR(N378/AVERAGE(M377:M381),0)</f>
        <v>0.29499088049495492</v>
      </c>
      <c r="U378" s="44">
        <v>-292.83</v>
      </c>
      <c r="V378" s="45">
        <v>3.2300000000000002E-2</v>
      </c>
    </row>
    <row r="379" spans="1:22" ht="15" customHeight="1" x14ac:dyDescent="0.35">
      <c r="A379" s="31">
        <v>3</v>
      </c>
      <c r="B379" s="32">
        <v>2023</v>
      </c>
      <c r="C379" s="31" t="s">
        <v>264</v>
      </c>
      <c r="D379" s="31" t="s">
        <v>184</v>
      </c>
      <c r="E379" s="33" t="s">
        <v>185</v>
      </c>
      <c r="F379" s="31" t="s">
        <v>36</v>
      </c>
      <c r="G379" s="34">
        <v>2780</v>
      </c>
      <c r="H379" s="34">
        <v>34</v>
      </c>
      <c r="I379" s="34">
        <f>IFERROR(ROUND('Data Bulanan'!CC80,0),0)</f>
        <v>38242</v>
      </c>
      <c r="J379" s="34">
        <v>8967054</v>
      </c>
      <c r="K379" s="34">
        <v>368909</v>
      </c>
      <c r="L379" s="35">
        <f t="shared" si="30"/>
        <v>1363</v>
      </c>
      <c r="M379" s="36">
        <f>IFERROR(AVERAGE('Data Bulanan'!BF80,'Data Bulanan'!BH80,'Data Bulanan'!BJ80,'Data Bulanan'!BL80,'Data Bulanan'!BN80,'Data Bulanan'!BP80,'Data Bulanan'!BR80,'Data Bulanan'!BT80,'Data Bulanan'!BV80,'Data Bulanan'!BX80,'Data Bulanan'!BZ80,'Data Bulanan'!CB80),0)</f>
        <v>101.7901625704045</v>
      </c>
      <c r="N379" s="37">
        <f>'Data Bulanan'!CD80</f>
        <v>25.163477361920336</v>
      </c>
      <c r="O379" s="38">
        <f t="shared" si="31"/>
        <v>146.7270260043862</v>
      </c>
      <c r="P379" s="39">
        <f t="shared" si="32"/>
        <v>242</v>
      </c>
      <c r="Q379" s="40">
        <f t="shared" si="33"/>
        <v>3703</v>
      </c>
      <c r="R379" s="41">
        <f t="shared" si="34"/>
        <v>-923</v>
      </c>
      <c r="S379" s="42" t="str">
        <f t="shared" si="35"/>
        <v>Reorder 🔄</v>
      </c>
      <c r="T379" s="43">
        <f>IFERROR(N379/AVERAGE(M377:M381),0)</f>
        <v>0.23056278156635973</v>
      </c>
      <c r="U379" s="44">
        <v>-292.83</v>
      </c>
      <c r="V379" s="45">
        <v>3.2300000000000002E-2</v>
      </c>
    </row>
    <row r="380" spans="1:22" ht="15" customHeight="1" x14ac:dyDescent="0.35">
      <c r="A380" s="31">
        <v>4</v>
      </c>
      <c r="B380" s="32">
        <v>2024</v>
      </c>
      <c r="C380" s="31" t="s">
        <v>264</v>
      </c>
      <c r="D380" s="31" t="s">
        <v>184</v>
      </c>
      <c r="E380" s="33" t="s">
        <v>185</v>
      </c>
      <c r="F380" s="31" t="s">
        <v>36</v>
      </c>
      <c r="G380" s="34">
        <v>8298</v>
      </c>
      <c r="H380" s="34">
        <v>34</v>
      </c>
      <c r="I380" s="34">
        <f>IFERROR(ROUND('Data Bulanan'!DC80,0),0)</f>
        <v>44351</v>
      </c>
      <c r="J380" s="34">
        <v>8675703</v>
      </c>
      <c r="K380" s="34">
        <v>364578</v>
      </c>
      <c r="L380" s="35">
        <f t="shared" si="30"/>
        <v>1453</v>
      </c>
      <c r="M380" s="36">
        <f>IFERROR(AVERAGE('Data Bulanan'!CF80,'Data Bulanan'!CH80,'Data Bulanan'!CJ80,'Data Bulanan'!CL80,'Data Bulanan'!CN80,'Data Bulanan'!CP80,'Data Bulanan'!CR80,'Data Bulanan'!CT80,'Data Bulanan'!CV80,'Data Bulanan'!CX80,'Data Bulanan'!CZ80,'Data Bulanan'!DB80),0)</f>
        <v>118.05141449052739</v>
      </c>
      <c r="N380" s="37">
        <f>'Data Bulanan'!DD80</f>
        <v>24.163441130675729</v>
      </c>
      <c r="O380" s="38">
        <f t="shared" si="31"/>
        <v>140.89586284689651</v>
      </c>
      <c r="P380" s="39">
        <f t="shared" si="32"/>
        <v>232</v>
      </c>
      <c r="Q380" s="40">
        <f t="shared" si="33"/>
        <v>4246</v>
      </c>
      <c r="R380" s="41">
        <f t="shared" si="34"/>
        <v>4052</v>
      </c>
      <c r="S380" s="42" t="str">
        <f t="shared" si="35"/>
        <v>Overstock 📦</v>
      </c>
      <c r="T380" s="43">
        <f>IFERROR(N380/AVERAGE(M377:M381),0)</f>
        <v>0.22139985341351959</v>
      </c>
      <c r="U380" s="44">
        <v>-292.83</v>
      </c>
      <c r="V380" s="45">
        <v>3.2300000000000002E-2</v>
      </c>
    </row>
    <row r="381" spans="1:22" ht="15" customHeight="1" x14ac:dyDescent="0.35">
      <c r="A381" s="31">
        <v>5</v>
      </c>
      <c r="B381" s="32">
        <v>2025</v>
      </c>
      <c r="C381" s="31" t="s">
        <v>264</v>
      </c>
      <c r="D381" s="31" t="s">
        <v>184</v>
      </c>
      <c r="E381" s="33" t="s">
        <v>185</v>
      </c>
      <c r="F381" s="31" t="s">
        <v>36</v>
      </c>
      <c r="G381" s="34">
        <v>10848</v>
      </c>
      <c r="H381" s="34">
        <v>34</v>
      </c>
      <c r="I381" s="34">
        <f>IFERROR(ROUND('Data Bulanan'!EC80,0),0)</f>
        <v>38585</v>
      </c>
      <c r="J381" s="34">
        <v>9028309</v>
      </c>
      <c r="K381" s="34">
        <v>347121</v>
      </c>
      <c r="L381" s="35">
        <f t="shared" si="30"/>
        <v>1417</v>
      </c>
      <c r="M381" s="36">
        <f>IFERROR(AVERAGE('Data Bulanan'!DF80,'Data Bulanan'!DH80,'Data Bulanan'!DJ80,'Data Bulanan'!DL80,'Data Bulanan'!DN80,'Data Bulanan'!DP80,'Data Bulanan'!DR80,'Data Bulanan'!DT80,'Data Bulanan'!DV80,'Data Bulanan'!DX80,'Data Bulanan'!DZ80,'Data Bulanan'!EB80),0)</f>
        <v>103.05890296979005</v>
      </c>
      <c r="N381" s="37">
        <f>'Data Bulanan'!ED80</f>
        <v>27.799033699951757</v>
      </c>
      <c r="O381" s="38">
        <f t="shared" si="31"/>
        <v>162.09482822760208</v>
      </c>
      <c r="P381" s="39">
        <f t="shared" si="32"/>
        <v>267</v>
      </c>
      <c r="Q381" s="40">
        <f t="shared" si="33"/>
        <v>3771</v>
      </c>
      <c r="R381" s="41">
        <f t="shared" si="34"/>
        <v>7077</v>
      </c>
      <c r="S381" s="42" t="str">
        <f t="shared" si="35"/>
        <v>Overstock 📦</v>
      </c>
      <c r="T381" s="43">
        <f>IFERROR(N381/AVERAGE(M377:M381),0)</f>
        <v>0.2547113200029012</v>
      </c>
      <c r="U381" s="44">
        <v>-292.83</v>
      </c>
      <c r="V381" s="45">
        <v>3.2300000000000002E-2</v>
      </c>
    </row>
    <row r="382" spans="1:22" ht="15" customHeight="1" x14ac:dyDescent="0.35">
      <c r="A382" s="46">
        <v>1</v>
      </c>
      <c r="B382" s="32">
        <v>2021</v>
      </c>
      <c r="C382" s="46" t="s">
        <v>263</v>
      </c>
      <c r="D382" s="46" t="s">
        <v>186</v>
      </c>
      <c r="E382" s="47" t="s">
        <v>187</v>
      </c>
      <c r="F382" s="46" t="s">
        <v>36</v>
      </c>
      <c r="G382" s="34">
        <v>24314</v>
      </c>
      <c r="H382" s="34">
        <v>28</v>
      </c>
      <c r="I382" s="34">
        <f>IFERROR(ROUND('Data Bulanan'!AC81,0),0)</f>
        <v>46829</v>
      </c>
      <c r="J382" s="34">
        <v>5272349</v>
      </c>
      <c r="K382" s="34">
        <v>229706</v>
      </c>
      <c r="L382" s="35">
        <f t="shared" si="30"/>
        <v>1466</v>
      </c>
      <c r="M382" s="36">
        <f>IFERROR(AVERAGE('Data Bulanan'!F81,'Data Bulanan'!H81,'Data Bulanan'!J81,'Data Bulanan'!L81,'Data Bulanan'!N81,'Data Bulanan'!P81,'Data Bulanan'!R81,'Data Bulanan'!T81,'Data Bulanan'!V81,'Data Bulanan'!X81,'Data Bulanan'!Z81,'Data Bulanan'!AB81),0)</f>
        <v>124.35428187403996</v>
      </c>
      <c r="N382" s="37">
        <f>'Data Bulanan'!AD81</f>
        <v>24.136522946197445</v>
      </c>
      <c r="O382" s="38">
        <f t="shared" si="31"/>
        <v>127.71847445888494</v>
      </c>
      <c r="P382" s="39">
        <f t="shared" si="32"/>
        <v>211</v>
      </c>
      <c r="Q382" s="40">
        <f t="shared" si="33"/>
        <v>3693</v>
      </c>
      <c r="R382" s="41">
        <f t="shared" si="34"/>
        <v>20621</v>
      </c>
      <c r="S382" s="42" t="str">
        <f t="shared" si="35"/>
        <v>Overstock 📦</v>
      </c>
      <c r="T382" s="43">
        <f>IFERROR(N382/AVERAGE(M382:M386),0)</f>
        <v>0.1867511343838916</v>
      </c>
      <c r="U382" s="44">
        <v>1074.93</v>
      </c>
      <c r="V382" s="45">
        <v>9.6299999999999997E-2</v>
      </c>
    </row>
    <row r="383" spans="1:22" ht="15" customHeight="1" x14ac:dyDescent="0.35">
      <c r="A383" s="46">
        <v>2</v>
      </c>
      <c r="B383" s="32">
        <v>2022</v>
      </c>
      <c r="C383" s="46" t="s">
        <v>263</v>
      </c>
      <c r="D383" s="46" t="s">
        <v>186</v>
      </c>
      <c r="E383" s="47" t="s">
        <v>187</v>
      </c>
      <c r="F383" s="46" t="s">
        <v>36</v>
      </c>
      <c r="G383" s="34">
        <v>22621</v>
      </c>
      <c r="H383" s="34">
        <v>28</v>
      </c>
      <c r="I383" s="34">
        <f>IFERROR(ROUND('Data Bulanan'!BC81,0),0)</f>
        <v>46950</v>
      </c>
      <c r="J383" s="34">
        <v>5047366</v>
      </c>
      <c r="K383" s="34">
        <v>215705</v>
      </c>
      <c r="L383" s="35">
        <f t="shared" si="30"/>
        <v>1482</v>
      </c>
      <c r="M383" s="36">
        <f>IFERROR(AVERAGE('Data Bulanan'!AF81,'Data Bulanan'!AH81,'Data Bulanan'!AJ81,'Data Bulanan'!AL81,'Data Bulanan'!AN81,'Data Bulanan'!AP81,'Data Bulanan'!AR81,'Data Bulanan'!AT81,'Data Bulanan'!AV81,'Data Bulanan'!AX81,'Data Bulanan'!AZ81,'Data Bulanan'!BB81),0)</f>
        <v>124.76836917562724</v>
      </c>
      <c r="N383" s="37">
        <f>'Data Bulanan'!BD81</f>
        <v>31.175783734689475</v>
      </c>
      <c r="O383" s="38">
        <f t="shared" si="31"/>
        <v>164.96674137904165</v>
      </c>
      <c r="P383" s="39">
        <f t="shared" si="32"/>
        <v>272</v>
      </c>
      <c r="Q383" s="40">
        <f t="shared" si="33"/>
        <v>3766</v>
      </c>
      <c r="R383" s="41">
        <f t="shared" si="34"/>
        <v>18855</v>
      </c>
      <c r="S383" s="42" t="str">
        <f t="shared" si="35"/>
        <v>Overstock 📦</v>
      </c>
      <c r="T383" s="43">
        <f>IFERROR(N383/AVERAGE(M382:M386),0)</f>
        <v>0.24121589471433674</v>
      </c>
      <c r="U383" s="44">
        <v>1074.93</v>
      </c>
      <c r="V383" s="45">
        <v>9.6299999999999997E-2</v>
      </c>
    </row>
    <row r="384" spans="1:22" ht="15" customHeight="1" x14ac:dyDescent="0.35">
      <c r="A384" s="46">
        <v>3</v>
      </c>
      <c r="B384" s="32">
        <v>2023</v>
      </c>
      <c r="C384" s="46" t="s">
        <v>263</v>
      </c>
      <c r="D384" s="46" t="s">
        <v>186</v>
      </c>
      <c r="E384" s="47" t="s">
        <v>187</v>
      </c>
      <c r="F384" s="46" t="s">
        <v>36</v>
      </c>
      <c r="G384" s="34">
        <v>0</v>
      </c>
      <c r="H384" s="34">
        <v>28</v>
      </c>
      <c r="I384" s="34">
        <f>IFERROR(ROUND('Data Bulanan'!CC81,0),0)</f>
        <v>52994</v>
      </c>
      <c r="J384" s="34">
        <v>5129113</v>
      </c>
      <c r="K384" s="34">
        <v>230700</v>
      </c>
      <c r="L384" s="35">
        <f t="shared" si="30"/>
        <v>1535</v>
      </c>
      <c r="M384" s="36">
        <f>IFERROR(AVERAGE('Data Bulanan'!BF81,'Data Bulanan'!BH81,'Data Bulanan'!BJ81,'Data Bulanan'!BL81,'Data Bulanan'!BN81,'Data Bulanan'!BP81,'Data Bulanan'!BR81,'Data Bulanan'!BT81,'Data Bulanan'!BV81,'Data Bulanan'!BX81,'Data Bulanan'!BZ81,'Data Bulanan'!CB81),0)</f>
        <v>141.04503328213005</v>
      </c>
      <c r="N384" s="37">
        <f>'Data Bulanan'!CD81</f>
        <v>29.313421474308335</v>
      </c>
      <c r="O384" s="38">
        <f t="shared" si="31"/>
        <v>155.11204659488041</v>
      </c>
      <c r="P384" s="39">
        <f t="shared" si="32"/>
        <v>256</v>
      </c>
      <c r="Q384" s="40">
        <f t="shared" si="33"/>
        <v>4205</v>
      </c>
      <c r="R384" s="41">
        <f t="shared" si="34"/>
        <v>-4205</v>
      </c>
      <c r="S384" s="42" t="str">
        <f t="shared" si="35"/>
        <v>Stockout ⚠</v>
      </c>
      <c r="T384" s="43">
        <f>IFERROR(N384/AVERAGE(M382:M386),0)</f>
        <v>0.22680626887323274</v>
      </c>
      <c r="U384" s="44">
        <v>1074.93</v>
      </c>
      <c r="V384" s="45">
        <v>9.6299999999999997E-2</v>
      </c>
    </row>
    <row r="385" spans="1:22" ht="15" customHeight="1" x14ac:dyDescent="0.35">
      <c r="A385" s="46">
        <v>4</v>
      </c>
      <c r="B385" s="32">
        <v>2024</v>
      </c>
      <c r="C385" s="46" t="s">
        <v>263</v>
      </c>
      <c r="D385" s="46" t="s">
        <v>186</v>
      </c>
      <c r="E385" s="47" t="s">
        <v>187</v>
      </c>
      <c r="F385" s="46" t="s">
        <v>36</v>
      </c>
      <c r="G385" s="34">
        <v>5640</v>
      </c>
      <c r="H385" s="34">
        <v>28</v>
      </c>
      <c r="I385" s="34">
        <f>IFERROR(ROUND('Data Bulanan'!DC81,0),0)</f>
        <v>41290</v>
      </c>
      <c r="J385" s="34">
        <v>5234968</v>
      </c>
      <c r="K385" s="34">
        <v>201692</v>
      </c>
      <c r="L385" s="35">
        <f t="shared" si="30"/>
        <v>1464</v>
      </c>
      <c r="M385" s="36">
        <f>IFERROR(AVERAGE('Data Bulanan'!CF81,'Data Bulanan'!CH81,'Data Bulanan'!CJ81,'Data Bulanan'!CL81,'Data Bulanan'!CN81,'Data Bulanan'!CP81,'Data Bulanan'!CR81,'Data Bulanan'!CT81,'Data Bulanan'!CV81,'Data Bulanan'!CX81,'Data Bulanan'!CZ81,'Data Bulanan'!DB81),0)</f>
        <v>109.4816628264209</v>
      </c>
      <c r="N385" s="37">
        <f>'Data Bulanan'!DD81</f>
        <v>28.687292167461855</v>
      </c>
      <c r="O385" s="38">
        <f t="shared" si="31"/>
        <v>151.79888172591035</v>
      </c>
      <c r="P385" s="39">
        <f t="shared" si="32"/>
        <v>250</v>
      </c>
      <c r="Q385" s="40">
        <f t="shared" si="33"/>
        <v>3315</v>
      </c>
      <c r="R385" s="41">
        <f t="shared" si="34"/>
        <v>2325</v>
      </c>
      <c r="S385" s="42" t="str">
        <f t="shared" si="35"/>
        <v>Overstock 📦</v>
      </c>
      <c r="T385" s="43">
        <f>IFERROR(N385/AVERAGE(M382:M386),0)</f>
        <v>0.22196172856453839</v>
      </c>
      <c r="U385" s="44">
        <v>1074.93</v>
      </c>
      <c r="V385" s="45">
        <v>9.6299999999999997E-2</v>
      </c>
    </row>
    <row r="386" spans="1:22" ht="15" customHeight="1" x14ac:dyDescent="0.35">
      <c r="A386" s="46">
        <v>5</v>
      </c>
      <c r="B386" s="32">
        <v>2025</v>
      </c>
      <c r="C386" s="46" t="s">
        <v>263</v>
      </c>
      <c r="D386" s="46" t="s">
        <v>186</v>
      </c>
      <c r="E386" s="47" t="s">
        <v>187</v>
      </c>
      <c r="F386" s="46" t="s">
        <v>36</v>
      </c>
      <c r="G386" s="34">
        <v>12780</v>
      </c>
      <c r="H386" s="34">
        <v>28</v>
      </c>
      <c r="I386" s="34">
        <f>IFERROR(ROUND('Data Bulanan'!EC81,0),0)</f>
        <v>55033</v>
      </c>
      <c r="J386" s="34">
        <v>5208133</v>
      </c>
      <c r="K386" s="34">
        <v>214028</v>
      </c>
      <c r="L386" s="35">
        <f t="shared" si="30"/>
        <v>1637</v>
      </c>
      <c r="M386" s="36">
        <f>IFERROR(AVERAGE('Data Bulanan'!DF81,'Data Bulanan'!DH81,'Data Bulanan'!DJ81,'Data Bulanan'!DL81,'Data Bulanan'!DN81,'Data Bulanan'!DP81,'Data Bulanan'!DR81,'Data Bulanan'!DT81,'Data Bulanan'!DV81,'Data Bulanan'!DX81,'Data Bulanan'!DZ81,'Data Bulanan'!EB81),0)</f>
        <v>146.57224142345112</v>
      </c>
      <c r="N386" s="37">
        <f>'Data Bulanan'!ED81</f>
        <v>39.252314405620233</v>
      </c>
      <c r="O386" s="38">
        <f t="shared" si="31"/>
        <v>207.70372460197851</v>
      </c>
      <c r="P386" s="39">
        <f t="shared" si="32"/>
        <v>343</v>
      </c>
      <c r="Q386" s="40">
        <f t="shared" si="33"/>
        <v>4447</v>
      </c>
      <c r="R386" s="41">
        <f t="shared" si="34"/>
        <v>8333</v>
      </c>
      <c r="S386" s="42" t="str">
        <f t="shared" si="35"/>
        <v>Overstock 📦</v>
      </c>
      <c r="T386" s="43">
        <f>IFERROR(N386/AVERAGE(M382:M386),0)</f>
        <v>0.30370630677761346</v>
      </c>
      <c r="U386" s="44">
        <v>1074.93</v>
      </c>
      <c r="V386" s="45">
        <v>9.6299999999999997E-2</v>
      </c>
    </row>
    <row r="387" spans="1:22" ht="15" customHeight="1" x14ac:dyDescent="0.35">
      <c r="A387" s="31">
        <v>1</v>
      </c>
      <c r="B387" s="32">
        <v>2021</v>
      </c>
      <c r="C387" s="31" t="s">
        <v>263</v>
      </c>
      <c r="D387" s="31" t="s">
        <v>188</v>
      </c>
      <c r="E387" s="33" t="s">
        <v>189</v>
      </c>
      <c r="F387" s="31" t="s">
        <v>36</v>
      </c>
      <c r="G387" s="34">
        <v>4124</v>
      </c>
      <c r="H387" s="34">
        <v>30</v>
      </c>
      <c r="I387" s="34">
        <f>IFERROR(ROUND('Data Bulanan'!AC82,0),0)</f>
        <v>17502</v>
      </c>
      <c r="J387" s="34">
        <v>6550981</v>
      </c>
      <c r="K387" s="34">
        <v>445433</v>
      </c>
      <c r="L387" s="35">
        <f t="shared" si="30"/>
        <v>717</v>
      </c>
      <c r="M387" s="36">
        <f>IFERROR(AVERAGE('Data Bulanan'!F82,'Data Bulanan'!H82,'Data Bulanan'!J82,'Data Bulanan'!L82,'Data Bulanan'!N82,'Data Bulanan'!P82,'Data Bulanan'!R82,'Data Bulanan'!T82,'Data Bulanan'!V82,'Data Bulanan'!X82,'Data Bulanan'!Z82,'Data Bulanan'!AB82),0)</f>
        <v>46.550025601638509</v>
      </c>
      <c r="N387" s="37">
        <f>'Data Bulanan'!AD82</f>
        <v>9.3475089473763351</v>
      </c>
      <c r="O387" s="38">
        <f t="shared" si="31"/>
        <v>51.198415069593892</v>
      </c>
      <c r="P387" s="39">
        <f t="shared" si="32"/>
        <v>84</v>
      </c>
      <c r="Q387" s="40">
        <f t="shared" si="33"/>
        <v>1481</v>
      </c>
      <c r="R387" s="41">
        <f t="shared" si="34"/>
        <v>2643</v>
      </c>
      <c r="S387" s="42" t="str">
        <f t="shared" si="35"/>
        <v>Overstock 📦</v>
      </c>
      <c r="T387" s="43">
        <f>IFERROR(N387/AVERAGE(M387:M391),0)</f>
        <v>0.19915266447213481</v>
      </c>
      <c r="U387" s="44">
        <v>304.18</v>
      </c>
      <c r="V387" s="45">
        <v>4.4299999999999999E-2</v>
      </c>
    </row>
    <row r="388" spans="1:22" ht="15" customHeight="1" x14ac:dyDescent="0.35">
      <c r="A388" s="31">
        <v>2</v>
      </c>
      <c r="B388" s="32">
        <v>2022</v>
      </c>
      <c r="C388" s="31" t="s">
        <v>263</v>
      </c>
      <c r="D388" s="31" t="s">
        <v>188</v>
      </c>
      <c r="E388" s="33" t="s">
        <v>189</v>
      </c>
      <c r="F388" s="31" t="s">
        <v>36</v>
      </c>
      <c r="G388" s="34">
        <v>3942</v>
      </c>
      <c r="H388" s="34">
        <v>30</v>
      </c>
      <c r="I388" s="34">
        <f>IFERROR(ROUND('Data Bulanan'!BC82,0),0)</f>
        <v>16808</v>
      </c>
      <c r="J388" s="34">
        <v>6818907</v>
      </c>
      <c r="K388" s="34">
        <v>498420</v>
      </c>
      <c r="L388" s="35">
        <f t="shared" si="30"/>
        <v>678</v>
      </c>
      <c r="M388" s="36">
        <f>IFERROR(AVERAGE('Data Bulanan'!AF82,'Data Bulanan'!AH82,'Data Bulanan'!AJ82,'Data Bulanan'!AL82,'Data Bulanan'!AN82,'Data Bulanan'!AP82,'Data Bulanan'!AR82,'Data Bulanan'!AT82,'Data Bulanan'!AV82,'Data Bulanan'!AX82,'Data Bulanan'!AZ82,'Data Bulanan'!BB82),0)</f>
        <v>44.938952892985149</v>
      </c>
      <c r="N388" s="37">
        <f>'Data Bulanan'!BD82</f>
        <v>10.820137162242004</v>
      </c>
      <c r="O388" s="38">
        <f t="shared" si="31"/>
        <v>59.264331990598805</v>
      </c>
      <c r="P388" s="39">
        <f t="shared" si="32"/>
        <v>98</v>
      </c>
      <c r="Q388" s="40">
        <f t="shared" si="33"/>
        <v>1446</v>
      </c>
      <c r="R388" s="41">
        <f t="shared" si="34"/>
        <v>2496</v>
      </c>
      <c r="S388" s="42" t="str">
        <f t="shared" si="35"/>
        <v>Overstock 📦</v>
      </c>
      <c r="T388" s="43">
        <f>IFERROR(N388/AVERAGE(M387:M391),0)</f>
        <v>0.23052763660839137</v>
      </c>
      <c r="U388" s="44">
        <v>304.18</v>
      </c>
      <c r="V388" s="45">
        <v>4.4299999999999999E-2</v>
      </c>
    </row>
    <row r="389" spans="1:22" ht="15" customHeight="1" x14ac:dyDescent="0.35">
      <c r="A389" s="31">
        <v>3</v>
      </c>
      <c r="B389" s="32">
        <v>2023</v>
      </c>
      <c r="C389" s="31" t="s">
        <v>263</v>
      </c>
      <c r="D389" s="31" t="s">
        <v>188</v>
      </c>
      <c r="E389" s="33" t="s">
        <v>189</v>
      </c>
      <c r="F389" s="31" t="s">
        <v>36</v>
      </c>
      <c r="G389" s="34">
        <v>5246</v>
      </c>
      <c r="H389" s="34">
        <v>30</v>
      </c>
      <c r="I389" s="34">
        <f>IFERROR(ROUND('Data Bulanan'!CC82,0),0)</f>
        <v>15701</v>
      </c>
      <c r="J389" s="34">
        <v>6719965</v>
      </c>
      <c r="K389" s="34">
        <v>457781</v>
      </c>
      <c r="L389" s="35">
        <f t="shared" si="30"/>
        <v>679</v>
      </c>
      <c r="M389" s="36">
        <f>IFERROR(AVERAGE('Data Bulanan'!BF82,'Data Bulanan'!BH82,'Data Bulanan'!BJ82,'Data Bulanan'!BL82,'Data Bulanan'!BN82,'Data Bulanan'!BP82,'Data Bulanan'!BR82,'Data Bulanan'!BT82,'Data Bulanan'!BV82,'Data Bulanan'!BX82,'Data Bulanan'!BZ82,'Data Bulanan'!CB82),0)</f>
        <v>41.739554531490022</v>
      </c>
      <c r="N389" s="37">
        <f>'Data Bulanan'!CD82</f>
        <v>8.0157365354618761</v>
      </c>
      <c r="O389" s="38">
        <f t="shared" si="31"/>
        <v>43.903997154907785</v>
      </c>
      <c r="P389" s="39">
        <f t="shared" si="32"/>
        <v>72</v>
      </c>
      <c r="Q389" s="40">
        <f t="shared" si="33"/>
        <v>1324</v>
      </c>
      <c r="R389" s="41">
        <f t="shared" si="34"/>
        <v>3922</v>
      </c>
      <c r="S389" s="42" t="str">
        <f t="shared" si="35"/>
        <v>Overstock 📦</v>
      </c>
      <c r="T389" s="43">
        <f>IFERROR(N389/AVERAGE(M387:M391),0)</f>
        <v>0.17077868528726442</v>
      </c>
      <c r="U389" s="44">
        <v>304.18</v>
      </c>
      <c r="V389" s="45">
        <v>4.4299999999999999E-2</v>
      </c>
    </row>
    <row r="390" spans="1:22" ht="15" customHeight="1" x14ac:dyDescent="0.35">
      <c r="A390" s="31">
        <v>4</v>
      </c>
      <c r="B390" s="32">
        <v>2024</v>
      </c>
      <c r="C390" s="31" t="s">
        <v>263</v>
      </c>
      <c r="D390" s="31" t="s">
        <v>188</v>
      </c>
      <c r="E390" s="33" t="s">
        <v>189</v>
      </c>
      <c r="F390" s="31" t="s">
        <v>36</v>
      </c>
      <c r="G390" s="34">
        <v>6077</v>
      </c>
      <c r="H390" s="34">
        <v>30</v>
      </c>
      <c r="I390" s="34">
        <f>IFERROR(ROUND('Data Bulanan'!DC82,0),0)</f>
        <v>21567</v>
      </c>
      <c r="J390" s="34">
        <v>7117079</v>
      </c>
      <c r="K390" s="34">
        <v>468002</v>
      </c>
      <c r="L390" s="35">
        <f t="shared" si="30"/>
        <v>810</v>
      </c>
      <c r="M390" s="36">
        <f>IFERROR(AVERAGE('Data Bulanan'!CF82,'Data Bulanan'!CH82,'Data Bulanan'!CJ82,'Data Bulanan'!CL82,'Data Bulanan'!CN82,'Data Bulanan'!CP82,'Data Bulanan'!CR82,'Data Bulanan'!CT82,'Data Bulanan'!CV82,'Data Bulanan'!CX82,'Data Bulanan'!CZ82,'Data Bulanan'!DB82),0)</f>
        <v>57.22735535074245</v>
      </c>
      <c r="N390" s="37">
        <f>'Data Bulanan'!DD82</f>
        <v>13.15797001771856</v>
      </c>
      <c r="O390" s="38">
        <f t="shared" si="31"/>
        <v>72.069169896811061</v>
      </c>
      <c r="P390" s="39">
        <f t="shared" si="32"/>
        <v>119</v>
      </c>
      <c r="Q390" s="40">
        <f t="shared" si="33"/>
        <v>1836</v>
      </c>
      <c r="R390" s="41">
        <f t="shared" si="34"/>
        <v>4241</v>
      </c>
      <c r="S390" s="42" t="str">
        <f t="shared" si="35"/>
        <v>Overstock 📦</v>
      </c>
      <c r="T390" s="43">
        <f>IFERROR(N390/AVERAGE(M387:M391),0)</f>
        <v>0.28033616258892402</v>
      </c>
      <c r="U390" s="44">
        <v>304.18</v>
      </c>
      <c r="V390" s="45">
        <v>4.4299999999999999E-2</v>
      </c>
    </row>
    <row r="391" spans="1:22" ht="15" customHeight="1" x14ac:dyDescent="0.35">
      <c r="A391" s="31">
        <v>5</v>
      </c>
      <c r="B391" s="32">
        <v>2025</v>
      </c>
      <c r="C391" s="31" t="s">
        <v>263</v>
      </c>
      <c r="D391" s="31" t="s">
        <v>188</v>
      </c>
      <c r="E391" s="33" t="s">
        <v>189</v>
      </c>
      <c r="F391" s="31" t="s">
        <v>36</v>
      </c>
      <c r="G391" s="34">
        <v>2715</v>
      </c>
      <c r="H391" s="34">
        <v>30</v>
      </c>
      <c r="I391" s="34">
        <f>IFERROR(ROUND('Data Bulanan'!EC82,0),0)</f>
        <v>16644</v>
      </c>
      <c r="J391" s="34">
        <v>7330531</v>
      </c>
      <c r="K391" s="34">
        <v>457848</v>
      </c>
      <c r="L391" s="35">
        <f t="shared" ref="L391:L454" si="36">IFERROR(ROUND(SQRT(2*I391*J391/K391),0),0)</f>
        <v>730</v>
      </c>
      <c r="M391" s="36">
        <f>IFERROR(AVERAGE('Data Bulanan'!DF82,'Data Bulanan'!DH82,'Data Bulanan'!DJ82,'Data Bulanan'!DL82,'Data Bulanan'!DN82,'Data Bulanan'!DP82,'Data Bulanan'!DR82,'Data Bulanan'!DT82,'Data Bulanan'!DV82,'Data Bulanan'!DX82,'Data Bulanan'!DZ82,'Data Bulanan'!EB82),0)</f>
        <v>44.226107270865334</v>
      </c>
      <c r="N391" s="37">
        <f>'Data Bulanan'!ED82</f>
        <v>11.122138682303168</v>
      </c>
      <c r="O391" s="38">
        <f t="shared" ref="O391:O454" si="37">IFERROR(N391*SQRT(H391),0)</f>
        <v>60.918462439982299</v>
      </c>
      <c r="P391" s="39">
        <f t="shared" ref="P391:P454" si="38">IFERROR(ROUND(1.65*O391,0),0)</f>
        <v>101</v>
      </c>
      <c r="Q391" s="40">
        <f t="shared" ref="Q391:Q454" si="39">IFERROR(ROUND(M391*H391+P391,0),0)</f>
        <v>1428</v>
      </c>
      <c r="R391" s="41">
        <f t="shared" ref="R391:R454" si="40">G391-Q391</f>
        <v>1287</v>
      </c>
      <c r="S391" s="42" t="str">
        <f t="shared" ref="S391:S454" si="41">IF(G391=0,"Stockout ⚠",IF(G391&lt;Q391,"Reorder 🔄",IF(G391&gt;Q391+L391,"Overstock 📦","Aman ✅")))</f>
        <v>Overstock 📦</v>
      </c>
      <c r="T391" s="43">
        <f>IFERROR(N391/AVERAGE(M387:M391),0)</f>
        <v>0.23696190778517343</v>
      </c>
      <c r="U391" s="44">
        <v>304.18</v>
      </c>
      <c r="V391" s="45">
        <v>4.4299999999999999E-2</v>
      </c>
    </row>
    <row r="392" spans="1:22" ht="15" customHeight="1" x14ac:dyDescent="0.35">
      <c r="A392" s="46">
        <v>1</v>
      </c>
      <c r="B392" s="32">
        <v>2021</v>
      </c>
      <c r="C392" s="46" t="s">
        <v>263</v>
      </c>
      <c r="D392" s="46" t="s">
        <v>190</v>
      </c>
      <c r="E392" s="47" t="s">
        <v>191</v>
      </c>
      <c r="F392" s="46" t="s">
        <v>36</v>
      </c>
      <c r="G392" s="34">
        <v>5259</v>
      </c>
      <c r="H392" s="34">
        <v>8</v>
      </c>
      <c r="I392" s="34">
        <f>IFERROR(ROUND('Data Bulanan'!AC83,0),0)</f>
        <v>37393</v>
      </c>
      <c r="J392" s="34">
        <v>1101512</v>
      </c>
      <c r="K392" s="34">
        <v>310275</v>
      </c>
      <c r="L392" s="35">
        <f t="shared" si="36"/>
        <v>515</v>
      </c>
      <c r="M392" s="36">
        <f>IFERROR(AVERAGE('Data Bulanan'!F83,'Data Bulanan'!H83,'Data Bulanan'!J83,'Data Bulanan'!L83,'Data Bulanan'!N83,'Data Bulanan'!P83,'Data Bulanan'!R83,'Data Bulanan'!T83,'Data Bulanan'!V83,'Data Bulanan'!X83,'Data Bulanan'!Z83,'Data Bulanan'!AB83),0)</f>
        <v>99.553283410138249</v>
      </c>
      <c r="N392" s="37">
        <f>'Data Bulanan'!AD83</f>
        <v>20.542836811560068</v>
      </c>
      <c r="O392" s="38">
        <f t="shared" si="37"/>
        <v>58.10391685705104</v>
      </c>
      <c r="P392" s="39">
        <f t="shared" si="38"/>
        <v>96</v>
      </c>
      <c r="Q392" s="40">
        <f t="shared" si="39"/>
        <v>892</v>
      </c>
      <c r="R392" s="41">
        <f t="shared" si="40"/>
        <v>4367</v>
      </c>
      <c r="S392" s="42" t="str">
        <f t="shared" si="41"/>
        <v>Overstock 📦</v>
      </c>
      <c r="T392" s="43">
        <f>IFERROR(N392/AVERAGE(M392:M396),0)</f>
        <v>0.20568136251042435</v>
      </c>
      <c r="U392" s="44">
        <v>-34.83</v>
      </c>
      <c r="V392" s="45">
        <v>4.0000000000000002E-4</v>
      </c>
    </row>
    <row r="393" spans="1:22" ht="15" customHeight="1" x14ac:dyDescent="0.35">
      <c r="A393" s="46">
        <v>2</v>
      </c>
      <c r="B393" s="32">
        <v>2022</v>
      </c>
      <c r="C393" s="46" t="s">
        <v>263</v>
      </c>
      <c r="D393" s="46" t="s">
        <v>190</v>
      </c>
      <c r="E393" s="47" t="s">
        <v>191</v>
      </c>
      <c r="F393" s="46" t="s">
        <v>36</v>
      </c>
      <c r="G393" s="34">
        <v>4860</v>
      </c>
      <c r="H393" s="34">
        <v>8</v>
      </c>
      <c r="I393" s="34">
        <f>IFERROR(ROUND('Data Bulanan'!BC83,0),0)</f>
        <v>37908</v>
      </c>
      <c r="J393" s="34">
        <v>1044857</v>
      </c>
      <c r="K393" s="34">
        <v>352451</v>
      </c>
      <c r="L393" s="35">
        <f t="shared" si="36"/>
        <v>474</v>
      </c>
      <c r="M393" s="36">
        <f>IFERROR(AVERAGE('Data Bulanan'!AF83,'Data Bulanan'!AH83,'Data Bulanan'!AJ83,'Data Bulanan'!AL83,'Data Bulanan'!AN83,'Data Bulanan'!AP83,'Data Bulanan'!AR83,'Data Bulanan'!AT83,'Data Bulanan'!AV83,'Data Bulanan'!AX83,'Data Bulanan'!AZ83,'Data Bulanan'!BB83),0)</f>
        <v>101.1476062467998</v>
      </c>
      <c r="N393" s="37">
        <f>'Data Bulanan'!BD83</f>
        <v>25.816068677508781</v>
      </c>
      <c r="O393" s="38">
        <f t="shared" si="37"/>
        <v>73.018868901776344</v>
      </c>
      <c r="P393" s="39">
        <f t="shared" si="38"/>
        <v>120</v>
      </c>
      <c r="Q393" s="40">
        <f t="shared" si="39"/>
        <v>929</v>
      </c>
      <c r="R393" s="41">
        <f t="shared" si="40"/>
        <v>3931</v>
      </c>
      <c r="S393" s="42" t="str">
        <f t="shared" si="41"/>
        <v>Overstock 📦</v>
      </c>
      <c r="T393" s="43">
        <f>IFERROR(N393/AVERAGE(M392:M396),0)</f>
        <v>0.25847862342286942</v>
      </c>
      <c r="U393" s="44">
        <v>-34.83</v>
      </c>
      <c r="V393" s="45">
        <v>4.0000000000000002E-4</v>
      </c>
    </row>
    <row r="394" spans="1:22" ht="15" customHeight="1" x14ac:dyDescent="0.35">
      <c r="A394" s="46">
        <v>3</v>
      </c>
      <c r="B394" s="32">
        <v>2023</v>
      </c>
      <c r="C394" s="46" t="s">
        <v>263</v>
      </c>
      <c r="D394" s="46" t="s">
        <v>190</v>
      </c>
      <c r="E394" s="47" t="s">
        <v>191</v>
      </c>
      <c r="F394" s="46" t="s">
        <v>36</v>
      </c>
      <c r="G394" s="34">
        <v>1738</v>
      </c>
      <c r="H394" s="34">
        <v>8</v>
      </c>
      <c r="I394" s="34">
        <f>IFERROR(ROUND('Data Bulanan'!CC83,0),0)</f>
        <v>39558</v>
      </c>
      <c r="J394" s="34">
        <v>1194943</v>
      </c>
      <c r="K394" s="34">
        <v>301289</v>
      </c>
      <c r="L394" s="35">
        <f t="shared" si="36"/>
        <v>560</v>
      </c>
      <c r="M394" s="36">
        <f>IFERROR(AVERAGE('Data Bulanan'!BF83,'Data Bulanan'!BH83,'Data Bulanan'!BJ83,'Data Bulanan'!BL83,'Data Bulanan'!BN83,'Data Bulanan'!BP83,'Data Bulanan'!BR83,'Data Bulanan'!BT83,'Data Bulanan'!BV83,'Data Bulanan'!BX83,'Data Bulanan'!BZ83,'Data Bulanan'!CB83),0)</f>
        <v>105.49051459293395</v>
      </c>
      <c r="N394" s="37">
        <f>'Data Bulanan'!CD83</f>
        <v>21.467288596678529</v>
      </c>
      <c r="O394" s="38">
        <f t="shared" si="37"/>
        <v>60.718661361600127</v>
      </c>
      <c r="P394" s="39">
        <f t="shared" si="38"/>
        <v>100</v>
      </c>
      <c r="Q394" s="40">
        <f t="shared" si="39"/>
        <v>944</v>
      </c>
      <c r="R394" s="41">
        <f t="shared" si="40"/>
        <v>794</v>
      </c>
      <c r="S394" s="42" t="str">
        <f t="shared" si="41"/>
        <v>Overstock 📦</v>
      </c>
      <c r="T394" s="43">
        <f>IFERROR(N394/AVERAGE(M392:M396),0)</f>
        <v>0.21493726540653071</v>
      </c>
      <c r="U394" s="44">
        <v>-34.83</v>
      </c>
      <c r="V394" s="45">
        <v>4.0000000000000002E-4</v>
      </c>
    </row>
    <row r="395" spans="1:22" ht="15" customHeight="1" x14ac:dyDescent="0.35">
      <c r="A395" s="46">
        <v>4</v>
      </c>
      <c r="B395" s="32">
        <v>2024</v>
      </c>
      <c r="C395" s="46" t="s">
        <v>263</v>
      </c>
      <c r="D395" s="46" t="s">
        <v>190</v>
      </c>
      <c r="E395" s="47" t="s">
        <v>191</v>
      </c>
      <c r="F395" s="46" t="s">
        <v>36</v>
      </c>
      <c r="G395" s="34">
        <v>1421</v>
      </c>
      <c r="H395" s="34">
        <v>8</v>
      </c>
      <c r="I395" s="34">
        <f>IFERROR(ROUND('Data Bulanan'!DC83,0),0)</f>
        <v>32969</v>
      </c>
      <c r="J395" s="34">
        <v>1164529</v>
      </c>
      <c r="K395" s="34">
        <v>342152</v>
      </c>
      <c r="L395" s="35">
        <f t="shared" si="36"/>
        <v>474</v>
      </c>
      <c r="M395" s="36">
        <f>IFERROR(AVERAGE('Data Bulanan'!CF83,'Data Bulanan'!CH83,'Data Bulanan'!CJ83,'Data Bulanan'!CL83,'Data Bulanan'!CN83,'Data Bulanan'!CP83,'Data Bulanan'!CR83,'Data Bulanan'!CT83,'Data Bulanan'!CV83,'Data Bulanan'!CX83,'Data Bulanan'!CZ83,'Data Bulanan'!DB83),0)</f>
        <v>87.77679211469534</v>
      </c>
      <c r="N395" s="37">
        <f>'Data Bulanan'!DD83</f>
        <v>18.146394431626568</v>
      </c>
      <c r="O395" s="38">
        <f t="shared" si="37"/>
        <v>51.325754226755812</v>
      </c>
      <c r="P395" s="39">
        <f t="shared" si="38"/>
        <v>85</v>
      </c>
      <c r="Q395" s="40">
        <f t="shared" si="39"/>
        <v>787</v>
      </c>
      <c r="R395" s="41">
        <f t="shared" si="40"/>
        <v>634</v>
      </c>
      <c r="S395" s="42" t="str">
        <f t="shared" si="41"/>
        <v>Overstock 📦</v>
      </c>
      <c r="T395" s="43">
        <f>IFERROR(N395/AVERAGE(M392:M396),0)</f>
        <v>0.18168742543134114</v>
      </c>
      <c r="U395" s="44">
        <v>-34.83</v>
      </c>
      <c r="V395" s="45">
        <v>4.0000000000000002E-4</v>
      </c>
    </row>
    <row r="396" spans="1:22" ht="15" customHeight="1" x14ac:dyDescent="0.35">
      <c r="A396" s="46">
        <v>5</v>
      </c>
      <c r="B396" s="32">
        <v>2025</v>
      </c>
      <c r="C396" s="46" t="s">
        <v>263</v>
      </c>
      <c r="D396" s="46" t="s">
        <v>190</v>
      </c>
      <c r="E396" s="47" t="s">
        <v>191</v>
      </c>
      <c r="F396" s="46" t="s">
        <v>36</v>
      </c>
      <c r="G396" s="34">
        <v>2638</v>
      </c>
      <c r="H396" s="34">
        <v>8</v>
      </c>
      <c r="I396" s="34">
        <f>IFERROR(ROUND('Data Bulanan'!EC83,0),0)</f>
        <v>39688</v>
      </c>
      <c r="J396" s="34">
        <v>1067123</v>
      </c>
      <c r="K396" s="34">
        <v>306764</v>
      </c>
      <c r="L396" s="35">
        <f t="shared" si="36"/>
        <v>525</v>
      </c>
      <c r="M396" s="36">
        <f>IFERROR(AVERAGE('Data Bulanan'!DF83,'Data Bulanan'!DH83,'Data Bulanan'!DJ83,'Data Bulanan'!DL83,'Data Bulanan'!DN83,'Data Bulanan'!DP83,'Data Bulanan'!DR83,'Data Bulanan'!DT83,'Data Bulanan'!DV83,'Data Bulanan'!DX83,'Data Bulanan'!DZ83,'Data Bulanan'!EB83),0)</f>
        <v>105.41678827444957</v>
      </c>
      <c r="N396" s="37">
        <f>'Data Bulanan'!ED83</f>
        <v>22.426275003812986</v>
      </c>
      <c r="O396" s="38">
        <f t="shared" si="37"/>
        <v>63.43108452780212</v>
      </c>
      <c r="P396" s="39">
        <f t="shared" si="38"/>
        <v>105</v>
      </c>
      <c r="Q396" s="40">
        <f t="shared" si="39"/>
        <v>948</v>
      </c>
      <c r="R396" s="41">
        <f t="shared" si="40"/>
        <v>1690</v>
      </c>
      <c r="S396" s="42" t="str">
        <f t="shared" si="41"/>
        <v>Overstock 📦</v>
      </c>
      <c r="T396" s="43">
        <f>IFERROR(N396/AVERAGE(M392:M396),0)</f>
        <v>0.22453893983240142</v>
      </c>
      <c r="U396" s="44">
        <v>-34.83</v>
      </c>
      <c r="V396" s="45">
        <v>4.0000000000000002E-4</v>
      </c>
    </row>
    <row r="397" spans="1:22" ht="15" customHeight="1" x14ac:dyDescent="0.35">
      <c r="A397" s="31">
        <v>1</v>
      </c>
      <c r="B397" s="32">
        <v>2021</v>
      </c>
      <c r="C397" s="31" t="s">
        <v>263</v>
      </c>
      <c r="D397" s="31" t="s">
        <v>192</v>
      </c>
      <c r="E397" s="33" t="s">
        <v>193</v>
      </c>
      <c r="F397" s="31" t="s">
        <v>36</v>
      </c>
      <c r="G397" s="34">
        <v>0</v>
      </c>
      <c r="H397" s="34">
        <v>41</v>
      </c>
      <c r="I397" s="34">
        <f>IFERROR(ROUND('Data Bulanan'!AC84,0),0)</f>
        <v>39591</v>
      </c>
      <c r="J397" s="34">
        <v>6053758</v>
      </c>
      <c r="K397" s="34">
        <v>484841</v>
      </c>
      <c r="L397" s="35">
        <f t="shared" si="36"/>
        <v>994</v>
      </c>
      <c r="M397" s="36">
        <f>IFERROR(AVERAGE('Data Bulanan'!F84,'Data Bulanan'!H84,'Data Bulanan'!J84,'Data Bulanan'!L84,'Data Bulanan'!N84,'Data Bulanan'!P84,'Data Bulanan'!R84,'Data Bulanan'!T84,'Data Bulanan'!V84,'Data Bulanan'!X84,'Data Bulanan'!Z84,'Data Bulanan'!AB84),0)</f>
        <v>105.0763952892985</v>
      </c>
      <c r="N397" s="37">
        <f>'Data Bulanan'!AD84</f>
        <v>25.633813921858508</v>
      </c>
      <c r="O397" s="38">
        <f t="shared" si="37"/>
        <v>164.1364952208958</v>
      </c>
      <c r="P397" s="39">
        <f t="shared" si="38"/>
        <v>271</v>
      </c>
      <c r="Q397" s="40">
        <f t="shared" si="39"/>
        <v>4579</v>
      </c>
      <c r="R397" s="41">
        <f t="shared" si="40"/>
        <v>-4579</v>
      </c>
      <c r="S397" s="42" t="str">
        <f t="shared" si="41"/>
        <v>Stockout ⚠</v>
      </c>
      <c r="T397" s="43">
        <f>IFERROR(N397/AVERAGE(M397:M401),0)</f>
        <v>0.22038865836409818</v>
      </c>
      <c r="U397" s="44">
        <v>-1095.8</v>
      </c>
      <c r="V397" s="45">
        <v>9.2299999999999993E-2</v>
      </c>
    </row>
    <row r="398" spans="1:22" ht="15" customHeight="1" x14ac:dyDescent="0.35">
      <c r="A398" s="31">
        <v>2</v>
      </c>
      <c r="B398" s="32">
        <v>2022</v>
      </c>
      <c r="C398" s="31" t="s">
        <v>263</v>
      </c>
      <c r="D398" s="31" t="s">
        <v>192</v>
      </c>
      <c r="E398" s="33" t="s">
        <v>193</v>
      </c>
      <c r="F398" s="31" t="s">
        <v>36</v>
      </c>
      <c r="G398" s="34">
        <v>4973</v>
      </c>
      <c r="H398" s="34">
        <v>41</v>
      </c>
      <c r="I398" s="34">
        <f>IFERROR(ROUND('Data Bulanan'!BC84,0),0)</f>
        <v>50425</v>
      </c>
      <c r="J398" s="34">
        <v>5544719</v>
      </c>
      <c r="K398" s="34">
        <v>446874</v>
      </c>
      <c r="L398" s="35">
        <f t="shared" si="36"/>
        <v>1119</v>
      </c>
      <c r="M398" s="36">
        <f>IFERROR(AVERAGE('Data Bulanan'!AF84,'Data Bulanan'!AH84,'Data Bulanan'!AJ84,'Data Bulanan'!AL84,'Data Bulanan'!AN84,'Data Bulanan'!AP84,'Data Bulanan'!AR84,'Data Bulanan'!AT84,'Data Bulanan'!AV84,'Data Bulanan'!AX84,'Data Bulanan'!AZ84,'Data Bulanan'!BB84),0)</f>
        <v>134.14226830517154</v>
      </c>
      <c r="N398" s="37">
        <f>'Data Bulanan'!BD84</f>
        <v>39.336331060233086</v>
      </c>
      <c r="O398" s="38">
        <f t="shared" si="37"/>
        <v>251.87541482346106</v>
      </c>
      <c r="P398" s="39">
        <f t="shared" si="38"/>
        <v>416</v>
      </c>
      <c r="Q398" s="40">
        <f t="shared" si="39"/>
        <v>5916</v>
      </c>
      <c r="R398" s="41">
        <f t="shared" si="40"/>
        <v>-943</v>
      </c>
      <c r="S398" s="42" t="str">
        <f t="shared" si="41"/>
        <v>Reorder 🔄</v>
      </c>
      <c r="T398" s="43">
        <f>IFERROR(N398/AVERAGE(M397:M401),0)</f>
        <v>0.33819708818040106</v>
      </c>
      <c r="U398" s="44">
        <v>-1095.8</v>
      </c>
      <c r="V398" s="45">
        <v>9.2299999999999993E-2</v>
      </c>
    </row>
    <row r="399" spans="1:22" ht="15" customHeight="1" x14ac:dyDescent="0.35">
      <c r="A399" s="31">
        <v>3</v>
      </c>
      <c r="B399" s="32">
        <v>2023</v>
      </c>
      <c r="C399" s="31" t="s">
        <v>263</v>
      </c>
      <c r="D399" s="31" t="s">
        <v>192</v>
      </c>
      <c r="E399" s="33" t="s">
        <v>193</v>
      </c>
      <c r="F399" s="31" t="s">
        <v>36</v>
      </c>
      <c r="G399" s="34">
        <v>15847</v>
      </c>
      <c r="H399" s="34">
        <v>41</v>
      </c>
      <c r="I399" s="34">
        <f>IFERROR(ROUND('Data Bulanan'!CC84,0),0)</f>
        <v>49327</v>
      </c>
      <c r="J399" s="34">
        <v>5695795</v>
      </c>
      <c r="K399" s="34">
        <v>429547</v>
      </c>
      <c r="L399" s="35">
        <f t="shared" si="36"/>
        <v>1144</v>
      </c>
      <c r="M399" s="36">
        <f>IFERROR(AVERAGE('Data Bulanan'!BF84,'Data Bulanan'!BH84,'Data Bulanan'!BJ84,'Data Bulanan'!BL84,'Data Bulanan'!BN84,'Data Bulanan'!BP84,'Data Bulanan'!BR84,'Data Bulanan'!BT84,'Data Bulanan'!BV84,'Data Bulanan'!BX84,'Data Bulanan'!BZ84,'Data Bulanan'!CB84),0)</f>
        <v>131.8565668202765</v>
      </c>
      <c r="N399" s="37">
        <f>'Data Bulanan'!CD84</f>
        <v>37.423289040857043</v>
      </c>
      <c r="O399" s="38">
        <f t="shared" si="37"/>
        <v>239.62596910196683</v>
      </c>
      <c r="P399" s="39">
        <f t="shared" si="38"/>
        <v>395</v>
      </c>
      <c r="Q399" s="40">
        <f t="shared" si="39"/>
        <v>5801</v>
      </c>
      <c r="R399" s="41">
        <f t="shared" si="40"/>
        <v>10046</v>
      </c>
      <c r="S399" s="42" t="str">
        <f t="shared" si="41"/>
        <v>Overstock 📦</v>
      </c>
      <c r="T399" s="43">
        <f>IFERROR(N399/AVERAGE(M397:M401),0)</f>
        <v>0.32174956440069097</v>
      </c>
      <c r="U399" s="44">
        <v>-1095.8</v>
      </c>
      <c r="V399" s="45">
        <v>9.2299999999999993E-2</v>
      </c>
    </row>
    <row r="400" spans="1:22" ht="15" customHeight="1" x14ac:dyDescent="0.35">
      <c r="A400" s="31">
        <v>4</v>
      </c>
      <c r="B400" s="32">
        <v>2024</v>
      </c>
      <c r="C400" s="31" t="s">
        <v>263</v>
      </c>
      <c r="D400" s="31" t="s">
        <v>192</v>
      </c>
      <c r="E400" s="33" t="s">
        <v>193</v>
      </c>
      <c r="F400" s="31" t="s">
        <v>36</v>
      </c>
      <c r="G400" s="34">
        <v>7659</v>
      </c>
      <c r="H400" s="34">
        <v>41</v>
      </c>
      <c r="I400" s="34">
        <f>IFERROR(ROUND('Data Bulanan'!DC84,0),0)</f>
        <v>39149</v>
      </c>
      <c r="J400" s="34">
        <v>5695479</v>
      </c>
      <c r="K400" s="34">
        <v>491159</v>
      </c>
      <c r="L400" s="35">
        <f t="shared" si="36"/>
        <v>953</v>
      </c>
      <c r="M400" s="36">
        <f>IFERROR(AVERAGE('Data Bulanan'!CF84,'Data Bulanan'!CH84,'Data Bulanan'!CJ84,'Data Bulanan'!CL84,'Data Bulanan'!CN84,'Data Bulanan'!CP84,'Data Bulanan'!CR84,'Data Bulanan'!CT84,'Data Bulanan'!CV84,'Data Bulanan'!CX84,'Data Bulanan'!CZ84,'Data Bulanan'!DB84),0)</f>
        <v>104.57710573476703</v>
      </c>
      <c r="N400" s="37">
        <f>'Data Bulanan'!DD84</f>
        <v>26.932448675636387</v>
      </c>
      <c r="O400" s="38">
        <f t="shared" si="37"/>
        <v>172.45181488838358</v>
      </c>
      <c r="P400" s="39">
        <f t="shared" si="38"/>
        <v>285</v>
      </c>
      <c r="Q400" s="40">
        <f t="shared" si="39"/>
        <v>4573</v>
      </c>
      <c r="R400" s="41">
        <f t="shared" si="40"/>
        <v>3086</v>
      </c>
      <c r="S400" s="42" t="str">
        <f t="shared" si="41"/>
        <v>Overstock 📦</v>
      </c>
      <c r="T400" s="43">
        <f>IFERROR(N400/AVERAGE(M397:M401),0)</f>
        <v>0.23155376910269354</v>
      </c>
      <c r="U400" s="44">
        <v>-1095.8</v>
      </c>
      <c r="V400" s="45">
        <v>9.2299999999999993E-2</v>
      </c>
    </row>
    <row r="401" spans="1:22" ht="15" customHeight="1" x14ac:dyDescent="0.35">
      <c r="A401" s="31">
        <v>5</v>
      </c>
      <c r="B401" s="32">
        <v>2025</v>
      </c>
      <c r="C401" s="31" t="s">
        <v>263</v>
      </c>
      <c r="D401" s="31" t="s">
        <v>192</v>
      </c>
      <c r="E401" s="33" t="s">
        <v>193</v>
      </c>
      <c r="F401" s="31" t="s">
        <v>36</v>
      </c>
      <c r="G401" s="34">
        <v>5670</v>
      </c>
      <c r="H401" s="34">
        <v>41</v>
      </c>
      <c r="I401" s="34">
        <f>IFERROR(ROUND('Data Bulanan'!EC84,0),0)</f>
        <v>39750</v>
      </c>
      <c r="J401" s="34">
        <v>6180530</v>
      </c>
      <c r="K401" s="34">
        <v>491430</v>
      </c>
      <c r="L401" s="35">
        <f t="shared" si="36"/>
        <v>1000</v>
      </c>
      <c r="M401" s="36">
        <f>IFERROR(AVERAGE('Data Bulanan'!DF84,'Data Bulanan'!DH84,'Data Bulanan'!DJ84,'Data Bulanan'!DL84,'Data Bulanan'!DN84,'Data Bulanan'!DP84,'Data Bulanan'!DR84,'Data Bulanan'!DT84,'Data Bulanan'!DV84,'Data Bulanan'!DX84,'Data Bulanan'!DZ84,'Data Bulanan'!EB84),0)</f>
        <v>105.90694444444445</v>
      </c>
      <c r="N401" s="37">
        <f>'Data Bulanan'!ED84</f>
        <v>30.188437697965028</v>
      </c>
      <c r="O401" s="38">
        <f t="shared" si="37"/>
        <v>193.30031711407139</v>
      </c>
      <c r="P401" s="39">
        <f t="shared" si="38"/>
        <v>319</v>
      </c>
      <c r="Q401" s="40">
        <f t="shared" si="39"/>
        <v>4661</v>
      </c>
      <c r="R401" s="41">
        <f t="shared" si="40"/>
        <v>1009</v>
      </c>
      <c r="S401" s="42" t="str">
        <f t="shared" si="41"/>
        <v>Overstock 📦</v>
      </c>
      <c r="T401" s="43">
        <f>IFERROR(N401/AVERAGE(M397:M401),0)</f>
        <v>0.25954738154236812</v>
      </c>
      <c r="U401" s="44">
        <v>-1095.8</v>
      </c>
      <c r="V401" s="45">
        <v>9.2299999999999993E-2</v>
      </c>
    </row>
    <row r="402" spans="1:22" ht="15" customHeight="1" x14ac:dyDescent="0.35">
      <c r="A402" s="46">
        <v>1</v>
      </c>
      <c r="B402" s="32">
        <v>2021</v>
      </c>
      <c r="C402" s="46" t="s">
        <v>263</v>
      </c>
      <c r="D402" s="46" t="s">
        <v>194</v>
      </c>
      <c r="E402" s="47" t="s">
        <v>195</v>
      </c>
      <c r="F402" s="46" t="s">
        <v>36</v>
      </c>
      <c r="G402" s="34">
        <v>0</v>
      </c>
      <c r="H402" s="34">
        <v>7</v>
      </c>
      <c r="I402" s="34">
        <f>IFERROR(ROUND('Data Bulanan'!AC85,0),0)</f>
        <v>31882</v>
      </c>
      <c r="J402" s="34">
        <v>1314132</v>
      </c>
      <c r="K402" s="34">
        <v>511534</v>
      </c>
      <c r="L402" s="35">
        <f t="shared" si="36"/>
        <v>405</v>
      </c>
      <c r="M402" s="36">
        <f>IFERROR(AVERAGE('Data Bulanan'!F85,'Data Bulanan'!H85,'Data Bulanan'!J85,'Data Bulanan'!L85,'Data Bulanan'!N85,'Data Bulanan'!P85,'Data Bulanan'!R85,'Data Bulanan'!T85,'Data Bulanan'!V85,'Data Bulanan'!X85,'Data Bulanan'!Z85,'Data Bulanan'!AB85),0)</f>
        <v>85.031413210445479</v>
      </c>
      <c r="N402" s="37">
        <f>'Data Bulanan'!AD85</f>
        <v>23.829489107445639</v>
      </c>
      <c r="O402" s="38">
        <f t="shared" si="37"/>
        <v>63.046902048023682</v>
      </c>
      <c r="P402" s="39">
        <f t="shared" si="38"/>
        <v>104</v>
      </c>
      <c r="Q402" s="40">
        <f t="shared" si="39"/>
        <v>699</v>
      </c>
      <c r="R402" s="41">
        <f t="shared" si="40"/>
        <v>-699</v>
      </c>
      <c r="S402" s="42" t="str">
        <f t="shared" si="41"/>
        <v>Stockout ⚠</v>
      </c>
      <c r="T402" s="43">
        <f>IFERROR(N402/AVERAGE(M402:M406),0)</f>
        <v>0.2807414493177422</v>
      </c>
      <c r="U402" s="44">
        <v>-135.16</v>
      </c>
      <c r="V402" s="45">
        <v>5.1700000000000003E-2</v>
      </c>
    </row>
    <row r="403" spans="1:22" ht="15" customHeight="1" x14ac:dyDescent="0.35">
      <c r="A403" s="46">
        <v>2</v>
      </c>
      <c r="B403" s="32">
        <v>2022</v>
      </c>
      <c r="C403" s="46" t="s">
        <v>263</v>
      </c>
      <c r="D403" s="46" t="s">
        <v>194</v>
      </c>
      <c r="E403" s="47" t="s">
        <v>195</v>
      </c>
      <c r="F403" s="46" t="s">
        <v>36</v>
      </c>
      <c r="G403" s="34">
        <v>1252</v>
      </c>
      <c r="H403" s="34">
        <v>7</v>
      </c>
      <c r="I403" s="34">
        <f>IFERROR(ROUND('Data Bulanan'!BC85,0),0)</f>
        <v>32737</v>
      </c>
      <c r="J403" s="34">
        <v>1422733</v>
      </c>
      <c r="K403" s="34">
        <v>490858</v>
      </c>
      <c r="L403" s="35">
        <f t="shared" si="36"/>
        <v>436</v>
      </c>
      <c r="M403" s="36">
        <f>IFERROR(AVERAGE('Data Bulanan'!AF85,'Data Bulanan'!AH85,'Data Bulanan'!AJ85,'Data Bulanan'!AL85,'Data Bulanan'!AN85,'Data Bulanan'!AP85,'Data Bulanan'!AR85,'Data Bulanan'!AT85,'Data Bulanan'!AV85,'Data Bulanan'!AX85,'Data Bulanan'!AZ85,'Data Bulanan'!BB85),0)</f>
        <v>87.125953661034302</v>
      </c>
      <c r="N403" s="37">
        <f>'Data Bulanan'!BD85</f>
        <v>16.948804106479784</v>
      </c>
      <c r="O403" s="38">
        <f t="shared" si="37"/>
        <v>44.84232068569581</v>
      </c>
      <c r="P403" s="39">
        <f t="shared" si="38"/>
        <v>74</v>
      </c>
      <c r="Q403" s="40">
        <f t="shared" si="39"/>
        <v>684</v>
      </c>
      <c r="R403" s="41">
        <f t="shared" si="40"/>
        <v>568</v>
      </c>
      <c r="S403" s="42" t="str">
        <f t="shared" si="41"/>
        <v>Overstock 📦</v>
      </c>
      <c r="T403" s="43">
        <f>IFERROR(N403/AVERAGE(M402:M406),0)</f>
        <v>0.19967829807853088</v>
      </c>
      <c r="U403" s="44">
        <v>-135.16</v>
      </c>
      <c r="V403" s="45">
        <v>5.1700000000000003E-2</v>
      </c>
    </row>
    <row r="404" spans="1:22" ht="15" customHeight="1" x14ac:dyDescent="0.35">
      <c r="A404" s="46">
        <v>3</v>
      </c>
      <c r="B404" s="32">
        <v>2023</v>
      </c>
      <c r="C404" s="46" t="s">
        <v>263</v>
      </c>
      <c r="D404" s="46" t="s">
        <v>194</v>
      </c>
      <c r="E404" s="47" t="s">
        <v>195</v>
      </c>
      <c r="F404" s="46" t="s">
        <v>36</v>
      </c>
      <c r="G404" s="34">
        <v>0</v>
      </c>
      <c r="H404" s="34">
        <v>7</v>
      </c>
      <c r="I404" s="34">
        <f>IFERROR(ROUND('Data Bulanan'!CC85,0),0)</f>
        <v>31973</v>
      </c>
      <c r="J404" s="34">
        <v>1312560</v>
      </c>
      <c r="K404" s="34">
        <v>523896</v>
      </c>
      <c r="L404" s="35">
        <f t="shared" si="36"/>
        <v>400</v>
      </c>
      <c r="M404" s="36">
        <f>IFERROR(AVERAGE('Data Bulanan'!BF85,'Data Bulanan'!BH85,'Data Bulanan'!BJ85,'Data Bulanan'!BL85,'Data Bulanan'!BN85,'Data Bulanan'!BP85,'Data Bulanan'!BR85,'Data Bulanan'!BT85,'Data Bulanan'!BV85,'Data Bulanan'!BX85,'Data Bulanan'!BZ85,'Data Bulanan'!CB85),0)</f>
        <v>85.212679211469549</v>
      </c>
      <c r="N404" s="37">
        <f>'Data Bulanan'!CD85</f>
        <v>23.252922984545219</v>
      </c>
      <c r="O404" s="38">
        <f t="shared" si="37"/>
        <v>61.521451472444468</v>
      </c>
      <c r="P404" s="39">
        <f t="shared" si="38"/>
        <v>102</v>
      </c>
      <c r="Q404" s="40">
        <f t="shared" si="39"/>
        <v>698</v>
      </c>
      <c r="R404" s="41">
        <f t="shared" si="40"/>
        <v>-698</v>
      </c>
      <c r="S404" s="42" t="str">
        <f t="shared" si="41"/>
        <v>Stockout ⚠</v>
      </c>
      <c r="T404" s="43">
        <f>IFERROR(N404/AVERAGE(M402:M406),0)</f>
        <v>0.27394877288893871</v>
      </c>
      <c r="U404" s="44">
        <v>-135.16</v>
      </c>
      <c r="V404" s="45">
        <v>5.1700000000000003E-2</v>
      </c>
    </row>
    <row r="405" spans="1:22" ht="15" customHeight="1" x14ac:dyDescent="0.35">
      <c r="A405" s="46">
        <v>4</v>
      </c>
      <c r="B405" s="32">
        <v>2024</v>
      </c>
      <c r="C405" s="46" t="s">
        <v>263</v>
      </c>
      <c r="D405" s="46" t="s">
        <v>194</v>
      </c>
      <c r="E405" s="47" t="s">
        <v>195</v>
      </c>
      <c r="F405" s="46" t="s">
        <v>36</v>
      </c>
      <c r="G405" s="34">
        <v>1958</v>
      </c>
      <c r="H405" s="34">
        <v>7</v>
      </c>
      <c r="I405" s="34">
        <f>IFERROR(ROUND('Data Bulanan'!DC85,0),0)</f>
        <v>30301</v>
      </c>
      <c r="J405" s="34">
        <v>1445276</v>
      </c>
      <c r="K405" s="34">
        <v>496816</v>
      </c>
      <c r="L405" s="35">
        <f t="shared" si="36"/>
        <v>420</v>
      </c>
      <c r="M405" s="36">
        <f>IFERROR(AVERAGE('Data Bulanan'!CF85,'Data Bulanan'!CH85,'Data Bulanan'!CJ85,'Data Bulanan'!CL85,'Data Bulanan'!CN85,'Data Bulanan'!CP85,'Data Bulanan'!CR85,'Data Bulanan'!CT85,'Data Bulanan'!CV85,'Data Bulanan'!CX85,'Data Bulanan'!CZ85,'Data Bulanan'!DB85),0)</f>
        <v>80.768554787506403</v>
      </c>
      <c r="N405" s="37">
        <f>'Data Bulanan'!DD85</f>
        <v>19.844227024936753</v>
      </c>
      <c r="O405" s="38">
        <f t="shared" si="37"/>
        <v>52.502889668289797</v>
      </c>
      <c r="P405" s="39">
        <f t="shared" si="38"/>
        <v>87</v>
      </c>
      <c r="Q405" s="40">
        <f t="shared" si="39"/>
        <v>652</v>
      </c>
      <c r="R405" s="41">
        <f t="shared" si="40"/>
        <v>1306</v>
      </c>
      <c r="S405" s="42" t="str">
        <f t="shared" si="41"/>
        <v>Overstock 📦</v>
      </c>
      <c r="T405" s="43">
        <f>IFERROR(N405/AVERAGE(M402:M406),0)</f>
        <v>0.23379003345188526</v>
      </c>
      <c r="U405" s="44">
        <v>-135.16</v>
      </c>
      <c r="V405" s="45">
        <v>5.1700000000000003E-2</v>
      </c>
    </row>
    <row r="406" spans="1:22" ht="15" customHeight="1" x14ac:dyDescent="0.35">
      <c r="A406" s="46">
        <v>5</v>
      </c>
      <c r="B406" s="32">
        <v>2025</v>
      </c>
      <c r="C406" s="46" t="s">
        <v>263</v>
      </c>
      <c r="D406" s="46" t="s">
        <v>194</v>
      </c>
      <c r="E406" s="47" t="s">
        <v>195</v>
      </c>
      <c r="F406" s="46" t="s">
        <v>36</v>
      </c>
      <c r="G406" s="34">
        <v>1978</v>
      </c>
      <c r="H406" s="34">
        <v>7</v>
      </c>
      <c r="I406" s="34">
        <f>IFERROR(ROUND('Data Bulanan'!EC85,0),0)</f>
        <v>32424</v>
      </c>
      <c r="J406" s="34">
        <v>1432336</v>
      </c>
      <c r="K406" s="34">
        <v>583098</v>
      </c>
      <c r="L406" s="35">
        <f t="shared" si="36"/>
        <v>399</v>
      </c>
      <c r="M406" s="36">
        <f>IFERROR(AVERAGE('Data Bulanan'!DF85,'Data Bulanan'!DH85,'Data Bulanan'!DJ85,'Data Bulanan'!DL85,'Data Bulanan'!DN85,'Data Bulanan'!DP85,'Data Bulanan'!DR85,'Data Bulanan'!DT85,'Data Bulanan'!DV85,'Data Bulanan'!DX85,'Data Bulanan'!DZ85,'Data Bulanan'!EB85),0)</f>
        <v>86.264157706093201</v>
      </c>
      <c r="N406" s="37">
        <f>'Data Bulanan'!ED85</f>
        <v>20.938346983622385</v>
      </c>
      <c r="O406" s="38">
        <f t="shared" si="37"/>
        <v>55.397658983444245</v>
      </c>
      <c r="P406" s="39">
        <f t="shared" si="38"/>
        <v>91</v>
      </c>
      <c r="Q406" s="40">
        <f t="shared" si="39"/>
        <v>695</v>
      </c>
      <c r="R406" s="41">
        <f t="shared" si="40"/>
        <v>1283</v>
      </c>
      <c r="S406" s="42" t="str">
        <f t="shared" si="41"/>
        <v>Overstock 📦</v>
      </c>
      <c r="T406" s="43">
        <f>IFERROR(N406/AVERAGE(M402:M406),0)</f>
        <v>0.24668014710660466</v>
      </c>
      <c r="U406" s="44">
        <v>-135.16</v>
      </c>
      <c r="V406" s="45">
        <v>5.1700000000000003E-2</v>
      </c>
    </row>
    <row r="407" spans="1:22" ht="15" customHeight="1" x14ac:dyDescent="0.35">
      <c r="A407" s="31">
        <v>1</v>
      </c>
      <c r="B407" s="32">
        <v>2021</v>
      </c>
      <c r="C407" s="31" t="s">
        <v>264</v>
      </c>
      <c r="D407" s="31" t="s">
        <v>196</v>
      </c>
      <c r="E407" s="33" t="s">
        <v>197</v>
      </c>
      <c r="F407" s="31" t="s">
        <v>36</v>
      </c>
      <c r="G407" s="34">
        <v>717</v>
      </c>
      <c r="H407" s="34">
        <v>37</v>
      </c>
      <c r="I407" s="34">
        <f>IFERROR(ROUND('Data Bulanan'!AC86,0),0)</f>
        <v>1030</v>
      </c>
      <c r="J407" s="34">
        <v>6873849</v>
      </c>
      <c r="K407" s="34">
        <v>548477</v>
      </c>
      <c r="L407" s="35">
        <f t="shared" si="36"/>
        <v>161</v>
      </c>
      <c r="M407" s="36">
        <f>IFERROR(AVERAGE('Data Bulanan'!F86,'Data Bulanan'!H86,'Data Bulanan'!J86,'Data Bulanan'!L86,'Data Bulanan'!N86,'Data Bulanan'!P86,'Data Bulanan'!R86,'Data Bulanan'!T86,'Data Bulanan'!V86,'Data Bulanan'!X86,'Data Bulanan'!Z86,'Data Bulanan'!AB86),0)</f>
        <v>2.7449180747567845</v>
      </c>
      <c r="N407" s="37">
        <f>'Data Bulanan'!AD86</f>
        <v>0.57765379528970129</v>
      </c>
      <c r="O407" s="38">
        <f t="shared" si="37"/>
        <v>3.5137308614727529</v>
      </c>
      <c r="P407" s="39">
        <f t="shared" si="38"/>
        <v>6</v>
      </c>
      <c r="Q407" s="40">
        <f t="shared" si="39"/>
        <v>108</v>
      </c>
      <c r="R407" s="41">
        <f t="shared" si="40"/>
        <v>609</v>
      </c>
      <c r="S407" s="42" t="str">
        <f t="shared" si="41"/>
        <v>Overstock 📦</v>
      </c>
      <c r="T407" s="43">
        <f>IFERROR(N407/AVERAGE(M407:M411),0)</f>
        <v>0.21061454478261227</v>
      </c>
      <c r="U407" s="44">
        <v>-0.28999999999999998</v>
      </c>
      <c r="V407" s="45">
        <v>0.1351</v>
      </c>
    </row>
    <row r="408" spans="1:22" ht="15" customHeight="1" x14ac:dyDescent="0.35">
      <c r="A408" s="31">
        <v>2</v>
      </c>
      <c r="B408" s="32">
        <v>2022</v>
      </c>
      <c r="C408" s="31" t="s">
        <v>264</v>
      </c>
      <c r="D408" s="31" t="s">
        <v>196</v>
      </c>
      <c r="E408" s="33" t="s">
        <v>197</v>
      </c>
      <c r="F408" s="31" t="s">
        <v>36</v>
      </c>
      <c r="G408" s="34">
        <v>0</v>
      </c>
      <c r="H408" s="34">
        <v>37</v>
      </c>
      <c r="I408" s="34">
        <f>IFERROR(ROUND('Data Bulanan'!BC86,0),0)</f>
        <v>1032</v>
      </c>
      <c r="J408" s="34">
        <v>7187835</v>
      </c>
      <c r="K408" s="34">
        <v>561282</v>
      </c>
      <c r="L408" s="35">
        <f t="shared" si="36"/>
        <v>163</v>
      </c>
      <c r="M408" s="36">
        <f>IFERROR(AVERAGE('Data Bulanan'!AF86,'Data Bulanan'!AH86,'Data Bulanan'!AJ86,'Data Bulanan'!AL86,'Data Bulanan'!AN86,'Data Bulanan'!AP86,'Data Bulanan'!AR86,'Data Bulanan'!AT86,'Data Bulanan'!AV86,'Data Bulanan'!AX86,'Data Bulanan'!AZ86,'Data Bulanan'!BB86),0)</f>
        <v>2.7503776241679474</v>
      </c>
      <c r="N408" s="37">
        <f>'Data Bulanan'!BD86</f>
        <v>0.70868290776459386</v>
      </c>
      <c r="O408" s="38">
        <f t="shared" si="37"/>
        <v>4.3107498372132609</v>
      </c>
      <c r="P408" s="39">
        <f t="shared" si="38"/>
        <v>7</v>
      </c>
      <c r="Q408" s="40">
        <f t="shared" si="39"/>
        <v>109</v>
      </c>
      <c r="R408" s="41">
        <f t="shared" si="40"/>
        <v>-109</v>
      </c>
      <c r="S408" s="42" t="str">
        <f t="shared" si="41"/>
        <v>Stockout ⚠</v>
      </c>
      <c r="T408" s="43">
        <f>IFERROR(N408/AVERAGE(M407:M411),0)</f>
        <v>0.2583882062770877</v>
      </c>
      <c r="U408" s="44">
        <v>-0.28999999999999998</v>
      </c>
      <c r="V408" s="45">
        <v>0.1351</v>
      </c>
    </row>
    <row r="409" spans="1:22" ht="15" customHeight="1" x14ac:dyDescent="0.35">
      <c r="A409" s="31">
        <v>3</v>
      </c>
      <c r="B409" s="32">
        <v>2023</v>
      </c>
      <c r="C409" s="31" t="s">
        <v>264</v>
      </c>
      <c r="D409" s="31" t="s">
        <v>196</v>
      </c>
      <c r="E409" s="33" t="s">
        <v>197</v>
      </c>
      <c r="F409" s="31" t="s">
        <v>36</v>
      </c>
      <c r="G409" s="34">
        <v>620</v>
      </c>
      <c r="H409" s="34">
        <v>37</v>
      </c>
      <c r="I409" s="34">
        <f>IFERROR(ROUND('Data Bulanan'!CC86,0),0)</f>
        <v>1031</v>
      </c>
      <c r="J409" s="34">
        <v>7127980</v>
      </c>
      <c r="K409" s="34">
        <v>487757</v>
      </c>
      <c r="L409" s="35">
        <f t="shared" si="36"/>
        <v>174</v>
      </c>
      <c r="M409" s="36">
        <f>IFERROR(AVERAGE('Data Bulanan'!BF86,'Data Bulanan'!BH86,'Data Bulanan'!BJ86,'Data Bulanan'!BL86,'Data Bulanan'!BN86,'Data Bulanan'!BP86,'Data Bulanan'!BR86,'Data Bulanan'!BT86,'Data Bulanan'!BV86,'Data Bulanan'!BX86,'Data Bulanan'!BZ86,'Data Bulanan'!CB86),0)</f>
        <v>2.739592933947772</v>
      </c>
      <c r="N409" s="37">
        <f>'Data Bulanan'!CD86</f>
        <v>0.45573588713054136</v>
      </c>
      <c r="O409" s="38">
        <f t="shared" si="37"/>
        <v>2.7721331779498755</v>
      </c>
      <c r="P409" s="39">
        <f t="shared" si="38"/>
        <v>5</v>
      </c>
      <c r="Q409" s="40">
        <f t="shared" si="39"/>
        <v>106</v>
      </c>
      <c r="R409" s="41">
        <f t="shared" si="40"/>
        <v>514</v>
      </c>
      <c r="S409" s="42" t="str">
        <f t="shared" si="41"/>
        <v>Overstock 📦</v>
      </c>
      <c r="T409" s="43">
        <f>IFERROR(N409/AVERAGE(M407:M411),0)</f>
        <v>0.16616285947011106</v>
      </c>
      <c r="U409" s="44">
        <v>-0.28999999999999998</v>
      </c>
      <c r="V409" s="45">
        <v>0.1351</v>
      </c>
    </row>
    <row r="410" spans="1:22" ht="15" customHeight="1" x14ac:dyDescent="0.35">
      <c r="A410" s="31">
        <v>4</v>
      </c>
      <c r="B410" s="32">
        <v>2024</v>
      </c>
      <c r="C410" s="31" t="s">
        <v>264</v>
      </c>
      <c r="D410" s="31" t="s">
        <v>196</v>
      </c>
      <c r="E410" s="33" t="s">
        <v>197</v>
      </c>
      <c r="F410" s="31" t="s">
        <v>36</v>
      </c>
      <c r="G410" s="34">
        <v>186</v>
      </c>
      <c r="H410" s="34">
        <v>37</v>
      </c>
      <c r="I410" s="34">
        <f>IFERROR(ROUND('Data Bulanan'!DC86,0),0)</f>
        <v>1029</v>
      </c>
      <c r="J410" s="34">
        <v>6233742</v>
      </c>
      <c r="K410" s="34">
        <v>569103</v>
      </c>
      <c r="L410" s="35">
        <f t="shared" si="36"/>
        <v>150</v>
      </c>
      <c r="M410" s="36">
        <f>IFERROR(AVERAGE('Data Bulanan'!CF86,'Data Bulanan'!CH86,'Data Bulanan'!CJ86,'Data Bulanan'!CL86,'Data Bulanan'!CN86,'Data Bulanan'!CP86,'Data Bulanan'!CR86,'Data Bulanan'!CT86,'Data Bulanan'!CV86,'Data Bulanan'!CX86,'Data Bulanan'!CZ86,'Data Bulanan'!DB86),0)</f>
        <v>2.7418074756784434</v>
      </c>
      <c r="N410" s="37">
        <f>'Data Bulanan'!DD86</f>
        <v>0.81489030949990926</v>
      </c>
      <c r="O410" s="38">
        <f t="shared" si="37"/>
        <v>4.9567842409291671</v>
      </c>
      <c r="P410" s="39">
        <f t="shared" si="38"/>
        <v>8</v>
      </c>
      <c r="Q410" s="40">
        <f t="shared" si="39"/>
        <v>109</v>
      </c>
      <c r="R410" s="41">
        <f t="shared" si="40"/>
        <v>77</v>
      </c>
      <c r="S410" s="42" t="str">
        <f t="shared" si="41"/>
        <v>Aman ✅</v>
      </c>
      <c r="T410" s="43">
        <f>IFERROR(N410/AVERAGE(M407:M411),0)</f>
        <v>0.29711178734143301</v>
      </c>
      <c r="U410" s="44">
        <v>-0.28999999999999998</v>
      </c>
      <c r="V410" s="45">
        <v>0.1351</v>
      </c>
    </row>
    <row r="411" spans="1:22" ht="15" customHeight="1" x14ac:dyDescent="0.35">
      <c r="A411" s="31">
        <v>5</v>
      </c>
      <c r="B411" s="32">
        <v>2025</v>
      </c>
      <c r="C411" s="31" t="s">
        <v>264</v>
      </c>
      <c r="D411" s="31" t="s">
        <v>196</v>
      </c>
      <c r="E411" s="33" t="s">
        <v>197</v>
      </c>
      <c r="F411" s="31" t="s">
        <v>36</v>
      </c>
      <c r="G411" s="34">
        <v>270</v>
      </c>
      <c r="H411" s="34">
        <v>37</v>
      </c>
      <c r="I411" s="34">
        <f>IFERROR(ROUND('Data Bulanan'!EC86,0),0)</f>
        <v>1030</v>
      </c>
      <c r="J411" s="34">
        <v>7117130</v>
      </c>
      <c r="K411" s="34">
        <v>473427</v>
      </c>
      <c r="L411" s="35">
        <f t="shared" si="36"/>
        <v>176</v>
      </c>
      <c r="M411" s="36">
        <f>IFERROR(AVERAGE('Data Bulanan'!DF86,'Data Bulanan'!DH86,'Data Bulanan'!DJ86,'Data Bulanan'!DL86,'Data Bulanan'!DN86,'Data Bulanan'!DP86,'Data Bulanan'!DR86,'Data Bulanan'!DT86,'Data Bulanan'!DV86,'Data Bulanan'!DX86,'Data Bulanan'!DZ86,'Data Bulanan'!EB86),0)</f>
        <v>2.7368343573988732</v>
      </c>
      <c r="N411" s="37">
        <f>'Data Bulanan'!ED86</f>
        <v>0.45184099168208441</v>
      </c>
      <c r="O411" s="38">
        <f t="shared" si="37"/>
        <v>2.7484414538565725</v>
      </c>
      <c r="P411" s="39">
        <f t="shared" si="38"/>
        <v>5</v>
      </c>
      <c r="Q411" s="40">
        <f t="shared" si="39"/>
        <v>106</v>
      </c>
      <c r="R411" s="41">
        <f t="shared" si="40"/>
        <v>164</v>
      </c>
      <c r="S411" s="42" t="str">
        <f t="shared" si="41"/>
        <v>Aman ✅</v>
      </c>
      <c r="T411" s="43">
        <f>IFERROR(N411/AVERAGE(M407:M411),0)</f>
        <v>0.16474276729978052</v>
      </c>
      <c r="U411" s="44">
        <v>-0.28999999999999998</v>
      </c>
      <c r="V411" s="45">
        <v>0.1351</v>
      </c>
    </row>
    <row r="412" spans="1:22" ht="15" customHeight="1" x14ac:dyDescent="0.35">
      <c r="A412" s="46">
        <v>1</v>
      </c>
      <c r="B412" s="32">
        <v>2021</v>
      </c>
      <c r="C412" s="46" t="s">
        <v>264</v>
      </c>
      <c r="D412" s="46" t="s">
        <v>198</v>
      </c>
      <c r="E412" s="47" t="s">
        <v>199</v>
      </c>
      <c r="F412" s="46" t="s">
        <v>36</v>
      </c>
      <c r="G412" s="34">
        <v>16893</v>
      </c>
      <c r="H412" s="34">
        <v>43</v>
      </c>
      <c r="I412" s="34">
        <f>IFERROR(ROUND('Data Bulanan'!AC87,0),0)</f>
        <v>32292</v>
      </c>
      <c r="J412" s="34">
        <v>4760073</v>
      </c>
      <c r="K412" s="34">
        <v>405922</v>
      </c>
      <c r="L412" s="35">
        <f t="shared" si="36"/>
        <v>870</v>
      </c>
      <c r="M412" s="36">
        <f>IFERROR(AVERAGE('Data Bulanan'!F87,'Data Bulanan'!H87,'Data Bulanan'!J87,'Data Bulanan'!L87,'Data Bulanan'!N87,'Data Bulanan'!P87,'Data Bulanan'!R87,'Data Bulanan'!T87,'Data Bulanan'!V87,'Data Bulanan'!X87,'Data Bulanan'!Z87,'Data Bulanan'!AB87),0)</f>
        <v>86.120398105478742</v>
      </c>
      <c r="N412" s="37">
        <f>'Data Bulanan'!AD87</f>
        <v>17.600511711717349</v>
      </c>
      <c r="O412" s="38">
        <f t="shared" si="37"/>
        <v>115.41427354584388</v>
      </c>
      <c r="P412" s="39">
        <f t="shared" si="38"/>
        <v>190</v>
      </c>
      <c r="Q412" s="40">
        <f t="shared" si="39"/>
        <v>3893</v>
      </c>
      <c r="R412" s="41">
        <f t="shared" si="40"/>
        <v>13000</v>
      </c>
      <c r="S412" s="42" t="str">
        <f t="shared" si="41"/>
        <v>Overstock 📦</v>
      </c>
      <c r="T412" s="43">
        <f>IFERROR(N412/AVERAGE(M412:M416),0)</f>
        <v>0.18991442321822616</v>
      </c>
      <c r="U412" s="44">
        <v>479.58</v>
      </c>
      <c r="V412" s="45">
        <v>5.5199999999999999E-2</v>
      </c>
    </row>
    <row r="413" spans="1:22" ht="15" customHeight="1" x14ac:dyDescent="0.35">
      <c r="A413" s="46">
        <v>2</v>
      </c>
      <c r="B413" s="32">
        <v>2022</v>
      </c>
      <c r="C413" s="46" t="s">
        <v>264</v>
      </c>
      <c r="D413" s="46" t="s">
        <v>198</v>
      </c>
      <c r="E413" s="47" t="s">
        <v>199</v>
      </c>
      <c r="F413" s="46" t="s">
        <v>36</v>
      </c>
      <c r="G413" s="34">
        <v>0</v>
      </c>
      <c r="H413" s="34">
        <v>43</v>
      </c>
      <c r="I413" s="34">
        <f>IFERROR(ROUND('Data Bulanan'!BC87,0),0)</f>
        <v>32810</v>
      </c>
      <c r="J413" s="34">
        <v>5457461</v>
      </c>
      <c r="K413" s="34">
        <v>352041</v>
      </c>
      <c r="L413" s="35">
        <f t="shared" si="36"/>
        <v>1009</v>
      </c>
      <c r="M413" s="36">
        <f>IFERROR(AVERAGE('Data Bulanan'!AF87,'Data Bulanan'!AH87,'Data Bulanan'!AJ87,'Data Bulanan'!AL87,'Data Bulanan'!AN87,'Data Bulanan'!AP87,'Data Bulanan'!AR87,'Data Bulanan'!AT87,'Data Bulanan'!AV87,'Data Bulanan'!AX87,'Data Bulanan'!AZ87,'Data Bulanan'!BB87),0)</f>
        <v>87.353494623655919</v>
      </c>
      <c r="N413" s="37">
        <f>'Data Bulanan'!BD87</f>
        <v>17.219649001609032</v>
      </c>
      <c r="O413" s="38">
        <f t="shared" si="37"/>
        <v>112.91678973810954</v>
      </c>
      <c r="P413" s="39">
        <f t="shared" si="38"/>
        <v>186</v>
      </c>
      <c r="Q413" s="40">
        <f t="shared" si="39"/>
        <v>3942</v>
      </c>
      <c r="R413" s="41">
        <f t="shared" si="40"/>
        <v>-3942</v>
      </c>
      <c r="S413" s="42" t="str">
        <f t="shared" si="41"/>
        <v>Stockout ⚠</v>
      </c>
      <c r="T413" s="43">
        <f>IFERROR(N413/AVERAGE(M412:M416),0)</f>
        <v>0.18580480850359274</v>
      </c>
      <c r="U413" s="44">
        <v>479.58</v>
      </c>
      <c r="V413" s="45">
        <v>5.5199999999999999E-2</v>
      </c>
    </row>
    <row r="414" spans="1:22" ht="15" customHeight="1" x14ac:dyDescent="0.35">
      <c r="A414" s="46">
        <v>3</v>
      </c>
      <c r="B414" s="32">
        <v>2023</v>
      </c>
      <c r="C414" s="46" t="s">
        <v>264</v>
      </c>
      <c r="D414" s="46" t="s">
        <v>198</v>
      </c>
      <c r="E414" s="47" t="s">
        <v>199</v>
      </c>
      <c r="F414" s="46" t="s">
        <v>36</v>
      </c>
      <c r="G414" s="34">
        <v>0</v>
      </c>
      <c r="H414" s="34">
        <v>43</v>
      </c>
      <c r="I414" s="34">
        <f>IFERROR(ROUND('Data Bulanan'!CC87,0),0)</f>
        <v>40304</v>
      </c>
      <c r="J414" s="34">
        <v>4614304</v>
      </c>
      <c r="K414" s="34">
        <v>423396</v>
      </c>
      <c r="L414" s="35">
        <f t="shared" si="36"/>
        <v>937</v>
      </c>
      <c r="M414" s="36">
        <f>IFERROR(AVERAGE('Data Bulanan'!BF87,'Data Bulanan'!BH87,'Data Bulanan'!BJ87,'Data Bulanan'!BL87,'Data Bulanan'!BN87,'Data Bulanan'!BP87,'Data Bulanan'!BR87,'Data Bulanan'!BT87,'Data Bulanan'!BV87,'Data Bulanan'!BX87,'Data Bulanan'!BZ87,'Data Bulanan'!CB87),0)</f>
        <v>107.4865783410138</v>
      </c>
      <c r="N414" s="37">
        <f>'Data Bulanan'!CD87</f>
        <v>27.600474039115348</v>
      </c>
      <c r="O414" s="38">
        <f t="shared" si="37"/>
        <v>180.98841175309221</v>
      </c>
      <c r="P414" s="39">
        <f t="shared" si="38"/>
        <v>299</v>
      </c>
      <c r="Q414" s="40">
        <f t="shared" si="39"/>
        <v>4921</v>
      </c>
      <c r="R414" s="41">
        <f t="shared" si="40"/>
        <v>-4921</v>
      </c>
      <c r="S414" s="42" t="str">
        <f t="shared" si="41"/>
        <v>Stockout ⚠</v>
      </c>
      <c r="T414" s="43">
        <f>IFERROR(N414/AVERAGE(M412:M416),0)</f>
        <v>0.29781680178074554</v>
      </c>
      <c r="U414" s="44">
        <v>479.58</v>
      </c>
      <c r="V414" s="45">
        <v>5.5199999999999999E-2</v>
      </c>
    </row>
    <row r="415" spans="1:22" ht="15" customHeight="1" x14ac:dyDescent="0.35">
      <c r="A415" s="46">
        <v>4</v>
      </c>
      <c r="B415" s="32">
        <v>2024</v>
      </c>
      <c r="C415" s="46" t="s">
        <v>264</v>
      </c>
      <c r="D415" s="46" t="s">
        <v>198</v>
      </c>
      <c r="E415" s="47" t="s">
        <v>199</v>
      </c>
      <c r="F415" s="46" t="s">
        <v>36</v>
      </c>
      <c r="G415" s="34">
        <v>9287</v>
      </c>
      <c r="H415" s="34">
        <v>43</v>
      </c>
      <c r="I415" s="34">
        <f>IFERROR(ROUND('Data Bulanan'!DC87,0),0)</f>
        <v>34731</v>
      </c>
      <c r="J415" s="34">
        <v>5490572</v>
      </c>
      <c r="K415" s="34">
        <v>384948</v>
      </c>
      <c r="L415" s="35">
        <f t="shared" si="36"/>
        <v>995</v>
      </c>
      <c r="M415" s="36">
        <f>IFERROR(AVERAGE('Data Bulanan'!CF87,'Data Bulanan'!CH87,'Data Bulanan'!CJ87,'Data Bulanan'!CL87,'Data Bulanan'!CN87,'Data Bulanan'!CP87,'Data Bulanan'!CR87,'Data Bulanan'!CT87,'Data Bulanan'!CV87,'Data Bulanan'!CX87,'Data Bulanan'!CZ87,'Data Bulanan'!DB87),0)</f>
        <v>92.557859703020995</v>
      </c>
      <c r="N415" s="37">
        <f>'Data Bulanan'!DD87</f>
        <v>21.178369819385676</v>
      </c>
      <c r="O415" s="38">
        <f t="shared" si="37"/>
        <v>138.87585813555444</v>
      </c>
      <c r="P415" s="39">
        <f t="shared" si="38"/>
        <v>229</v>
      </c>
      <c r="Q415" s="40">
        <f t="shared" si="39"/>
        <v>4209</v>
      </c>
      <c r="R415" s="41">
        <f t="shared" si="40"/>
        <v>5078</v>
      </c>
      <c r="S415" s="42" t="str">
        <f t="shared" si="41"/>
        <v>Overstock 📦</v>
      </c>
      <c r="T415" s="43">
        <f>IFERROR(N415/AVERAGE(M412:M416),0)</f>
        <v>0.22852050865505602</v>
      </c>
      <c r="U415" s="44">
        <v>479.58</v>
      </c>
      <c r="V415" s="45">
        <v>5.5199999999999999E-2</v>
      </c>
    </row>
    <row r="416" spans="1:22" ht="15" customHeight="1" x14ac:dyDescent="0.35">
      <c r="A416" s="46">
        <v>5</v>
      </c>
      <c r="B416" s="32">
        <v>2025</v>
      </c>
      <c r="C416" s="46" t="s">
        <v>264</v>
      </c>
      <c r="D416" s="46" t="s">
        <v>198</v>
      </c>
      <c r="E416" s="47" t="s">
        <v>199</v>
      </c>
      <c r="F416" s="46" t="s">
        <v>36</v>
      </c>
      <c r="G416" s="34">
        <v>19459</v>
      </c>
      <c r="H416" s="34">
        <v>43</v>
      </c>
      <c r="I416" s="34">
        <f>IFERROR(ROUND('Data Bulanan'!EC87,0),0)</f>
        <v>33729</v>
      </c>
      <c r="J416" s="34">
        <v>4633746</v>
      </c>
      <c r="K416" s="34">
        <v>367816</v>
      </c>
      <c r="L416" s="35">
        <f t="shared" si="36"/>
        <v>922</v>
      </c>
      <c r="M416" s="36">
        <f>IFERROR(AVERAGE('Data Bulanan'!DF87,'Data Bulanan'!DH87,'Data Bulanan'!DJ87,'Data Bulanan'!DL87,'Data Bulanan'!DN87,'Data Bulanan'!DP87,'Data Bulanan'!DR87,'Data Bulanan'!DT87,'Data Bulanan'!DV87,'Data Bulanan'!DX87,'Data Bulanan'!DZ87,'Data Bulanan'!EB87),0)</f>
        <v>89.861738351254473</v>
      </c>
      <c r="N416" s="37">
        <f>'Data Bulanan'!ED87</f>
        <v>14.921340795553201</v>
      </c>
      <c r="O416" s="38">
        <f t="shared" si="37"/>
        <v>97.845774966999613</v>
      </c>
      <c r="P416" s="39">
        <f t="shared" si="38"/>
        <v>161</v>
      </c>
      <c r="Q416" s="40">
        <f t="shared" si="39"/>
        <v>4025</v>
      </c>
      <c r="R416" s="41">
        <f t="shared" si="40"/>
        <v>15434</v>
      </c>
      <c r="S416" s="42" t="str">
        <f t="shared" si="41"/>
        <v>Overstock 📦</v>
      </c>
      <c r="T416" s="43">
        <f>IFERROR(N416/AVERAGE(M412:M416),0)</f>
        <v>0.16100542286753614</v>
      </c>
      <c r="U416" s="44">
        <v>479.58</v>
      </c>
      <c r="V416" s="45">
        <v>5.5199999999999999E-2</v>
      </c>
    </row>
    <row r="417" spans="1:22" ht="15" customHeight="1" x14ac:dyDescent="0.35">
      <c r="A417" s="31">
        <v>1</v>
      </c>
      <c r="B417" s="32">
        <v>2021</v>
      </c>
      <c r="C417" s="31" t="s">
        <v>264</v>
      </c>
      <c r="D417" s="31" t="s">
        <v>200</v>
      </c>
      <c r="E417" s="33" t="s">
        <v>201</v>
      </c>
      <c r="F417" s="31" t="s">
        <v>36</v>
      </c>
      <c r="G417" s="34">
        <v>2130</v>
      </c>
      <c r="H417" s="34">
        <v>8</v>
      </c>
      <c r="I417" s="34">
        <f>IFERROR(ROUND('Data Bulanan'!AC88,0),0)</f>
        <v>19262</v>
      </c>
      <c r="J417" s="34">
        <v>1046086</v>
      </c>
      <c r="K417" s="34">
        <v>455301</v>
      </c>
      <c r="L417" s="35">
        <f t="shared" si="36"/>
        <v>298</v>
      </c>
      <c r="M417" s="36">
        <f>IFERROR(AVERAGE('Data Bulanan'!F88,'Data Bulanan'!H88,'Data Bulanan'!J88,'Data Bulanan'!L88,'Data Bulanan'!N88,'Data Bulanan'!P88,'Data Bulanan'!R88,'Data Bulanan'!T88,'Data Bulanan'!V88,'Data Bulanan'!X88,'Data Bulanan'!Z88,'Data Bulanan'!AB88),0)</f>
        <v>51.430843573988732</v>
      </c>
      <c r="N417" s="37">
        <f>'Data Bulanan'!AD88</f>
        <v>13.221599300968212</v>
      </c>
      <c r="O417" s="38">
        <f t="shared" si="37"/>
        <v>37.39633009538376</v>
      </c>
      <c r="P417" s="39">
        <f t="shared" si="38"/>
        <v>62</v>
      </c>
      <c r="Q417" s="40">
        <f t="shared" si="39"/>
        <v>473</v>
      </c>
      <c r="R417" s="41">
        <f t="shared" si="40"/>
        <v>1657</v>
      </c>
      <c r="S417" s="42" t="str">
        <f t="shared" si="41"/>
        <v>Overstock 📦</v>
      </c>
      <c r="T417" s="43">
        <f>IFERROR(N417/AVERAGE(M417:M421),0)</f>
        <v>0.2685744058706489</v>
      </c>
      <c r="U417" s="44">
        <v>428.11</v>
      </c>
      <c r="V417" s="45">
        <v>0.18</v>
      </c>
    </row>
    <row r="418" spans="1:22" ht="15" customHeight="1" x14ac:dyDescent="0.35">
      <c r="A418" s="31">
        <v>2</v>
      </c>
      <c r="B418" s="32">
        <v>2022</v>
      </c>
      <c r="C418" s="31" t="s">
        <v>264</v>
      </c>
      <c r="D418" s="31" t="s">
        <v>200</v>
      </c>
      <c r="E418" s="33" t="s">
        <v>201</v>
      </c>
      <c r="F418" s="31" t="s">
        <v>36</v>
      </c>
      <c r="G418" s="34">
        <v>1488</v>
      </c>
      <c r="H418" s="34">
        <v>8</v>
      </c>
      <c r="I418" s="34">
        <f>IFERROR(ROUND('Data Bulanan'!BC88,0),0)</f>
        <v>16002</v>
      </c>
      <c r="J418" s="34">
        <v>1054938</v>
      </c>
      <c r="K418" s="34">
        <v>507663</v>
      </c>
      <c r="L418" s="35">
        <f t="shared" si="36"/>
        <v>258</v>
      </c>
      <c r="M418" s="36">
        <f>IFERROR(AVERAGE('Data Bulanan'!AF88,'Data Bulanan'!AH88,'Data Bulanan'!AJ88,'Data Bulanan'!AL88,'Data Bulanan'!AN88,'Data Bulanan'!AP88,'Data Bulanan'!AR88,'Data Bulanan'!AT88,'Data Bulanan'!AV88,'Data Bulanan'!AX88,'Data Bulanan'!AZ88,'Data Bulanan'!BB88),0)</f>
        <v>42.5031746031746</v>
      </c>
      <c r="N418" s="37">
        <f>'Data Bulanan'!BD88</f>
        <v>9.5424892211380659</v>
      </c>
      <c r="O418" s="38">
        <f t="shared" si="37"/>
        <v>26.990235350665053</v>
      </c>
      <c r="P418" s="39">
        <f t="shared" si="38"/>
        <v>45</v>
      </c>
      <c r="Q418" s="40">
        <f t="shared" si="39"/>
        <v>385</v>
      </c>
      <c r="R418" s="41">
        <f t="shared" si="40"/>
        <v>1103</v>
      </c>
      <c r="S418" s="42" t="str">
        <f t="shared" si="41"/>
        <v>Overstock 📦</v>
      </c>
      <c r="T418" s="43">
        <f>IFERROR(N418/AVERAGE(M417:M421),0)</f>
        <v>0.19383951326573251</v>
      </c>
      <c r="U418" s="44">
        <v>428.11</v>
      </c>
      <c r="V418" s="45">
        <v>0.18</v>
      </c>
    </row>
    <row r="419" spans="1:22" ht="15" customHeight="1" x14ac:dyDescent="0.35">
      <c r="A419" s="31">
        <v>3</v>
      </c>
      <c r="B419" s="32">
        <v>2023</v>
      </c>
      <c r="C419" s="31" t="s">
        <v>264</v>
      </c>
      <c r="D419" s="31" t="s">
        <v>200</v>
      </c>
      <c r="E419" s="33" t="s">
        <v>201</v>
      </c>
      <c r="F419" s="31" t="s">
        <v>36</v>
      </c>
      <c r="G419" s="34">
        <v>1257</v>
      </c>
      <c r="H419" s="34">
        <v>8</v>
      </c>
      <c r="I419" s="34">
        <f>IFERROR(ROUND('Data Bulanan'!CC88,0),0)</f>
        <v>18712</v>
      </c>
      <c r="J419" s="34">
        <v>1118361</v>
      </c>
      <c r="K419" s="34">
        <v>502379</v>
      </c>
      <c r="L419" s="35">
        <f t="shared" si="36"/>
        <v>289</v>
      </c>
      <c r="M419" s="36">
        <f>IFERROR(AVERAGE('Data Bulanan'!BF88,'Data Bulanan'!BH88,'Data Bulanan'!BJ88,'Data Bulanan'!BL88,'Data Bulanan'!BN88,'Data Bulanan'!BP88,'Data Bulanan'!BR88,'Data Bulanan'!BT88,'Data Bulanan'!BV88,'Data Bulanan'!BX88,'Data Bulanan'!BZ88,'Data Bulanan'!CB88),0)</f>
        <v>49.850416026625702</v>
      </c>
      <c r="N419" s="37">
        <f>'Data Bulanan'!CD88</f>
        <v>11.82919847797567</v>
      </c>
      <c r="O419" s="38">
        <f t="shared" si="37"/>
        <v>33.458025839112736</v>
      </c>
      <c r="P419" s="39">
        <f t="shared" si="38"/>
        <v>55</v>
      </c>
      <c r="Q419" s="40">
        <f t="shared" si="39"/>
        <v>454</v>
      </c>
      <c r="R419" s="41">
        <f t="shared" si="40"/>
        <v>803</v>
      </c>
      <c r="S419" s="42" t="str">
        <f t="shared" si="41"/>
        <v>Overstock 📦</v>
      </c>
      <c r="T419" s="43">
        <f>IFERROR(N419/AVERAGE(M417:M421),0)</f>
        <v>0.24029014046096892</v>
      </c>
      <c r="U419" s="44">
        <v>428.11</v>
      </c>
      <c r="V419" s="45">
        <v>0.18</v>
      </c>
    </row>
    <row r="420" spans="1:22" ht="15" customHeight="1" x14ac:dyDescent="0.35">
      <c r="A420" s="31">
        <v>4</v>
      </c>
      <c r="B420" s="32">
        <v>2024</v>
      </c>
      <c r="C420" s="31" t="s">
        <v>264</v>
      </c>
      <c r="D420" s="31" t="s">
        <v>200</v>
      </c>
      <c r="E420" s="33" t="s">
        <v>201</v>
      </c>
      <c r="F420" s="31" t="s">
        <v>36</v>
      </c>
      <c r="G420" s="34">
        <v>1181</v>
      </c>
      <c r="H420" s="34">
        <v>8</v>
      </c>
      <c r="I420" s="34">
        <f>IFERROR(ROUND('Data Bulanan'!DC88,0),0)</f>
        <v>18211</v>
      </c>
      <c r="J420" s="34">
        <v>1159765</v>
      </c>
      <c r="K420" s="34">
        <v>454942</v>
      </c>
      <c r="L420" s="35">
        <f t="shared" si="36"/>
        <v>305</v>
      </c>
      <c r="M420" s="36">
        <f>IFERROR(AVERAGE('Data Bulanan'!CF88,'Data Bulanan'!CH88,'Data Bulanan'!CJ88,'Data Bulanan'!CL88,'Data Bulanan'!CN88,'Data Bulanan'!CP88,'Data Bulanan'!CR88,'Data Bulanan'!CT88,'Data Bulanan'!CV88,'Data Bulanan'!CX88,'Data Bulanan'!CZ88,'Data Bulanan'!DB88),0)</f>
        <v>48.328456221198145</v>
      </c>
      <c r="N420" s="37">
        <f>'Data Bulanan'!DD88</f>
        <v>10.556956165901694</v>
      </c>
      <c r="O420" s="38">
        <f t="shared" si="37"/>
        <v>29.859581174392893</v>
      </c>
      <c r="P420" s="39">
        <f t="shared" si="38"/>
        <v>49</v>
      </c>
      <c r="Q420" s="40">
        <f t="shared" si="39"/>
        <v>436</v>
      </c>
      <c r="R420" s="41">
        <f t="shared" si="40"/>
        <v>745</v>
      </c>
      <c r="S420" s="42" t="str">
        <f t="shared" si="41"/>
        <v>Overstock 📦</v>
      </c>
      <c r="T420" s="43">
        <f>IFERROR(N420/AVERAGE(M417:M421),0)</f>
        <v>0.2144466917744135</v>
      </c>
      <c r="U420" s="44">
        <v>428.11</v>
      </c>
      <c r="V420" s="45">
        <v>0.18</v>
      </c>
    </row>
    <row r="421" spans="1:22" ht="15" customHeight="1" x14ac:dyDescent="0.35">
      <c r="A421" s="31">
        <v>5</v>
      </c>
      <c r="B421" s="32">
        <v>2025</v>
      </c>
      <c r="C421" s="31" t="s">
        <v>264</v>
      </c>
      <c r="D421" s="31" t="s">
        <v>200</v>
      </c>
      <c r="E421" s="33" t="s">
        <v>201</v>
      </c>
      <c r="F421" s="31" t="s">
        <v>36</v>
      </c>
      <c r="G421" s="34">
        <v>673</v>
      </c>
      <c r="H421" s="34">
        <v>8</v>
      </c>
      <c r="I421" s="34">
        <f>IFERROR(ROUND('Data Bulanan'!EC88,0),0)</f>
        <v>20298</v>
      </c>
      <c r="J421" s="34">
        <v>960256</v>
      </c>
      <c r="K421" s="34">
        <v>427998</v>
      </c>
      <c r="L421" s="35">
        <f t="shared" si="36"/>
        <v>302</v>
      </c>
      <c r="M421" s="36">
        <f>IFERROR(AVERAGE('Data Bulanan'!DF88,'Data Bulanan'!DH88,'Data Bulanan'!DJ88,'Data Bulanan'!DL88,'Data Bulanan'!DN88,'Data Bulanan'!DP88,'Data Bulanan'!DR88,'Data Bulanan'!DT88,'Data Bulanan'!DV88,'Data Bulanan'!DX88,'Data Bulanan'!DZ88,'Data Bulanan'!EB88),0)</f>
        <v>54.031176395289293</v>
      </c>
      <c r="N421" s="37">
        <f>'Data Bulanan'!ED88</f>
        <v>11.710014496352965</v>
      </c>
      <c r="O421" s="38">
        <f t="shared" si="37"/>
        <v>33.120922632655827</v>
      </c>
      <c r="P421" s="39">
        <f t="shared" si="38"/>
        <v>55</v>
      </c>
      <c r="Q421" s="40">
        <f t="shared" si="39"/>
        <v>487</v>
      </c>
      <c r="R421" s="41">
        <f t="shared" si="40"/>
        <v>186</v>
      </c>
      <c r="S421" s="42" t="str">
        <f t="shared" si="41"/>
        <v>Aman ✅</v>
      </c>
      <c r="T421" s="43">
        <f>IFERROR(N421/AVERAGE(M417:M421),0)</f>
        <v>0.23786911965062926</v>
      </c>
      <c r="U421" s="44">
        <v>428.11</v>
      </c>
      <c r="V421" s="45">
        <v>0.18</v>
      </c>
    </row>
    <row r="422" spans="1:22" ht="15" customHeight="1" x14ac:dyDescent="0.35">
      <c r="A422" s="46">
        <v>1</v>
      </c>
      <c r="B422" s="32">
        <v>2021</v>
      </c>
      <c r="C422" s="46" t="s">
        <v>264</v>
      </c>
      <c r="D422" s="46" t="s">
        <v>202</v>
      </c>
      <c r="E422" s="47" t="s">
        <v>203</v>
      </c>
      <c r="F422" s="46" t="s">
        <v>36</v>
      </c>
      <c r="G422" s="34">
        <v>1916</v>
      </c>
      <c r="H422" s="34">
        <v>7</v>
      </c>
      <c r="I422" s="34">
        <f>IFERROR(ROUND('Data Bulanan'!AC89,0),0)</f>
        <v>52183</v>
      </c>
      <c r="J422" s="34">
        <v>623884</v>
      </c>
      <c r="K422" s="34">
        <v>276879</v>
      </c>
      <c r="L422" s="35">
        <f t="shared" si="36"/>
        <v>485</v>
      </c>
      <c r="M422" s="36">
        <f>IFERROR(AVERAGE('Data Bulanan'!F89,'Data Bulanan'!H89,'Data Bulanan'!J89,'Data Bulanan'!L89,'Data Bulanan'!N89,'Data Bulanan'!P89,'Data Bulanan'!R89,'Data Bulanan'!T89,'Data Bulanan'!V89,'Data Bulanan'!X89,'Data Bulanan'!Z89,'Data Bulanan'!AB89),0)</f>
        <v>138.63217485919097</v>
      </c>
      <c r="N422" s="37">
        <f>'Data Bulanan'!AD89</f>
        <v>21.855197742366119</v>
      </c>
      <c r="O422" s="38">
        <f t="shared" si="37"/>
        <v>57.823418080441044</v>
      </c>
      <c r="P422" s="39">
        <f t="shared" si="38"/>
        <v>95</v>
      </c>
      <c r="Q422" s="40">
        <f t="shared" si="39"/>
        <v>1065</v>
      </c>
      <c r="R422" s="41">
        <f t="shared" si="40"/>
        <v>851</v>
      </c>
      <c r="S422" s="42" t="str">
        <f t="shared" si="41"/>
        <v>Overstock 📦</v>
      </c>
      <c r="T422" s="43">
        <f>IFERROR(N422/AVERAGE(M422:M426),0)</f>
        <v>0.1639092181185095</v>
      </c>
      <c r="U422" s="44">
        <v>291.44</v>
      </c>
      <c r="V422" s="45">
        <v>3.5700000000000003E-2</v>
      </c>
    </row>
    <row r="423" spans="1:22" ht="15" customHeight="1" x14ac:dyDescent="0.35">
      <c r="A423" s="46">
        <v>2</v>
      </c>
      <c r="B423" s="32">
        <v>2022</v>
      </c>
      <c r="C423" s="46" t="s">
        <v>264</v>
      </c>
      <c r="D423" s="46" t="s">
        <v>202</v>
      </c>
      <c r="E423" s="47" t="s">
        <v>203</v>
      </c>
      <c r="F423" s="46" t="s">
        <v>36</v>
      </c>
      <c r="G423" s="34">
        <v>5455</v>
      </c>
      <c r="H423" s="34">
        <v>7</v>
      </c>
      <c r="I423" s="34">
        <f>IFERROR(ROUND('Data Bulanan'!BC89,0),0)</f>
        <v>48109</v>
      </c>
      <c r="J423" s="34">
        <v>673272</v>
      </c>
      <c r="K423" s="34">
        <v>278113</v>
      </c>
      <c r="L423" s="35">
        <f t="shared" si="36"/>
        <v>483</v>
      </c>
      <c r="M423" s="36">
        <f>IFERROR(AVERAGE('Data Bulanan'!AF89,'Data Bulanan'!AH89,'Data Bulanan'!AJ89,'Data Bulanan'!AL89,'Data Bulanan'!AN89,'Data Bulanan'!AP89,'Data Bulanan'!AR89,'Data Bulanan'!AT89,'Data Bulanan'!AV89,'Data Bulanan'!AX89,'Data Bulanan'!AZ89,'Data Bulanan'!BB89),0)</f>
        <v>128.27681771633385</v>
      </c>
      <c r="N423" s="37">
        <f>'Data Bulanan'!BD89</f>
        <v>29.170269969397243</v>
      </c>
      <c r="O423" s="38">
        <f t="shared" si="37"/>
        <v>77.177280015640818</v>
      </c>
      <c r="P423" s="39">
        <f t="shared" si="38"/>
        <v>127</v>
      </c>
      <c r="Q423" s="40">
        <f t="shared" si="39"/>
        <v>1025</v>
      </c>
      <c r="R423" s="41">
        <f t="shared" si="40"/>
        <v>4430</v>
      </c>
      <c r="S423" s="42" t="str">
        <f t="shared" si="41"/>
        <v>Overstock 📦</v>
      </c>
      <c r="T423" s="43">
        <f>IFERROR(N423/AVERAGE(M422:M426),0)</f>
        <v>0.21877066496274594</v>
      </c>
      <c r="U423" s="44">
        <v>291.44</v>
      </c>
      <c r="V423" s="45">
        <v>3.5700000000000003E-2</v>
      </c>
    </row>
    <row r="424" spans="1:22" ht="15" customHeight="1" x14ac:dyDescent="0.35">
      <c r="A424" s="46">
        <v>3</v>
      </c>
      <c r="B424" s="32">
        <v>2023</v>
      </c>
      <c r="C424" s="46" t="s">
        <v>264</v>
      </c>
      <c r="D424" s="46" t="s">
        <v>202</v>
      </c>
      <c r="E424" s="47" t="s">
        <v>203</v>
      </c>
      <c r="F424" s="46" t="s">
        <v>36</v>
      </c>
      <c r="G424" s="34">
        <v>2573</v>
      </c>
      <c r="H424" s="34">
        <v>7</v>
      </c>
      <c r="I424" s="34">
        <f>IFERROR(ROUND('Data Bulanan'!CC89,0),0)</f>
        <v>48349</v>
      </c>
      <c r="J424" s="34">
        <v>731838</v>
      </c>
      <c r="K424" s="34">
        <v>327723</v>
      </c>
      <c r="L424" s="35">
        <f t="shared" si="36"/>
        <v>465</v>
      </c>
      <c r="M424" s="36">
        <f>IFERROR(AVERAGE('Data Bulanan'!BF89,'Data Bulanan'!BH89,'Data Bulanan'!BJ89,'Data Bulanan'!BL89,'Data Bulanan'!BN89,'Data Bulanan'!BP89,'Data Bulanan'!BR89,'Data Bulanan'!BT89,'Data Bulanan'!BV89,'Data Bulanan'!BX89,'Data Bulanan'!BZ89,'Data Bulanan'!CB89),0)</f>
        <v>128.37720174091143</v>
      </c>
      <c r="N424" s="37">
        <f>'Data Bulanan'!CD89</f>
        <v>35.235538771664977</v>
      </c>
      <c r="O424" s="38">
        <f t="shared" si="37"/>
        <v>93.224472901199832</v>
      </c>
      <c r="P424" s="39">
        <f t="shared" si="38"/>
        <v>154</v>
      </c>
      <c r="Q424" s="40">
        <f t="shared" si="39"/>
        <v>1053</v>
      </c>
      <c r="R424" s="41">
        <f t="shared" si="40"/>
        <v>1520</v>
      </c>
      <c r="S424" s="42" t="str">
        <f t="shared" si="41"/>
        <v>Overstock 📦</v>
      </c>
      <c r="T424" s="43">
        <f>IFERROR(N424/AVERAGE(M422:M426),0)</f>
        <v>0.2642588586079187</v>
      </c>
      <c r="U424" s="44">
        <v>291.44</v>
      </c>
      <c r="V424" s="45">
        <v>3.5700000000000003E-2</v>
      </c>
    </row>
    <row r="425" spans="1:22" ht="15" customHeight="1" x14ac:dyDescent="0.35">
      <c r="A425" s="46">
        <v>4</v>
      </c>
      <c r="B425" s="32">
        <v>2024</v>
      </c>
      <c r="C425" s="46" t="s">
        <v>264</v>
      </c>
      <c r="D425" s="46" t="s">
        <v>202</v>
      </c>
      <c r="E425" s="47" t="s">
        <v>203</v>
      </c>
      <c r="F425" s="46" t="s">
        <v>36</v>
      </c>
      <c r="G425" s="34">
        <v>1787</v>
      </c>
      <c r="H425" s="34">
        <v>7</v>
      </c>
      <c r="I425" s="34">
        <f>IFERROR(ROUND('Data Bulanan'!DC89,0),0)</f>
        <v>48712</v>
      </c>
      <c r="J425" s="34">
        <v>684668</v>
      </c>
      <c r="K425" s="34">
        <v>293379</v>
      </c>
      <c r="L425" s="35">
        <f t="shared" si="36"/>
        <v>477</v>
      </c>
      <c r="M425" s="36">
        <f>IFERROR(AVERAGE('Data Bulanan'!CF89,'Data Bulanan'!CH89,'Data Bulanan'!CJ89,'Data Bulanan'!CL89,'Data Bulanan'!CN89,'Data Bulanan'!CP89,'Data Bulanan'!CR89,'Data Bulanan'!CT89,'Data Bulanan'!CV89,'Data Bulanan'!CX89,'Data Bulanan'!CZ89,'Data Bulanan'!DB89),0)</f>
        <v>129.51749871991808</v>
      </c>
      <c r="N425" s="37">
        <f>'Data Bulanan'!DD89</f>
        <v>27.129777793014629</v>
      </c>
      <c r="O425" s="38">
        <f t="shared" si="37"/>
        <v>71.778645164759467</v>
      </c>
      <c r="P425" s="39">
        <f t="shared" si="38"/>
        <v>118</v>
      </c>
      <c r="Q425" s="40">
        <f t="shared" si="39"/>
        <v>1025</v>
      </c>
      <c r="R425" s="41">
        <f t="shared" si="40"/>
        <v>762</v>
      </c>
      <c r="S425" s="42" t="str">
        <f t="shared" si="41"/>
        <v>Overstock 📦</v>
      </c>
      <c r="T425" s="43">
        <f>IFERROR(N425/AVERAGE(M422:M426),0)</f>
        <v>0.20346741851535871</v>
      </c>
      <c r="U425" s="44">
        <v>291.44</v>
      </c>
      <c r="V425" s="45">
        <v>3.5700000000000003E-2</v>
      </c>
    </row>
    <row r="426" spans="1:22" ht="15" customHeight="1" x14ac:dyDescent="0.35">
      <c r="A426" s="46">
        <v>5</v>
      </c>
      <c r="B426" s="32">
        <v>2025</v>
      </c>
      <c r="C426" s="46" t="s">
        <v>264</v>
      </c>
      <c r="D426" s="46" t="s">
        <v>202</v>
      </c>
      <c r="E426" s="47" t="s">
        <v>203</v>
      </c>
      <c r="F426" s="46" t="s">
        <v>36</v>
      </c>
      <c r="G426" s="34">
        <v>0</v>
      </c>
      <c r="H426" s="34">
        <v>7</v>
      </c>
      <c r="I426" s="34">
        <f>IFERROR(ROUND('Data Bulanan'!EC89,0),0)</f>
        <v>53339</v>
      </c>
      <c r="J426" s="34">
        <v>749999</v>
      </c>
      <c r="K426" s="34">
        <v>312231</v>
      </c>
      <c r="L426" s="35">
        <f t="shared" si="36"/>
        <v>506</v>
      </c>
      <c r="M426" s="36">
        <f>IFERROR(AVERAGE('Data Bulanan'!DF89,'Data Bulanan'!DH89,'Data Bulanan'!DJ89,'Data Bulanan'!DL89,'Data Bulanan'!DN89,'Data Bulanan'!DP89,'Data Bulanan'!DR89,'Data Bulanan'!DT89,'Data Bulanan'!DV89,'Data Bulanan'!DX89,'Data Bulanan'!DZ89,'Data Bulanan'!EB89),0)</f>
        <v>141.88235407066051</v>
      </c>
      <c r="N426" s="37">
        <f>'Data Bulanan'!ED89</f>
        <v>29.747041645975283</v>
      </c>
      <c r="O426" s="38">
        <f t="shared" si="37"/>
        <v>78.703274435132087</v>
      </c>
      <c r="P426" s="39">
        <f t="shared" si="38"/>
        <v>130</v>
      </c>
      <c r="Q426" s="40">
        <f t="shared" si="39"/>
        <v>1123</v>
      </c>
      <c r="R426" s="41">
        <f t="shared" si="40"/>
        <v>-1123</v>
      </c>
      <c r="S426" s="42" t="str">
        <f t="shared" si="41"/>
        <v>Stockout ⚠</v>
      </c>
      <c r="T426" s="43">
        <f>IFERROR(N426/AVERAGE(M422:M426),0)</f>
        <v>0.22309632678723482</v>
      </c>
      <c r="U426" s="44">
        <v>291.44</v>
      </c>
      <c r="V426" s="45">
        <v>3.5700000000000003E-2</v>
      </c>
    </row>
    <row r="427" spans="1:22" ht="15" customHeight="1" x14ac:dyDescent="0.35">
      <c r="A427" s="31">
        <v>1</v>
      </c>
      <c r="B427" s="32">
        <v>2021</v>
      </c>
      <c r="C427" s="31" t="s">
        <v>264</v>
      </c>
      <c r="D427" s="31" t="s">
        <v>204</v>
      </c>
      <c r="E427" s="33" t="s">
        <v>205</v>
      </c>
      <c r="F427" s="31" t="s">
        <v>36</v>
      </c>
      <c r="G427" s="34">
        <v>21501</v>
      </c>
      <c r="H427" s="34">
        <v>42</v>
      </c>
      <c r="I427" s="34">
        <f>IFERROR(ROUND('Data Bulanan'!AC90,0),0)</f>
        <v>34840</v>
      </c>
      <c r="J427" s="34">
        <v>9136737</v>
      </c>
      <c r="K427" s="34">
        <v>248023</v>
      </c>
      <c r="L427" s="35">
        <f t="shared" si="36"/>
        <v>1602</v>
      </c>
      <c r="M427" s="36">
        <f>IFERROR(AVERAGE('Data Bulanan'!F90,'Data Bulanan'!H90,'Data Bulanan'!J90,'Data Bulanan'!L90,'Data Bulanan'!N90,'Data Bulanan'!P90,'Data Bulanan'!R90,'Data Bulanan'!T90,'Data Bulanan'!V90,'Data Bulanan'!X90,'Data Bulanan'!Z90,'Data Bulanan'!AB90),0)</f>
        <v>92.810016641065033</v>
      </c>
      <c r="N427" s="37">
        <f>'Data Bulanan'!AD90</f>
        <v>15.840522608590655</v>
      </c>
      <c r="O427" s="38">
        <f t="shared" si="37"/>
        <v>102.65831955354331</v>
      </c>
      <c r="P427" s="39">
        <f t="shared" si="38"/>
        <v>169</v>
      </c>
      <c r="Q427" s="40">
        <f t="shared" si="39"/>
        <v>4067</v>
      </c>
      <c r="R427" s="41">
        <f t="shared" si="40"/>
        <v>17434</v>
      </c>
      <c r="S427" s="42" t="str">
        <f t="shared" si="41"/>
        <v>Overstock 📦</v>
      </c>
      <c r="T427" s="43">
        <f>IFERROR(N427/AVERAGE(M427:M431),0)</f>
        <v>0.15645720965333393</v>
      </c>
      <c r="U427" s="44">
        <v>22.7</v>
      </c>
      <c r="V427" s="45">
        <v>1E-4</v>
      </c>
    </row>
    <row r="428" spans="1:22" ht="15" customHeight="1" x14ac:dyDescent="0.35">
      <c r="A428" s="31">
        <v>2</v>
      </c>
      <c r="B428" s="32">
        <v>2022</v>
      </c>
      <c r="C428" s="31" t="s">
        <v>264</v>
      </c>
      <c r="D428" s="31" t="s">
        <v>204</v>
      </c>
      <c r="E428" s="33" t="s">
        <v>205</v>
      </c>
      <c r="F428" s="31" t="s">
        <v>36</v>
      </c>
      <c r="G428" s="34">
        <v>8313</v>
      </c>
      <c r="H428" s="34">
        <v>42</v>
      </c>
      <c r="I428" s="34">
        <f>IFERROR(ROUND('Data Bulanan'!BC90,0),0)</f>
        <v>41322</v>
      </c>
      <c r="J428" s="34">
        <v>9295094</v>
      </c>
      <c r="K428" s="34">
        <v>259953</v>
      </c>
      <c r="L428" s="35">
        <f t="shared" si="36"/>
        <v>1719</v>
      </c>
      <c r="M428" s="36">
        <f>IFERROR(AVERAGE('Data Bulanan'!AF90,'Data Bulanan'!AH90,'Data Bulanan'!AJ90,'Data Bulanan'!AL90,'Data Bulanan'!AN90,'Data Bulanan'!AP90,'Data Bulanan'!AR90,'Data Bulanan'!AT90,'Data Bulanan'!AV90,'Data Bulanan'!AX90,'Data Bulanan'!AZ90,'Data Bulanan'!BB90),0)</f>
        <v>109.63821684587816</v>
      </c>
      <c r="N428" s="37">
        <f>'Data Bulanan'!BD90</f>
        <v>24.372866978988011</v>
      </c>
      <c r="O428" s="38">
        <f t="shared" si="37"/>
        <v>157.95423096760865</v>
      </c>
      <c r="P428" s="39">
        <f t="shared" si="38"/>
        <v>261</v>
      </c>
      <c r="Q428" s="40">
        <f t="shared" si="39"/>
        <v>4866</v>
      </c>
      <c r="R428" s="41">
        <f t="shared" si="40"/>
        <v>3447</v>
      </c>
      <c r="S428" s="42" t="str">
        <f t="shared" si="41"/>
        <v>Overstock 📦</v>
      </c>
      <c r="T428" s="43">
        <f>IFERROR(N428/AVERAGE(M427:M431),0)</f>
        <v>0.24073137313767076</v>
      </c>
      <c r="U428" s="44">
        <v>22.7</v>
      </c>
      <c r="V428" s="45">
        <v>1E-4</v>
      </c>
    </row>
    <row r="429" spans="1:22" ht="15" customHeight="1" x14ac:dyDescent="0.35">
      <c r="A429" s="31">
        <v>3</v>
      </c>
      <c r="B429" s="32">
        <v>2023</v>
      </c>
      <c r="C429" s="31" t="s">
        <v>264</v>
      </c>
      <c r="D429" s="31" t="s">
        <v>204</v>
      </c>
      <c r="E429" s="33" t="s">
        <v>205</v>
      </c>
      <c r="F429" s="31" t="s">
        <v>36</v>
      </c>
      <c r="G429" s="34">
        <v>19066</v>
      </c>
      <c r="H429" s="34">
        <v>42</v>
      </c>
      <c r="I429" s="34">
        <f>IFERROR(ROUND('Data Bulanan'!CC90,0),0)</f>
        <v>38149</v>
      </c>
      <c r="J429" s="34">
        <v>8633502</v>
      </c>
      <c r="K429" s="34">
        <v>241516</v>
      </c>
      <c r="L429" s="35">
        <f t="shared" si="36"/>
        <v>1651</v>
      </c>
      <c r="M429" s="36">
        <f>IFERROR(AVERAGE('Data Bulanan'!BF90,'Data Bulanan'!BH90,'Data Bulanan'!BJ90,'Data Bulanan'!BL90,'Data Bulanan'!BN90,'Data Bulanan'!BP90,'Data Bulanan'!BR90,'Data Bulanan'!BT90,'Data Bulanan'!BV90,'Data Bulanan'!BX90,'Data Bulanan'!BZ90,'Data Bulanan'!CB90),0)</f>
        <v>101.52626088069634</v>
      </c>
      <c r="N429" s="37">
        <f>'Data Bulanan'!CD90</f>
        <v>19.237196206879382</v>
      </c>
      <c r="O429" s="38">
        <f t="shared" si="37"/>
        <v>124.67128038118052</v>
      </c>
      <c r="P429" s="39">
        <f t="shared" si="38"/>
        <v>206</v>
      </c>
      <c r="Q429" s="40">
        <f t="shared" si="39"/>
        <v>4470</v>
      </c>
      <c r="R429" s="41">
        <f t="shared" si="40"/>
        <v>14596</v>
      </c>
      <c r="S429" s="42" t="str">
        <f t="shared" si="41"/>
        <v>Overstock 📦</v>
      </c>
      <c r="T429" s="43">
        <f>IFERROR(N429/AVERAGE(M427:M431),0)</f>
        <v>0.1900062336611148</v>
      </c>
      <c r="U429" s="44">
        <v>22.7</v>
      </c>
      <c r="V429" s="45">
        <v>1E-4</v>
      </c>
    </row>
    <row r="430" spans="1:22" ht="15" customHeight="1" x14ac:dyDescent="0.35">
      <c r="A430" s="31">
        <v>4</v>
      </c>
      <c r="B430" s="32">
        <v>2024</v>
      </c>
      <c r="C430" s="31" t="s">
        <v>264</v>
      </c>
      <c r="D430" s="31" t="s">
        <v>204</v>
      </c>
      <c r="E430" s="33" t="s">
        <v>205</v>
      </c>
      <c r="F430" s="31" t="s">
        <v>36</v>
      </c>
      <c r="G430" s="34">
        <v>0</v>
      </c>
      <c r="H430" s="34">
        <v>42</v>
      </c>
      <c r="I430" s="34">
        <f>IFERROR(ROUND('Data Bulanan'!DC90,0),0)</f>
        <v>40952</v>
      </c>
      <c r="J430" s="34">
        <v>8628867</v>
      </c>
      <c r="K430" s="34">
        <v>248750</v>
      </c>
      <c r="L430" s="35">
        <f t="shared" si="36"/>
        <v>1686</v>
      </c>
      <c r="M430" s="36">
        <f>IFERROR(AVERAGE('Data Bulanan'!CF90,'Data Bulanan'!CH90,'Data Bulanan'!CJ90,'Data Bulanan'!CL90,'Data Bulanan'!CN90,'Data Bulanan'!CP90,'Data Bulanan'!CR90,'Data Bulanan'!CT90,'Data Bulanan'!CV90,'Data Bulanan'!CX90,'Data Bulanan'!CZ90,'Data Bulanan'!DB90),0)</f>
        <v>108.62235663082437</v>
      </c>
      <c r="N430" s="37">
        <f>'Data Bulanan'!DD90</f>
        <v>27.151367244817042</v>
      </c>
      <c r="O430" s="38">
        <f t="shared" si="37"/>
        <v>175.9609707209039</v>
      </c>
      <c r="P430" s="39">
        <f t="shared" si="38"/>
        <v>290</v>
      </c>
      <c r="Q430" s="40">
        <f t="shared" si="39"/>
        <v>4852</v>
      </c>
      <c r="R430" s="41">
        <f t="shared" si="40"/>
        <v>-4852</v>
      </c>
      <c r="S430" s="42" t="str">
        <f t="shared" si="41"/>
        <v>Stockout ⚠</v>
      </c>
      <c r="T430" s="43">
        <f>IFERROR(N430/AVERAGE(M427:M431),0)</f>
        <v>0.26817468478553902</v>
      </c>
      <c r="U430" s="44">
        <v>22.7</v>
      </c>
      <c r="V430" s="45">
        <v>1E-4</v>
      </c>
    </row>
    <row r="431" spans="1:22" ht="15" customHeight="1" x14ac:dyDescent="0.35">
      <c r="A431" s="31">
        <v>5</v>
      </c>
      <c r="B431" s="32">
        <v>2025</v>
      </c>
      <c r="C431" s="31" t="s">
        <v>264</v>
      </c>
      <c r="D431" s="31" t="s">
        <v>204</v>
      </c>
      <c r="E431" s="33" t="s">
        <v>205</v>
      </c>
      <c r="F431" s="31" t="s">
        <v>36</v>
      </c>
      <c r="G431" s="34">
        <v>11990</v>
      </c>
      <c r="H431" s="34">
        <v>42</v>
      </c>
      <c r="I431" s="34">
        <f>IFERROR(ROUND('Data Bulanan'!EC90,0),0)</f>
        <v>35139</v>
      </c>
      <c r="J431" s="34">
        <v>8578245</v>
      </c>
      <c r="K431" s="34">
        <v>268215</v>
      </c>
      <c r="L431" s="35">
        <f t="shared" si="36"/>
        <v>1499</v>
      </c>
      <c r="M431" s="36">
        <f>IFERROR(AVERAGE('Data Bulanan'!DF90,'Data Bulanan'!DH90,'Data Bulanan'!DJ90,'Data Bulanan'!DL90,'Data Bulanan'!DN90,'Data Bulanan'!DP90,'Data Bulanan'!DR90,'Data Bulanan'!DT90,'Data Bulanan'!DV90,'Data Bulanan'!DX90,'Data Bulanan'!DZ90,'Data Bulanan'!EB90),0)</f>
        <v>93.628545826932921</v>
      </c>
      <c r="N431" s="37">
        <f>'Data Bulanan'!ED90</f>
        <v>19.255619087865693</v>
      </c>
      <c r="O431" s="38">
        <f t="shared" si="37"/>
        <v>124.79067429577044</v>
      </c>
      <c r="P431" s="39">
        <f t="shared" si="38"/>
        <v>206</v>
      </c>
      <c r="Q431" s="40">
        <f t="shared" si="39"/>
        <v>4138</v>
      </c>
      <c r="R431" s="41">
        <f t="shared" si="40"/>
        <v>7852</v>
      </c>
      <c r="S431" s="42" t="str">
        <f t="shared" si="41"/>
        <v>Overstock 📦</v>
      </c>
      <c r="T431" s="43">
        <f>IFERROR(N431/AVERAGE(M427:M431),0)</f>
        <v>0.19018819688443234</v>
      </c>
      <c r="U431" s="44">
        <v>22.7</v>
      </c>
      <c r="V431" s="45">
        <v>1E-4</v>
      </c>
    </row>
    <row r="432" spans="1:22" ht="15" customHeight="1" x14ac:dyDescent="0.35">
      <c r="A432" s="46">
        <v>1</v>
      </c>
      <c r="B432" s="32">
        <v>2021</v>
      </c>
      <c r="C432" s="46" t="s">
        <v>264</v>
      </c>
      <c r="D432" s="46" t="s">
        <v>206</v>
      </c>
      <c r="E432" s="47" t="s">
        <v>207</v>
      </c>
      <c r="F432" s="46" t="s">
        <v>36</v>
      </c>
      <c r="G432" s="34">
        <v>745</v>
      </c>
      <c r="H432" s="34">
        <v>8</v>
      </c>
      <c r="I432" s="34">
        <f>IFERROR(ROUND('Data Bulanan'!AC91,0),0)</f>
        <v>18070</v>
      </c>
      <c r="J432" s="34">
        <v>1230893</v>
      </c>
      <c r="K432" s="34">
        <v>475283</v>
      </c>
      <c r="L432" s="35">
        <f t="shared" si="36"/>
        <v>306</v>
      </c>
      <c r="M432" s="36">
        <f>IFERROR(AVERAGE('Data Bulanan'!F91,'Data Bulanan'!H91,'Data Bulanan'!J91,'Data Bulanan'!L91,'Data Bulanan'!N91,'Data Bulanan'!P91,'Data Bulanan'!R91,'Data Bulanan'!T91,'Data Bulanan'!V91,'Data Bulanan'!X91,'Data Bulanan'!Z91,'Data Bulanan'!AB91),0)</f>
        <v>48.141282642089095</v>
      </c>
      <c r="N432" s="37">
        <f>'Data Bulanan'!AD91</f>
        <v>11.953720156395663</v>
      </c>
      <c r="O432" s="38">
        <f t="shared" si="37"/>
        <v>33.810226331974768</v>
      </c>
      <c r="P432" s="39">
        <f t="shared" si="38"/>
        <v>56</v>
      </c>
      <c r="Q432" s="40">
        <f t="shared" si="39"/>
        <v>441</v>
      </c>
      <c r="R432" s="41">
        <f t="shared" si="40"/>
        <v>304</v>
      </c>
      <c r="S432" s="42" t="str">
        <f t="shared" si="41"/>
        <v>Aman ✅</v>
      </c>
      <c r="T432" s="43">
        <f>IFERROR(N432/AVERAGE(M432:M436),0)</f>
        <v>0.27316561927690747</v>
      </c>
      <c r="U432" s="44">
        <v>-632.82000000000005</v>
      </c>
      <c r="V432" s="45">
        <v>0.54049999999999998</v>
      </c>
    </row>
    <row r="433" spans="1:22" ht="15" customHeight="1" x14ac:dyDescent="0.35">
      <c r="A433" s="46">
        <v>2</v>
      </c>
      <c r="B433" s="32">
        <v>2022</v>
      </c>
      <c r="C433" s="46" t="s">
        <v>264</v>
      </c>
      <c r="D433" s="46" t="s">
        <v>206</v>
      </c>
      <c r="E433" s="47" t="s">
        <v>207</v>
      </c>
      <c r="F433" s="46" t="s">
        <v>36</v>
      </c>
      <c r="G433" s="34">
        <v>2273</v>
      </c>
      <c r="H433" s="34">
        <v>8</v>
      </c>
      <c r="I433" s="34">
        <f>IFERROR(ROUND('Data Bulanan'!BC91,0),0)</f>
        <v>16841</v>
      </c>
      <c r="J433" s="34">
        <v>1299601</v>
      </c>
      <c r="K433" s="34">
        <v>477446</v>
      </c>
      <c r="L433" s="35">
        <f t="shared" si="36"/>
        <v>303</v>
      </c>
      <c r="M433" s="36">
        <f>IFERROR(AVERAGE('Data Bulanan'!AF91,'Data Bulanan'!AH91,'Data Bulanan'!AJ91,'Data Bulanan'!AL91,'Data Bulanan'!AN91,'Data Bulanan'!AP91,'Data Bulanan'!AR91,'Data Bulanan'!AT91,'Data Bulanan'!AV91,'Data Bulanan'!AX91,'Data Bulanan'!AZ91,'Data Bulanan'!BB91),0)</f>
        <v>44.751920122887867</v>
      </c>
      <c r="N433" s="37">
        <f>'Data Bulanan'!BD91</f>
        <v>9.4033658614444171</v>
      </c>
      <c r="O433" s="38">
        <f t="shared" si="37"/>
        <v>26.596735066421715</v>
      </c>
      <c r="P433" s="39">
        <f t="shared" si="38"/>
        <v>44</v>
      </c>
      <c r="Q433" s="40">
        <f t="shared" si="39"/>
        <v>402</v>
      </c>
      <c r="R433" s="41">
        <f t="shared" si="40"/>
        <v>1871</v>
      </c>
      <c r="S433" s="42" t="str">
        <f t="shared" si="41"/>
        <v>Overstock 📦</v>
      </c>
      <c r="T433" s="43">
        <f>IFERROR(N433/AVERAGE(M432:M436),0)</f>
        <v>0.21488509227434624</v>
      </c>
      <c r="U433" s="44">
        <v>-632.82000000000005</v>
      </c>
      <c r="V433" s="45">
        <v>0.54049999999999998</v>
      </c>
    </row>
    <row r="434" spans="1:22" ht="15" customHeight="1" x14ac:dyDescent="0.35">
      <c r="A434" s="46">
        <v>3</v>
      </c>
      <c r="B434" s="32">
        <v>2023</v>
      </c>
      <c r="C434" s="46" t="s">
        <v>264</v>
      </c>
      <c r="D434" s="46" t="s">
        <v>206</v>
      </c>
      <c r="E434" s="47" t="s">
        <v>207</v>
      </c>
      <c r="F434" s="46" t="s">
        <v>36</v>
      </c>
      <c r="G434" s="34">
        <v>1068</v>
      </c>
      <c r="H434" s="34">
        <v>8</v>
      </c>
      <c r="I434" s="34">
        <f>IFERROR(ROUND('Data Bulanan'!CC91,0),0)</f>
        <v>16824</v>
      </c>
      <c r="J434" s="34">
        <v>1226597</v>
      </c>
      <c r="K434" s="34">
        <v>546689</v>
      </c>
      <c r="L434" s="35">
        <f t="shared" si="36"/>
        <v>275</v>
      </c>
      <c r="M434" s="36">
        <f>IFERROR(AVERAGE('Data Bulanan'!BF91,'Data Bulanan'!BH91,'Data Bulanan'!BJ91,'Data Bulanan'!BL91,'Data Bulanan'!BN91,'Data Bulanan'!BP91,'Data Bulanan'!BR91,'Data Bulanan'!BT91,'Data Bulanan'!BV91,'Data Bulanan'!BX91,'Data Bulanan'!BZ91,'Data Bulanan'!CB91),0)</f>
        <v>44.8130632360471</v>
      </c>
      <c r="N434" s="37">
        <f>'Data Bulanan'!CD91</f>
        <v>8.435336143334986</v>
      </c>
      <c r="O434" s="38">
        <f t="shared" si="37"/>
        <v>23.858733554160594</v>
      </c>
      <c r="P434" s="39">
        <f t="shared" si="38"/>
        <v>39</v>
      </c>
      <c r="Q434" s="40">
        <f t="shared" si="39"/>
        <v>398</v>
      </c>
      <c r="R434" s="41">
        <f t="shared" si="40"/>
        <v>670</v>
      </c>
      <c r="S434" s="42" t="str">
        <f t="shared" si="41"/>
        <v>Overstock 📦</v>
      </c>
      <c r="T434" s="43">
        <f>IFERROR(N434/AVERAGE(M432:M436),0)</f>
        <v>0.19276374143409486</v>
      </c>
      <c r="U434" s="44">
        <v>-632.82000000000005</v>
      </c>
      <c r="V434" s="45">
        <v>0.54049999999999998</v>
      </c>
    </row>
    <row r="435" spans="1:22" ht="15" customHeight="1" x14ac:dyDescent="0.35">
      <c r="A435" s="46">
        <v>4</v>
      </c>
      <c r="B435" s="32">
        <v>2024</v>
      </c>
      <c r="C435" s="46" t="s">
        <v>264</v>
      </c>
      <c r="D435" s="46" t="s">
        <v>206</v>
      </c>
      <c r="E435" s="47" t="s">
        <v>207</v>
      </c>
      <c r="F435" s="46" t="s">
        <v>36</v>
      </c>
      <c r="G435" s="34">
        <v>742</v>
      </c>
      <c r="H435" s="34">
        <v>8</v>
      </c>
      <c r="I435" s="34">
        <f>IFERROR(ROUND('Data Bulanan'!DC91,0),0)</f>
        <v>14352</v>
      </c>
      <c r="J435" s="34">
        <v>1300199</v>
      </c>
      <c r="K435" s="34">
        <v>486766</v>
      </c>
      <c r="L435" s="35">
        <f t="shared" si="36"/>
        <v>277</v>
      </c>
      <c r="M435" s="36">
        <f>IFERROR(AVERAGE('Data Bulanan'!CF91,'Data Bulanan'!CH91,'Data Bulanan'!CJ91,'Data Bulanan'!CL91,'Data Bulanan'!CN91,'Data Bulanan'!CP91,'Data Bulanan'!CR91,'Data Bulanan'!CT91,'Data Bulanan'!CV91,'Data Bulanan'!CX91,'Data Bulanan'!CZ91,'Data Bulanan'!DB91),0)</f>
        <v>38.175441628264217</v>
      </c>
      <c r="N435" s="37">
        <f>'Data Bulanan'!DD91</f>
        <v>8.3496562283046334</v>
      </c>
      <c r="O435" s="38">
        <f t="shared" si="37"/>
        <v>23.616394158442795</v>
      </c>
      <c r="P435" s="39">
        <f t="shared" si="38"/>
        <v>39</v>
      </c>
      <c r="Q435" s="40">
        <f t="shared" si="39"/>
        <v>344</v>
      </c>
      <c r="R435" s="41">
        <f t="shared" si="40"/>
        <v>398</v>
      </c>
      <c r="S435" s="42" t="str">
        <f t="shared" si="41"/>
        <v>Overstock 📦</v>
      </c>
      <c r="T435" s="43">
        <f>IFERROR(N435/AVERAGE(M432:M436),0)</f>
        <v>0.19080578970503947</v>
      </c>
      <c r="U435" s="44">
        <v>-632.82000000000005</v>
      </c>
      <c r="V435" s="45">
        <v>0.54049999999999998</v>
      </c>
    </row>
    <row r="436" spans="1:22" ht="15" customHeight="1" x14ac:dyDescent="0.35">
      <c r="A436" s="46">
        <v>5</v>
      </c>
      <c r="B436" s="32">
        <v>2025</v>
      </c>
      <c r="C436" s="46" t="s">
        <v>264</v>
      </c>
      <c r="D436" s="46" t="s">
        <v>206</v>
      </c>
      <c r="E436" s="47" t="s">
        <v>207</v>
      </c>
      <c r="F436" s="46" t="s">
        <v>36</v>
      </c>
      <c r="G436" s="34">
        <v>1565</v>
      </c>
      <c r="H436" s="34">
        <v>8</v>
      </c>
      <c r="I436" s="34">
        <f>IFERROR(ROUND('Data Bulanan'!EC91,0),0)</f>
        <v>16151</v>
      </c>
      <c r="J436" s="34">
        <v>1212356</v>
      </c>
      <c r="K436" s="34">
        <v>505493</v>
      </c>
      <c r="L436" s="35">
        <f t="shared" si="36"/>
        <v>278</v>
      </c>
      <c r="M436" s="36">
        <f>IFERROR(AVERAGE('Data Bulanan'!DF91,'Data Bulanan'!DH91,'Data Bulanan'!DJ91,'Data Bulanan'!DL91,'Data Bulanan'!DN91,'Data Bulanan'!DP91,'Data Bulanan'!DR91,'Data Bulanan'!DT91,'Data Bulanan'!DV91,'Data Bulanan'!DX91,'Data Bulanan'!DZ91,'Data Bulanan'!EB91),0)</f>
        <v>42.918157962109575</v>
      </c>
      <c r="N436" s="37">
        <f>'Data Bulanan'!ED91</f>
        <v>7.1684931252221382</v>
      </c>
      <c r="O436" s="38">
        <f t="shared" si="37"/>
        <v>20.275560398934886</v>
      </c>
      <c r="P436" s="39">
        <f t="shared" si="38"/>
        <v>33</v>
      </c>
      <c r="Q436" s="40">
        <f t="shared" si="39"/>
        <v>376</v>
      </c>
      <c r="R436" s="41">
        <f t="shared" si="40"/>
        <v>1189</v>
      </c>
      <c r="S436" s="42" t="str">
        <f t="shared" si="41"/>
        <v>Overstock 📦</v>
      </c>
      <c r="T436" s="43">
        <f>IFERROR(N436/AVERAGE(M432:M436),0)</f>
        <v>0.1638139289036192</v>
      </c>
      <c r="U436" s="44">
        <v>-632.82000000000005</v>
      </c>
      <c r="V436" s="45">
        <v>0.54049999999999998</v>
      </c>
    </row>
    <row r="437" spans="1:22" ht="15" customHeight="1" x14ac:dyDescent="0.35">
      <c r="A437" s="31">
        <v>1</v>
      </c>
      <c r="B437" s="32">
        <v>2021</v>
      </c>
      <c r="C437" s="31" t="s">
        <v>264</v>
      </c>
      <c r="D437" s="31" t="s">
        <v>208</v>
      </c>
      <c r="E437" s="33" t="s">
        <v>209</v>
      </c>
      <c r="F437" s="31" t="s">
        <v>36</v>
      </c>
      <c r="G437" s="34">
        <v>19453</v>
      </c>
      <c r="H437" s="34">
        <v>43</v>
      </c>
      <c r="I437" s="34">
        <f>IFERROR(ROUND('Data Bulanan'!AC92,0),0)</f>
        <v>55605</v>
      </c>
      <c r="J437" s="34">
        <v>9819816</v>
      </c>
      <c r="K437" s="34">
        <v>402685</v>
      </c>
      <c r="L437" s="35">
        <f t="shared" si="36"/>
        <v>1647</v>
      </c>
      <c r="M437" s="36">
        <f>IFERROR(AVERAGE('Data Bulanan'!F92,'Data Bulanan'!H92,'Data Bulanan'!J92,'Data Bulanan'!L92,'Data Bulanan'!N92,'Data Bulanan'!P92,'Data Bulanan'!R92,'Data Bulanan'!T92,'Data Bulanan'!V92,'Data Bulanan'!X92,'Data Bulanan'!Z92,'Data Bulanan'!AB92),0)</f>
        <v>147.85296979006657</v>
      </c>
      <c r="N437" s="37">
        <f>'Data Bulanan'!AD92</f>
        <v>24.274194618654942</v>
      </c>
      <c r="O437" s="38">
        <f t="shared" si="37"/>
        <v>159.17653893877221</v>
      </c>
      <c r="P437" s="39">
        <f t="shared" si="38"/>
        <v>263</v>
      </c>
      <c r="Q437" s="40">
        <f t="shared" si="39"/>
        <v>6621</v>
      </c>
      <c r="R437" s="41">
        <f t="shared" si="40"/>
        <v>12832</v>
      </c>
      <c r="S437" s="42" t="str">
        <f t="shared" si="41"/>
        <v>Overstock 📦</v>
      </c>
      <c r="T437" s="43">
        <f>IFERROR(N437/AVERAGE(M437:M441),0)</f>
        <v>0.17225444262876091</v>
      </c>
      <c r="U437" s="44">
        <v>-1135.27</v>
      </c>
      <c r="V437" s="45">
        <v>0.26029999999999998</v>
      </c>
    </row>
    <row r="438" spans="1:22" ht="15" customHeight="1" x14ac:dyDescent="0.35">
      <c r="A438" s="31">
        <v>2</v>
      </c>
      <c r="B438" s="32">
        <v>2022</v>
      </c>
      <c r="C438" s="31" t="s">
        <v>264</v>
      </c>
      <c r="D438" s="31" t="s">
        <v>208</v>
      </c>
      <c r="E438" s="33" t="s">
        <v>209</v>
      </c>
      <c r="F438" s="31" t="s">
        <v>36</v>
      </c>
      <c r="G438" s="34">
        <v>18602</v>
      </c>
      <c r="H438" s="34">
        <v>43</v>
      </c>
      <c r="I438" s="34">
        <f>IFERROR(ROUND('Data Bulanan'!BC92,0),0)</f>
        <v>54999</v>
      </c>
      <c r="J438" s="34">
        <v>11048183</v>
      </c>
      <c r="K438" s="34">
        <v>405367</v>
      </c>
      <c r="L438" s="35">
        <f t="shared" si="36"/>
        <v>1731</v>
      </c>
      <c r="M438" s="36">
        <f>IFERROR(AVERAGE('Data Bulanan'!AF92,'Data Bulanan'!AH92,'Data Bulanan'!AJ92,'Data Bulanan'!AL92,'Data Bulanan'!AN92,'Data Bulanan'!AP92,'Data Bulanan'!AR92,'Data Bulanan'!AT92,'Data Bulanan'!AV92,'Data Bulanan'!AX92,'Data Bulanan'!AZ92,'Data Bulanan'!BB92),0)</f>
        <v>146.51623143881207</v>
      </c>
      <c r="N438" s="37">
        <f>'Data Bulanan'!BD92</f>
        <v>34.127873806361912</v>
      </c>
      <c r="O438" s="38">
        <f t="shared" si="37"/>
        <v>223.79143445035476</v>
      </c>
      <c r="P438" s="39">
        <f t="shared" si="38"/>
        <v>369</v>
      </c>
      <c r="Q438" s="40">
        <f t="shared" si="39"/>
        <v>6669</v>
      </c>
      <c r="R438" s="41">
        <f t="shared" si="40"/>
        <v>11933</v>
      </c>
      <c r="S438" s="42" t="str">
        <f t="shared" si="41"/>
        <v>Overstock 📦</v>
      </c>
      <c r="T438" s="43">
        <f>IFERROR(N438/AVERAGE(M437:M441),0)</f>
        <v>0.24217808141415093</v>
      </c>
      <c r="U438" s="44">
        <v>-1135.27</v>
      </c>
      <c r="V438" s="45">
        <v>0.26029999999999998</v>
      </c>
    </row>
    <row r="439" spans="1:22" ht="15" customHeight="1" x14ac:dyDescent="0.35">
      <c r="A439" s="31">
        <v>3</v>
      </c>
      <c r="B439" s="32">
        <v>2023</v>
      </c>
      <c r="C439" s="31" t="s">
        <v>264</v>
      </c>
      <c r="D439" s="31" t="s">
        <v>208</v>
      </c>
      <c r="E439" s="33" t="s">
        <v>209</v>
      </c>
      <c r="F439" s="31" t="s">
        <v>36</v>
      </c>
      <c r="G439" s="34">
        <v>39527</v>
      </c>
      <c r="H439" s="34">
        <v>43</v>
      </c>
      <c r="I439" s="34">
        <f>IFERROR(ROUND('Data Bulanan'!CC92,0),0)</f>
        <v>53270</v>
      </c>
      <c r="J439" s="34">
        <v>10747745</v>
      </c>
      <c r="K439" s="34">
        <v>388622</v>
      </c>
      <c r="L439" s="35">
        <f t="shared" si="36"/>
        <v>1717</v>
      </c>
      <c r="M439" s="36">
        <f>IFERROR(AVERAGE('Data Bulanan'!BF92,'Data Bulanan'!BH92,'Data Bulanan'!BJ92,'Data Bulanan'!BL92,'Data Bulanan'!BN92,'Data Bulanan'!BP92,'Data Bulanan'!BR92,'Data Bulanan'!BT92,'Data Bulanan'!BV92,'Data Bulanan'!BX92,'Data Bulanan'!BZ92,'Data Bulanan'!CB92),0)</f>
        <v>142.0390809011777</v>
      </c>
      <c r="N439" s="37">
        <f>'Data Bulanan'!CD92</f>
        <v>27.434267364891646</v>
      </c>
      <c r="O439" s="38">
        <f t="shared" si="37"/>
        <v>179.89852170454159</v>
      </c>
      <c r="P439" s="39">
        <f t="shared" si="38"/>
        <v>297</v>
      </c>
      <c r="Q439" s="40">
        <f t="shared" si="39"/>
        <v>6405</v>
      </c>
      <c r="R439" s="41">
        <f t="shared" si="40"/>
        <v>33122</v>
      </c>
      <c r="S439" s="42" t="str">
        <f t="shared" si="41"/>
        <v>Overstock 📦</v>
      </c>
      <c r="T439" s="43">
        <f>IFERROR(N439/AVERAGE(M437:M441),0)</f>
        <v>0.19467893819373483</v>
      </c>
      <c r="U439" s="44">
        <v>-1135.27</v>
      </c>
      <c r="V439" s="45">
        <v>0.26029999999999998</v>
      </c>
    </row>
    <row r="440" spans="1:22" ht="15" customHeight="1" x14ac:dyDescent="0.35">
      <c r="A440" s="31">
        <v>4</v>
      </c>
      <c r="B440" s="32">
        <v>2024</v>
      </c>
      <c r="C440" s="31" t="s">
        <v>264</v>
      </c>
      <c r="D440" s="31" t="s">
        <v>208</v>
      </c>
      <c r="E440" s="33" t="s">
        <v>209</v>
      </c>
      <c r="F440" s="31" t="s">
        <v>36</v>
      </c>
      <c r="G440" s="34">
        <v>0</v>
      </c>
      <c r="H440" s="34">
        <v>43</v>
      </c>
      <c r="I440" s="34">
        <f>IFERROR(ROUND('Data Bulanan'!DC92,0),0)</f>
        <v>46862</v>
      </c>
      <c r="J440" s="34">
        <v>10522767</v>
      </c>
      <c r="K440" s="34">
        <v>405284</v>
      </c>
      <c r="L440" s="35">
        <f t="shared" si="36"/>
        <v>1560</v>
      </c>
      <c r="M440" s="36">
        <f>IFERROR(AVERAGE('Data Bulanan'!CF92,'Data Bulanan'!CH92,'Data Bulanan'!CJ92,'Data Bulanan'!CL92,'Data Bulanan'!CN92,'Data Bulanan'!CP92,'Data Bulanan'!CR92,'Data Bulanan'!CT92,'Data Bulanan'!CV92,'Data Bulanan'!CX92,'Data Bulanan'!CZ92,'Data Bulanan'!DB92),0)</f>
        <v>124.43758960573474</v>
      </c>
      <c r="N440" s="37">
        <f>'Data Bulanan'!DD92</f>
        <v>23.064455288718445</v>
      </c>
      <c r="O440" s="38">
        <f t="shared" si="37"/>
        <v>151.24374765228336</v>
      </c>
      <c r="P440" s="39">
        <f t="shared" si="38"/>
        <v>250</v>
      </c>
      <c r="Q440" s="40">
        <f t="shared" si="39"/>
        <v>5601</v>
      </c>
      <c r="R440" s="41">
        <f t="shared" si="40"/>
        <v>-5601</v>
      </c>
      <c r="S440" s="42" t="str">
        <f t="shared" si="41"/>
        <v>Stockout ⚠</v>
      </c>
      <c r="T440" s="43">
        <f>IFERROR(N440/AVERAGE(M437:M441),0)</f>
        <v>0.16366989524097003</v>
      </c>
      <c r="U440" s="44">
        <v>-1135.27</v>
      </c>
      <c r="V440" s="45">
        <v>0.26029999999999998</v>
      </c>
    </row>
    <row r="441" spans="1:22" ht="15" customHeight="1" x14ac:dyDescent="0.35">
      <c r="A441" s="31">
        <v>5</v>
      </c>
      <c r="B441" s="32">
        <v>2025</v>
      </c>
      <c r="C441" s="31" t="s">
        <v>264</v>
      </c>
      <c r="D441" s="31" t="s">
        <v>208</v>
      </c>
      <c r="E441" s="33" t="s">
        <v>209</v>
      </c>
      <c r="F441" s="31" t="s">
        <v>36</v>
      </c>
      <c r="G441" s="34">
        <v>0</v>
      </c>
      <c r="H441" s="34">
        <v>43</v>
      </c>
      <c r="I441" s="34">
        <f>IFERROR(ROUND('Data Bulanan'!EC92,0),0)</f>
        <v>53997</v>
      </c>
      <c r="J441" s="34">
        <v>11058208</v>
      </c>
      <c r="K441" s="34">
        <v>362305</v>
      </c>
      <c r="L441" s="35">
        <f t="shared" si="36"/>
        <v>1816</v>
      </c>
      <c r="M441" s="36">
        <f>IFERROR(AVERAGE('Data Bulanan'!DF92,'Data Bulanan'!DH92,'Data Bulanan'!DJ92,'Data Bulanan'!DL92,'Data Bulanan'!DN92,'Data Bulanan'!DP92,'Data Bulanan'!DR92,'Data Bulanan'!DT92,'Data Bulanan'!DV92,'Data Bulanan'!DX92,'Data Bulanan'!DZ92,'Data Bulanan'!EB92),0)</f>
        <v>143.75698924731182</v>
      </c>
      <c r="N441" s="37">
        <f>'Data Bulanan'!ED92</f>
        <v>32.598969905487358</v>
      </c>
      <c r="O441" s="38">
        <f t="shared" si="37"/>
        <v>213.76574111080436</v>
      </c>
      <c r="P441" s="39">
        <f t="shared" si="38"/>
        <v>353</v>
      </c>
      <c r="Q441" s="40">
        <f t="shared" si="39"/>
        <v>6535</v>
      </c>
      <c r="R441" s="41">
        <f t="shared" si="40"/>
        <v>-6535</v>
      </c>
      <c r="S441" s="42" t="str">
        <f t="shared" si="41"/>
        <v>Stockout ⚠</v>
      </c>
      <c r="T441" s="43">
        <f>IFERROR(N441/AVERAGE(M437:M441),0)</f>
        <v>0.23132867967640225</v>
      </c>
      <c r="U441" s="44">
        <v>-1135.27</v>
      </c>
      <c r="V441" s="45">
        <v>0.26029999999999998</v>
      </c>
    </row>
    <row r="442" spans="1:22" ht="15" customHeight="1" x14ac:dyDescent="0.35">
      <c r="A442" s="46">
        <v>1</v>
      </c>
      <c r="B442" s="32">
        <v>2021</v>
      </c>
      <c r="C442" s="46" t="s">
        <v>264</v>
      </c>
      <c r="D442" s="46" t="s">
        <v>210</v>
      </c>
      <c r="E442" s="47" t="s">
        <v>211</v>
      </c>
      <c r="F442" s="46" t="s">
        <v>36</v>
      </c>
      <c r="G442" s="34">
        <v>5067</v>
      </c>
      <c r="H442" s="34">
        <v>44</v>
      </c>
      <c r="I442" s="34">
        <f>IFERROR(ROUND('Data Bulanan'!AC93,0),0)</f>
        <v>44569</v>
      </c>
      <c r="J442" s="34">
        <v>6806383</v>
      </c>
      <c r="K442" s="34">
        <v>349007</v>
      </c>
      <c r="L442" s="35">
        <f t="shared" si="36"/>
        <v>1318</v>
      </c>
      <c r="M442" s="36">
        <f>IFERROR(AVERAGE('Data Bulanan'!F93,'Data Bulanan'!H93,'Data Bulanan'!J93,'Data Bulanan'!L93,'Data Bulanan'!N93,'Data Bulanan'!P93,'Data Bulanan'!R93,'Data Bulanan'!T93,'Data Bulanan'!V93,'Data Bulanan'!X93,'Data Bulanan'!Z93,'Data Bulanan'!AB93),0)</f>
        <v>118.45879416282645</v>
      </c>
      <c r="N442" s="37">
        <f>'Data Bulanan'!AD93</f>
        <v>30.483514923703989</v>
      </c>
      <c r="O442" s="38">
        <f t="shared" si="37"/>
        <v>202.20476258625089</v>
      </c>
      <c r="P442" s="39">
        <f t="shared" si="38"/>
        <v>334</v>
      </c>
      <c r="Q442" s="40">
        <f t="shared" si="39"/>
        <v>5546</v>
      </c>
      <c r="R442" s="41">
        <f t="shared" si="40"/>
        <v>-479</v>
      </c>
      <c r="S442" s="42" t="str">
        <f t="shared" si="41"/>
        <v>Reorder 🔄</v>
      </c>
      <c r="T442" s="43">
        <f>IFERROR(N442/AVERAGE(M442:M446),0)</f>
        <v>0.24812627887514266</v>
      </c>
      <c r="U442" s="44">
        <v>-761.33</v>
      </c>
      <c r="V442" s="45">
        <v>0.1691</v>
      </c>
    </row>
    <row r="443" spans="1:22" ht="15" customHeight="1" x14ac:dyDescent="0.35">
      <c r="A443" s="46">
        <v>2</v>
      </c>
      <c r="B443" s="32">
        <v>2022</v>
      </c>
      <c r="C443" s="46" t="s">
        <v>264</v>
      </c>
      <c r="D443" s="46" t="s">
        <v>210</v>
      </c>
      <c r="E443" s="47" t="s">
        <v>211</v>
      </c>
      <c r="F443" s="46" t="s">
        <v>36</v>
      </c>
      <c r="G443" s="34">
        <v>17287</v>
      </c>
      <c r="H443" s="34">
        <v>44</v>
      </c>
      <c r="I443" s="34">
        <f>IFERROR(ROUND('Data Bulanan'!BC93,0),0)</f>
        <v>49517</v>
      </c>
      <c r="J443" s="34">
        <v>7215465</v>
      </c>
      <c r="K443" s="34">
        <v>334468</v>
      </c>
      <c r="L443" s="35">
        <f t="shared" si="36"/>
        <v>1462</v>
      </c>
      <c r="M443" s="36">
        <f>IFERROR(AVERAGE('Data Bulanan'!AF93,'Data Bulanan'!AH93,'Data Bulanan'!AJ93,'Data Bulanan'!AL93,'Data Bulanan'!AN93,'Data Bulanan'!AP93,'Data Bulanan'!AR93,'Data Bulanan'!AT93,'Data Bulanan'!AV93,'Data Bulanan'!AX93,'Data Bulanan'!AZ93,'Data Bulanan'!BB93),0)</f>
        <v>132.01498335893496</v>
      </c>
      <c r="N443" s="37">
        <f>'Data Bulanan'!BD93</f>
        <v>29.06272366948329</v>
      </c>
      <c r="O443" s="38">
        <f t="shared" si="37"/>
        <v>192.78029959491386</v>
      </c>
      <c r="P443" s="39">
        <f t="shared" si="38"/>
        <v>318</v>
      </c>
      <c r="Q443" s="40">
        <f t="shared" si="39"/>
        <v>6127</v>
      </c>
      <c r="R443" s="41">
        <f t="shared" si="40"/>
        <v>11160</v>
      </c>
      <c r="S443" s="42" t="str">
        <f t="shared" si="41"/>
        <v>Overstock 📦</v>
      </c>
      <c r="T443" s="43">
        <f>IFERROR(N443/AVERAGE(M442:M446),0)</f>
        <v>0.23656148236625987</v>
      </c>
      <c r="U443" s="44">
        <v>-761.33</v>
      </c>
      <c r="V443" s="45">
        <v>0.1691</v>
      </c>
    </row>
    <row r="444" spans="1:22" ht="15" customHeight="1" x14ac:dyDescent="0.35">
      <c r="A444" s="46">
        <v>3</v>
      </c>
      <c r="B444" s="32">
        <v>2023</v>
      </c>
      <c r="C444" s="46" t="s">
        <v>264</v>
      </c>
      <c r="D444" s="46" t="s">
        <v>210</v>
      </c>
      <c r="E444" s="47" t="s">
        <v>211</v>
      </c>
      <c r="F444" s="46" t="s">
        <v>36</v>
      </c>
      <c r="G444" s="34">
        <v>22191</v>
      </c>
      <c r="H444" s="34">
        <v>44</v>
      </c>
      <c r="I444" s="34">
        <f>IFERROR(ROUND('Data Bulanan'!CC93,0),0)</f>
        <v>47604</v>
      </c>
      <c r="J444" s="34">
        <v>6903822</v>
      </c>
      <c r="K444" s="34">
        <v>349502</v>
      </c>
      <c r="L444" s="35">
        <f t="shared" si="36"/>
        <v>1371</v>
      </c>
      <c r="M444" s="36">
        <f>IFERROR(AVERAGE('Data Bulanan'!BF93,'Data Bulanan'!BH93,'Data Bulanan'!BJ93,'Data Bulanan'!BL93,'Data Bulanan'!BN93,'Data Bulanan'!BP93,'Data Bulanan'!BR93,'Data Bulanan'!BT93,'Data Bulanan'!BV93,'Data Bulanan'!BX93,'Data Bulanan'!BZ93,'Data Bulanan'!CB93),0)</f>
        <v>126.32341909882234</v>
      </c>
      <c r="N444" s="37">
        <f>'Data Bulanan'!CD93</f>
        <v>33.581086515528135</v>
      </c>
      <c r="O444" s="38">
        <f t="shared" si="37"/>
        <v>222.75172804894009</v>
      </c>
      <c r="P444" s="39">
        <f t="shared" si="38"/>
        <v>368</v>
      </c>
      <c r="Q444" s="40">
        <f t="shared" si="39"/>
        <v>5926</v>
      </c>
      <c r="R444" s="41">
        <f t="shared" si="40"/>
        <v>16265</v>
      </c>
      <c r="S444" s="42" t="str">
        <f t="shared" si="41"/>
        <v>Overstock 📦</v>
      </c>
      <c r="T444" s="43">
        <f>IFERROR(N444/AVERAGE(M442:M446),0)</f>
        <v>0.27333954298042545</v>
      </c>
      <c r="U444" s="44">
        <v>-761.33</v>
      </c>
      <c r="V444" s="45">
        <v>0.1691</v>
      </c>
    </row>
    <row r="445" spans="1:22" ht="15" customHeight="1" x14ac:dyDescent="0.35">
      <c r="A445" s="46">
        <v>4</v>
      </c>
      <c r="B445" s="32">
        <v>2024</v>
      </c>
      <c r="C445" s="46" t="s">
        <v>264</v>
      </c>
      <c r="D445" s="46" t="s">
        <v>210</v>
      </c>
      <c r="E445" s="47" t="s">
        <v>211</v>
      </c>
      <c r="F445" s="46" t="s">
        <v>36</v>
      </c>
      <c r="G445" s="34">
        <v>21803</v>
      </c>
      <c r="H445" s="34">
        <v>44</v>
      </c>
      <c r="I445" s="34">
        <f>IFERROR(ROUND('Data Bulanan'!DC93,0),0)</f>
        <v>47094</v>
      </c>
      <c r="J445" s="34">
        <v>6013894</v>
      </c>
      <c r="K445" s="34">
        <v>332386</v>
      </c>
      <c r="L445" s="35">
        <f t="shared" si="36"/>
        <v>1305</v>
      </c>
      <c r="M445" s="36">
        <f>IFERROR(AVERAGE('Data Bulanan'!CF93,'Data Bulanan'!CH93,'Data Bulanan'!CJ93,'Data Bulanan'!CL93,'Data Bulanan'!CN93,'Data Bulanan'!CP93,'Data Bulanan'!CR93,'Data Bulanan'!CT93,'Data Bulanan'!CV93,'Data Bulanan'!CX93,'Data Bulanan'!CZ93,'Data Bulanan'!DB93),0)</f>
        <v>125.58319252432155</v>
      </c>
      <c r="N445" s="37">
        <f>'Data Bulanan'!DD93</f>
        <v>25.377042285123924</v>
      </c>
      <c r="O445" s="38">
        <f t="shared" si="37"/>
        <v>168.33225509747851</v>
      </c>
      <c r="P445" s="39">
        <f t="shared" si="38"/>
        <v>278</v>
      </c>
      <c r="Q445" s="40">
        <f t="shared" si="39"/>
        <v>5804</v>
      </c>
      <c r="R445" s="41">
        <f t="shared" si="40"/>
        <v>15999</v>
      </c>
      <c r="S445" s="42" t="str">
        <f t="shared" si="41"/>
        <v>Overstock 📦</v>
      </c>
      <c r="T445" s="43">
        <f>IFERROR(N445/AVERAGE(M442:M446),0)</f>
        <v>0.20656118845955729</v>
      </c>
      <c r="U445" s="44">
        <v>-761.33</v>
      </c>
      <c r="V445" s="45">
        <v>0.1691</v>
      </c>
    </row>
    <row r="446" spans="1:22" ht="15" customHeight="1" x14ac:dyDescent="0.35">
      <c r="A446" s="46">
        <v>5</v>
      </c>
      <c r="B446" s="32">
        <v>2025</v>
      </c>
      <c r="C446" s="46" t="s">
        <v>264</v>
      </c>
      <c r="D446" s="46" t="s">
        <v>210</v>
      </c>
      <c r="E446" s="47" t="s">
        <v>211</v>
      </c>
      <c r="F446" s="46" t="s">
        <v>36</v>
      </c>
      <c r="G446" s="34">
        <v>0</v>
      </c>
      <c r="H446" s="34">
        <v>44</v>
      </c>
      <c r="I446" s="34">
        <f>IFERROR(ROUND('Data Bulanan'!EC93,0),0)</f>
        <v>41974</v>
      </c>
      <c r="J446" s="34">
        <v>6199622</v>
      </c>
      <c r="K446" s="34">
        <v>308779</v>
      </c>
      <c r="L446" s="35">
        <f t="shared" si="36"/>
        <v>1298</v>
      </c>
      <c r="M446" s="36">
        <f>IFERROR(AVERAGE('Data Bulanan'!DF93,'Data Bulanan'!DH93,'Data Bulanan'!DJ93,'Data Bulanan'!DL93,'Data Bulanan'!DN93,'Data Bulanan'!DP93,'Data Bulanan'!DR93,'Data Bulanan'!DT93,'Data Bulanan'!DV93,'Data Bulanan'!DX93,'Data Bulanan'!DZ93,'Data Bulanan'!EB93),0)</f>
        <v>111.89382360471069</v>
      </c>
      <c r="N446" s="37">
        <f>'Data Bulanan'!ED93</f>
        <v>32.344580760069704</v>
      </c>
      <c r="O446" s="38">
        <f t="shared" si="37"/>
        <v>214.54967676499896</v>
      </c>
      <c r="P446" s="39">
        <f t="shared" si="38"/>
        <v>354</v>
      </c>
      <c r="Q446" s="40">
        <f t="shared" si="39"/>
        <v>5277</v>
      </c>
      <c r="R446" s="41">
        <f t="shared" si="40"/>
        <v>-5277</v>
      </c>
      <c r="S446" s="42" t="str">
        <f t="shared" si="41"/>
        <v>Stockout ⚠</v>
      </c>
      <c r="T446" s="43">
        <f>IFERROR(N446/AVERAGE(M442:M446),0)</f>
        <v>0.26327477280292133</v>
      </c>
      <c r="U446" s="44">
        <v>-761.33</v>
      </c>
      <c r="V446" s="45">
        <v>0.1691</v>
      </c>
    </row>
    <row r="447" spans="1:22" ht="15" customHeight="1" x14ac:dyDescent="0.35">
      <c r="A447" s="31">
        <v>1</v>
      </c>
      <c r="B447" s="32">
        <v>2021</v>
      </c>
      <c r="C447" s="31" t="s">
        <v>264</v>
      </c>
      <c r="D447" s="31" t="s">
        <v>212</v>
      </c>
      <c r="E447" s="33" t="s">
        <v>213</v>
      </c>
      <c r="F447" s="31" t="s">
        <v>36</v>
      </c>
      <c r="G447" s="34">
        <v>2264</v>
      </c>
      <c r="H447" s="34">
        <v>9</v>
      </c>
      <c r="I447" s="34">
        <f>IFERROR(ROUND('Data Bulanan'!AC94,0),0)</f>
        <v>25432</v>
      </c>
      <c r="J447" s="34">
        <v>2556639</v>
      </c>
      <c r="K447" s="34">
        <v>193458</v>
      </c>
      <c r="L447" s="35">
        <f t="shared" si="36"/>
        <v>820</v>
      </c>
      <c r="M447" s="36">
        <f>IFERROR(AVERAGE('Data Bulanan'!F94,'Data Bulanan'!H94,'Data Bulanan'!J94,'Data Bulanan'!L94,'Data Bulanan'!N94,'Data Bulanan'!P94,'Data Bulanan'!R94,'Data Bulanan'!T94,'Data Bulanan'!V94,'Data Bulanan'!X94,'Data Bulanan'!Z94,'Data Bulanan'!AB94),0)</f>
        <v>67.476568100358421</v>
      </c>
      <c r="N447" s="37">
        <f>'Data Bulanan'!AD94</f>
        <v>12.189497335517563</v>
      </c>
      <c r="O447" s="38">
        <f t="shared" si="37"/>
        <v>36.568492006552688</v>
      </c>
      <c r="P447" s="39">
        <f t="shared" si="38"/>
        <v>60</v>
      </c>
      <c r="Q447" s="40">
        <f t="shared" si="39"/>
        <v>667</v>
      </c>
      <c r="R447" s="41">
        <f t="shared" si="40"/>
        <v>1597</v>
      </c>
      <c r="S447" s="42" t="str">
        <f t="shared" si="41"/>
        <v>Overstock 📦</v>
      </c>
      <c r="T447" s="43">
        <f>IFERROR(N447/AVERAGE(M447:M451),0)</f>
        <v>0.16100752963241455</v>
      </c>
      <c r="U447" s="44">
        <v>854.26</v>
      </c>
      <c r="V447" s="45">
        <v>0.1414</v>
      </c>
    </row>
    <row r="448" spans="1:22" ht="15" customHeight="1" x14ac:dyDescent="0.35">
      <c r="A448" s="31">
        <v>2</v>
      </c>
      <c r="B448" s="32">
        <v>2022</v>
      </c>
      <c r="C448" s="31" t="s">
        <v>264</v>
      </c>
      <c r="D448" s="31" t="s">
        <v>212</v>
      </c>
      <c r="E448" s="33" t="s">
        <v>213</v>
      </c>
      <c r="F448" s="31" t="s">
        <v>36</v>
      </c>
      <c r="G448" s="34">
        <v>0</v>
      </c>
      <c r="H448" s="34">
        <v>9</v>
      </c>
      <c r="I448" s="34">
        <f>IFERROR(ROUND('Data Bulanan'!BC94,0),0)</f>
        <v>32415</v>
      </c>
      <c r="J448" s="34">
        <v>2346677</v>
      </c>
      <c r="K448" s="34">
        <v>186386</v>
      </c>
      <c r="L448" s="35">
        <f t="shared" si="36"/>
        <v>903</v>
      </c>
      <c r="M448" s="36">
        <f>IFERROR(AVERAGE('Data Bulanan'!AF94,'Data Bulanan'!AH94,'Data Bulanan'!AJ94,'Data Bulanan'!AL94,'Data Bulanan'!AN94,'Data Bulanan'!AP94,'Data Bulanan'!AR94,'Data Bulanan'!AT94,'Data Bulanan'!AV94,'Data Bulanan'!AX94,'Data Bulanan'!AZ94,'Data Bulanan'!BB94),0)</f>
        <v>86.144687660010263</v>
      </c>
      <c r="N448" s="37">
        <f>'Data Bulanan'!BD94</f>
        <v>15.272650263655837</v>
      </c>
      <c r="O448" s="38">
        <f t="shared" si="37"/>
        <v>45.817950790967515</v>
      </c>
      <c r="P448" s="39">
        <f t="shared" si="38"/>
        <v>76</v>
      </c>
      <c r="Q448" s="40">
        <f t="shared" si="39"/>
        <v>851</v>
      </c>
      <c r="R448" s="41">
        <f t="shared" si="40"/>
        <v>-851</v>
      </c>
      <c r="S448" s="42" t="str">
        <f t="shared" si="41"/>
        <v>Stockout ⚠</v>
      </c>
      <c r="T448" s="43">
        <f>IFERROR(N448/AVERAGE(M447:M451),0)</f>
        <v>0.20173200109950737</v>
      </c>
      <c r="U448" s="44">
        <v>854.26</v>
      </c>
      <c r="V448" s="45">
        <v>0.1414</v>
      </c>
    </row>
    <row r="449" spans="1:22" ht="15" customHeight="1" x14ac:dyDescent="0.35">
      <c r="A449" s="31">
        <v>3</v>
      </c>
      <c r="B449" s="32">
        <v>2023</v>
      </c>
      <c r="C449" s="31" t="s">
        <v>264</v>
      </c>
      <c r="D449" s="31" t="s">
        <v>212</v>
      </c>
      <c r="E449" s="33" t="s">
        <v>213</v>
      </c>
      <c r="F449" s="31" t="s">
        <v>36</v>
      </c>
      <c r="G449" s="34">
        <v>1687</v>
      </c>
      <c r="H449" s="34">
        <v>9</v>
      </c>
      <c r="I449" s="34">
        <f>IFERROR(ROUND('Data Bulanan'!CC94,0),0)</f>
        <v>24607</v>
      </c>
      <c r="J449" s="34">
        <v>2404848</v>
      </c>
      <c r="K449" s="34">
        <v>174457</v>
      </c>
      <c r="L449" s="35">
        <f t="shared" si="36"/>
        <v>824</v>
      </c>
      <c r="M449" s="36">
        <f>IFERROR(AVERAGE('Data Bulanan'!BF94,'Data Bulanan'!BH94,'Data Bulanan'!BJ94,'Data Bulanan'!BL94,'Data Bulanan'!BN94,'Data Bulanan'!BP94,'Data Bulanan'!BR94,'Data Bulanan'!BT94,'Data Bulanan'!BV94,'Data Bulanan'!BX94,'Data Bulanan'!BZ94,'Data Bulanan'!CB94),0)</f>
        <v>65.327828981054779</v>
      </c>
      <c r="N449" s="37">
        <f>'Data Bulanan'!CD94</f>
        <v>15.436697632310766</v>
      </c>
      <c r="O449" s="38">
        <f t="shared" si="37"/>
        <v>46.310092896932296</v>
      </c>
      <c r="P449" s="39">
        <f t="shared" si="38"/>
        <v>76</v>
      </c>
      <c r="Q449" s="40">
        <f t="shared" si="39"/>
        <v>664</v>
      </c>
      <c r="R449" s="41">
        <f t="shared" si="40"/>
        <v>1023</v>
      </c>
      <c r="S449" s="42" t="str">
        <f t="shared" si="41"/>
        <v>Overstock 📦</v>
      </c>
      <c r="T449" s="43">
        <f>IFERROR(N449/AVERAGE(M447:M451),0)</f>
        <v>0.20389885514137723</v>
      </c>
      <c r="U449" s="44">
        <v>854.26</v>
      </c>
      <c r="V449" s="45">
        <v>0.1414</v>
      </c>
    </row>
    <row r="450" spans="1:22" ht="15" customHeight="1" x14ac:dyDescent="0.35">
      <c r="A450" s="31">
        <v>4</v>
      </c>
      <c r="B450" s="32">
        <v>2024</v>
      </c>
      <c r="C450" s="31" t="s">
        <v>264</v>
      </c>
      <c r="D450" s="31" t="s">
        <v>212</v>
      </c>
      <c r="E450" s="33" t="s">
        <v>213</v>
      </c>
      <c r="F450" s="31" t="s">
        <v>36</v>
      </c>
      <c r="G450" s="34">
        <v>5822</v>
      </c>
      <c r="H450" s="34">
        <v>9</v>
      </c>
      <c r="I450" s="34">
        <f>IFERROR(ROUND('Data Bulanan'!DC94,0),0)</f>
        <v>28035</v>
      </c>
      <c r="J450" s="34">
        <v>2503537</v>
      </c>
      <c r="K450" s="34">
        <v>166998</v>
      </c>
      <c r="L450" s="35">
        <f t="shared" si="36"/>
        <v>917</v>
      </c>
      <c r="M450" s="36">
        <f>IFERROR(AVERAGE('Data Bulanan'!CF94,'Data Bulanan'!CH94,'Data Bulanan'!CJ94,'Data Bulanan'!CL94,'Data Bulanan'!CN94,'Data Bulanan'!CP94,'Data Bulanan'!CR94,'Data Bulanan'!CT94,'Data Bulanan'!CV94,'Data Bulanan'!CX94,'Data Bulanan'!CZ94,'Data Bulanan'!DB94),0)</f>
        <v>74.6963133640553</v>
      </c>
      <c r="N450" s="37">
        <f>'Data Bulanan'!DD94</f>
        <v>19.279667684323989</v>
      </c>
      <c r="O450" s="38">
        <f t="shared" si="37"/>
        <v>57.839003052971968</v>
      </c>
      <c r="P450" s="39">
        <f t="shared" si="38"/>
        <v>95</v>
      </c>
      <c r="Q450" s="40">
        <f t="shared" si="39"/>
        <v>767</v>
      </c>
      <c r="R450" s="41">
        <f t="shared" si="40"/>
        <v>5055</v>
      </c>
      <c r="S450" s="42" t="str">
        <f t="shared" si="41"/>
        <v>Overstock 📦</v>
      </c>
      <c r="T450" s="43">
        <f>IFERROR(N450/AVERAGE(M447:M451),0)</f>
        <v>0.25465953029433086</v>
      </c>
      <c r="U450" s="44">
        <v>854.26</v>
      </c>
      <c r="V450" s="45">
        <v>0.1414</v>
      </c>
    </row>
    <row r="451" spans="1:22" ht="15" customHeight="1" x14ac:dyDescent="0.35">
      <c r="A451" s="31">
        <v>5</v>
      </c>
      <c r="B451" s="32">
        <v>2025</v>
      </c>
      <c r="C451" s="31" t="s">
        <v>264</v>
      </c>
      <c r="D451" s="31" t="s">
        <v>212</v>
      </c>
      <c r="E451" s="33" t="s">
        <v>213</v>
      </c>
      <c r="F451" s="31" t="s">
        <v>36</v>
      </c>
      <c r="G451" s="34">
        <v>681</v>
      </c>
      <c r="H451" s="34">
        <v>9</v>
      </c>
      <c r="I451" s="34">
        <f>IFERROR(ROUND('Data Bulanan'!EC94,0),0)</f>
        <v>31894</v>
      </c>
      <c r="J451" s="34">
        <v>2101750</v>
      </c>
      <c r="K451" s="34">
        <v>190895</v>
      </c>
      <c r="L451" s="35">
        <f t="shared" si="36"/>
        <v>838</v>
      </c>
      <c r="M451" s="36">
        <f>IFERROR(AVERAGE('Data Bulanan'!DF94,'Data Bulanan'!DH94,'Data Bulanan'!DJ94,'Data Bulanan'!DL94,'Data Bulanan'!DN94,'Data Bulanan'!DP94,'Data Bulanan'!DR94,'Data Bulanan'!DT94,'Data Bulanan'!DV94,'Data Bulanan'!DX94,'Data Bulanan'!DZ94,'Data Bulanan'!EB94),0)</f>
        <v>84.892716333845371</v>
      </c>
      <c r="N451" s="37">
        <f>'Data Bulanan'!ED94</f>
        <v>17.085141158048941</v>
      </c>
      <c r="O451" s="38">
        <f t="shared" si="37"/>
        <v>51.255423474146824</v>
      </c>
      <c r="P451" s="39">
        <f t="shared" si="38"/>
        <v>85</v>
      </c>
      <c r="Q451" s="40">
        <f t="shared" si="39"/>
        <v>849</v>
      </c>
      <c r="R451" s="41">
        <f t="shared" si="40"/>
        <v>-168</v>
      </c>
      <c r="S451" s="42" t="str">
        <f t="shared" si="41"/>
        <v>Reorder 🔄</v>
      </c>
      <c r="T451" s="43">
        <f>IFERROR(N451/AVERAGE(M447:M451),0)</f>
        <v>0.22567266685092971</v>
      </c>
      <c r="U451" s="44">
        <v>854.26</v>
      </c>
      <c r="V451" s="45">
        <v>0.1414</v>
      </c>
    </row>
    <row r="452" spans="1:22" ht="15" customHeight="1" x14ac:dyDescent="0.35">
      <c r="A452" s="46">
        <v>1</v>
      </c>
      <c r="B452" s="32">
        <v>2021</v>
      </c>
      <c r="C452" s="46" t="s">
        <v>264</v>
      </c>
      <c r="D452" s="46" t="s">
        <v>214</v>
      </c>
      <c r="E452" s="47" t="s">
        <v>215</v>
      </c>
      <c r="F452" s="46" t="s">
        <v>36</v>
      </c>
      <c r="G452" s="34">
        <v>0</v>
      </c>
      <c r="H452" s="34">
        <v>33</v>
      </c>
      <c r="I452" s="34">
        <f>IFERROR(ROUND('Data Bulanan'!AC95,0),0)</f>
        <v>50894</v>
      </c>
      <c r="J452" s="34">
        <v>11254730</v>
      </c>
      <c r="K452" s="34">
        <v>126069</v>
      </c>
      <c r="L452" s="35">
        <f t="shared" si="36"/>
        <v>3014</v>
      </c>
      <c r="M452" s="36">
        <f>IFERROR(AVERAGE('Data Bulanan'!F95,'Data Bulanan'!H95,'Data Bulanan'!J95,'Data Bulanan'!L95,'Data Bulanan'!N95,'Data Bulanan'!P95,'Data Bulanan'!R95,'Data Bulanan'!T95,'Data Bulanan'!V95,'Data Bulanan'!X95,'Data Bulanan'!Z95,'Data Bulanan'!AB95),0)</f>
        <v>135.47523681515619</v>
      </c>
      <c r="N452" s="37">
        <f>'Data Bulanan'!AD95</f>
        <v>38.079074546859779</v>
      </c>
      <c r="O452" s="38">
        <f t="shared" si="37"/>
        <v>218.7476292566277</v>
      </c>
      <c r="P452" s="39">
        <f t="shared" si="38"/>
        <v>361</v>
      </c>
      <c r="Q452" s="40">
        <f t="shared" si="39"/>
        <v>4832</v>
      </c>
      <c r="R452" s="41">
        <f t="shared" si="40"/>
        <v>-4832</v>
      </c>
      <c r="S452" s="42" t="str">
        <f t="shared" si="41"/>
        <v>Stockout ⚠</v>
      </c>
      <c r="T452" s="43">
        <f>IFERROR(N452/AVERAGE(M452:M456),0)</f>
        <v>0.3321887057882485</v>
      </c>
      <c r="U452" s="44">
        <v>-2324.2199999999998</v>
      </c>
      <c r="V452" s="45">
        <v>0.38579999999999998</v>
      </c>
    </row>
    <row r="453" spans="1:22" ht="15" customHeight="1" x14ac:dyDescent="0.35">
      <c r="A453" s="46">
        <v>2</v>
      </c>
      <c r="B453" s="32">
        <v>2022</v>
      </c>
      <c r="C453" s="46" t="s">
        <v>264</v>
      </c>
      <c r="D453" s="46" t="s">
        <v>214</v>
      </c>
      <c r="E453" s="47" t="s">
        <v>215</v>
      </c>
      <c r="F453" s="46" t="s">
        <v>36</v>
      </c>
      <c r="G453" s="34">
        <v>10745</v>
      </c>
      <c r="H453" s="34">
        <v>33</v>
      </c>
      <c r="I453" s="34">
        <f>IFERROR(ROUND('Data Bulanan'!BC95,0),0)</f>
        <v>42855</v>
      </c>
      <c r="J453" s="34">
        <v>12187529</v>
      </c>
      <c r="K453" s="34">
        <v>134694</v>
      </c>
      <c r="L453" s="35">
        <f t="shared" si="36"/>
        <v>2785</v>
      </c>
      <c r="M453" s="36">
        <f>IFERROR(AVERAGE('Data Bulanan'!AF95,'Data Bulanan'!AH95,'Data Bulanan'!AJ95,'Data Bulanan'!AL95,'Data Bulanan'!AN95,'Data Bulanan'!AP95,'Data Bulanan'!AR95,'Data Bulanan'!AT95,'Data Bulanan'!AV95,'Data Bulanan'!AX95,'Data Bulanan'!AZ95,'Data Bulanan'!BB95),0)</f>
        <v>113.90185611879161</v>
      </c>
      <c r="N453" s="37">
        <f>'Data Bulanan'!BD95</f>
        <v>28.485955035483318</v>
      </c>
      <c r="O453" s="38">
        <f t="shared" si="37"/>
        <v>163.63935324779933</v>
      </c>
      <c r="P453" s="39">
        <f t="shared" si="38"/>
        <v>270</v>
      </c>
      <c r="Q453" s="40">
        <f t="shared" si="39"/>
        <v>4029</v>
      </c>
      <c r="R453" s="41">
        <f t="shared" si="40"/>
        <v>6716</v>
      </c>
      <c r="S453" s="42" t="str">
        <f t="shared" si="41"/>
        <v>Overstock 📦</v>
      </c>
      <c r="T453" s="43">
        <f>IFERROR(N453/AVERAGE(M452:M456),0)</f>
        <v>0.24850164162300509</v>
      </c>
      <c r="U453" s="44">
        <v>-2324.2199999999998</v>
      </c>
      <c r="V453" s="45">
        <v>0.38579999999999998</v>
      </c>
    </row>
    <row r="454" spans="1:22" ht="15" customHeight="1" x14ac:dyDescent="0.35">
      <c r="A454" s="46">
        <v>3</v>
      </c>
      <c r="B454" s="32">
        <v>2023</v>
      </c>
      <c r="C454" s="46" t="s">
        <v>264</v>
      </c>
      <c r="D454" s="46" t="s">
        <v>214</v>
      </c>
      <c r="E454" s="47" t="s">
        <v>215</v>
      </c>
      <c r="F454" s="46" t="s">
        <v>36</v>
      </c>
      <c r="G454" s="34">
        <v>6711</v>
      </c>
      <c r="H454" s="34">
        <v>33</v>
      </c>
      <c r="I454" s="34">
        <f>IFERROR(ROUND('Data Bulanan'!CC95,0),0)</f>
        <v>37420</v>
      </c>
      <c r="J454" s="34">
        <v>10651998</v>
      </c>
      <c r="K454" s="34">
        <v>146466</v>
      </c>
      <c r="L454" s="35">
        <f t="shared" si="36"/>
        <v>2333</v>
      </c>
      <c r="M454" s="36">
        <f>IFERROR(AVERAGE('Data Bulanan'!BF95,'Data Bulanan'!BH95,'Data Bulanan'!BJ95,'Data Bulanan'!BL95,'Data Bulanan'!BN95,'Data Bulanan'!BP95,'Data Bulanan'!BR95,'Data Bulanan'!BT95,'Data Bulanan'!BV95,'Data Bulanan'!BX95,'Data Bulanan'!BZ95,'Data Bulanan'!CB95),0)</f>
        <v>99.649507168458783</v>
      </c>
      <c r="N454" s="37">
        <f>'Data Bulanan'!CD95</f>
        <v>26.630130416049436</v>
      </c>
      <c r="O454" s="38">
        <f t="shared" si="37"/>
        <v>152.97845246047379</v>
      </c>
      <c r="P454" s="39">
        <f t="shared" si="38"/>
        <v>252</v>
      </c>
      <c r="Q454" s="40">
        <f t="shared" si="39"/>
        <v>3540</v>
      </c>
      <c r="R454" s="41">
        <f t="shared" si="40"/>
        <v>3171</v>
      </c>
      <c r="S454" s="42" t="str">
        <f t="shared" si="41"/>
        <v>Overstock 📦</v>
      </c>
      <c r="T454" s="43">
        <f>IFERROR(N454/AVERAGE(M452:M456),0)</f>
        <v>0.23231206806230653</v>
      </c>
      <c r="U454" s="44">
        <v>-2324.2199999999998</v>
      </c>
      <c r="V454" s="45">
        <v>0.38579999999999998</v>
      </c>
    </row>
    <row r="455" spans="1:22" ht="15" customHeight="1" x14ac:dyDescent="0.35">
      <c r="A455" s="46">
        <v>4</v>
      </c>
      <c r="B455" s="32">
        <v>2024</v>
      </c>
      <c r="C455" s="46" t="s">
        <v>264</v>
      </c>
      <c r="D455" s="46" t="s">
        <v>214</v>
      </c>
      <c r="E455" s="47" t="s">
        <v>215</v>
      </c>
      <c r="F455" s="46" t="s">
        <v>36</v>
      </c>
      <c r="G455" s="34">
        <v>6721</v>
      </c>
      <c r="H455" s="34">
        <v>33</v>
      </c>
      <c r="I455" s="34">
        <f>IFERROR(ROUND('Data Bulanan'!DC95,0),0)</f>
        <v>46774</v>
      </c>
      <c r="J455" s="34">
        <v>11777623</v>
      </c>
      <c r="K455" s="34">
        <v>129866</v>
      </c>
      <c r="L455" s="35">
        <f t="shared" ref="L455:L518" si="42">IFERROR(ROUND(SQRT(2*I455*J455/K455),0),0)</f>
        <v>2913</v>
      </c>
      <c r="M455" s="36">
        <f>IFERROR(AVERAGE('Data Bulanan'!CF95,'Data Bulanan'!CH95,'Data Bulanan'!CJ95,'Data Bulanan'!CL95,'Data Bulanan'!CN95,'Data Bulanan'!CP95,'Data Bulanan'!CR95,'Data Bulanan'!CT95,'Data Bulanan'!CV95,'Data Bulanan'!CX95,'Data Bulanan'!CZ95,'Data Bulanan'!DB95),0)</f>
        <v>124.73133640552994</v>
      </c>
      <c r="N455" s="37">
        <f>'Data Bulanan'!DD95</f>
        <v>25.637042785452639</v>
      </c>
      <c r="O455" s="38">
        <f t="shared" ref="O455:O518" si="43">IFERROR(N455*SQRT(H455),0)</f>
        <v>147.27359835300848</v>
      </c>
      <c r="P455" s="39">
        <f t="shared" ref="P455:P518" si="44">IFERROR(ROUND(1.65*O455,0),0)</f>
        <v>243</v>
      </c>
      <c r="Q455" s="40">
        <f t="shared" ref="Q455:Q518" si="45">IFERROR(ROUND(M455*H455+P455,0),0)</f>
        <v>4359</v>
      </c>
      <c r="R455" s="41">
        <f t="shared" ref="R455:R518" si="46">G455-Q455</f>
        <v>2362</v>
      </c>
      <c r="S455" s="42" t="str">
        <f t="shared" ref="S455:S506" si="47">IF(G455=0,"Stockout ⚠",IF(G455&lt;Q455,"Reorder 🔄",IF(G455&gt;Q455+L455,"Overstock 📦","Aman ✅")))</f>
        <v>Aman ✅</v>
      </c>
      <c r="T455" s="43">
        <f>IFERROR(N455/AVERAGE(M452:M456),0)</f>
        <v>0.22364871427369737</v>
      </c>
      <c r="U455" s="44">
        <v>-2324.2199999999998</v>
      </c>
      <c r="V455" s="45">
        <v>0.38579999999999998</v>
      </c>
    </row>
    <row r="456" spans="1:22" ht="15" customHeight="1" x14ac:dyDescent="0.35">
      <c r="A456" s="46">
        <v>5</v>
      </c>
      <c r="B456" s="32">
        <v>2025</v>
      </c>
      <c r="C456" s="46" t="s">
        <v>264</v>
      </c>
      <c r="D456" s="46" t="s">
        <v>214</v>
      </c>
      <c r="E456" s="47" t="s">
        <v>215</v>
      </c>
      <c r="F456" s="46" t="s">
        <v>36</v>
      </c>
      <c r="G456" s="34">
        <v>0</v>
      </c>
      <c r="H456" s="34">
        <v>33</v>
      </c>
      <c r="I456" s="34">
        <f>IFERROR(ROUND('Data Bulanan'!EC95,0),0)</f>
        <v>37314</v>
      </c>
      <c r="J456" s="34">
        <v>11952993</v>
      </c>
      <c r="K456" s="34">
        <v>125060</v>
      </c>
      <c r="L456" s="35">
        <f t="shared" si="42"/>
        <v>2671</v>
      </c>
      <c r="M456" s="36">
        <f>IFERROR(AVERAGE('Data Bulanan'!DF95,'Data Bulanan'!DH95,'Data Bulanan'!DJ95,'Data Bulanan'!DL95,'Data Bulanan'!DN95,'Data Bulanan'!DP95,'Data Bulanan'!DR95,'Data Bulanan'!DT95,'Data Bulanan'!DV95,'Data Bulanan'!DX95,'Data Bulanan'!DZ95,'Data Bulanan'!EB95),0)</f>
        <v>99.396326164874552</v>
      </c>
      <c r="N456" s="37">
        <f>'Data Bulanan'!ED95</f>
        <v>22.542188410845629</v>
      </c>
      <c r="O456" s="38">
        <f t="shared" si="43"/>
        <v>129.49501351616624</v>
      </c>
      <c r="P456" s="39">
        <f t="shared" si="44"/>
        <v>214</v>
      </c>
      <c r="Q456" s="40">
        <f t="shared" si="45"/>
        <v>3494</v>
      </c>
      <c r="R456" s="41">
        <f t="shared" si="46"/>
        <v>-3494</v>
      </c>
      <c r="S456" s="42" t="str">
        <f t="shared" si="47"/>
        <v>Stockout ⚠</v>
      </c>
      <c r="T456" s="43">
        <f>IFERROR(N456/AVERAGE(M452:M456),0)</f>
        <v>0.19665027270078939</v>
      </c>
      <c r="U456" s="44">
        <v>-2324.2199999999998</v>
      </c>
      <c r="V456" s="45">
        <v>0.38579999999999998</v>
      </c>
    </row>
    <row r="457" spans="1:22" ht="15" customHeight="1" x14ac:dyDescent="0.35">
      <c r="A457" s="31">
        <v>1</v>
      </c>
      <c r="B457" s="32">
        <v>2021</v>
      </c>
      <c r="C457" s="31" t="s">
        <v>264</v>
      </c>
      <c r="D457" s="31" t="s">
        <v>216</v>
      </c>
      <c r="E457" s="33" t="s">
        <v>217</v>
      </c>
      <c r="F457" s="31" t="s">
        <v>36</v>
      </c>
      <c r="G457" s="34">
        <v>3079</v>
      </c>
      <c r="H457" s="34">
        <v>12</v>
      </c>
      <c r="I457" s="34">
        <f>IFERROR(ROUND('Data Bulanan'!AC96,0),0)</f>
        <v>20426</v>
      </c>
      <c r="J457" s="34">
        <v>1691180</v>
      </c>
      <c r="K457" s="34">
        <v>397559</v>
      </c>
      <c r="L457" s="35">
        <f t="shared" si="42"/>
        <v>417</v>
      </c>
      <c r="M457" s="36">
        <f>IFERROR(AVERAGE('Data Bulanan'!F96,'Data Bulanan'!H96,'Data Bulanan'!J96,'Data Bulanan'!L96,'Data Bulanan'!N96,'Data Bulanan'!P96,'Data Bulanan'!R96,'Data Bulanan'!T96,'Data Bulanan'!V96,'Data Bulanan'!X96,'Data Bulanan'!Z96,'Data Bulanan'!AB96),0)</f>
        <v>54.109747823860737</v>
      </c>
      <c r="N457" s="37">
        <f>'Data Bulanan'!AD96</f>
        <v>12.446683960142042</v>
      </c>
      <c r="O457" s="38">
        <f t="shared" si="43"/>
        <v>43.116578009437234</v>
      </c>
      <c r="P457" s="39">
        <f t="shared" si="44"/>
        <v>71</v>
      </c>
      <c r="Q457" s="40">
        <f t="shared" si="45"/>
        <v>720</v>
      </c>
      <c r="R457" s="41">
        <f t="shared" si="46"/>
        <v>2359</v>
      </c>
      <c r="S457" s="42" t="str">
        <f t="shared" si="47"/>
        <v>Overstock 📦</v>
      </c>
      <c r="T457" s="43">
        <f>IFERROR(N457/AVERAGE(M457:M461),0)</f>
        <v>0.25098284554454386</v>
      </c>
      <c r="U457" s="44">
        <v>163.88</v>
      </c>
      <c r="V457" s="45">
        <v>1.7899999999999999E-2</v>
      </c>
    </row>
    <row r="458" spans="1:22" ht="15" customHeight="1" x14ac:dyDescent="0.35">
      <c r="A458" s="31">
        <v>2</v>
      </c>
      <c r="B458" s="32">
        <v>2022</v>
      </c>
      <c r="C458" s="31" t="s">
        <v>264</v>
      </c>
      <c r="D458" s="31" t="s">
        <v>216</v>
      </c>
      <c r="E458" s="33" t="s">
        <v>217</v>
      </c>
      <c r="F458" s="31" t="s">
        <v>36</v>
      </c>
      <c r="G458" s="34">
        <v>1609</v>
      </c>
      <c r="H458" s="34">
        <v>12</v>
      </c>
      <c r="I458" s="34">
        <f>IFERROR(ROUND('Data Bulanan'!BC96,0),0)</f>
        <v>15937</v>
      </c>
      <c r="J458" s="34">
        <v>1716942</v>
      </c>
      <c r="K458" s="34">
        <v>396817</v>
      </c>
      <c r="L458" s="35">
        <f t="shared" si="42"/>
        <v>371</v>
      </c>
      <c r="M458" s="36">
        <f>IFERROR(AVERAGE('Data Bulanan'!AF96,'Data Bulanan'!AH96,'Data Bulanan'!AJ96,'Data Bulanan'!AL96,'Data Bulanan'!AN96,'Data Bulanan'!AP96,'Data Bulanan'!AR96,'Data Bulanan'!AT96,'Data Bulanan'!AV96,'Data Bulanan'!AX96,'Data Bulanan'!AZ96,'Data Bulanan'!BB96),0)</f>
        <v>42.462711213517665</v>
      </c>
      <c r="N458" s="37">
        <f>'Data Bulanan'!BD96</f>
        <v>7.7253416573176681</v>
      </c>
      <c r="O458" s="38">
        <f t="shared" si="43"/>
        <v>26.76136851260511</v>
      </c>
      <c r="P458" s="39">
        <f t="shared" si="44"/>
        <v>44</v>
      </c>
      <c r="Q458" s="40">
        <f t="shared" si="45"/>
        <v>554</v>
      </c>
      <c r="R458" s="41">
        <f t="shared" si="46"/>
        <v>1055</v>
      </c>
      <c r="S458" s="42" t="str">
        <f t="shared" si="47"/>
        <v>Overstock 📦</v>
      </c>
      <c r="T458" s="43">
        <f>IFERROR(N458/AVERAGE(M457:M461),0)</f>
        <v>0.15577869882182366</v>
      </c>
      <c r="U458" s="44">
        <v>163.88</v>
      </c>
      <c r="V458" s="45">
        <v>1.7899999999999999E-2</v>
      </c>
    </row>
    <row r="459" spans="1:22" ht="15" customHeight="1" x14ac:dyDescent="0.35">
      <c r="A459" s="31">
        <v>3</v>
      </c>
      <c r="B459" s="32">
        <v>2023</v>
      </c>
      <c r="C459" s="31" t="s">
        <v>264</v>
      </c>
      <c r="D459" s="31" t="s">
        <v>216</v>
      </c>
      <c r="E459" s="33" t="s">
        <v>217</v>
      </c>
      <c r="F459" s="31" t="s">
        <v>36</v>
      </c>
      <c r="G459" s="34">
        <v>1998</v>
      </c>
      <c r="H459" s="34">
        <v>12</v>
      </c>
      <c r="I459" s="34">
        <f>IFERROR(ROUND('Data Bulanan'!CC96,0),0)</f>
        <v>18961</v>
      </c>
      <c r="J459" s="34">
        <v>1839038</v>
      </c>
      <c r="K459" s="34">
        <v>388247</v>
      </c>
      <c r="L459" s="35">
        <f t="shared" si="42"/>
        <v>424</v>
      </c>
      <c r="M459" s="36">
        <f>IFERROR(AVERAGE('Data Bulanan'!BF96,'Data Bulanan'!BH96,'Data Bulanan'!BJ96,'Data Bulanan'!BL96,'Data Bulanan'!BN96,'Data Bulanan'!BP96,'Data Bulanan'!BR96,'Data Bulanan'!BT96,'Data Bulanan'!BV96,'Data Bulanan'!BX96,'Data Bulanan'!BZ96,'Data Bulanan'!CB96),0)</f>
        <v>50.462231182795698</v>
      </c>
      <c r="N459" s="37">
        <f>'Data Bulanan'!CD96</f>
        <v>14.75699028032354</v>
      </c>
      <c r="O459" s="38">
        <f t="shared" si="43"/>
        <v>51.119713864640921</v>
      </c>
      <c r="P459" s="39">
        <f t="shared" si="44"/>
        <v>84</v>
      </c>
      <c r="Q459" s="40">
        <f t="shared" si="45"/>
        <v>690</v>
      </c>
      <c r="R459" s="41">
        <f t="shared" si="46"/>
        <v>1308</v>
      </c>
      <c r="S459" s="42" t="str">
        <f t="shared" si="47"/>
        <v>Overstock 📦</v>
      </c>
      <c r="T459" s="43">
        <f>IFERROR(N459/AVERAGE(M457:M461),0)</f>
        <v>0.29756933044088557</v>
      </c>
      <c r="U459" s="44">
        <v>163.88</v>
      </c>
      <c r="V459" s="45">
        <v>1.7899999999999999E-2</v>
      </c>
    </row>
    <row r="460" spans="1:22" ht="15" customHeight="1" x14ac:dyDescent="0.35">
      <c r="A460" s="31">
        <v>4</v>
      </c>
      <c r="B460" s="32">
        <v>2024</v>
      </c>
      <c r="C460" s="31" t="s">
        <v>264</v>
      </c>
      <c r="D460" s="31" t="s">
        <v>216</v>
      </c>
      <c r="E460" s="33" t="s">
        <v>217</v>
      </c>
      <c r="F460" s="31" t="s">
        <v>36</v>
      </c>
      <c r="G460" s="34">
        <v>1715</v>
      </c>
      <c r="H460" s="34">
        <v>12</v>
      </c>
      <c r="I460" s="34">
        <f>IFERROR(ROUND('Data Bulanan'!DC96,0),0)</f>
        <v>17545</v>
      </c>
      <c r="J460" s="34">
        <v>1778083</v>
      </c>
      <c r="K460" s="34">
        <v>368608</v>
      </c>
      <c r="L460" s="35">
        <f t="shared" si="42"/>
        <v>411</v>
      </c>
      <c r="M460" s="36">
        <f>IFERROR(AVERAGE('Data Bulanan'!CF96,'Data Bulanan'!CH96,'Data Bulanan'!CJ96,'Data Bulanan'!CL96,'Data Bulanan'!CN96,'Data Bulanan'!CP96,'Data Bulanan'!CR96,'Data Bulanan'!CT96,'Data Bulanan'!CV96,'Data Bulanan'!CX96,'Data Bulanan'!CZ96,'Data Bulanan'!DB96),0)</f>
        <v>46.604441884280597</v>
      </c>
      <c r="N460" s="37">
        <f>'Data Bulanan'!DD96</f>
        <v>9.0751043302976786</v>
      </c>
      <c r="O460" s="38">
        <f t="shared" si="43"/>
        <v>31.437083568127818</v>
      </c>
      <c r="P460" s="39">
        <f t="shared" si="44"/>
        <v>52</v>
      </c>
      <c r="Q460" s="40">
        <f t="shared" si="45"/>
        <v>611</v>
      </c>
      <c r="R460" s="41">
        <f t="shared" si="46"/>
        <v>1104</v>
      </c>
      <c r="S460" s="42" t="str">
        <f t="shared" si="47"/>
        <v>Overstock 📦</v>
      </c>
      <c r="T460" s="43">
        <f>IFERROR(N460/AVERAGE(M457:M461),0)</f>
        <v>0.18299617116700134</v>
      </c>
      <c r="U460" s="44">
        <v>163.88</v>
      </c>
      <c r="V460" s="45">
        <v>1.7899999999999999E-2</v>
      </c>
    </row>
    <row r="461" spans="1:22" ht="15" customHeight="1" x14ac:dyDescent="0.35">
      <c r="A461" s="31">
        <v>5</v>
      </c>
      <c r="B461" s="32">
        <v>2025</v>
      </c>
      <c r="C461" s="31" t="s">
        <v>264</v>
      </c>
      <c r="D461" s="31" t="s">
        <v>216</v>
      </c>
      <c r="E461" s="33" t="s">
        <v>217</v>
      </c>
      <c r="F461" s="31" t="s">
        <v>36</v>
      </c>
      <c r="G461" s="34">
        <v>1063</v>
      </c>
      <c r="H461" s="34">
        <v>12</v>
      </c>
      <c r="I461" s="34">
        <f>IFERROR(ROUND('Data Bulanan'!EC96,0),0)</f>
        <v>20442</v>
      </c>
      <c r="J461" s="34">
        <v>1618875</v>
      </c>
      <c r="K461" s="34">
        <v>362383</v>
      </c>
      <c r="L461" s="35">
        <f t="shared" si="42"/>
        <v>427</v>
      </c>
      <c r="M461" s="36">
        <f>IFERROR(AVERAGE('Data Bulanan'!DF96,'Data Bulanan'!DH96,'Data Bulanan'!DJ96,'Data Bulanan'!DL96,'Data Bulanan'!DN96,'Data Bulanan'!DP96,'Data Bulanan'!DR96,'Data Bulanan'!DT96,'Data Bulanan'!DV96,'Data Bulanan'!DX96,'Data Bulanan'!DZ96,'Data Bulanan'!EB96),0)</f>
        <v>54.319726062467993</v>
      </c>
      <c r="N461" s="37">
        <f>'Data Bulanan'!ED96</f>
        <v>13.164720325270387</v>
      </c>
      <c r="O461" s="38">
        <f t="shared" si="43"/>
        <v>45.603928941605972</v>
      </c>
      <c r="P461" s="39">
        <f t="shared" si="44"/>
        <v>75</v>
      </c>
      <c r="Q461" s="40">
        <f t="shared" si="45"/>
        <v>727</v>
      </c>
      <c r="R461" s="41">
        <f t="shared" si="46"/>
        <v>336</v>
      </c>
      <c r="S461" s="42" t="str">
        <f t="shared" si="47"/>
        <v>Aman ✅</v>
      </c>
      <c r="T461" s="43">
        <f>IFERROR(N461/AVERAGE(M457:M461),0)</f>
        <v>0.26546178714067292</v>
      </c>
      <c r="U461" s="44">
        <v>163.88</v>
      </c>
      <c r="V461" s="45">
        <v>1.7899999999999999E-2</v>
      </c>
    </row>
    <row r="462" spans="1:22" ht="15" customHeight="1" x14ac:dyDescent="0.35">
      <c r="A462" s="46">
        <v>1</v>
      </c>
      <c r="B462" s="32">
        <v>2021</v>
      </c>
      <c r="C462" s="46" t="s">
        <v>264</v>
      </c>
      <c r="D462" s="46" t="s">
        <v>218</v>
      </c>
      <c r="E462" s="47" t="s">
        <v>219</v>
      </c>
      <c r="F462" s="46" t="s">
        <v>36</v>
      </c>
      <c r="G462" s="34">
        <v>1200</v>
      </c>
      <c r="H462" s="34">
        <v>12</v>
      </c>
      <c r="I462" s="34">
        <f>IFERROR(ROUND('Data Bulanan'!AC97,0),0)</f>
        <v>6716</v>
      </c>
      <c r="J462" s="34">
        <v>536709</v>
      </c>
      <c r="K462" s="34">
        <v>85638</v>
      </c>
      <c r="L462" s="35">
        <f t="shared" si="42"/>
        <v>290</v>
      </c>
      <c r="M462" s="36">
        <f>IFERROR(AVERAGE('Data Bulanan'!F97,'Data Bulanan'!H97,'Data Bulanan'!J97,'Data Bulanan'!L97,'Data Bulanan'!N97,'Data Bulanan'!P97,'Data Bulanan'!R97,'Data Bulanan'!T97,'Data Bulanan'!V97,'Data Bulanan'!X97,'Data Bulanan'!Z97,'Data Bulanan'!AB97),0)</f>
        <v>17.840328981054785</v>
      </c>
      <c r="N462" s="37">
        <f>'Data Bulanan'!AD97</f>
        <v>3.9371870730818159</v>
      </c>
      <c r="O462" s="38">
        <f t="shared" si="43"/>
        <v>13.638816098962206</v>
      </c>
      <c r="P462" s="39">
        <f t="shared" si="44"/>
        <v>23</v>
      </c>
      <c r="Q462" s="40">
        <f t="shared" si="45"/>
        <v>237</v>
      </c>
      <c r="R462" s="41">
        <f t="shared" si="46"/>
        <v>963</v>
      </c>
      <c r="S462" s="42" t="str">
        <f t="shared" si="47"/>
        <v>Overstock 📦</v>
      </c>
      <c r="T462" s="43">
        <f>IFERROR(N462/AVERAGE(M462:M466),0)</f>
        <v>0.20036643309542934</v>
      </c>
      <c r="U462" s="44">
        <v>402.3</v>
      </c>
      <c r="V462" s="45">
        <v>0.94779999999999998</v>
      </c>
    </row>
    <row r="463" spans="1:22" ht="15" customHeight="1" x14ac:dyDescent="0.35">
      <c r="A463" s="46">
        <v>2</v>
      </c>
      <c r="B463" s="32">
        <v>2022</v>
      </c>
      <c r="C463" s="46" t="s">
        <v>264</v>
      </c>
      <c r="D463" s="46" t="s">
        <v>218</v>
      </c>
      <c r="E463" s="47" t="s">
        <v>219</v>
      </c>
      <c r="F463" s="46" t="s">
        <v>36</v>
      </c>
      <c r="G463" s="34">
        <v>0</v>
      </c>
      <c r="H463" s="34">
        <v>12</v>
      </c>
      <c r="I463" s="34">
        <f>IFERROR(ROUND('Data Bulanan'!BC97,0),0)</f>
        <v>6746</v>
      </c>
      <c r="J463" s="34">
        <v>540003</v>
      </c>
      <c r="K463" s="34">
        <v>88097</v>
      </c>
      <c r="L463" s="35">
        <f t="shared" si="42"/>
        <v>288</v>
      </c>
      <c r="M463" s="36">
        <f>IFERROR(AVERAGE('Data Bulanan'!AF97,'Data Bulanan'!AH97,'Data Bulanan'!AJ97,'Data Bulanan'!AL97,'Data Bulanan'!AN97,'Data Bulanan'!AP97,'Data Bulanan'!AR97,'Data Bulanan'!AT97,'Data Bulanan'!AV97,'Data Bulanan'!AX97,'Data Bulanan'!AZ97,'Data Bulanan'!BB97),0)</f>
        <v>18.024071940604202</v>
      </c>
      <c r="N463" s="37">
        <f>'Data Bulanan'!BD97</f>
        <v>4.8126774907450507</v>
      </c>
      <c r="O463" s="38">
        <f t="shared" si="43"/>
        <v>16.671603868827045</v>
      </c>
      <c r="P463" s="39">
        <f t="shared" si="44"/>
        <v>28</v>
      </c>
      <c r="Q463" s="40">
        <f t="shared" si="45"/>
        <v>244</v>
      </c>
      <c r="R463" s="41">
        <f t="shared" si="46"/>
        <v>-244</v>
      </c>
      <c r="S463" s="42" t="str">
        <f t="shared" si="47"/>
        <v>Stockout ⚠</v>
      </c>
      <c r="T463" s="43">
        <f>IFERROR(N463/AVERAGE(M462:M466),0)</f>
        <v>0.24492080375150835</v>
      </c>
      <c r="U463" s="44">
        <v>402.3</v>
      </c>
      <c r="V463" s="45">
        <v>0.94779999999999998</v>
      </c>
    </row>
    <row r="464" spans="1:22" ht="15" customHeight="1" x14ac:dyDescent="0.35">
      <c r="A464" s="46">
        <v>3</v>
      </c>
      <c r="B464" s="32">
        <v>2023</v>
      </c>
      <c r="C464" s="46" t="s">
        <v>264</v>
      </c>
      <c r="D464" s="46" t="s">
        <v>218</v>
      </c>
      <c r="E464" s="47" t="s">
        <v>219</v>
      </c>
      <c r="F464" s="46" t="s">
        <v>36</v>
      </c>
      <c r="G464" s="34">
        <v>0</v>
      </c>
      <c r="H464" s="34">
        <v>12</v>
      </c>
      <c r="I464" s="34">
        <f>IFERROR(ROUND('Data Bulanan'!CC97,0),0)</f>
        <v>7382</v>
      </c>
      <c r="J464" s="34">
        <v>598818</v>
      </c>
      <c r="K464" s="34">
        <v>82067</v>
      </c>
      <c r="L464" s="35">
        <f t="shared" si="42"/>
        <v>328</v>
      </c>
      <c r="M464" s="36">
        <f>IFERROR(AVERAGE('Data Bulanan'!BF97,'Data Bulanan'!BH97,'Data Bulanan'!BJ97,'Data Bulanan'!BL97,'Data Bulanan'!BN97,'Data Bulanan'!BP97,'Data Bulanan'!BR97,'Data Bulanan'!BT97,'Data Bulanan'!BV97,'Data Bulanan'!BX97,'Data Bulanan'!BZ97,'Data Bulanan'!CB97),0)</f>
        <v>19.644854070660521</v>
      </c>
      <c r="N464" s="37">
        <f>'Data Bulanan'!CD97</f>
        <v>3.6683831637908209</v>
      </c>
      <c r="O464" s="38">
        <f t="shared" si="43"/>
        <v>12.707652042631928</v>
      </c>
      <c r="P464" s="39">
        <f t="shared" si="44"/>
        <v>21</v>
      </c>
      <c r="Q464" s="40">
        <f t="shared" si="45"/>
        <v>257</v>
      </c>
      <c r="R464" s="41">
        <f t="shared" si="46"/>
        <v>-257</v>
      </c>
      <c r="S464" s="42" t="str">
        <f t="shared" si="47"/>
        <v>Stockout ⚠</v>
      </c>
      <c r="T464" s="43">
        <f>IFERROR(N464/AVERAGE(M462:M466),0)</f>
        <v>0.18668679849666339</v>
      </c>
      <c r="U464" s="44">
        <v>402.3</v>
      </c>
      <c r="V464" s="45">
        <v>0.94779999999999998</v>
      </c>
    </row>
    <row r="465" spans="1:22" ht="15" customHeight="1" x14ac:dyDescent="0.35">
      <c r="A465" s="46">
        <v>4</v>
      </c>
      <c r="B465" s="32">
        <v>2024</v>
      </c>
      <c r="C465" s="46" t="s">
        <v>264</v>
      </c>
      <c r="D465" s="46" t="s">
        <v>218</v>
      </c>
      <c r="E465" s="47" t="s">
        <v>219</v>
      </c>
      <c r="F465" s="46" t="s">
        <v>36</v>
      </c>
      <c r="G465" s="34">
        <v>2072</v>
      </c>
      <c r="H465" s="34">
        <v>12</v>
      </c>
      <c r="I465" s="34">
        <f>IFERROR(ROUND('Data Bulanan'!DC97,0),0)</f>
        <v>7902</v>
      </c>
      <c r="J465" s="34">
        <v>557814</v>
      </c>
      <c r="K465" s="34">
        <v>81614</v>
      </c>
      <c r="L465" s="35">
        <f t="shared" si="42"/>
        <v>329</v>
      </c>
      <c r="M465" s="36">
        <f>IFERROR(AVERAGE('Data Bulanan'!CF97,'Data Bulanan'!CH97,'Data Bulanan'!CJ97,'Data Bulanan'!CL97,'Data Bulanan'!CN97,'Data Bulanan'!CP97,'Data Bulanan'!CR97,'Data Bulanan'!CT97,'Data Bulanan'!CV97,'Data Bulanan'!CX97,'Data Bulanan'!CZ97,'Data Bulanan'!DB97),0)</f>
        <v>21.045270097286224</v>
      </c>
      <c r="N465" s="37">
        <f>'Data Bulanan'!DD97</f>
        <v>4.2087865279984777</v>
      </c>
      <c r="O465" s="38">
        <f t="shared" si="43"/>
        <v>14.579664209409549</v>
      </c>
      <c r="P465" s="39">
        <f t="shared" si="44"/>
        <v>24</v>
      </c>
      <c r="Q465" s="40">
        <f t="shared" si="45"/>
        <v>277</v>
      </c>
      <c r="R465" s="41">
        <f t="shared" si="46"/>
        <v>1795</v>
      </c>
      <c r="S465" s="42" t="str">
        <f t="shared" si="47"/>
        <v>Overstock 📦</v>
      </c>
      <c r="T465" s="43">
        <f>IFERROR(N465/AVERAGE(M462:M466),0)</f>
        <v>0.21418833512908553</v>
      </c>
      <c r="U465" s="44">
        <v>402.3</v>
      </c>
      <c r="V465" s="45">
        <v>0.94779999999999998</v>
      </c>
    </row>
    <row r="466" spans="1:22" ht="15" customHeight="1" x14ac:dyDescent="0.35">
      <c r="A466" s="46">
        <v>5</v>
      </c>
      <c r="B466" s="32">
        <v>2025</v>
      </c>
      <c r="C466" s="46" t="s">
        <v>264</v>
      </c>
      <c r="D466" s="46" t="s">
        <v>218</v>
      </c>
      <c r="E466" s="47" t="s">
        <v>219</v>
      </c>
      <c r="F466" s="46" t="s">
        <v>36</v>
      </c>
      <c r="G466" s="34">
        <v>740</v>
      </c>
      <c r="H466" s="34">
        <v>12</v>
      </c>
      <c r="I466" s="34">
        <f>IFERROR(ROUND('Data Bulanan'!EC97,0),0)</f>
        <v>8149</v>
      </c>
      <c r="J466" s="34">
        <v>591194</v>
      </c>
      <c r="K466" s="34">
        <v>82237</v>
      </c>
      <c r="L466" s="35">
        <f t="shared" si="42"/>
        <v>342</v>
      </c>
      <c r="M466" s="36">
        <f>IFERROR(AVERAGE('Data Bulanan'!DF97,'Data Bulanan'!DH97,'Data Bulanan'!DJ97,'Data Bulanan'!DL97,'Data Bulanan'!DN97,'Data Bulanan'!DP97,'Data Bulanan'!DR97,'Data Bulanan'!DT97,'Data Bulanan'!DV97,'Data Bulanan'!DX97,'Data Bulanan'!DZ97,'Data Bulanan'!EB97),0)</f>
        <v>21.695142089093697</v>
      </c>
      <c r="N466" s="37">
        <f>'Data Bulanan'!ED97</f>
        <v>5.9754886191808119</v>
      </c>
      <c r="O466" s="38">
        <f t="shared" si="43"/>
        <v>20.699699776941522</v>
      </c>
      <c r="P466" s="39">
        <f t="shared" si="44"/>
        <v>34</v>
      </c>
      <c r="Q466" s="40">
        <f t="shared" si="45"/>
        <v>294</v>
      </c>
      <c r="R466" s="41">
        <f t="shared" si="46"/>
        <v>446</v>
      </c>
      <c r="S466" s="42" t="str">
        <f t="shared" si="47"/>
        <v>Overstock 📦</v>
      </c>
      <c r="T466" s="43">
        <f>IFERROR(N466/AVERAGE(M462:M466),0)</f>
        <v>0.30409714306270447</v>
      </c>
      <c r="U466" s="44">
        <v>402.3</v>
      </c>
      <c r="V466" s="45">
        <v>0.94779999999999998</v>
      </c>
    </row>
    <row r="467" spans="1:22" ht="15" customHeight="1" x14ac:dyDescent="0.35">
      <c r="A467" s="31">
        <v>1</v>
      </c>
      <c r="B467" s="32">
        <v>2021</v>
      </c>
      <c r="C467" s="31" t="s">
        <v>264</v>
      </c>
      <c r="D467" s="31" t="s">
        <v>220</v>
      </c>
      <c r="E467" s="33" t="s">
        <v>221</v>
      </c>
      <c r="F467" s="31" t="s">
        <v>36</v>
      </c>
      <c r="G467" s="34">
        <v>300</v>
      </c>
      <c r="H467" s="34">
        <v>12</v>
      </c>
      <c r="I467" s="34">
        <f>IFERROR(ROUND('Data Bulanan'!AC98,0),0)</f>
        <v>1337</v>
      </c>
      <c r="J467" s="34">
        <v>1955585</v>
      </c>
      <c r="K467" s="34">
        <v>378617</v>
      </c>
      <c r="L467" s="35">
        <f t="shared" si="42"/>
        <v>118</v>
      </c>
      <c r="M467" s="36">
        <f>IFERROR(AVERAGE('Data Bulanan'!F98,'Data Bulanan'!H98,'Data Bulanan'!J98,'Data Bulanan'!L98,'Data Bulanan'!N98,'Data Bulanan'!P98,'Data Bulanan'!R98,'Data Bulanan'!T98,'Data Bulanan'!V98,'Data Bulanan'!X98,'Data Bulanan'!Z98,'Data Bulanan'!AB98),0)</f>
        <v>3.5570596518177164</v>
      </c>
      <c r="N467" s="37">
        <f>'Data Bulanan'!AD98</f>
        <v>0.79627341400373364</v>
      </c>
      <c r="O467" s="38">
        <f t="shared" si="43"/>
        <v>2.7583720195415875</v>
      </c>
      <c r="P467" s="39">
        <f t="shared" si="44"/>
        <v>5</v>
      </c>
      <c r="Q467" s="40">
        <f t="shared" si="45"/>
        <v>48</v>
      </c>
      <c r="R467" s="41">
        <f t="shared" si="46"/>
        <v>252</v>
      </c>
      <c r="S467" s="42" t="str">
        <f t="shared" si="47"/>
        <v>Overstock 📦</v>
      </c>
      <c r="T467" s="43">
        <f>IFERROR(N467/AVERAGE(M467:M471),0)</f>
        <v>0.24374121690197736</v>
      </c>
      <c r="U467" s="44">
        <v>6.2</v>
      </c>
      <c r="V467" s="45">
        <v>4.1000000000000003E-3</v>
      </c>
    </row>
    <row r="468" spans="1:22" ht="15" customHeight="1" x14ac:dyDescent="0.35">
      <c r="A468" s="31">
        <v>2</v>
      </c>
      <c r="B468" s="32">
        <v>2022</v>
      </c>
      <c r="C468" s="31" t="s">
        <v>264</v>
      </c>
      <c r="D468" s="31" t="s">
        <v>220</v>
      </c>
      <c r="E468" s="33" t="s">
        <v>221</v>
      </c>
      <c r="F468" s="31" t="s">
        <v>36</v>
      </c>
      <c r="G468" s="34">
        <v>0</v>
      </c>
      <c r="H468" s="34">
        <v>12</v>
      </c>
      <c r="I468" s="34">
        <f>IFERROR(ROUND('Data Bulanan'!BC98,0),0)</f>
        <v>1154</v>
      </c>
      <c r="J468" s="34">
        <v>2077974</v>
      </c>
      <c r="K468" s="34">
        <v>408016</v>
      </c>
      <c r="L468" s="35">
        <f t="shared" si="42"/>
        <v>108</v>
      </c>
      <c r="M468" s="36">
        <f>IFERROR(AVERAGE('Data Bulanan'!AF98,'Data Bulanan'!AH98,'Data Bulanan'!AJ98,'Data Bulanan'!AL98,'Data Bulanan'!AN98,'Data Bulanan'!AP98,'Data Bulanan'!AR98,'Data Bulanan'!AT98,'Data Bulanan'!AV98,'Data Bulanan'!AX98,'Data Bulanan'!AZ98,'Data Bulanan'!BB98),0)</f>
        <v>3.0758384536610346</v>
      </c>
      <c r="N468" s="37">
        <f>'Data Bulanan'!BD98</f>
        <v>0.79410645340598363</v>
      </c>
      <c r="O468" s="38">
        <f t="shared" si="43"/>
        <v>2.7508654478349817</v>
      </c>
      <c r="P468" s="39">
        <f t="shared" si="44"/>
        <v>5</v>
      </c>
      <c r="Q468" s="40">
        <f t="shared" si="45"/>
        <v>42</v>
      </c>
      <c r="R468" s="41">
        <f t="shared" si="46"/>
        <v>-42</v>
      </c>
      <c r="S468" s="42" t="str">
        <f t="shared" si="47"/>
        <v>Stockout ⚠</v>
      </c>
      <c r="T468" s="43">
        <f>IFERROR(N468/AVERAGE(M467:M471),0)</f>
        <v>0.24307790502469329</v>
      </c>
      <c r="U468" s="44">
        <v>6.2</v>
      </c>
      <c r="V468" s="45">
        <v>4.1000000000000003E-3</v>
      </c>
    </row>
    <row r="469" spans="1:22" ht="15" customHeight="1" x14ac:dyDescent="0.35">
      <c r="A469" s="31">
        <v>3</v>
      </c>
      <c r="B469" s="32">
        <v>2023</v>
      </c>
      <c r="C469" s="31" t="s">
        <v>264</v>
      </c>
      <c r="D469" s="31" t="s">
        <v>220</v>
      </c>
      <c r="E469" s="33" t="s">
        <v>221</v>
      </c>
      <c r="F469" s="31" t="s">
        <v>36</v>
      </c>
      <c r="G469" s="34">
        <v>165</v>
      </c>
      <c r="H469" s="34">
        <v>12</v>
      </c>
      <c r="I469" s="34">
        <f>IFERROR(ROUND('Data Bulanan'!CC98,0),0)</f>
        <v>1182</v>
      </c>
      <c r="J469" s="34">
        <v>1927155</v>
      </c>
      <c r="K469" s="34">
        <v>425662</v>
      </c>
      <c r="L469" s="35">
        <f t="shared" si="42"/>
        <v>103</v>
      </c>
      <c r="M469" s="36">
        <f>IFERROR(AVERAGE('Data Bulanan'!BF98,'Data Bulanan'!BH98,'Data Bulanan'!BJ98,'Data Bulanan'!BL98,'Data Bulanan'!BN98,'Data Bulanan'!BP98,'Data Bulanan'!BR98,'Data Bulanan'!BT98,'Data Bulanan'!BV98,'Data Bulanan'!BX98,'Data Bulanan'!BZ98,'Data Bulanan'!CB98),0)</f>
        <v>3.1383320532514083</v>
      </c>
      <c r="N469" s="37">
        <f>'Data Bulanan'!CD98</f>
        <v>0.86377886403847826</v>
      </c>
      <c r="O469" s="38">
        <f t="shared" si="43"/>
        <v>2.9922177580375471</v>
      </c>
      <c r="P469" s="39">
        <f t="shared" si="44"/>
        <v>5</v>
      </c>
      <c r="Q469" s="40">
        <f t="shared" si="45"/>
        <v>43</v>
      </c>
      <c r="R469" s="41">
        <f t="shared" si="46"/>
        <v>122</v>
      </c>
      <c r="S469" s="42" t="str">
        <f t="shared" si="47"/>
        <v>Overstock 📦</v>
      </c>
      <c r="T469" s="43">
        <f>IFERROR(N469/AVERAGE(M467:M471),0)</f>
        <v>0.26440479834224273</v>
      </c>
      <c r="U469" s="44">
        <v>6.2</v>
      </c>
      <c r="V469" s="45">
        <v>4.1000000000000003E-3</v>
      </c>
    </row>
    <row r="470" spans="1:22" ht="15" customHeight="1" x14ac:dyDescent="0.35">
      <c r="A470" s="31">
        <v>4</v>
      </c>
      <c r="B470" s="32">
        <v>2024</v>
      </c>
      <c r="C470" s="31" t="s">
        <v>264</v>
      </c>
      <c r="D470" s="31" t="s">
        <v>220</v>
      </c>
      <c r="E470" s="33" t="s">
        <v>221</v>
      </c>
      <c r="F470" s="31" t="s">
        <v>36</v>
      </c>
      <c r="G470" s="34">
        <v>142</v>
      </c>
      <c r="H470" s="34">
        <v>12</v>
      </c>
      <c r="I470" s="34">
        <f>IFERROR(ROUND('Data Bulanan'!DC98,0),0)</f>
        <v>1042</v>
      </c>
      <c r="J470" s="34">
        <v>2036413</v>
      </c>
      <c r="K470" s="34">
        <v>445592</v>
      </c>
      <c r="L470" s="35">
        <f t="shared" si="42"/>
        <v>98</v>
      </c>
      <c r="M470" s="36">
        <f>IFERROR(AVERAGE('Data Bulanan'!CF98,'Data Bulanan'!CH98,'Data Bulanan'!CJ98,'Data Bulanan'!CL98,'Data Bulanan'!CN98,'Data Bulanan'!CP98,'Data Bulanan'!CR98,'Data Bulanan'!CT98,'Data Bulanan'!CV98,'Data Bulanan'!CX98,'Data Bulanan'!CZ98,'Data Bulanan'!DB98),0)</f>
        <v>2.7690924219150026</v>
      </c>
      <c r="N470" s="37">
        <f>'Data Bulanan'!DD98</f>
        <v>0.72024425664337233</v>
      </c>
      <c r="O470" s="38">
        <f t="shared" si="43"/>
        <v>2.4949992927319973</v>
      </c>
      <c r="P470" s="39">
        <f t="shared" si="44"/>
        <v>4</v>
      </c>
      <c r="Q470" s="40">
        <f t="shared" si="45"/>
        <v>37</v>
      </c>
      <c r="R470" s="41">
        <f t="shared" si="46"/>
        <v>105</v>
      </c>
      <c r="S470" s="42" t="str">
        <f t="shared" si="47"/>
        <v>Overstock 📦</v>
      </c>
      <c r="T470" s="43">
        <f>IFERROR(N470/AVERAGE(M467:M471),0)</f>
        <v>0.22046850804451512</v>
      </c>
      <c r="U470" s="44">
        <v>6.2</v>
      </c>
      <c r="V470" s="45">
        <v>4.1000000000000003E-3</v>
      </c>
    </row>
    <row r="471" spans="1:22" ht="15" customHeight="1" x14ac:dyDescent="0.35">
      <c r="A471" s="31">
        <v>5</v>
      </c>
      <c r="B471" s="32">
        <v>2025</v>
      </c>
      <c r="C471" s="31" t="s">
        <v>264</v>
      </c>
      <c r="D471" s="31" t="s">
        <v>220</v>
      </c>
      <c r="E471" s="33" t="s">
        <v>221</v>
      </c>
      <c r="F471" s="31" t="s">
        <v>36</v>
      </c>
      <c r="G471" s="34">
        <v>66</v>
      </c>
      <c r="H471" s="34">
        <v>12</v>
      </c>
      <c r="I471" s="34">
        <f>IFERROR(ROUND('Data Bulanan'!EC98,0),0)</f>
        <v>1425</v>
      </c>
      <c r="J471" s="34">
        <v>1907111</v>
      </c>
      <c r="K471" s="34">
        <v>415931</v>
      </c>
      <c r="L471" s="35">
        <f t="shared" si="42"/>
        <v>114</v>
      </c>
      <c r="M471" s="36">
        <f>IFERROR(AVERAGE('Data Bulanan'!DF98,'Data Bulanan'!DH98,'Data Bulanan'!DJ98,'Data Bulanan'!DL98,'Data Bulanan'!DN98,'Data Bulanan'!DP98,'Data Bulanan'!DR98,'Data Bulanan'!DT98,'Data Bulanan'!DV98,'Data Bulanan'!DX98,'Data Bulanan'!DZ98,'Data Bulanan'!EB98),0)</f>
        <v>3.7940796210957504</v>
      </c>
      <c r="N471" s="37">
        <f>'Data Bulanan'!ED98</f>
        <v>0.80319724626211231</v>
      </c>
      <c r="O471" s="38">
        <f t="shared" si="43"/>
        <v>2.7823568780507797</v>
      </c>
      <c r="P471" s="39">
        <f t="shared" si="44"/>
        <v>5</v>
      </c>
      <c r="Q471" s="40">
        <f t="shared" si="45"/>
        <v>51</v>
      </c>
      <c r="R471" s="41">
        <f t="shared" si="46"/>
        <v>15</v>
      </c>
      <c r="S471" s="42" t="str">
        <f t="shared" si="47"/>
        <v>Aman ✅</v>
      </c>
      <c r="T471" s="43">
        <f>IFERROR(N471/AVERAGE(M467:M471),0)</f>
        <v>0.24586061869362688</v>
      </c>
      <c r="U471" s="44">
        <v>6.2</v>
      </c>
      <c r="V471" s="45">
        <v>4.1000000000000003E-3</v>
      </c>
    </row>
    <row r="472" spans="1:22" ht="15" customHeight="1" x14ac:dyDescent="0.35">
      <c r="A472" s="46">
        <v>1</v>
      </c>
      <c r="B472" s="32">
        <v>2021</v>
      </c>
      <c r="C472" s="46" t="s">
        <v>263</v>
      </c>
      <c r="D472" s="46" t="s">
        <v>222</v>
      </c>
      <c r="E472" s="47" t="s">
        <v>223</v>
      </c>
      <c r="F472" s="46" t="s">
        <v>36</v>
      </c>
      <c r="G472" s="34">
        <v>321</v>
      </c>
      <c r="H472" s="34">
        <v>5</v>
      </c>
      <c r="I472" s="34">
        <f>IFERROR(ROUND('Data Bulanan'!AC99,0),0)</f>
        <v>2233</v>
      </c>
      <c r="J472" s="34">
        <v>1009283</v>
      </c>
      <c r="K472" s="34">
        <v>284592</v>
      </c>
      <c r="L472" s="35">
        <f t="shared" si="42"/>
        <v>126</v>
      </c>
      <c r="M472" s="36">
        <f>IFERROR(AVERAGE('Data Bulanan'!F99,'Data Bulanan'!H99,'Data Bulanan'!J99,'Data Bulanan'!L99,'Data Bulanan'!N99,'Data Bulanan'!P99,'Data Bulanan'!R99,'Data Bulanan'!T99,'Data Bulanan'!V99,'Data Bulanan'!X99,'Data Bulanan'!Z99,'Data Bulanan'!AB99),0)</f>
        <v>5.9466909882232457</v>
      </c>
      <c r="N472" s="37">
        <f>'Data Bulanan'!AD99</f>
        <v>1.3869712124068996</v>
      </c>
      <c r="O472" s="38">
        <f t="shared" si="43"/>
        <v>3.1013619137771271</v>
      </c>
      <c r="P472" s="39">
        <f t="shared" si="44"/>
        <v>5</v>
      </c>
      <c r="Q472" s="40">
        <f t="shared" si="45"/>
        <v>35</v>
      </c>
      <c r="R472" s="41">
        <f t="shared" si="46"/>
        <v>286</v>
      </c>
      <c r="S472" s="42" t="str">
        <f t="shared" si="47"/>
        <v>Overstock 📦</v>
      </c>
      <c r="T472" s="43">
        <f>IFERROR(N472/AVERAGE(M472:M476),0)</f>
        <v>0.22901817032079189</v>
      </c>
      <c r="U472" s="44">
        <v>112.36</v>
      </c>
      <c r="V472" s="45">
        <v>0.31940000000000002</v>
      </c>
    </row>
    <row r="473" spans="1:22" ht="15" customHeight="1" x14ac:dyDescent="0.35">
      <c r="A473" s="46">
        <v>2</v>
      </c>
      <c r="B473" s="32">
        <v>2022</v>
      </c>
      <c r="C473" s="46" t="s">
        <v>263</v>
      </c>
      <c r="D473" s="46" t="s">
        <v>222</v>
      </c>
      <c r="E473" s="47" t="s">
        <v>223</v>
      </c>
      <c r="F473" s="46" t="s">
        <v>36</v>
      </c>
      <c r="G473" s="34">
        <v>0</v>
      </c>
      <c r="H473" s="34">
        <v>5</v>
      </c>
      <c r="I473" s="34">
        <f>IFERROR(ROUND('Data Bulanan'!BC99,0),0)</f>
        <v>2002</v>
      </c>
      <c r="J473" s="34">
        <v>961773</v>
      </c>
      <c r="K473" s="34">
        <v>293999</v>
      </c>
      <c r="L473" s="35">
        <f t="shared" si="42"/>
        <v>114</v>
      </c>
      <c r="M473" s="36">
        <f>IFERROR(AVERAGE('Data Bulanan'!AF99,'Data Bulanan'!AH99,'Data Bulanan'!AJ99,'Data Bulanan'!AL99,'Data Bulanan'!AN99,'Data Bulanan'!AP99,'Data Bulanan'!AR99,'Data Bulanan'!AT99,'Data Bulanan'!AV99,'Data Bulanan'!AX99,'Data Bulanan'!AZ99,'Data Bulanan'!BB99),0)</f>
        <v>5.3166090629800307</v>
      </c>
      <c r="N473" s="37">
        <f>'Data Bulanan'!BD99</f>
        <v>1.5249445117771416</v>
      </c>
      <c r="O473" s="38">
        <f t="shared" si="43"/>
        <v>3.4098795902489174</v>
      </c>
      <c r="P473" s="39">
        <f t="shared" si="44"/>
        <v>6</v>
      </c>
      <c r="Q473" s="40">
        <f t="shared" si="45"/>
        <v>33</v>
      </c>
      <c r="R473" s="41">
        <f t="shared" si="46"/>
        <v>-33</v>
      </c>
      <c r="S473" s="42" t="str">
        <f t="shared" si="47"/>
        <v>Stockout ⚠</v>
      </c>
      <c r="T473" s="43">
        <f>IFERROR(N473/AVERAGE(M472:M476),0)</f>
        <v>0.2518004691113061</v>
      </c>
      <c r="U473" s="44">
        <v>112.36</v>
      </c>
      <c r="V473" s="45">
        <v>0.31940000000000002</v>
      </c>
    </row>
    <row r="474" spans="1:22" ht="15" customHeight="1" x14ac:dyDescent="0.35">
      <c r="A474" s="46">
        <v>3</v>
      </c>
      <c r="B474" s="32">
        <v>2023</v>
      </c>
      <c r="C474" s="46" t="s">
        <v>263</v>
      </c>
      <c r="D474" s="46" t="s">
        <v>222</v>
      </c>
      <c r="E474" s="47" t="s">
        <v>223</v>
      </c>
      <c r="F474" s="46" t="s">
        <v>36</v>
      </c>
      <c r="G474" s="34">
        <v>203</v>
      </c>
      <c r="H474" s="34">
        <v>5</v>
      </c>
      <c r="I474" s="34">
        <f>IFERROR(ROUND('Data Bulanan'!CC99,0),0)</f>
        <v>2339</v>
      </c>
      <c r="J474" s="34">
        <v>1109075</v>
      </c>
      <c r="K474" s="34">
        <v>286373</v>
      </c>
      <c r="L474" s="35">
        <f t="shared" si="42"/>
        <v>135</v>
      </c>
      <c r="M474" s="36">
        <f>IFERROR(AVERAGE('Data Bulanan'!BF99,'Data Bulanan'!BH99,'Data Bulanan'!BJ99,'Data Bulanan'!BL99,'Data Bulanan'!BN99,'Data Bulanan'!BP99,'Data Bulanan'!BR99,'Data Bulanan'!BT99,'Data Bulanan'!BV99,'Data Bulanan'!BX99,'Data Bulanan'!BZ99,'Data Bulanan'!CB99),0)</f>
        <v>6.2314196108550926</v>
      </c>
      <c r="N474" s="37">
        <f>'Data Bulanan'!CD99</f>
        <v>1.2430220161810073</v>
      </c>
      <c r="O474" s="38">
        <f t="shared" si="43"/>
        <v>2.7794817257095761</v>
      </c>
      <c r="P474" s="39">
        <f t="shared" si="44"/>
        <v>5</v>
      </c>
      <c r="Q474" s="40">
        <f t="shared" si="45"/>
        <v>36</v>
      </c>
      <c r="R474" s="41">
        <f t="shared" si="46"/>
        <v>167</v>
      </c>
      <c r="S474" s="42" t="str">
        <f t="shared" si="47"/>
        <v>Overstock 📦</v>
      </c>
      <c r="T474" s="43">
        <f>IFERROR(N474/AVERAGE(M472:M476),0)</f>
        <v>0.20524912504868939</v>
      </c>
      <c r="U474" s="44">
        <v>112.36</v>
      </c>
      <c r="V474" s="45">
        <v>0.31940000000000002</v>
      </c>
    </row>
    <row r="475" spans="1:22" ht="15" customHeight="1" x14ac:dyDescent="0.35">
      <c r="A475" s="46">
        <v>4</v>
      </c>
      <c r="B475" s="32">
        <v>2024</v>
      </c>
      <c r="C475" s="46" t="s">
        <v>263</v>
      </c>
      <c r="D475" s="46" t="s">
        <v>222</v>
      </c>
      <c r="E475" s="47" t="s">
        <v>223</v>
      </c>
      <c r="F475" s="46" t="s">
        <v>36</v>
      </c>
      <c r="G475" s="34">
        <v>0</v>
      </c>
      <c r="H475" s="34">
        <v>5</v>
      </c>
      <c r="I475" s="34">
        <f>IFERROR(ROUND('Data Bulanan'!DC99,0),0)</f>
        <v>2031</v>
      </c>
      <c r="J475" s="34">
        <v>1020886</v>
      </c>
      <c r="K475" s="34">
        <v>303916</v>
      </c>
      <c r="L475" s="35">
        <f t="shared" si="42"/>
        <v>117</v>
      </c>
      <c r="M475" s="36">
        <f>IFERROR(AVERAGE('Data Bulanan'!CF99,'Data Bulanan'!CH99,'Data Bulanan'!CJ99,'Data Bulanan'!CL99,'Data Bulanan'!CN99,'Data Bulanan'!CP99,'Data Bulanan'!CR99,'Data Bulanan'!CT99,'Data Bulanan'!CV99,'Data Bulanan'!CX99,'Data Bulanan'!CZ99,'Data Bulanan'!DB99),0)</f>
        <v>5.3869879672299028</v>
      </c>
      <c r="N475" s="37">
        <f>'Data Bulanan'!DD99</f>
        <v>1.3445789095503584</v>
      </c>
      <c r="O475" s="38">
        <f t="shared" si="43"/>
        <v>3.0065698428671426</v>
      </c>
      <c r="P475" s="39">
        <f t="shared" si="44"/>
        <v>5</v>
      </c>
      <c r="Q475" s="40">
        <f t="shared" si="45"/>
        <v>32</v>
      </c>
      <c r="R475" s="41">
        <f t="shared" si="46"/>
        <v>-32</v>
      </c>
      <c r="S475" s="42" t="str">
        <f t="shared" si="47"/>
        <v>Stockout ⚠</v>
      </c>
      <c r="T475" s="43">
        <f>IFERROR(N475/AVERAGE(M472:M476),0)</f>
        <v>0.22201830792347366</v>
      </c>
      <c r="U475" s="44">
        <v>112.36</v>
      </c>
      <c r="V475" s="45">
        <v>0.31940000000000002</v>
      </c>
    </row>
    <row r="476" spans="1:22" ht="15" customHeight="1" x14ac:dyDescent="0.35">
      <c r="A476" s="46">
        <v>5</v>
      </c>
      <c r="B476" s="32">
        <v>2025</v>
      </c>
      <c r="C476" s="46" t="s">
        <v>263</v>
      </c>
      <c r="D476" s="46" t="s">
        <v>222</v>
      </c>
      <c r="E476" s="47" t="s">
        <v>223</v>
      </c>
      <c r="F476" s="46" t="s">
        <v>36</v>
      </c>
      <c r="G476" s="34">
        <v>45</v>
      </c>
      <c r="H476" s="34">
        <v>5</v>
      </c>
      <c r="I476" s="34">
        <f>IFERROR(ROUND('Data Bulanan'!EC99,0),0)</f>
        <v>2780</v>
      </c>
      <c r="J476" s="34">
        <v>987129</v>
      </c>
      <c r="K476" s="34">
        <v>304476</v>
      </c>
      <c r="L476" s="35">
        <f t="shared" si="42"/>
        <v>134</v>
      </c>
      <c r="M476" s="36">
        <f>IFERROR(AVERAGE('Data Bulanan'!DF99,'Data Bulanan'!DH99,'Data Bulanan'!DJ99,'Data Bulanan'!DL99,'Data Bulanan'!DN99,'Data Bulanan'!DP99,'Data Bulanan'!DR99,'Data Bulanan'!DT99,'Data Bulanan'!DV99,'Data Bulanan'!DX99,'Data Bulanan'!DZ99,'Data Bulanan'!EB99),0)</f>
        <v>7.3991039426523288</v>
      </c>
      <c r="N476" s="37">
        <f>'Data Bulanan'!ED99</f>
        <v>1.6285246013242785</v>
      </c>
      <c r="O476" s="38">
        <f t="shared" si="43"/>
        <v>3.641491711591831</v>
      </c>
      <c r="P476" s="39">
        <f t="shared" si="44"/>
        <v>6</v>
      </c>
      <c r="Q476" s="40">
        <f t="shared" si="45"/>
        <v>43</v>
      </c>
      <c r="R476" s="41">
        <f t="shared" si="46"/>
        <v>2</v>
      </c>
      <c r="S476" s="42" t="str">
        <f t="shared" si="47"/>
        <v>Aman ✅</v>
      </c>
      <c r="T476" s="43">
        <f>IFERROR(N476/AVERAGE(M472:M476),0)</f>
        <v>0.26890372430330334</v>
      </c>
      <c r="U476" s="44">
        <v>112.36</v>
      </c>
      <c r="V476" s="45">
        <v>0.31940000000000002</v>
      </c>
    </row>
    <row r="477" spans="1:22" ht="15" customHeight="1" x14ac:dyDescent="0.35">
      <c r="A477" s="31">
        <v>1</v>
      </c>
      <c r="B477" s="32">
        <v>2021</v>
      </c>
      <c r="C477" s="31" t="s">
        <v>263</v>
      </c>
      <c r="D477" s="31" t="s">
        <v>224</v>
      </c>
      <c r="E477" s="33" t="s">
        <v>225</v>
      </c>
      <c r="F477" s="31" t="s">
        <v>36</v>
      </c>
      <c r="G477" s="34">
        <v>451</v>
      </c>
      <c r="H477" s="34">
        <v>5</v>
      </c>
      <c r="I477" s="34">
        <f>IFERROR(ROUND('Data Bulanan'!AC100,0),0)</f>
        <v>21313</v>
      </c>
      <c r="J477" s="34">
        <v>1705753</v>
      </c>
      <c r="K477" s="34">
        <v>160355</v>
      </c>
      <c r="L477" s="35">
        <f t="shared" si="42"/>
        <v>673</v>
      </c>
      <c r="M477" s="36">
        <f>IFERROR(AVERAGE('Data Bulanan'!F100,'Data Bulanan'!H100,'Data Bulanan'!J100,'Data Bulanan'!L100,'Data Bulanan'!N100,'Data Bulanan'!P100,'Data Bulanan'!R100,'Data Bulanan'!T100,'Data Bulanan'!V100,'Data Bulanan'!X100,'Data Bulanan'!Z100,'Data Bulanan'!AB100),0)</f>
        <v>56.574302355350746</v>
      </c>
      <c r="N477" s="37">
        <f>'Data Bulanan'!AD100</f>
        <v>12.312970217479474</v>
      </c>
      <c r="O477" s="38">
        <f t="shared" si="43"/>
        <v>27.532638411214474</v>
      </c>
      <c r="P477" s="39">
        <f t="shared" si="44"/>
        <v>45</v>
      </c>
      <c r="Q477" s="40">
        <f t="shared" si="45"/>
        <v>328</v>
      </c>
      <c r="R477" s="41">
        <f t="shared" si="46"/>
        <v>123</v>
      </c>
      <c r="S477" s="42" t="str">
        <f t="shared" si="47"/>
        <v>Aman ✅</v>
      </c>
      <c r="T477" s="43">
        <f>IFERROR(N477/AVERAGE(M477:M481),0)</f>
        <v>0.2225689252099409</v>
      </c>
      <c r="U477" s="44">
        <v>497.99</v>
      </c>
      <c r="V477" s="45">
        <v>0.2591</v>
      </c>
    </row>
    <row r="478" spans="1:22" ht="15" customHeight="1" x14ac:dyDescent="0.35">
      <c r="A478" s="31">
        <v>2</v>
      </c>
      <c r="B478" s="32">
        <v>2022</v>
      </c>
      <c r="C478" s="31" t="s">
        <v>263</v>
      </c>
      <c r="D478" s="31" t="s">
        <v>224</v>
      </c>
      <c r="E478" s="33" t="s">
        <v>225</v>
      </c>
      <c r="F478" s="31" t="s">
        <v>36</v>
      </c>
      <c r="G478" s="34">
        <v>2364</v>
      </c>
      <c r="H478" s="34">
        <v>5</v>
      </c>
      <c r="I478" s="34">
        <f>IFERROR(ROUND('Data Bulanan'!BC100,0),0)</f>
        <v>19419</v>
      </c>
      <c r="J478" s="34">
        <v>1933691</v>
      </c>
      <c r="K478" s="34">
        <v>144063</v>
      </c>
      <c r="L478" s="35">
        <f t="shared" si="42"/>
        <v>722</v>
      </c>
      <c r="M478" s="36">
        <f>IFERROR(AVERAGE('Data Bulanan'!AF100,'Data Bulanan'!AH100,'Data Bulanan'!AJ100,'Data Bulanan'!AL100,'Data Bulanan'!AN100,'Data Bulanan'!AP100,'Data Bulanan'!AR100,'Data Bulanan'!AT100,'Data Bulanan'!AV100,'Data Bulanan'!AX100,'Data Bulanan'!AZ100,'Data Bulanan'!BB100),0)</f>
        <v>51.580337941628272</v>
      </c>
      <c r="N478" s="37">
        <f>'Data Bulanan'!BD100</f>
        <v>11.359951209261821</v>
      </c>
      <c r="O478" s="38">
        <f t="shared" si="43"/>
        <v>25.401623124990373</v>
      </c>
      <c r="P478" s="39">
        <f t="shared" si="44"/>
        <v>42</v>
      </c>
      <c r="Q478" s="40">
        <f t="shared" si="45"/>
        <v>300</v>
      </c>
      <c r="R478" s="41">
        <f t="shared" si="46"/>
        <v>2064</v>
      </c>
      <c r="S478" s="42" t="str">
        <f t="shared" si="47"/>
        <v>Overstock 📦</v>
      </c>
      <c r="T478" s="43">
        <f>IFERROR(N478/AVERAGE(M477:M481),0)</f>
        <v>0.20534217872902014</v>
      </c>
      <c r="U478" s="44">
        <v>497.99</v>
      </c>
      <c r="V478" s="45">
        <v>0.2591</v>
      </c>
    </row>
    <row r="479" spans="1:22" ht="15" customHeight="1" x14ac:dyDescent="0.35">
      <c r="A479" s="31">
        <v>3</v>
      </c>
      <c r="B479" s="32">
        <v>2023</v>
      </c>
      <c r="C479" s="31" t="s">
        <v>263</v>
      </c>
      <c r="D479" s="31" t="s">
        <v>224</v>
      </c>
      <c r="E479" s="33" t="s">
        <v>225</v>
      </c>
      <c r="F479" s="31" t="s">
        <v>36</v>
      </c>
      <c r="G479" s="34">
        <v>718</v>
      </c>
      <c r="H479" s="34">
        <v>5</v>
      </c>
      <c r="I479" s="34">
        <f>IFERROR(ROUND('Data Bulanan'!CC100,0),0)</f>
        <v>19476</v>
      </c>
      <c r="J479" s="34">
        <v>1857427</v>
      </c>
      <c r="K479" s="34">
        <v>156161</v>
      </c>
      <c r="L479" s="35">
        <f t="shared" si="42"/>
        <v>681</v>
      </c>
      <c r="M479" s="36">
        <f>IFERROR(AVERAGE('Data Bulanan'!BF100,'Data Bulanan'!BH100,'Data Bulanan'!BJ100,'Data Bulanan'!BL100,'Data Bulanan'!BN100,'Data Bulanan'!BP100,'Data Bulanan'!BR100,'Data Bulanan'!BT100,'Data Bulanan'!BV100,'Data Bulanan'!BX100,'Data Bulanan'!BZ100,'Data Bulanan'!CB100),0)</f>
        <v>51.773099078341026</v>
      </c>
      <c r="N479" s="37">
        <f>'Data Bulanan'!CD100</f>
        <v>11.772046114948559</v>
      </c>
      <c r="O479" s="38">
        <f t="shared" si="43"/>
        <v>26.323095347287282</v>
      </c>
      <c r="P479" s="39">
        <f t="shared" si="44"/>
        <v>43</v>
      </c>
      <c r="Q479" s="40">
        <f t="shared" si="45"/>
        <v>302</v>
      </c>
      <c r="R479" s="41">
        <f t="shared" si="46"/>
        <v>416</v>
      </c>
      <c r="S479" s="42" t="str">
        <f t="shared" si="47"/>
        <v>Aman ✅</v>
      </c>
      <c r="T479" s="43">
        <f>IFERROR(N479/AVERAGE(M477:M481),0)</f>
        <v>0.21279119538569849</v>
      </c>
      <c r="U479" s="44">
        <v>497.99</v>
      </c>
      <c r="V479" s="45">
        <v>0.2591</v>
      </c>
    </row>
    <row r="480" spans="1:22" ht="15" customHeight="1" x14ac:dyDescent="0.35">
      <c r="A480" s="31">
        <v>4</v>
      </c>
      <c r="B480" s="32">
        <v>2024</v>
      </c>
      <c r="C480" s="31" t="s">
        <v>263</v>
      </c>
      <c r="D480" s="31" t="s">
        <v>224</v>
      </c>
      <c r="E480" s="33" t="s">
        <v>225</v>
      </c>
      <c r="F480" s="31" t="s">
        <v>36</v>
      </c>
      <c r="G480" s="34">
        <v>0</v>
      </c>
      <c r="H480" s="34">
        <v>5</v>
      </c>
      <c r="I480" s="34">
        <f>IFERROR(ROUND('Data Bulanan'!DC100,0),0)</f>
        <v>20678</v>
      </c>
      <c r="J480" s="34">
        <v>1865997</v>
      </c>
      <c r="K480" s="34">
        <v>142338</v>
      </c>
      <c r="L480" s="35">
        <f t="shared" si="42"/>
        <v>736</v>
      </c>
      <c r="M480" s="36">
        <f>IFERROR(AVERAGE('Data Bulanan'!CF100,'Data Bulanan'!CH100,'Data Bulanan'!CJ100,'Data Bulanan'!CL100,'Data Bulanan'!CN100,'Data Bulanan'!CP100,'Data Bulanan'!CR100,'Data Bulanan'!CT100,'Data Bulanan'!CV100,'Data Bulanan'!CX100,'Data Bulanan'!CZ100,'Data Bulanan'!DB100),0)</f>
        <v>55.149327956989247</v>
      </c>
      <c r="N480" s="37">
        <f>'Data Bulanan'!DD100</f>
        <v>14.971725153069741</v>
      </c>
      <c r="O480" s="38">
        <f t="shared" si="43"/>
        <v>33.477795182707389</v>
      </c>
      <c r="P480" s="39">
        <f t="shared" si="44"/>
        <v>55</v>
      </c>
      <c r="Q480" s="40">
        <f t="shared" si="45"/>
        <v>331</v>
      </c>
      <c r="R480" s="41">
        <f t="shared" si="46"/>
        <v>-331</v>
      </c>
      <c r="S480" s="42" t="str">
        <f t="shared" si="47"/>
        <v>Stockout ⚠</v>
      </c>
      <c r="T480" s="43">
        <f>IFERROR(N480/AVERAGE(M477:M481),0)</f>
        <v>0.27062850936867583</v>
      </c>
      <c r="U480" s="44">
        <v>497.99</v>
      </c>
      <c r="V480" s="45">
        <v>0.2591</v>
      </c>
    </row>
    <row r="481" spans="1:22" ht="15" customHeight="1" x14ac:dyDescent="0.35">
      <c r="A481" s="31">
        <v>5</v>
      </c>
      <c r="B481" s="32">
        <v>2025</v>
      </c>
      <c r="C481" s="31" t="s">
        <v>263</v>
      </c>
      <c r="D481" s="31" t="s">
        <v>224</v>
      </c>
      <c r="E481" s="33" t="s">
        <v>225</v>
      </c>
      <c r="F481" s="31" t="s">
        <v>36</v>
      </c>
      <c r="G481" s="34">
        <v>2224</v>
      </c>
      <c r="H481" s="34">
        <v>5</v>
      </c>
      <c r="I481" s="34">
        <f>IFERROR(ROUND('Data Bulanan'!EC100,0),0)</f>
        <v>23173</v>
      </c>
      <c r="J481" s="34">
        <v>1742964</v>
      </c>
      <c r="K481" s="34">
        <v>162172</v>
      </c>
      <c r="L481" s="35">
        <f t="shared" si="42"/>
        <v>706</v>
      </c>
      <c r="M481" s="36">
        <f>IFERROR(AVERAGE('Data Bulanan'!DF100,'Data Bulanan'!DH100,'Data Bulanan'!DJ100,'Data Bulanan'!DL100,'Data Bulanan'!DN100,'Data Bulanan'!DP100,'Data Bulanan'!DR100,'Data Bulanan'!DT100,'Data Bulanan'!DV100,'Data Bulanan'!DX100,'Data Bulanan'!DZ100,'Data Bulanan'!EB100),0)</f>
        <v>61.533205325140806</v>
      </c>
      <c r="N481" s="37">
        <f>'Data Bulanan'!ED100</f>
        <v>14.149645726512706</v>
      </c>
      <c r="O481" s="38">
        <f t="shared" si="43"/>
        <v>31.639569702021809</v>
      </c>
      <c r="P481" s="39">
        <f t="shared" si="44"/>
        <v>52</v>
      </c>
      <c r="Q481" s="40">
        <f t="shared" si="45"/>
        <v>360</v>
      </c>
      <c r="R481" s="41">
        <f t="shared" si="46"/>
        <v>1864</v>
      </c>
      <c r="S481" s="42" t="str">
        <f t="shared" si="47"/>
        <v>Overstock 📦</v>
      </c>
      <c r="T481" s="43">
        <f>IFERROR(N481/AVERAGE(M477:M481),0)</f>
        <v>0.25576862331565337</v>
      </c>
      <c r="U481" s="44">
        <v>497.99</v>
      </c>
      <c r="V481" s="45">
        <v>0.2591</v>
      </c>
    </row>
    <row r="482" spans="1:22" ht="15" customHeight="1" x14ac:dyDescent="0.35">
      <c r="A482" s="46">
        <v>1</v>
      </c>
      <c r="B482" s="32">
        <v>2021</v>
      </c>
      <c r="C482" s="46" t="s">
        <v>264</v>
      </c>
      <c r="D482" s="46" t="s">
        <v>226</v>
      </c>
      <c r="E482" s="47" t="s">
        <v>227</v>
      </c>
      <c r="F482" s="46" t="s">
        <v>36</v>
      </c>
      <c r="G482" s="34">
        <v>3372</v>
      </c>
      <c r="H482" s="34">
        <v>10</v>
      </c>
      <c r="I482" s="34">
        <f>IFERROR(ROUND('Data Bulanan'!AC101,0),0)</f>
        <v>41231</v>
      </c>
      <c r="J482" s="34">
        <v>1371717</v>
      </c>
      <c r="K482" s="34">
        <v>391331</v>
      </c>
      <c r="L482" s="35">
        <f t="shared" si="42"/>
        <v>538</v>
      </c>
      <c r="M482" s="36">
        <f>IFERROR(AVERAGE('Data Bulanan'!F101,'Data Bulanan'!H101,'Data Bulanan'!J101,'Data Bulanan'!L101,'Data Bulanan'!N101,'Data Bulanan'!P101,'Data Bulanan'!R101,'Data Bulanan'!T101,'Data Bulanan'!V101,'Data Bulanan'!X101,'Data Bulanan'!Z101,'Data Bulanan'!AB101),0)</f>
        <v>109.52840501792116</v>
      </c>
      <c r="N482" s="37">
        <f>'Data Bulanan'!AD101</f>
        <v>18.601251089733296</v>
      </c>
      <c r="O482" s="38">
        <f t="shared" si="43"/>
        <v>58.822320772246329</v>
      </c>
      <c r="P482" s="39">
        <f t="shared" si="44"/>
        <v>97</v>
      </c>
      <c r="Q482" s="40">
        <f t="shared" si="45"/>
        <v>1192</v>
      </c>
      <c r="R482" s="41">
        <f t="shared" si="46"/>
        <v>2180</v>
      </c>
      <c r="S482" s="42" t="str">
        <f t="shared" si="47"/>
        <v>Overstock 📦</v>
      </c>
      <c r="T482" s="43">
        <f>IFERROR(N482/AVERAGE(M482:M486),0)</f>
        <v>0.18457384613158423</v>
      </c>
      <c r="U482" s="44">
        <v>-456.9</v>
      </c>
      <c r="V482" s="45">
        <v>3.4299999999999997E-2</v>
      </c>
    </row>
    <row r="483" spans="1:22" ht="15" customHeight="1" x14ac:dyDescent="0.35">
      <c r="A483" s="46">
        <v>2</v>
      </c>
      <c r="B483" s="32">
        <v>2022</v>
      </c>
      <c r="C483" s="46" t="s">
        <v>264</v>
      </c>
      <c r="D483" s="46" t="s">
        <v>226</v>
      </c>
      <c r="E483" s="47" t="s">
        <v>227</v>
      </c>
      <c r="F483" s="46" t="s">
        <v>36</v>
      </c>
      <c r="G483" s="34">
        <v>0</v>
      </c>
      <c r="H483" s="34">
        <v>10</v>
      </c>
      <c r="I483" s="34">
        <f>IFERROR(ROUND('Data Bulanan'!BC101,0),0)</f>
        <v>35041</v>
      </c>
      <c r="J483" s="34">
        <v>1531434</v>
      </c>
      <c r="K483" s="34">
        <v>400717</v>
      </c>
      <c r="L483" s="35">
        <f t="shared" si="42"/>
        <v>518</v>
      </c>
      <c r="M483" s="36">
        <f>IFERROR(AVERAGE('Data Bulanan'!AF101,'Data Bulanan'!AH101,'Data Bulanan'!AJ101,'Data Bulanan'!AL101,'Data Bulanan'!AN101,'Data Bulanan'!AP101,'Data Bulanan'!AR101,'Data Bulanan'!AT101,'Data Bulanan'!AV101,'Data Bulanan'!AX101,'Data Bulanan'!AZ101,'Data Bulanan'!BB101),0)</f>
        <v>92.879992319508446</v>
      </c>
      <c r="N483" s="37">
        <f>'Data Bulanan'!BD101</f>
        <v>23.679194430133116</v>
      </c>
      <c r="O483" s="38">
        <f t="shared" si="43"/>
        <v>74.88018755719348</v>
      </c>
      <c r="P483" s="39">
        <f t="shared" si="44"/>
        <v>124</v>
      </c>
      <c r="Q483" s="40">
        <f t="shared" si="45"/>
        <v>1053</v>
      </c>
      <c r="R483" s="41">
        <f t="shared" si="46"/>
        <v>-1053</v>
      </c>
      <c r="S483" s="42" t="str">
        <f t="shared" si="47"/>
        <v>Stockout ⚠</v>
      </c>
      <c r="T483" s="43">
        <f>IFERROR(N483/AVERAGE(M482:M486),0)</f>
        <v>0.23496053938433883</v>
      </c>
      <c r="U483" s="44">
        <v>-456.9</v>
      </c>
      <c r="V483" s="45">
        <v>3.4299999999999997E-2</v>
      </c>
    </row>
    <row r="484" spans="1:22" ht="15" customHeight="1" x14ac:dyDescent="0.35">
      <c r="A484" s="46">
        <v>3</v>
      </c>
      <c r="B484" s="32">
        <v>2023</v>
      </c>
      <c r="C484" s="46" t="s">
        <v>264</v>
      </c>
      <c r="D484" s="46" t="s">
        <v>226</v>
      </c>
      <c r="E484" s="47" t="s">
        <v>227</v>
      </c>
      <c r="F484" s="46" t="s">
        <v>36</v>
      </c>
      <c r="G484" s="34">
        <v>2228</v>
      </c>
      <c r="H484" s="34">
        <v>10</v>
      </c>
      <c r="I484" s="34">
        <f>IFERROR(ROUND('Data Bulanan'!CC101,0),0)</f>
        <v>40441</v>
      </c>
      <c r="J484" s="34">
        <v>1445062</v>
      </c>
      <c r="K484" s="34">
        <v>400605</v>
      </c>
      <c r="L484" s="35">
        <f t="shared" si="42"/>
        <v>540</v>
      </c>
      <c r="M484" s="36">
        <f>IFERROR(AVERAGE('Data Bulanan'!BF101,'Data Bulanan'!BH101,'Data Bulanan'!BJ101,'Data Bulanan'!BL101,'Data Bulanan'!BN101,'Data Bulanan'!BP101,'Data Bulanan'!BR101,'Data Bulanan'!BT101,'Data Bulanan'!BV101,'Data Bulanan'!BX101,'Data Bulanan'!BZ101,'Data Bulanan'!CB101),0)</f>
        <v>107.61691628264207</v>
      </c>
      <c r="N484" s="37">
        <f>'Data Bulanan'!CD101</f>
        <v>26.890430046751977</v>
      </c>
      <c r="O484" s="38">
        <f t="shared" si="43"/>
        <v>85.035006209164337</v>
      </c>
      <c r="P484" s="39">
        <f t="shared" si="44"/>
        <v>140</v>
      </c>
      <c r="Q484" s="40">
        <f t="shared" si="45"/>
        <v>1216</v>
      </c>
      <c r="R484" s="41">
        <f t="shared" si="46"/>
        <v>1012</v>
      </c>
      <c r="S484" s="42" t="str">
        <f t="shared" si="47"/>
        <v>Overstock 📦</v>
      </c>
      <c r="T484" s="43">
        <f>IFERROR(N484/AVERAGE(M482:M486),0)</f>
        <v>0.26682453099086101</v>
      </c>
      <c r="U484" s="44">
        <v>-456.9</v>
      </c>
      <c r="V484" s="45">
        <v>3.4299999999999997E-2</v>
      </c>
    </row>
    <row r="485" spans="1:22" ht="15" customHeight="1" x14ac:dyDescent="0.35">
      <c r="A485" s="46">
        <v>4</v>
      </c>
      <c r="B485" s="32">
        <v>2024</v>
      </c>
      <c r="C485" s="46" t="s">
        <v>264</v>
      </c>
      <c r="D485" s="46" t="s">
        <v>226</v>
      </c>
      <c r="E485" s="47" t="s">
        <v>227</v>
      </c>
      <c r="F485" s="46" t="s">
        <v>36</v>
      </c>
      <c r="G485" s="34">
        <v>5298</v>
      </c>
      <c r="H485" s="34">
        <v>10</v>
      </c>
      <c r="I485" s="34">
        <f>IFERROR(ROUND('Data Bulanan'!DC101,0),0)</f>
        <v>32458</v>
      </c>
      <c r="J485" s="34">
        <v>1463487</v>
      </c>
      <c r="K485" s="34">
        <v>379772</v>
      </c>
      <c r="L485" s="35">
        <f t="shared" si="42"/>
        <v>500</v>
      </c>
      <c r="M485" s="36">
        <f>IFERROR(AVERAGE('Data Bulanan'!CF101,'Data Bulanan'!CH101,'Data Bulanan'!CJ101,'Data Bulanan'!CL101,'Data Bulanan'!CN101,'Data Bulanan'!CP101,'Data Bulanan'!CR101,'Data Bulanan'!CT101,'Data Bulanan'!CV101,'Data Bulanan'!CX101,'Data Bulanan'!CZ101,'Data Bulanan'!DB101),0)</f>
        <v>86.401888120839729</v>
      </c>
      <c r="N485" s="37">
        <f>'Data Bulanan'!DD101</f>
        <v>17.607102173251921</v>
      </c>
      <c r="O485" s="38">
        <f t="shared" si="43"/>
        <v>55.678545862776673</v>
      </c>
      <c r="P485" s="39">
        <f t="shared" si="44"/>
        <v>92</v>
      </c>
      <c r="Q485" s="40">
        <f t="shared" si="45"/>
        <v>956</v>
      </c>
      <c r="R485" s="41">
        <f t="shared" si="46"/>
        <v>4342</v>
      </c>
      <c r="S485" s="42" t="str">
        <f t="shared" si="47"/>
        <v>Overstock 📦</v>
      </c>
      <c r="T485" s="43">
        <f>IFERROR(N485/AVERAGE(M482:M486),0)</f>
        <v>0.17470924679590882</v>
      </c>
      <c r="U485" s="44">
        <v>-456.9</v>
      </c>
      <c r="V485" s="45">
        <v>3.4299999999999997E-2</v>
      </c>
    </row>
    <row r="486" spans="1:22" ht="15" customHeight="1" x14ac:dyDescent="0.35">
      <c r="A486" s="46">
        <v>5</v>
      </c>
      <c r="B486" s="32">
        <v>2025</v>
      </c>
      <c r="C486" s="46" t="s">
        <v>264</v>
      </c>
      <c r="D486" s="46" t="s">
        <v>226</v>
      </c>
      <c r="E486" s="47" t="s">
        <v>227</v>
      </c>
      <c r="F486" s="46" t="s">
        <v>36</v>
      </c>
      <c r="G486" s="34">
        <v>0</v>
      </c>
      <c r="H486" s="34">
        <v>10</v>
      </c>
      <c r="I486" s="34">
        <f>IFERROR(ROUND('Data Bulanan'!EC101,0),0)</f>
        <v>40238</v>
      </c>
      <c r="J486" s="34">
        <v>1356813</v>
      </c>
      <c r="K486" s="34">
        <v>384654</v>
      </c>
      <c r="L486" s="35">
        <f t="shared" si="42"/>
        <v>533</v>
      </c>
      <c r="M486" s="36">
        <f>IFERROR(AVERAGE('Data Bulanan'!DF101,'Data Bulanan'!DH101,'Data Bulanan'!DJ101,'Data Bulanan'!DL101,'Data Bulanan'!DN101,'Data Bulanan'!DP101,'Data Bulanan'!DR101,'Data Bulanan'!DT101,'Data Bulanan'!DV101,'Data Bulanan'!DX101,'Data Bulanan'!DZ101,'Data Bulanan'!EB101),0)</f>
        <v>107.47005888376856</v>
      </c>
      <c r="N486" s="37">
        <f>'Data Bulanan'!ED101</f>
        <v>28.317096397534545</v>
      </c>
      <c r="O486" s="38">
        <f t="shared" si="43"/>
        <v>89.546521338757984</v>
      </c>
      <c r="P486" s="39">
        <f t="shared" si="44"/>
        <v>148</v>
      </c>
      <c r="Q486" s="40">
        <f t="shared" si="45"/>
        <v>1223</v>
      </c>
      <c r="R486" s="41">
        <f t="shared" si="46"/>
        <v>-1223</v>
      </c>
      <c r="S486" s="42" t="str">
        <f t="shared" si="47"/>
        <v>Stockout ⚠</v>
      </c>
      <c r="T486" s="43">
        <f>IFERROR(N486/AVERAGE(M482:M486),0)</f>
        <v>0.28098085274793833</v>
      </c>
      <c r="U486" s="44">
        <v>-456.9</v>
      </c>
      <c r="V486" s="45">
        <v>3.4299999999999997E-2</v>
      </c>
    </row>
    <row r="487" spans="1:22" ht="15" customHeight="1" x14ac:dyDescent="0.35">
      <c r="A487" s="31">
        <v>1</v>
      </c>
      <c r="B487" s="32">
        <v>2021</v>
      </c>
      <c r="C487" s="31" t="s">
        <v>264</v>
      </c>
      <c r="D487" s="31" t="s">
        <v>228</v>
      </c>
      <c r="E487" s="33" t="s">
        <v>229</v>
      </c>
      <c r="F487" s="31" t="s">
        <v>36</v>
      </c>
      <c r="G487" s="34">
        <v>4543</v>
      </c>
      <c r="H487" s="34">
        <v>10</v>
      </c>
      <c r="I487" s="34">
        <f>IFERROR(ROUND('Data Bulanan'!AC102,0),0)</f>
        <v>22692</v>
      </c>
      <c r="J487" s="34">
        <v>2303332</v>
      </c>
      <c r="K487" s="34">
        <v>530252</v>
      </c>
      <c r="L487" s="35">
        <f t="shared" si="42"/>
        <v>444</v>
      </c>
      <c r="M487" s="36">
        <f>IFERROR(AVERAGE('Data Bulanan'!F102,'Data Bulanan'!H102,'Data Bulanan'!J102,'Data Bulanan'!L102,'Data Bulanan'!N102,'Data Bulanan'!P102,'Data Bulanan'!R102,'Data Bulanan'!T102,'Data Bulanan'!V102,'Data Bulanan'!X102,'Data Bulanan'!Z102,'Data Bulanan'!AB102),0)</f>
        <v>60.45407066052227</v>
      </c>
      <c r="N487" s="37">
        <f>'Data Bulanan'!AD102</f>
        <v>16.998385897255844</v>
      </c>
      <c r="O487" s="38">
        <f t="shared" si="43"/>
        <v>53.75361598181339</v>
      </c>
      <c r="P487" s="39">
        <f t="shared" si="44"/>
        <v>89</v>
      </c>
      <c r="Q487" s="40">
        <f t="shared" si="45"/>
        <v>694</v>
      </c>
      <c r="R487" s="41">
        <f t="shared" si="46"/>
        <v>3849</v>
      </c>
      <c r="S487" s="42" t="str">
        <f t="shared" si="47"/>
        <v>Overstock 📦</v>
      </c>
      <c r="T487" s="43">
        <f>IFERROR(N487/AVERAGE(M487:M491),0)</f>
        <v>0.245017131146362</v>
      </c>
      <c r="U487" s="44">
        <v>385.31</v>
      </c>
      <c r="V487" s="45">
        <v>7.0499999999999993E-2</v>
      </c>
    </row>
    <row r="488" spans="1:22" ht="15" customHeight="1" x14ac:dyDescent="0.35">
      <c r="A488" s="31">
        <v>2</v>
      </c>
      <c r="B488" s="32">
        <v>2022</v>
      </c>
      <c r="C488" s="31" t="s">
        <v>264</v>
      </c>
      <c r="D488" s="31" t="s">
        <v>228</v>
      </c>
      <c r="E488" s="33" t="s">
        <v>229</v>
      </c>
      <c r="F488" s="31" t="s">
        <v>36</v>
      </c>
      <c r="G488" s="34">
        <v>2557</v>
      </c>
      <c r="H488" s="34">
        <v>10</v>
      </c>
      <c r="I488" s="34">
        <f>IFERROR(ROUND('Data Bulanan'!BC102,0),0)</f>
        <v>28839</v>
      </c>
      <c r="J488" s="34">
        <v>2220179</v>
      </c>
      <c r="K488" s="34">
        <v>613883</v>
      </c>
      <c r="L488" s="35">
        <f t="shared" si="42"/>
        <v>457</v>
      </c>
      <c r="M488" s="36">
        <f>IFERROR(AVERAGE('Data Bulanan'!AF102,'Data Bulanan'!AH102,'Data Bulanan'!AJ102,'Data Bulanan'!AL102,'Data Bulanan'!AN102,'Data Bulanan'!AP102,'Data Bulanan'!AR102,'Data Bulanan'!AT102,'Data Bulanan'!AV102,'Data Bulanan'!AX102,'Data Bulanan'!AZ102,'Data Bulanan'!BB102),0)</f>
        <v>76.53778801843319</v>
      </c>
      <c r="N488" s="37">
        <f>'Data Bulanan'!BD102</f>
        <v>20.343233318820442</v>
      </c>
      <c r="O488" s="38">
        <f t="shared" si="43"/>
        <v>64.330952259698918</v>
      </c>
      <c r="P488" s="39">
        <f t="shared" si="44"/>
        <v>106</v>
      </c>
      <c r="Q488" s="40">
        <f t="shared" si="45"/>
        <v>871</v>
      </c>
      <c r="R488" s="41">
        <f t="shared" si="46"/>
        <v>1686</v>
      </c>
      <c r="S488" s="42" t="str">
        <f t="shared" si="47"/>
        <v>Overstock 📦</v>
      </c>
      <c r="T488" s="43">
        <f>IFERROR(N488/AVERAGE(M487:M491),0)</f>
        <v>0.29323023351429728</v>
      </c>
      <c r="U488" s="44">
        <v>385.31</v>
      </c>
      <c r="V488" s="45">
        <v>7.0499999999999993E-2</v>
      </c>
    </row>
    <row r="489" spans="1:22" ht="15" customHeight="1" x14ac:dyDescent="0.35">
      <c r="A489" s="31">
        <v>3</v>
      </c>
      <c r="B489" s="32">
        <v>2023</v>
      </c>
      <c r="C489" s="31" t="s">
        <v>264</v>
      </c>
      <c r="D489" s="31" t="s">
        <v>228</v>
      </c>
      <c r="E489" s="33" t="s">
        <v>229</v>
      </c>
      <c r="F489" s="31" t="s">
        <v>36</v>
      </c>
      <c r="G489" s="34">
        <v>1914</v>
      </c>
      <c r="H489" s="34">
        <v>10</v>
      </c>
      <c r="I489" s="34">
        <f>IFERROR(ROUND('Data Bulanan'!CC102,0),0)</f>
        <v>27281</v>
      </c>
      <c r="J489" s="34">
        <v>2226008</v>
      </c>
      <c r="K489" s="34">
        <v>522375</v>
      </c>
      <c r="L489" s="35">
        <f t="shared" si="42"/>
        <v>482</v>
      </c>
      <c r="M489" s="36">
        <f>IFERROR(AVERAGE('Data Bulanan'!BF102,'Data Bulanan'!BH102,'Data Bulanan'!BJ102,'Data Bulanan'!BL102,'Data Bulanan'!BN102,'Data Bulanan'!BP102,'Data Bulanan'!BR102,'Data Bulanan'!BT102,'Data Bulanan'!BV102,'Data Bulanan'!BX102,'Data Bulanan'!BZ102,'Data Bulanan'!CB102),0)</f>
        <v>72.493311571940595</v>
      </c>
      <c r="N489" s="37">
        <f>'Data Bulanan'!CD102</f>
        <v>13.512276761941774</v>
      </c>
      <c r="O489" s="38">
        <f t="shared" si="43"/>
        <v>42.729570942300796</v>
      </c>
      <c r="P489" s="39">
        <f t="shared" si="44"/>
        <v>71</v>
      </c>
      <c r="Q489" s="40">
        <f t="shared" si="45"/>
        <v>796</v>
      </c>
      <c r="R489" s="41">
        <f t="shared" si="46"/>
        <v>1118</v>
      </c>
      <c r="S489" s="42" t="str">
        <f t="shared" si="47"/>
        <v>Overstock 📦</v>
      </c>
      <c r="T489" s="43">
        <f>IFERROR(N489/AVERAGE(M487:M491),0)</f>
        <v>0.19476786251811712</v>
      </c>
      <c r="U489" s="44">
        <v>385.31</v>
      </c>
      <c r="V489" s="45">
        <v>7.0499999999999993E-2</v>
      </c>
    </row>
    <row r="490" spans="1:22" ht="15" customHeight="1" x14ac:dyDescent="0.35">
      <c r="A490" s="31">
        <v>4</v>
      </c>
      <c r="B490" s="32">
        <v>2024</v>
      </c>
      <c r="C490" s="31" t="s">
        <v>264</v>
      </c>
      <c r="D490" s="31" t="s">
        <v>228</v>
      </c>
      <c r="E490" s="33" t="s">
        <v>229</v>
      </c>
      <c r="F490" s="31" t="s">
        <v>36</v>
      </c>
      <c r="G490" s="34">
        <v>1942</v>
      </c>
      <c r="H490" s="34">
        <v>10</v>
      </c>
      <c r="I490" s="34">
        <f>IFERROR(ROUND('Data Bulanan'!DC102,0),0)</f>
        <v>25398</v>
      </c>
      <c r="J490" s="34">
        <v>2237245</v>
      </c>
      <c r="K490" s="34">
        <v>565316</v>
      </c>
      <c r="L490" s="35">
        <f t="shared" si="42"/>
        <v>448</v>
      </c>
      <c r="M490" s="36">
        <f>IFERROR(AVERAGE('Data Bulanan'!CF102,'Data Bulanan'!CH102,'Data Bulanan'!CJ102,'Data Bulanan'!CL102,'Data Bulanan'!CN102,'Data Bulanan'!CP102,'Data Bulanan'!CR102,'Data Bulanan'!CT102,'Data Bulanan'!CV102,'Data Bulanan'!CX102,'Data Bulanan'!CZ102,'Data Bulanan'!DB102),0)</f>
        <v>67.468836405529956</v>
      </c>
      <c r="N490" s="37">
        <f>'Data Bulanan'!DD102</f>
        <v>15.516644916437111</v>
      </c>
      <c r="O490" s="38">
        <f t="shared" si="43"/>
        <v>49.067939580014325</v>
      </c>
      <c r="P490" s="39">
        <f t="shared" si="44"/>
        <v>81</v>
      </c>
      <c r="Q490" s="40">
        <f t="shared" si="45"/>
        <v>756</v>
      </c>
      <c r="R490" s="41">
        <f t="shared" si="46"/>
        <v>1186</v>
      </c>
      <c r="S490" s="42" t="str">
        <f t="shared" si="47"/>
        <v>Overstock 📦</v>
      </c>
      <c r="T490" s="43">
        <f>IFERROR(N490/AVERAGE(M487:M491),0)</f>
        <v>0.22365910771892514</v>
      </c>
      <c r="U490" s="44">
        <v>385.31</v>
      </c>
      <c r="V490" s="45">
        <v>7.0499999999999993E-2</v>
      </c>
    </row>
    <row r="491" spans="1:22" ht="15" customHeight="1" x14ac:dyDescent="0.35">
      <c r="A491" s="31">
        <v>5</v>
      </c>
      <c r="B491" s="32">
        <v>2025</v>
      </c>
      <c r="C491" s="31" t="s">
        <v>264</v>
      </c>
      <c r="D491" s="31" t="s">
        <v>228</v>
      </c>
      <c r="E491" s="33" t="s">
        <v>229</v>
      </c>
      <c r="F491" s="31" t="s">
        <v>36</v>
      </c>
      <c r="G491" s="34">
        <v>3030</v>
      </c>
      <c r="H491" s="34">
        <v>10</v>
      </c>
      <c r="I491" s="34">
        <f>IFERROR(ROUND('Data Bulanan'!EC102,0),0)</f>
        <v>26339</v>
      </c>
      <c r="J491" s="34">
        <v>2187086</v>
      </c>
      <c r="K491" s="34">
        <v>617158</v>
      </c>
      <c r="L491" s="35">
        <f t="shared" si="42"/>
        <v>432</v>
      </c>
      <c r="M491" s="36">
        <f>IFERROR(AVERAGE('Data Bulanan'!DF102,'Data Bulanan'!DH102,'Data Bulanan'!DJ102,'Data Bulanan'!DL102,'Data Bulanan'!DN102,'Data Bulanan'!DP102,'Data Bulanan'!DR102,'Data Bulanan'!DT102,'Data Bulanan'!DV102,'Data Bulanan'!DX102,'Data Bulanan'!DZ102,'Data Bulanan'!EB102),0)</f>
        <v>69.92757296466975</v>
      </c>
      <c r="N491" s="37">
        <f>'Data Bulanan'!ED102</f>
        <v>14.700851665010415</v>
      </c>
      <c r="O491" s="38">
        <f t="shared" si="43"/>
        <v>46.488174805711559</v>
      </c>
      <c r="P491" s="39">
        <f t="shared" si="44"/>
        <v>77</v>
      </c>
      <c r="Q491" s="40">
        <f t="shared" si="45"/>
        <v>776</v>
      </c>
      <c r="R491" s="41">
        <f t="shared" si="46"/>
        <v>2254</v>
      </c>
      <c r="S491" s="42" t="str">
        <f t="shared" si="47"/>
        <v>Overstock 📦</v>
      </c>
      <c r="T491" s="43">
        <f>IFERROR(N491/AVERAGE(M487:M491),0)</f>
        <v>0.21190014876356925</v>
      </c>
      <c r="U491" s="44">
        <v>385.31</v>
      </c>
      <c r="V491" s="45">
        <v>7.0499999999999993E-2</v>
      </c>
    </row>
    <row r="492" spans="1:22" ht="15" customHeight="1" x14ac:dyDescent="0.35">
      <c r="A492" s="46">
        <v>1</v>
      </c>
      <c r="B492" s="32">
        <v>2021</v>
      </c>
      <c r="C492" s="46" t="s">
        <v>264</v>
      </c>
      <c r="D492" s="46" t="s">
        <v>230</v>
      </c>
      <c r="E492" s="47" t="s">
        <v>231</v>
      </c>
      <c r="F492" s="46" t="s">
        <v>36</v>
      </c>
      <c r="G492" s="34">
        <v>6857</v>
      </c>
      <c r="H492" s="34">
        <v>40</v>
      </c>
      <c r="I492" s="34">
        <f>IFERROR(ROUND('Data Bulanan'!AC103,0),0)</f>
        <v>14183</v>
      </c>
      <c r="J492" s="34">
        <v>8922467</v>
      </c>
      <c r="K492" s="34">
        <v>460911</v>
      </c>
      <c r="L492" s="35">
        <f t="shared" si="42"/>
        <v>741</v>
      </c>
      <c r="M492" s="36">
        <f>IFERROR(AVERAGE('Data Bulanan'!F103,'Data Bulanan'!H103,'Data Bulanan'!J103,'Data Bulanan'!L103,'Data Bulanan'!N103,'Data Bulanan'!P103,'Data Bulanan'!R103,'Data Bulanan'!T103,'Data Bulanan'!V103,'Data Bulanan'!X103,'Data Bulanan'!Z103,'Data Bulanan'!AB103),0)</f>
        <v>37.638485663082442</v>
      </c>
      <c r="N492" s="37">
        <f>'Data Bulanan'!AD103</f>
        <v>8.106528636121352</v>
      </c>
      <c r="O492" s="38">
        <f t="shared" si="43"/>
        <v>51.270188815043589</v>
      </c>
      <c r="P492" s="39">
        <f t="shared" si="44"/>
        <v>85</v>
      </c>
      <c r="Q492" s="40">
        <f t="shared" si="45"/>
        <v>1591</v>
      </c>
      <c r="R492" s="41">
        <f t="shared" si="46"/>
        <v>5266</v>
      </c>
      <c r="S492" s="42" t="str">
        <f t="shared" si="47"/>
        <v>Overstock 📦</v>
      </c>
      <c r="T492" s="43">
        <f>IFERROR(N492/AVERAGE(M492:M496),0)</f>
        <v>0.24109437533037684</v>
      </c>
      <c r="U492" s="44">
        <v>-186.75</v>
      </c>
      <c r="V492" s="45">
        <v>2.5499999999999998E-2</v>
      </c>
    </row>
    <row r="493" spans="1:22" ht="15" customHeight="1" x14ac:dyDescent="0.35">
      <c r="A493" s="46">
        <v>2</v>
      </c>
      <c r="B493" s="32">
        <v>2022</v>
      </c>
      <c r="C493" s="46" t="s">
        <v>264</v>
      </c>
      <c r="D493" s="46" t="s">
        <v>230</v>
      </c>
      <c r="E493" s="47" t="s">
        <v>231</v>
      </c>
      <c r="F493" s="46" t="s">
        <v>36</v>
      </c>
      <c r="G493" s="34">
        <v>3401</v>
      </c>
      <c r="H493" s="34">
        <v>40</v>
      </c>
      <c r="I493" s="34">
        <f>IFERROR(ROUND('Data Bulanan'!BC103,0),0)</f>
        <v>10886</v>
      </c>
      <c r="J493" s="34">
        <v>8667695</v>
      </c>
      <c r="K493" s="34">
        <v>456049</v>
      </c>
      <c r="L493" s="35">
        <f t="shared" si="42"/>
        <v>643</v>
      </c>
      <c r="M493" s="36">
        <f>IFERROR(AVERAGE('Data Bulanan'!AF103,'Data Bulanan'!AH103,'Data Bulanan'!AJ103,'Data Bulanan'!AL103,'Data Bulanan'!AN103,'Data Bulanan'!AP103,'Data Bulanan'!AR103,'Data Bulanan'!AT103,'Data Bulanan'!AV103,'Data Bulanan'!AX103,'Data Bulanan'!AZ103,'Data Bulanan'!BB103),0)</f>
        <v>28.992767537122376</v>
      </c>
      <c r="N493" s="37">
        <f>'Data Bulanan'!BD103</f>
        <v>6.0829216231155518</v>
      </c>
      <c r="O493" s="38">
        <f t="shared" si="43"/>
        <v>38.47177431466698</v>
      </c>
      <c r="P493" s="39">
        <f t="shared" si="44"/>
        <v>63</v>
      </c>
      <c r="Q493" s="40">
        <f t="shared" si="45"/>
        <v>1223</v>
      </c>
      <c r="R493" s="41">
        <f t="shared" si="46"/>
        <v>2178</v>
      </c>
      <c r="S493" s="42" t="str">
        <f t="shared" si="47"/>
        <v>Overstock 📦</v>
      </c>
      <c r="T493" s="43">
        <f>IFERROR(N493/AVERAGE(M492:M496),0)</f>
        <v>0.18091075165934098</v>
      </c>
      <c r="U493" s="44">
        <v>-186.75</v>
      </c>
      <c r="V493" s="45">
        <v>2.5499999999999998E-2</v>
      </c>
    </row>
    <row r="494" spans="1:22" ht="15" customHeight="1" x14ac:dyDescent="0.35">
      <c r="A494" s="46">
        <v>3</v>
      </c>
      <c r="B494" s="32">
        <v>2023</v>
      </c>
      <c r="C494" s="46" t="s">
        <v>264</v>
      </c>
      <c r="D494" s="46" t="s">
        <v>230</v>
      </c>
      <c r="E494" s="47" t="s">
        <v>231</v>
      </c>
      <c r="F494" s="46" t="s">
        <v>36</v>
      </c>
      <c r="G494" s="34">
        <v>0</v>
      </c>
      <c r="H494" s="34">
        <v>40</v>
      </c>
      <c r="I494" s="34">
        <f>IFERROR(ROUND('Data Bulanan'!CC103,0),0)</f>
        <v>14195</v>
      </c>
      <c r="J494" s="34">
        <v>8521248</v>
      </c>
      <c r="K494" s="34">
        <v>458956</v>
      </c>
      <c r="L494" s="35">
        <f t="shared" si="42"/>
        <v>726</v>
      </c>
      <c r="M494" s="36">
        <f>IFERROR(AVERAGE('Data Bulanan'!BF103,'Data Bulanan'!BH103,'Data Bulanan'!BJ103,'Data Bulanan'!BL103,'Data Bulanan'!BN103,'Data Bulanan'!BP103,'Data Bulanan'!BR103,'Data Bulanan'!BT103,'Data Bulanan'!BV103,'Data Bulanan'!BX103,'Data Bulanan'!BZ103,'Data Bulanan'!CB103),0)</f>
        <v>37.884856630824373</v>
      </c>
      <c r="N494" s="37">
        <f>'Data Bulanan'!CD103</f>
        <v>9.7730977801718346</v>
      </c>
      <c r="O494" s="38">
        <f t="shared" si="43"/>
        <v>61.810497561757145</v>
      </c>
      <c r="P494" s="39">
        <f t="shared" si="44"/>
        <v>102</v>
      </c>
      <c r="Q494" s="40">
        <f t="shared" si="45"/>
        <v>1617</v>
      </c>
      <c r="R494" s="41">
        <f t="shared" si="46"/>
        <v>-1617</v>
      </c>
      <c r="S494" s="42" t="str">
        <f t="shared" si="47"/>
        <v>Stockout ⚠</v>
      </c>
      <c r="T494" s="43">
        <f>IFERROR(N494/AVERAGE(M492:M496),0)</f>
        <v>0.29065941910748455</v>
      </c>
      <c r="U494" s="44">
        <v>-186.75</v>
      </c>
      <c r="V494" s="45">
        <v>2.5499999999999998E-2</v>
      </c>
    </row>
    <row r="495" spans="1:22" ht="15" customHeight="1" x14ac:dyDescent="0.35">
      <c r="A495" s="46">
        <v>4</v>
      </c>
      <c r="B495" s="32">
        <v>2024</v>
      </c>
      <c r="C495" s="46" t="s">
        <v>264</v>
      </c>
      <c r="D495" s="46" t="s">
        <v>230</v>
      </c>
      <c r="E495" s="47" t="s">
        <v>231</v>
      </c>
      <c r="F495" s="46" t="s">
        <v>36</v>
      </c>
      <c r="G495" s="34">
        <v>0</v>
      </c>
      <c r="H495" s="34">
        <v>40</v>
      </c>
      <c r="I495" s="34">
        <f>IFERROR(ROUND('Data Bulanan'!DC103,0),0)</f>
        <v>10387</v>
      </c>
      <c r="J495" s="34">
        <v>7859201</v>
      </c>
      <c r="K495" s="34">
        <v>476906</v>
      </c>
      <c r="L495" s="35">
        <f t="shared" si="42"/>
        <v>585</v>
      </c>
      <c r="M495" s="36">
        <f>IFERROR(AVERAGE('Data Bulanan'!CF103,'Data Bulanan'!CH103,'Data Bulanan'!CJ103,'Data Bulanan'!CL103,'Data Bulanan'!CN103,'Data Bulanan'!CP103,'Data Bulanan'!CR103,'Data Bulanan'!CT103,'Data Bulanan'!CV103,'Data Bulanan'!CX103,'Data Bulanan'!CZ103,'Data Bulanan'!DB103),0)</f>
        <v>27.699462365591398</v>
      </c>
      <c r="N495" s="37">
        <f>'Data Bulanan'!DD103</f>
        <v>6.3945906829129582</v>
      </c>
      <c r="O495" s="38">
        <f t="shared" si="43"/>
        <v>40.442942524993022</v>
      </c>
      <c r="P495" s="39">
        <f t="shared" si="44"/>
        <v>67</v>
      </c>
      <c r="Q495" s="40">
        <f t="shared" si="45"/>
        <v>1175</v>
      </c>
      <c r="R495" s="41">
        <f t="shared" si="46"/>
        <v>-1175</v>
      </c>
      <c r="S495" s="42" t="str">
        <f t="shared" si="47"/>
        <v>Stockout ⚠</v>
      </c>
      <c r="T495" s="43">
        <f>IFERROR(N495/AVERAGE(M492:M496),0)</f>
        <v>0.19018002839350839</v>
      </c>
      <c r="U495" s="44">
        <v>-186.75</v>
      </c>
      <c r="V495" s="45">
        <v>2.5499999999999998E-2</v>
      </c>
    </row>
    <row r="496" spans="1:22" ht="15" customHeight="1" x14ac:dyDescent="0.35">
      <c r="A496" s="46">
        <v>5</v>
      </c>
      <c r="B496" s="32">
        <v>2025</v>
      </c>
      <c r="C496" s="46" t="s">
        <v>264</v>
      </c>
      <c r="D496" s="46" t="s">
        <v>230</v>
      </c>
      <c r="E496" s="47" t="s">
        <v>231</v>
      </c>
      <c r="F496" s="46" t="s">
        <v>36</v>
      </c>
      <c r="G496" s="34">
        <v>9286</v>
      </c>
      <c r="H496" s="34">
        <v>40</v>
      </c>
      <c r="I496" s="34">
        <f>IFERROR(ROUND('Data Bulanan'!EC103,0),0)</f>
        <v>13499</v>
      </c>
      <c r="J496" s="34">
        <v>7919897</v>
      </c>
      <c r="K496" s="34">
        <v>463393</v>
      </c>
      <c r="L496" s="35">
        <f t="shared" si="42"/>
        <v>679</v>
      </c>
      <c r="M496" s="36">
        <f>IFERROR(AVERAGE('Data Bulanan'!DF103,'Data Bulanan'!DH103,'Data Bulanan'!DJ103,'Data Bulanan'!DL103,'Data Bulanan'!DN103,'Data Bulanan'!DP103,'Data Bulanan'!DR103,'Data Bulanan'!DT103,'Data Bulanan'!DV103,'Data Bulanan'!DX103,'Data Bulanan'!DZ103,'Data Bulanan'!EB103),0)</f>
        <v>35.903833845366108</v>
      </c>
      <c r="N496" s="37">
        <f>'Data Bulanan'!ED103</f>
        <v>7.5454599869042376</v>
      </c>
      <c r="O496" s="38">
        <f t="shared" si="43"/>
        <v>47.721679104563329</v>
      </c>
      <c r="P496" s="39">
        <f t="shared" si="44"/>
        <v>79</v>
      </c>
      <c r="Q496" s="40">
        <f t="shared" si="45"/>
        <v>1515</v>
      </c>
      <c r="R496" s="41">
        <f t="shared" si="46"/>
        <v>7771</v>
      </c>
      <c r="S496" s="42" t="str">
        <f t="shared" si="47"/>
        <v>Overstock 📦</v>
      </c>
      <c r="T496" s="43">
        <f>IFERROR(N496/AVERAGE(M492:M496),0)</f>
        <v>0.22440776364091514</v>
      </c>
      <c r="U496" s="44">
        <v>-186.75</v>
      </c>
      <c r="V496" s="45">
        <v>2.5499999999999998E-2</v>
      </c>
    </row>
    <row r="497" spans="1:22" ht="15" customHeight="1" x14ac:dyDescent="0.35">
      <c r="A497" s="31">
        <v>1</v>
      </c>
      <c r="B497" s="32">
        <v>2021</v>
      </c>
      <c r="C497" s="31" t="s">
        <v>263</v>
      </c>
      <c r="D497" s="31" t="s">
        <v>232</v>
      </c>
      <c r="E497" s="33" t="s">
        <v>233</v>
      </c>
      <c r="F497" s="31" t="s">
        <v>36</v>
      </c>
      <c r="G497" s="34">
        <v>4085</v>
      </c>
      <c r="H497" s="34">
        <v>10</v>
      </c>
      <c r="I497" s="34">
        <f>IFERROR(ROUND('Data Bulanan'!AC104,0),0)</f>
        <v>41867</v>
      </c>
      <c r="J497" s="34">
        <v>1530710</v>
      </c>
      <c r="K497" s="34">
        <v>231497</v>
      </c>
      <c r="L497" s="35">
        <f t="shared" si="42"/>
        <v>744</v>
      </c>
      <c r="M497" s="36">
        <f>IFERROR(AVERAGE('Data Bulanan'!F104,'Data Bulanan'!H104,'Data Bulanan'!J104,'Data Bulanan'!L104,'Data Bulanan'!N104,'Data Bulanan'!P104,'Data Bulanan'!R104,'Data Bulanan'!T104,'Data Bulanan'!V104,'Data Bulanan'!X104,'Data Bulanan'!Z104,'Data Bulanan'!AB104),0)</f>
        <v>111.63520225294421</v>
      </c>
      <c r="N497" s="37">
        <f>'Data Bulanan'!AD104</f>
        <v>24.155004077078196</v>
      </c>
      <c r="O497" s="38">
        <f t="shared" si="43"/>
        <v>76.384829774220506</v>
      </c>
      <c r="P497" s="39">
        <f t="shared" si="44"/>
        <v>126</v>
      </c>
      <c r="Q497" s="40">
        <f t="shared" si="45"/>
        <v>1242</v>
      </c>
      <c r="R497" s="41">
        <f t="shared" si="46"/>
        <v>2843</v>
      </c>
      <c r="S497" s="42" t="str">
        <f t="shared" si="47"/>
        <v>Overstock 📦</v>
      </c>
      <c r="T497" s="43">
        <f>IFERROR(N497/AVERAGE(M497:M501),0)</f>
        <v>0.18526037772499276</v>
      </c>
      <c r="U497" s="44">
        <v>2884.02</v>
      </c>
      <c r="V497" s="45">
        <v>0.94769999999999999</v>
      </c>
    </row>
    <row r="498" spans="1:22" ht="15" customHeight="1" x14ac:dyDescent="0.35">
      <c r="A498" s="31">
        <v>2</v>
      </c>
      <c r="B498" s="32">
        <v>2022</v>
      </c>
      <c r="C498" s="31" t="s">
        <v>263</v>
      </c>
      <c r="D498" s="31" t="s">
        <v>232</v>
      </c>
      <c r="E498" s="33" t="s">
        <v>233</v>
      </c>
      <c r="F498" s="31" t="s">
        <v>36</v>
      </c>
      <c r="G498" s="34">
        <v>3678</v>
      </c>
      <c r="H498" s="34">
        <v>10</v>
      </c>
      <c r="I498" s="34">
        <f>IFERROR(ROUND('Data Bulanan'!BC104,0),0)</f>
        <v>47633</v>
      </c>
      <c r="J498" s="34">
        <v>1625707</v>
      </c>
      <c r="K498" s="34">
        <v>260823</v>
      </c>
      <c r="L498" s="35">
        <f t="shared" si="42"/>
        <v>771</v>
      </c>
      <c r="M498" s="36">
        <f>IFERROR(AVERAGE('Data Bulanan'!AF104,'Data Bulanan'!AH104,'Data Bulanan'!AJ104,'Data Bulanan'!AL104,'Data Bulanan'!AN104,'Data Bulanan'!AP104,'Data Bulanan'!AR104,'Data Bulanan'!AT104,'Data Bulanan'!AV104,'Data Bulanan'!AX104,'Data Bulanan'!AZ104,'Data Bulanan'!BB104),0)</f>
        <v>127.00778289810546</v>
      </c>
      <c r="N498" s="37">
        <f>'Data Bulanan'!BD104</f>
        <v>31.797096755835788</v>
      </c>
      <c r="O498" s="38">
        <f t="shared" si="43"/>
        <v>100.55124872919197</v>
      </c>
      <c r="P498" s="39">
        <f t="shared" si="44"/>
        <v>166</v>
      </c>
      <c r="Q498" s="40">
        <f t="shared" si="45"/>
        <v>1436</v>
      </c>
      <c r="R498" s="41">
        <f t="shared" si="46"/>
        <v>2242</v>
      </c>
      <c r="S498" s="42" t="str">
        <f t="shared" si="47"/>
        <v>Overstock 📦</v>
      </c>
      <c r="T498" s="43">
        <f>IFERROR(N498/AVERAGE(M497:M501),0)</f>
        <v>0.24387253824288438</v>
      </c>
      <c r="U498" s="44">
        <v>2884.02</v>
      </c>
      <c r="V498" s="45">
        <v>0.94769999999999999</v>
      </c>
    </row>
    <row r="499" spans="1:22" ht="15" customHeight="1" x14ac:dyDescent="0.35">
      <c r="A499" s="31">
        <v>3</v>
      </c>
      <c r="B499" s="32">
        <v>2023</v>
      </c>
      <c r="C499" s="31" t="s">
        <v>263</v>
      </c>
      <c r="D499" s="31" t="s">
        <v>232</v>
      </c>
      <c r="E499" s="33" t="s">
        <v>233</v>
      </c>
      <c r="F499" s="31" t="s">
        <v>36</v>
      </c>
      <c r="G499" s="34">
        <v>5439</v>
      </c>
      <c r="H499" s="34">
        <v>10</v>
      </c>
      <c r="I499" s="34">
        <f>IFERROR(ROUND('Data Bulanan'!CC104,0),0)</f>
        <v>49348</v>
      </c>
      <c r="J499" s="34">
        <v>1606055</v>
      </c>
      <c r="K499" s="34">
        <v>258784</v>
      </c>
      <c r="L499" s="35">
        <f t="shared" si="42"/>
        <v>783</v>
      </c>
      <c r="M499" s="36">
        <f>IFERROR(AVERAGE('Data Bulanan'!BF104,'Data Bulanan'!BH104,'Data Bulanan'!BJ104,'Data Bulanan'!BL104,'Data Bulanan'!BN104,'Data Bulanan'!BP104,'Data Bulanan'!BR104,'Data Bulanan'!BT104,'Data Bulanan'!BV104,'Data Bulanan'!BX104,'Data Bulanan'!BZ104,'Data Bulanan'!CB104),0)</f>
        <v>131.55250256016387</v>
      </c>
      <c r="N499" s="37">
        <f>'Data Bulanan'!CD104</f>
        <v>31.893036373176148</v>
      </c>
      <c r="O499" s="38">
        <f t="shared" si="43"/>
        <v>100.8546364378325</v>
      </c>
      <c r="P499" s="39">
        <f t="shared" si="44"/>
        <v>166</v>
      </c>
      <c r="Q499" s="40">
        <f t="shared" si="45"/>
        <v>1482</v>
      </c>
      <c r="R499" s="41">
        <f t="shared" si="46"/>
        <v>3957</v>
      </c>
      <c r="S499" s="42" t="str">
        <f t="shared" si="47"/>
        <v>Overstock 📦</v>
      </c>
      <c r="T499" s="43">
        <f>IFERROR(N499/AVERAGE(M497:M501),0)</f>
        <v>0.24460836133322833</v>
      </c>
      <c r="U499" s="44">
        <v>2884.02</v>
      </c>
      <c r="V499" s="45">
        <v>0.94769999999999999</v>
      </c>
    </row>
    <row r="500" spans="1:22" ht="15" customHeight="1" x14ac:dyDescent="0.35">
      <c r="A500" s="31">
        <v>4</v>
      </c>
      <c r="B500" s="32">
        <v>2024</v>
      </c>
      <c r="C500" s="31" t="s">
        <v>263</v>
      </c>
      <c r="D500" s="31" t="s">
        <v>232</v>
      </c>
      <c r="E500" s="33" t="s">
        <v>233</v>
      </c>
      <c r="F500" s="31" t="s">
        <v>36</v>
      </c>
      <c r="G500" s="34">
        <v>4631</v>
      </c>
      <c r="H500" s="34">
        <v>10</v>
      </c>
      <c r="I500" s="34">
        <f>IFERROR(ROUND('Data Bulanan'!DC104,0),0)</f>
        <v>51759</v>
      </c>
      <c r="J500" s="34">
        <v>1474068</v>
      </c>
      <c r="K500" s="34">
        <v>248339</v>
      </c>
      <c r="L500" s="35">
        <f t="shared" si="42"/>
        <v>784</v>
      </c>
      <c r="M500" s="36">
        <f>IFERROR(AVERAGE('Data Bulanan'!CF104,'Data Bulanan'!CH104,'Data Bulanan'!CJ104,'Data Bulanan'!CL104,'Data Bulanan'!CN104,'Data Bulanan'!CP104,'Data Bulanan'!CR104,'Data Bulanan'!CT104,'Data Bulanan'!CV104,'Data Bulanan'!CX104,'Data Bulanan'!CZ104,'Data Bulanan'!DB104),0)</f>
        <v>137.83444700460828</v>
      </c>
      <c r="N500" s="37">
        <f>'Data Bulanan'!DD104</f>
        <v>31.798259910551987</v>
      </c>
      <c r="O500" s="38">
        <f t="shared" si="43"/>
        <v>100.55492694736633</v>
      </c>
      <c r="P500" s="39">
        <f t="shared" si="44"/>
        <v>166</v>
      </c>
      <c r="Q500" s="40">
        <f t="shared" si="45"/>
        <v>1544</v>
      </c>
      <c r="R500" s="41">
        <f t="shared" si="46"/>
        <v>3087</v>
      </c>
      <c r="S500" s="42" t="str">
        <f t="shared" si="47"/>
        <v>Overstock 📦</v>
      </c>
      <c r="T500" s="43">
        <f>IFERROR(N500/AVERAGE(M497:M501),0)</f>
        <v>0.24388145923007976</v>
      </c>
      <c r="U500" s="44">
        <v>2884.02</v>
      </c>
      <c r="V500" s="45">
        <v>0.94769999999999999</v>
      </c>
    </row>
    <row r="501" spans="1:22" ht="15" customHeight="1" x14ac:dyDescent="0.35">
      <c r="A501" s="31">
        <v>5</v>
      </c>
      <c r="B501" s="32">
        <v>2025</v>
      </c>
      <c r="C501" s="31" t="s">
        <v>263</v>
      </c>
      <c r="D501" s="31" t="s">
        <v>232</v>
      </c>
      <c r="E501" s="33" t="s">
        <v>233</v>
      </c>
      <c r="F501" s="31" t="s">
        <v>36</v>
      </c>
      <c r="G501" s="34">
        <v>2668</v>
      </c>
      <c r="H501" s="34">
        <v>10</v>
      </c>
      <c r="I501" s="34">
        <f>IFERROR(ROUND('Data Bulanan'!EC104,0),0)</f>
        <v>54224</v>
      </c>
      <c r="J501" s="34">
        <v>1692855</v>
      </c>
      <c r="K501" s="34">
        <v>242884</v>
      </c>
      <c r="L501" s="35">
        <f t="shared" si="42"/>
        <v>869</v>
      </c>
      <c r="M501" s="36">
        <f>IFERROR(AVERAGE('Data Bulanan'!DF104,'Data Bulanan'!DH104,'Data Bulanan'!DJ104,'Data Bulanan'!DL104,'Data Bulanan'!DN104,'Data Bulanan'!DP104,'Data Bulanan'!DR104,'Data Bulanan'!DT104,'Data Bulanan'!DV104,'Data Bulanan'!DX104,'Data Bulanan'!DZ104,'Data Bulanan'!EB104),0)</f>
        <v>143.89046979006659</v>
      </c>
      <c r="N501" s="37">
        <f>'Data Bulanan'!ED104</f>
        <v>33.573910653722727</v>
      </c>
      <c r="O501" s="38">
        <f t="shared" si="43"/>
        <v>106.17002762475653</v>
      </c>
      <c r="P501" s="39">
        <f t="shared" si="44"/>
        <v>175</v>
      </c>
      <c r="Q501" s="40">
        <f t="shared" si="45"/>
        <v>1614</v>
      </c>
      <c r="R501" s="41">
        <f t="shared" si="46"/>
        <v>1054</v>
      </c>
      <c r="S501" s="42" t="str">
        <f t="shared" si="47"/>
        <v>Overstock 📦</v>
      </c>
      <c r="T501" s="43">
        <f>IFERROR(N501/AVERAGE(M497:M501),0)</f>
        <v>0.25750007532874719</v>
      </c>
      <c r="U501" s="44">
        <v>2884.02</v>
      </c>
      <c r="V501" s="45">
        <v>0.94769999999999999</v>
      </c>
    </row>
    <row r="502" spans="1:22" ht="15" customHeight="1" x14ac:dyDescent="0.35">
      <c r="A502" s="46">
        <v>1</v>
      </c>
      <c r="B502" s="32">
        <v>2021</v>
      </c>
      <c r="C502" s="46" t="s">
        <v>263</v>
      </c>
      <c r="D502" s="46" t="s">
        <v>234</v>
      </c>
      <c r="E502" s="47" t="s">
        <v>235</v>
      </c>
      <c r="F502" s="46" t="s">
        <v>36</v>
      </c>
      <c r="G502" s="34">
        <v>2738</v>
      </c>
      <c r="H502" s="34">
        <v>9</v>
      </c>
      <c r="I502" s="34">
        <f>IFERROR(ROUND('Data Bulanan'!AC105,0),0)</f>
        <v>34267</v>
      </c>
      <c r="J502" s="34">
        <v>719464</v>
      </c>
      <c r="K502" s="34">
        <v>230063</v>
      </c>
      <c r="L502" s="35">
        <f t="shared" si="42"/>
        <v>463</v>
      </c>
      <c r="M502" s="36">
        <f>IFERROR(AVERAGE('Data Bulanan'!F105,'Data Bulanan'!H105,'Data Bulanan'!J105,'Data Bulanan'!L105,'Data Bulanan'!N105,'Data Bulanan'!P105,'Data Bulanan'!R105,'Data Bulanan'!T105,'Data Bulanan'!V105,'Data Bulanan'!X105,'Data Bulanan'!Z105,'Data Bulanan'!AB105),0)</f>
        <v>91.099302355350744</v>
      </c>
      <c r="N502" s="37">
        <f>'Data Bulanan'!AD105</f>
        <v>25.119576749170875</v>
      </c>
      <c r="O502" s="38">
        <f t="shared" si="43"/>
        <v>75.358730247512625</v>
      </c>
      <c r="P502" s="39">
        <f t="shared" si="44"/>
        <v>124</v>
      </c>
      <c r="Q502" s="40">
        <f t="shared" si="45"/>
        <v>944</v>
      </c>
      <c r="R502" s="41">
        <f t="shared" si="46"/>
        <v>1794</v>
      </c>
      <c r="S502" s="42" t="str">
        <f t="shared" si="47"/>
        <v>Overstock 📦</v>
      </c>
      <c r="T502" s="43">
        <f>IFERROR(N502/AVERAGE(M502:M506),0)</f>
        <v>0.29854537778107104</v>
      </c>
      <c r="U502" s="44">
        <v>-629.64</v>
      </c>
      <c r="V502" s="45">
        <v>7.8299999999999995E-2</v>
      </c>
    </row>
    <row r="503" spans="1:22" ht="15" customHeight="1" x14ac:dyDescent="0.35">
      <c r="A503" s="46">
        <v>2</v>
      </c>
      <c r="B503" s="32">
        <v>2022</v>
      </c>
      <c r="C503" s="46" t="s">
        <v>263</v>
      </c>
      <c r="D503" s="46" t="s">
        <v>234</v>
      </c>
      <c r="E503" s="47" t="s">
        <v>235</v>
      </c>
      <c r="F503" s="46" t="s">
        <v>36</v>
      </c>
      <c r="G503" s="34">
        <v>4278</v>
      </c>
      <c r="H503" s="34">
        <v>9</v>
      </c>
      <c r="I503" s="34">
        <f>IFERROR(ROUND('Data Bulanan'!BC105,0),0)</f>
        <v>34175</v>
      </c>
      <c r="J503" s="34">
        <v>691974</v>
      </c>
      <c r="K503" s="34">
        <v>221684</v>
      </c>
      <c r="L503" s="35">
        <f t="shared" si="42"/>
        <v>462</v>
      </c>
      <c r="M503" s="36">
        <f>IFERROR(AVERAGE('Data Bulanan'!AF105,'Data Bulanan'!AH105,'Data Bulanan'!AJ105,'Data Bulanan'!AL105,'Data Bulanan'!AN105,'Data Bulanan'!AP105,'Data Bulanan'!AR105,'Data Bulanan'!AT105,'Data Bulanan'!AV105,'Data Bulanan'!AX105,'Data Bulanan'!AZ105,'Data Bulanan'!BB105),0)</f>
        <v>90.961744751664114</v>
      </c>
      <c r="N503" s="37">
        <f>'Data Bulanan'!BD105</f>
        <v>20.725013891247848</v>
      </c>
      <c r="O503" s="38">
        <f t="shared" si="43"/>
        <v>62.175041673743543</v>
      </c>
      <c r="P503" s="39">
        <f t="shared" si="44"/>
        <v>103</v>
      </c>
      <c r="Q503" s="40">
        <f t="shared" si="45"/>
        <v>922</v>
      </c>
      <c r="R503" s="41">
        <f t="shared" si="46"/>
        <v>3356</v>
      </c>
      <c r="S503" s="42" t="str">
        <f t="shared" si="47"/>
        <v>Overstock 📦</v>
      </c>
      <c r="T503" s="43">
        <f>IFERROR(N503/AVERAGE(M502:M506),0)</f>
        <v>0.24631613675117994</v>
      </c>
      <c r="U503" s="44">
        <v>-629.64</v>
      </c>
      <c r="V503" s="45">
        <v>7.8299999999999995E-2</v>
      </c>
    </row>
    <row r="504" spans="1:22" ht="15" customHeight="1" x14ac:dyDescent="0.35">
      <c r="A504" s="46">
        <v>3</v>
      </c>
      <c r="B504" s="32">
        <v>2023</v>
      </c>
      <c r="C504" s="46" t="s">
        <v>263</v>
      </c>
      <c r="D504" s="46" t="s">
        <v>234</v>
      </c>
      <c r="E504" s="47" t="s">
        <v>235</v>
      </c>
      <c r="F504" s="46" t="s">
        <v>36</v>
      </c>
      <c r="G504" s="34">
        <v>4844</v>
      </c>
      <c r="H504" s="34">
        <v>9</v>
      </c>
      <c r="I504" s="34">
        <f>IFERROR(ROUND('Data Bulanan'!CC105,0),0)</f>
        <v>27707</v>
      </c>
      <c r="J504" s="34">
        <v>716767</v>
      </c>
      <c r="K504" s="34">
        <v>201599</v>
      </c>
      <c r="L504" s="35">
        <f t="shared" si="42"/>
        <v>444</v>
      </c>
      <c r="M504" s="36">
        <f>IFERROR(AVERAGE('Data Bulanan'!BF105,'Data Bulanan'!BH105,'Data Bulanan'!BJ105,'Data Bulanan'!BL105,'Data Bulanan'!BN105,'Data Bulanan'!BP105,'Data Bulanan'!BR105,'Data Bulanan'!BT105,'Data Bulanan'!BV105,'Data Bulanan'!BX105,'Data Bulanan'!BZ105,'Data Bulanan'!CB105),0)</f>
        <v>73.727169738863282</v>
      </c>
      <c r="N504" s="37">
        <f>'Data Bulanan'!CD105</f>
        <v>18.068375158564084</v>
      </c>
      <c r="O504" s="38">
        <f t="shared" si="43"/>
        <v>54.205125475692256</v>
      </c>
      <c r="P504" s="39">
        <f t="shared" si="44"/>
        <v>89</v>
      </c>
      <c r="Q504" s="40">
        <f t="shared" si="45"/>
        <v>753</v>
      </c>
      <c r="R504" s="41">
        <f t="shared" si="46"/>
        <v>4091</v>
      </c>
      <c r="S504" s="42" t="str">
        <f t="shared" si="47"/>
        <v>Overstock 📦</v>
      </c>
      <c r="T504" s="43">
        <f>IFERROR(N504/AVERAGE(M502:M506),0)</f>
        <v>0.21474206916251809</v>
      </c>
      <c r="U504" s="44">
        <v>-629.64</v>
      </c>
      <c r="V504" s="45">
        <v>7.8299999999999995E-2</v>
      </c>
    </row>
    <row r="505" spans="1:22" ht="15" customHeight="1" x14ac:dyDescent="0.35">
      <c r="A505" s="46">
        <v>4</v>
      </c>
      <c r="B505" s="32">
        <v>2024</v>
      </c>
      <c r="C505" s="46" t="s">
        <v>263</v>
      </c>
      <c r="D505" s="46" t="s">
        <v>234</v>
      </c>
      <c r="E505" s="47" t="s">
        <v>235</v>
      </c>
      <c r="F505" s="46" t="s">
        <v>36</v>
      </c>
      <c r="G505" s="34">
        <v>1745</v>
      </c>
      <c r="H505" s="34">
        <v>9</v>
      </c>
      <c r="I505" s="34">
        <f>IFERROR(ROUND('Data Bulanan'!DC105,0),0)</f>
        <v>27803</v>
      </c>
      <c r="J505" s="34">
        <v>779874</v>
      </c>
      <c r="K505" s="34">
        <v>197149</v>
      </c>
      <c r="L505" s="35">
        <f t="shared" si="42"/>
        <v>469</v>
      </c>
      <c r="M505" s="36">
        <f>IFERROR(AVERAGE('Data Bulanan'!CF105,'Data Bulanan'!CH105,'Data Bulanan'!CJ105,'Data Bulanan'!CL105,'Data Bulanan'!CN105,'Data Bulanan'!CP105,'Data Bulanan'!CR105,'Data Bulanan'!CT105,'Data Bulanan'!CV105,'Data Bulanan'!CX105,'Data Bulanan'!CZ105,'Data Bulanan'!DB105),0)</f>
        <v>73.774564772145411</v>
      </c>
      <c r="N505" s="37">
        <f>'Data Bulanan'!DD105</f>
        <v>16.054863596810893</v>
      </c>
      <c r="O505" s="38">
        <f t="shared" si="43"/>
        <v>48.164590790432683</v>
      </c>
      <c r="P505" s="39">
        <f t="shared" si="44"/>
        <v>79</v>
      </c>
      <c r="Q505" s="40">
        <f t="shared" si="45"/>
        <v>743</v>
      </c>
      <c r="R505" s="41">
        <f t="shared" si="46"/>
        <v>1002</v>
      </c>
      <c r="S505" s="42" t="str">
        <f t="shared" si="47"/>
        <v>Overstock 📦</v>
      </c>
      <c r="T505" s="43">
        <f>IFERROR(N505/AVERAGE(M502:M506),0)</f>
        <v>0.19081154772608497</v>
      </c>
      <c r="U505" s="44">
        <v>-629.64</v>
      </c>
      <c r="V505" s="45">
        <v>7.8299999999999995E-2</v>
      </c>
    </row>
    <row r="506" spans="1:22" ht="15" customHeight="1" x14ac:dyDescent="0.35">
      <c r="A506" s="46">
        <v>5</v>
      </c>
      <c r="B506" s="32">
        <v>2025</v>
      </c>
      <c r="C506" s="46" t="s">
        <v>263</v>
      </c>
      <c r="D506" s="46" t="s">
        <v>234</v>
      </c>
      <c r="E506" s="47" t="s">
        <v>235</v>
      </c>
      <c r="F506" s="46" t="s">
        <v>36</v>
      </c>
      <c r="G506" s="34">
        <v>4725</v>
      </c>
      <c r="H506" s="34">
        <v>9</v>
      </c>
      <c r="I506" s="34">
        <f>IFERROR(ROUND('Data Bulanan'!EC105,0),0)</f>
        <v>34305</v>
      </c>
      <c r="J506" s="34">
        <v>748453</v>
      </c>
      <c r="K506" s="34">
        <v>219910</v>
      </c>
      <c r="L506" s="35">
        <f t="shared" si="42"/>
        <v>483</v>
      </c>
      <c r="M506" s="36">
        <f>IFERROR(AVERAGE('Data Bulanan'!DF105,'Data Bulanan'!DH105,'Data Bulanan'!DJ105,'Data Bulanan'!DL105,'Data Bulanan'!DN105,'Data Bulanan'!DP105,'Data Bulanan'!DR105,'Data Bulanan'!DT105,'Data Bulanan'!DV105,'Data Bulanan'!DX105,'Data Bulanan'!DZ105,'Data Bulanan'!EB105),0)</f>
        <v>91.1366935483871</v>
      </c>
      <c r="N506" s="37">
        <f>'Data Bulanan'!ED105</f>
        <v>23.049142112196492</v>
      </c>
      <c r="O506" s="38">
        <f t="shared" si="43"/>
        <v>69.147426336589476</v>
      </c>
      <c r="P506" s="39">
        <f t="shared" si="44"/>
        <v>114</v>
      </c>
      <c r="Q506" s="40">
        <f t="shared" si="45"/>
        <v>934</v>
      </c>
      <c r="R506" s="41">
        <f t="shared" si="46"/>
        <v>3791</v>
      </c>
      <c r="S506" s="42" t="str">
        <f t="shared" si="47"/>
        <v>Overstock 📦</v>
      </c>
      <c r="T506" s="43">
        <f>IFERROR(N506/AVERAGE(M502:M506),0)</f>
        <v>0.27393832739010715</v>
      </c>
      <c r="U506" s="44">
        <v>-629.64</v>
      </c>
      <c r="V506" s="45">
        <v>7.8299999999999995E-2</v>
      </c>
    </row>
    <row r="508" spans="1:22" ht="15.75" customHeight="1" x14ac:dyDescent="0.35">
      <c r="A508" s="89" t="s">
        <v>265</v>
      </c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</row>
    <row r="509" spans="1:22" ht="12.75" customHeight="1" x14ac:dyDescent="0.35">
      <c r="A509" s="90" t="s">
        <v>266</v>
      </c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</row>
    <row r="510" spans="1:22" ht="12.75" customHeight="1" x14ac:dyDescent="0.35">
      <c r="A510" s="91" t="s">
        <v>267</v>
      </c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</row>
    <row r="511" spans="1:22" ht="12.75" customHeight="1" x14ac:dyDescent="0.35">
      <c r="A511" s="92" t="s">
        <v>268</v>
      </c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</row>
    <row r="512" spans="1:22" ht="12.75" customHeight="1" x14ac:dyDescent="0.35">
      <c r="A512" s="93" t="s">
        <v>269</v>
      </c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spans="1:22" ht="12.75" customHeight="1" x14ac:dyDescent="0.35">
      <c r="A513" s="94" t="s">
        <v>270</v>
      </c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</row>
    <row r="514" spans="1:22" ht="12.75" customHeight="1" x14ac:dyDescent="0.35">
      <c r="A514" s="94" t="s">
        <v>271</v>
      </c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</row>
    <row r="515" spans="1:22" ht="12.75" customHeight="1" x14ac:dyDescent="0.35">
      <c r="A515" s="95" t="s">
        <v>272</v>
      </c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</row>
  </sheetData>
  <mergeCells count="17">
    <mergeCell ref="A513:V513"/>
    <mergeCell ref="A514:V514"/>
    <mergeCell ref="A515:V515"/>
    <mergeCell ref="A508:V508"/>
    <mergeCell ref="A509:V509"/>
    <mergeCell ref="A510:V510"/>
    <mergeCell ref="A511:V511"/>
    <mergeCell ref="A512:V512"/>
    <mergeCell ref="A1:V1"/>
    <mergeCell ref="A2:V2"/>
    <mergeCell ref="A3:V3"/>
    <mergeCell ref="A4:V4"/>
    <mergeCell ref="A5:H5"/>
    <mergeCell ref="I5:L5"/>
    <mergeCell ref="M5:P5"/>
    <mergeCell ref="Q5:S5"/>
    <mergeCell ref="T5:V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3"/>
  <sheetViews>
    <sheetView showGridLines="0" tabSelected="1" topLeftCell="U1" zoomScaleNormal="100" workbookViewId="0">
      <pane ySplit="7" topLeftCell="A8" activePane="bottomLeft" state="frozen"/>
      <selection activeCell="I1" sqref="I1"/>
      <selection pane="bottomLeft" activeCell="AA8" sqref="AA8"/>
    </sheetView>
  </sheetViews>
  <sheetFormatPr defaultColWidth="8.6328125" defaultRowHeight="14.5" x14ac:dyDescent="0.35"/>
  <cols>
    <col min="1" max="1" width="5" customWidth="1"/>
    <col min="2" max="2" width="9" customWidth="1"/>
    <col min="3" max="3" width="26" customWidth="1"/>
    <col min="4" max="4" width="9" customWidth="1"/>
    <col min="5" max="5" width="7" customWidth="1"/>
    <col min="6" max="6" width="13" customWidth="1"/>
    <col min="7" max="8" width="16" customWidth="1"/>
    <col min="9" max="9" width="18" customWidth="1"/>
    <col min="10" max="10" width="15" customWidth="1"/>
    <col min="11" max="11" width="24" customWidth="1"/>
    <col min="12" max="12" width="15" customWidth="1"/>
    <col min="13" max="13" width="24" customWidth="1"/>
    <col min="14" max="14" width="16" customWidth="1"/>
    <col min="15" max="15" width="14" customWidth="1"/>
    <col min="16" max="16" width="16" customWidth="1"/>
    <col min="17" max="17" width="18" customWidth="1"/>
    <col min="18" max="18" width="16" customWidth="1"/>
    <col min="19" max="19" width="14" customWidth="1"/>
    <col min="20" max="21" width="16" customWidth="1"/>
    <col min="22" max="22" width="18" customWidth="1"/>
    <col min="23" max="23" width="16" customWidth="1"/>
    <col min="24" max="24" width="18" customWidth="1"/>
    <col min="25" max="25" width="13" customWidth="1"/>
    <col min="26" max="26" width="22" customWidth="1"/>
    <col min="27" max="27" width="10" customWidth="1"/>
    <col min="28" max="28" width="11.1796875" customWidth="1"/>
    <col min="29" max="29" width="39.26953125" customWidth="1"/>
  </cols>
  <sheetData>
    <row r="1" spans="1:27" ht="24" customHeight="1" x14ac:dyDescent="0.35">
      <c r="A1" s="14" t="s">
        <v>273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3.5" customHeight="1" x14ac:dyDescent="0.35">
      <c r="A2" s="13" t="s">
        <v>274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3.5" customHeight="1" x14ac:dyDescent="0.35">
      <c r="A3" s="12" t="s">
        <v>275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4.5" customHeight="1" x14ac:dyDescent="0.35"/>
    <row r="5" spans="1:27" ht="27.75" customHeight="1" x14ac:dyDescent="0.35">
      <c r="A5" s="11" t="s">
        <v>276</v>
      </c>
      <c r="B5" s="11"/>
      <c r="C5" s="11"/>
      <c r="D5" s="11"/>
      <c r="E5" s="11"/>
      <c r="F5" s="10" t="s">
        <v>277</v>
      </c>
      <c r="G5" s="10"/>
      <c r="H5" s="10"/>
      <c r="I5" s="10"/>
      <c r="J5" s="9" t="s">
        <v>278</v>
      </c>
      <c r="K5" s="9"/>
      <c r="L5" s="9"/>
      <c r="M5" s="9"/>
      <c r="N5" s="9"/>
      <c r="O5" s="8" t="s">
        <v>279</v>
      </c>
      <c r="P5" s="8"/>
      <c r="Q5" s="8"/>
      <c r="R5" s="8"/>
      <c r="S5" s="8"/>
      <c r="T5" s="8"/>
      <c r="U5" s="8"/>
      <c r="V5" s="7" t="s">
        <v>280</v>
      </c>
      <c r="W5" s="7"/>
      <c r="X5" s="7"/>
      <c r="Y5" s="7"/>
      <c r="Z5" s="7"/>
      <c r="AA5" s="7"/>
    </row>
    <row r="6" spans="1:27" ht="6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5.75" customHeight="1" x14ac:dyDescent="0.35">
      <c r="A7" s="29" t="s">
        <v>2</v>
      </c>
      <c r="B7" s="29" t="s">
        <v>3</v>
      </c>
      <c r="C7" s="29" t="s">
        <v>4</v>
      </c>
      <c r="D7" s="29" t="s">
        <v>246</v>
      </c>
      <c r="E7" s="29" t="s">
        <v>5</v>
      </c>
      <c r="F7" s="48" t="s">
        <v>281</v>
      </c>
      <c r="G7" s="48" t="s">
        <v>282</v>
      </c>
      <c r="H7" s="48" t="s">
        <v>283</v>
      </c>
      <c r="I7" s="48" t="s">
        <v>284</v>
      </c>
      <c r="J7" s="49" t="s">
        <v>285</v>
      </c>
      <c r="K7" s="49" t="s">
        <v>286</v>
      </c>
      <c r="L7" s="50" t="s">
        <v>287</v>
      </c>
      <c r="M7" s="50" t="s">
        <v>288</v>
      </c>
      <c r="N7" s="50" t="s">
        <v>289</v>
      </c>
      <c r="O7" s="51" t="s">
        <v>290</v>
      </c>
      <c r="P7" s="51" t="s">
        <v>291</v>
      </c>
      <c r="Q7" s="51" t="s">
        <v>292</v>
      </c>
      <c r="R7" s="51" t="s">
        <v>293</v>
      </c>
      <c r="S7" s="52" t="s">
        <v>294</v>
      </c>
      <c r="T7" s="52" t="s">
        <v>295</v>
      </c>
      <c r="U7" s="52" t="s">
        <v>296</v>
      </c>
      <c r="V7" s="53" t="s">
        <v>297</v>
      </c>
      <c r="W7" s="53" t="s">
        <v>298</v>
      </c>
      <c r="X7" s="53" t="s">
        <v>299</v>
      </c>
      <c r="Y7" s="53" t="s">
        <v>300</v>
      </c>
      <c r="Z7" s="54" t="s">
        <v>301</v>
      </c>
      <c r="AA7" s="55" t="s">
        <v>302</v>
      </c>
    </row>
    <row r="8" spans="1:27" ht="15.75" customHeight="1" x14ac:dyDescent="0.35">
      <c r="A8" s="56">
        <v>1</v>
      </c>
      <c r="B8" s="56" t="s">
        <v>34</v>
      </c>
      <c r="C8" s="57" t="s">
        <v>35</v>
      </c>
      <c r="D8" s="56" t="s">
        <v>263</v>
      </c>
      <c r="E8" s="56" t="s">
        <v>36</v>
      </c>
      <c r="F8" s="58">
        <f>IFERROR(ROUND(AVERAGE('Data Historis 5 Tahun'!I7:I11),0),0)</f>
        <v>37171</v>
      </c>
      <c r="G8" s="58">
        <f>IFERROR(ROUND(AVERAGE('Data Historis 5 Tahun'!J7:J11)*1.1959,0),0)</f>
        <v>2587273</v>
      </c>
      <c r="H8" s="58">
        <f>IFERROR(ROUND(AVERAGE('Data Historis 5 Tahun'!K7:K11)*1.0533,0),0)</f>
        <v>88716</v>
      </c>
      <c r="I8" s="58">
        <f>IFERROR(ROUND(1.65*AVERAGE('Data Historis 5 Tahun'!N7:N11)*SQRT(AVERAGE('Data Historis 5 Tahun'!H7:H11)),0),0)</f>
        <v>94</v>
      </c>
      <c r="J8" s="59">
        <f t="shared" ref="J8:J39" si="0">IFERROR(MAX(1,ROUND(F8/12,0)),1)</f>
        <v>3098</v>
      </c>
      <c r="K8" s="60">
        <f t="shared" ref="K8:K39" si="1">IFERROR(ROUND((F8/J8)*G8+(J8/2)*H8+I8*H8,0),0)</f>
        <v>176803488</v>
      </c>
      <c r="L8" s="61">
        <f>IFERROR(ROUND(AVERAGE('Data Historis 5 Tahun'!J7:J11),0),0)</f>
        <v>2163453</v>
      </c>
      <c r="M8" s="62">
        <f>IFERROR(ROUND(AVERAGE('Data Historis 5 Tahun'!K7:K11),0),0)</f>
        <v>84227</v>
      </c>
      <c r="N8" s="62">
        <f>IFERROR(ROUND(1.65*AVERAGE('Data Historis 5 Tahun'!N7:N11)*SQRT(AVERAGE('Data Historis 5 Tahun'!H7:H11)),0),0)</f>
        <v>94</v>
      </c>
      <c r="O8" s="63">
        <f t="shared" ref="O8:O39" si="2">IFERROR(ROUND(SQRT(2*F8*L8/M8),0),0)</f>
        <v>1382</v>
      </c>
      <c r="P8" s="63">
        <f t="shared" ref="P8:P39" si="3">IFERROR(ROUND((F8/O8)*L8+(O8/2)*M8+N8*M8,0),0)</f>
        <v>124307567</v>
      </c>
      <c r="Q8" s="63">
        <f t="shared" ref="Q8:Q39" si="4">K8-P8</f>
        <v>52495921</v>
      </c>
      <c r="R8" s="64">
        <f t="shared" ref="R8:R39" si="5">IFERROR(MAX(1,ROUND(O8*0.5,0)),1)</f>
        <v>691</v>
      </c>
      <c r="S8" s="65">
        <f t="shared" ref="S8:S39" si="6">IFERROR(ROUND((F8/R8)*L8,0),0)</f>
        <v>116378743</v>
      </c>
      <c r="T8" s="65">
        <f t="shared" ref="T8:T39" si="7">IFERROR(ROUND((R8/2)*M8+N8*M8,0),0)</f>
        <v>37017767</v>
      </c>
      <c r="U8" s="66">
        <f t="shared" ref="U8:U39" si="8">S8+T8</f>
        <v>153396510</v>
      </c>
      <c r="V8" s="67">
        <f t="shared" ref="V8:V39" si="9">IFERROR(ROUND(O8*1.5,0),1)</f>
        <v>2073</v>
      </c>
      <c r="W8" s="68">
        <f t="shared" ref="W8:W39" si="10">IFERROR(ROUND((F8/V8)*L8,0),0)</f>
        <v>38792914</v>
      </c>
      <c r="X8" s="67">
        <f t="shared" ref="X8:X39" si="11">IFERROR(ROUND((F8/V8)*L8+(V8/2)*M8+N8*M8,0),0)</f>
        <v>134011538</v>
      </c>
      <c r="Y8" s="69">
        <f t="shared" ref="Y8:Y39" si="12">MIN(K8,P8,U8,X8)</f>
        <v>124307567</v>
      </c>
      <c r="Z8" s="70" t="str">
        <f t="shared" ref="Z8:Z39" si="13">IF(Y8=P8,"✅ EOQ (optimal)",IF(Y8=K8,"Q Obs Lama",IF(Y8=U8,"Q Kecil","Q Besar")))</f>
        <v>✅ EOQ (optimal)</v>
      </c>
      <c r="AA8" s="71">
        <f t="shared" ref="AA8:AA39" si="14">IFERROR(Q8/K8,0)</f>
        <v>0.29691677236593883</v>
      </c>
    </row>
    <row r="9" spans="1:27" ht="15.75" customHeight="1" x14ac:dyDescent="0.35">
      <c r="A9" s="72">
        <v>2</v>
      </c>
      <c r="B9" s="72" t="s">
        <v>37</v>
      </c>
      <c r="C9" s="73" t="s">
        <v>38</v>
      </c>
      <c r="D9" s="72" t="s">
        <v>263</v>
      </c>
      <c r="E9" s="72" t="s">
        <v>36</v>
      </c>
      <c r="F9" s="58">
        <f>IFERROR(ROUND(AVERAGE('Data Historis 5 Tahun'!I12:I16),0),0)</f>
        <v>40357</v>
      </c>
      <c r="G9" s="58">
        <f>IFERROR(ROUND(AVERAGE('Data Historis 5 Tahun'!J12:J16)*1.1413,0),0)</f>
        <v>12113434</v>
      </c>
      <c r="H9" s="58">
        <f>IFERROR(ROUND(AVERAGE('Data Historis 5 Tahun'!K12:K16)*1.079,0),0)</f>
        <v>122276</v>
      </c>
      <c r="I9" s="58">
        <f>IFERROR(ROUND(1.65*AVERAGE('Data Historis 5 Tahun'!N12:N16)*SQRT(AVERAGE('Data Historis 5 Tahun'!H12:H16)),0),0)</f>
        <v>265</v>
      </c>
      <c r="J9" s="59">
        <f t="shared" si="0"/>
        <v>3363</v>
      </c>
      <c r="K9" s="60">
        <f t="shared" si="1"/>
        <v>383375044</v>
      </c>
      <c r="L9" s="61">
        <f>IFERROR(ROUND(AVERAGE('Data Historis 5 Tahun'!J12:J16),0),0)</f>
        <v>10613716</v>
      </c>
      <c r="M9" s="62">
        <f>IFERROR(ROUND(AVERAGE('Data Historis 5 Tahun'!K12:K16),0),0)</f>
        <v>113324</v>
      </c>
      <c r="N9" s="62">
        <f>IFERROR(ROUND(1.65*AVERAGE('Data Historis 5 Tahun'!N12:N16)*SQRT(AVERAGE('Data Historis 5 Tahun'!H12:H16)),0),0)</f>
        <v>265</v>
      </c>
      <c r="O9" s="63">
        <f t="shared" si="2"/>
        <v>2749</v>
      </c>
      <c r="P9" s="63">
        <f t="shared" si="3"/>
        <v>341610535</v>
      </c>
      <c r="Q9" s="63">
        <f t="shared" si="4"/>
        <v>41764509</v>
      </c>
      <c r="R9" s="64">
        <f t="shared" si="5"/>
        <v>1375</v>
      </c>
      <c r="S9" s="65">
        <f t="shared" si="6"/>
        <v>311518354</v>
      </c>
      <c r="T9" s="65">
        <f t="shared" si="7"/>
        <v>107941110</v>
      </c>
      <c r="U9" s="66">
        <f t="shared" si="8"/>
        <v>419459464</v>
      </c>
      <c r="V9" s="67">
        <f t="shared" si="9"/>
        <v>4124</v>
      </c>
      <c r="W9" s="68">
        <f t="shared" si="10"/>
        <v>103864631</v>
      </c>
      <c r="X9" s="67">
        <f t="shared" si="11"/>
        <v>367569579</v>
      </c>
      <c r="Y9" s="69">
        <f t="shared" si="12"/>
        <v>341610535</v>
      </c>
      <c r="Z9" s="70" t="str">
        <f t="shared" si="13"/>
        <v>✅ EOQ (optimal)</v>
      </c>
      <c r="AA9" s="71">
        <f t="shared" si="14"/>
        <v>0.10893903933924295</v>
      </c>
    </row>
    <row r="10" spans="1:27" ht="15.75" customHeight="1" x14ac:dyDescent="0.35">
      <c r="A10" s="56">
        <v>3</v>
      </c>
      <c r="B10" s="56" t="s">
        <v>39</v>
      </c>
      <c r="C10" s="57" t="s">
        <v>40</v>
      </c>
      <c r="D10" s="56" t="s">
        <v>263</v>
      </c>
      <c r="E10" s="56" t="s">
        <v>36</v>
      </c>
      <c r="F10" s="58">
        <f>IFERROR(ROUND(AVERAGE('Data Historis 5 Tahun'!I17:I21),0),0)</f>
        <v>30640</v>
      </c>
      <c r="G10" s="58">
        <f>IFERROR(ROUND(AVERAGE('Data Historis 5 Tahun'!J17:J21)*1.2105,0),0)</f>
        <v>886363</v>
      </c>
      <c r="H10" s="58">
        <f>IFERROR(ROUND(AVERAGE('Data Historis 5 Tahun'!K17:K21)*1.138,0),0)</f>
        <v>478808</v>
      </c>
      <c r="I10" s="58">
        <f>IFERROR(ROUND(1.65*AVERAGE('Data Historis 5 Tahun'!N17:N21)*SQRT(AVERAGE('Data Historis 5 Tahun'!H17:H21)),0),0)</f>
        <v>100</v>
      </c>
      <c r="J10" s="59">
        <f t="shared" si="0"/>
        <v>2553</v>
      </c>
      <c r="K10" s="60">
        <f t="shared" si="1"/>
        <v>669716957</v>
      </c>
      <c r="L10" s="61">
        <f>IFERROR(ROUND(AVERAGE('Data Historis 5 Tahun'!J17:J21),0),0)</f>
        <v>732229</v>
      </c>
      <c r="M10" s="62">
        <f>IFERROR(ROUND(AVERAGE('Data Historis 5 Tahun'!K17:K21),0),0)</f>
        <v>420745</v>
      </c>
      <c r="N10" s="62">
        <f>IFERROR(ROUND(1.65*AVERAGE('Data Historis 5 Tahun'!N17:N21)*SQRT(AVERAGE('Data Historis 5 Tahun'!H17:H21)),0),0)</f>
        <v>100</v>
      </c>
      <c r="O10" s="63">
        <f t="shared" si="2"/>
        <v>327</v>
      </c>
      <c r="P10" s="63">
        <f t="shared" si="3"/>
        <v>179476389</v>
      </c>
      <c r="Q10" s="63">
        <f t="shared" si="4"/>
        <v>490240568</v>
      </c>
      <c r="R10" s="64">
        <f t="shared" si="5"/>
        <v>164</v>
      </c>
      <c r="S10" s="65">
        <f t="shared" si="6"/>
        <v>136801808</v>
      </c>
      <c r="T10" s="65">
        <f t="shared" si="7"/>
        <v>76575590</v>
      </c>
      <c r="U10" s="66">
        <f t="shared" si="8"/>
        <v>213377398</v>
      </c>
      <c r="V10" s="67">
        <f t="shared" si="9"/>
        <v>491</v>
      </c>
      <c r="W10" s="68">
        <f t="shared" si="10"/>
        <v>45693476</v>
      </c>
      <c r="X10" s="67">
        <f t="shared" si="11"/>
        <v>191060873</v>
      </c>
      <c r="Y10" s="69">
        <f t="shared" si="12"/>
        <v>179476389</v>
      </c>
      <c r="Z10" s="70" t="str">
        <f t="shared" si="13"/>
        <v>✅ EOQ (optimal)</v>
      </c>
      <c r="AA10" s="71">
        <f t="shared" si="14"/>
        <v>0.73201158022940727</v>
      </c>
    </row>
    <row r="11" spans="1:27" ht="15.75" customHeight="1" x14ac:dyDescent="0.35">
      <c r="A11" s="72">
        <v>4</v>
      </c>
      <c r="B11" s="72" t="s">
        <v>41</v>
      </c>
      <c r="C11" s="73" t="s">
        <v>42</v>
      </c>
      <c r="D11" s="72" t="s">
        <v>263</v>
      </c>
      <c r="E11" s="72" t="s">
        <v>36</v>
      </c>
      <c r="F11" s="58">
        <f>IFERROR(ROUND(AVERAGE('Data Historis 5 Tahun'!I22:I26),0),0)</f>
        <v>37132</v>
      </c>
      <c r="G11" s="58">
        <f>IFERROR(ROUND(AVERAGE('Data Historis 5 Tahun'!J22:J26)*1.2338,0),0)</f>
        <v>2800294</v>
      </c>
      <c r="H11" s="58">
        <f>IFERROR(ROUND(AVERAGE('Data Historis 5 Tahun'!K22:K26)*1.0613,0),0)</f>
        <v>171664</v>
      </c>
      <c r="I11" s="58">
        <f>IFERROR(ROUND(1.65*AVERAGE('Data Historis 5 Tahun'!N22:N26)*SQRT(AVERAGE('Data Historis 5 Tahun'!H22:H26)),0),0)</f>
        <v>106</v>
      </c>
      <c r="J11" s="59">
        <f t="shared" si="0"/>
        <v>3094</v>
      </c>
      <c r="K11" s="60">
        <f t="shared" si="1"/>
        <v>317367740</v>
      </c>
      <c r="L11" s="61">
        <f>IFERROR(ROUND(AVERAGE('Data Historis 5 Tahun'!J22:J26),0),0)</f>
        <v>2269650</v>
      </c>
      <c r="M11" s="62">
        <f>IFERROR(ROUND(AVERAGE('Data Historis 5 Tahun'!K22:K26),0),0)</f>
        <v>161749</v>
      </c>
      <c r="N11" s="62">
        <f>IFERROR(ROUND(1.65*AVERAGE('Data Historis 5 Tahun'!N22:N26)*SQRT(AVERAGE('Data Historis 5 Tahun'!H22:H26)),0),0)</f>
        <v>106</v>
      </c>
      <c r="O11" s="63">
        <f t="shared" si="2"/>
        <v>1021</v>
      </c>
      <c r="P11" s="63">
        <f t="shared" si="3"/>
        <v>182261494</v>
      </c>
      <c r="Q11" s="63">
        <f t="shared" si="4"/>
        <v>135106246</v>
      </c>
      <c r="R11" s="64">
        <f t="shared" si="5"/>
        <v>511</v>
      </c>
      <c r="S11" s="65">
        <f t="shared" si="6"/>
        <v>164924939</v>
      </c>
      <c r="T11" s="65">
        <f t="shared" si="7"/>
        <v>58472264</v>
      </c>
      <c r="U11" s="66">
        <f t="shared" si="8"/>
        <v>223397203</v>
      </c>
      <c r="V11" s="67">
        <f t="shared" si="9"/>
        <v>1532</v>
      </c>
      <c r="W11" s="68">
        <f t="shared" si="10"/>
        <v>55010864</v>
      </c>
      <c r="X11" s="67">
        <f t="shared" si="11"/>
        <v>196055992</v>
      </c>
      <c r="Y11" s="69">
        <f t="shared" si="12"/>
        <v>182261494</v>
      </c>
      <c r="Z11" s="70" t="str">
        <f t="shared" si="13"/>
        <v>✅ EOQ (optimal)</v>
      </c>
      <c r="AA11" s="71">
        <f t="shared" si="14"/>
        <v>0.42570881968028634</v>
      </c>
    </row>
    <row r="12" spans="1:27" ht="15.75" customHeight="1" x14ac:dyDescent="0.35">
      <c r="A12" s="56">
        <v>5</v>
      </c>
      <c r="B12" s="56" t="s">
        <v>43</v>
      </c>
      <c r="C12" s="57" t="s">
        <v>44</v>
      </c>
      <c r="D12" s="56" t="s">
        <v>263</v>
      </c>
      <c r="E12" s="56" t="s">
        <v>36</v>
      </c>
      <c r="F12" s="58">
        <f>IFERROR(ROUND(AVERAGE('Data Historis 5 Tahun'!I27:I31),0),0)</f>
        <v>14367</v>
      </c>
      <c r="G12" s="58">
        <f>IFERROR(ROUND(AVERAGE('Data Historis 5 Tahun'!J27:J31)*1.1633,0),0)</f>
        <v>1617871</v>
      </c>
      <c r="H12" s="58">
        <f>IFERROR(ROUND(AVERAGE('Data Historis 5 Tahun'!K27:K31)*1.0539,0),0)</f>
        <v>205944</v>
      </c>
      <c r="I12" s="58">
        <f>IFERROR(ROUND(1.65*AVERAGE('Data Historis 5 Tahun'!N27:N31)*SQRT(AVERAGE('Data Historis 5 Tahun'!H27:H31)),0),0)</f>
        <v>52</v>
      </c>
      <c r="J12" s="59">
        <f t="shared" si="0"/>
        <v>1197</v>
      </c>
      <c r="K12" s="60">
        <f t="shared" si="1"/>
        <v>153385079</v>
      </c>
      <c r="L12" s="61">
        <f>IFERROR(ROUND(AVERAGE('Data Historis 5 Tahun'!J27:J31),0),0)</f>
        <v>1390760</v>
      </c>
      <c r="M12" s="62">
        <f>IFERROR(ROUND(AVERAGE('Data Historis 5 Tahun'!K27:K31),0),0)</f>
        <v>195411</v>
      </c>
      <c r="N12" s="62">
        <f>IFERROR(ROUND(1.65*AVERAGE('Data Historis 5 Tahun'!N27:N31)*SQRT(AVERAGE('Data Historis 5 Tahun'!H27:H31)),0),0)</f>
        <v>52</v>
      </c>
      <c r="O12" s="63">
        <f t="shared" si="2"/>
        <v>452</v>
      </c>
      <c r="P12" s="63">
        <f t="shared" si="3"/>
        <v>98530118</v>
      </c>
      <c r="Q12" s="63">
        <f t="shared" si="4"/>
        <v>54854961</v>
      </c>
      <c r="R12" s="64">
        <f t="shared" si="5"/>
        <v>226</v>
      </c>
      <c r="S12" s="65">
        <f t="shared" si="6"/>
        <v>88411721</v>
      </c>
      <c r="T12" s="65">
        <f t="shared" si="7"/>
        <v>32242815</v>
      </c>
      <c r="U12" s="66">
        <f t="shared" si="8"/>
        <v>120654536</v>
      </c>
      <c r="V12" s="67">
        <f t="shared" si="9"/>
        <v>678</v>
      </c>
      <c r="W12" s="68">
        <f t="shared" si="10"/>
        <v>29470574</v>
      </c>
      <c r="X12" s="67">
        <f t="shared" si="11"/>
        <v>105876275</v>
      </c>
      <c r="Y12" s="69">
        <f t="shared" si="12"/>
        <v>98530118</v>
      </c>
      <c r="Z12" s="70" t="str">
        <f t="shared" si="13"/>
        <v>✅ EOQ (optimal)</v>
      </c>
      <c r="AA12" s="71">
        <f t="shared" si="14"/>
        <v>0.35762905595269801</v>
      </c>
    </row>
    <row r="13" spans="1:27" ht="15.75" customHeight="1" x14ac:dyDescent="0.35">
      <c r="A13" s="72">
        <v>6</v>
      </c>
      <c r="B13" s="72" t="s">
        <v>45</v>
      </c>
      <c r="C13" s="73" t="s">
        <v>46</v>
      </c>
      <c r="D13" s="72" t="s">
        <v>263</v>
      </c>
      <c r="E13" s="72" t="s">
        <v>36</v>
      </c>
      <c r="F13" s="58">
        <f>IFERROR(ROUND(AVERAGE('Data Historis 5 Tahun'!I32:I36),0),0)</f>
        <v>6094</v>
      </c>
      <c r="G13" s="58">
        <f>IFERROR(ROUND(AVERAGE('Data Historis 5 Tahun'!J32:J36)*1.1328,0),0)</f>
        <v>2201945</v>
      </c>
      <c r="H13" s="58">
        <f>IFERROR(ROUND(AVERAGE('Data Historis 5 Tahun'!K32:K36)*1.1157,0),0)</f>
        <v>337003</v>
      </c>
      <c r="I13" s="58">
        <f>IFERROR(ROUND(1.65*AVERAGE('Data Historis 5 Tahun'!N32:N36)*SQRT(AVERAGE('Data Historis 5 Tahun'!H32:H36)),0),0)</f>
        <v>21</v>
      </c>
      <c r="J13" s="59">
        <f t="shared" si="0"/>
        <v>508</v>
      </c>
      <c r="K13" s="60">
        <f t="shared" si="1"/>
        <v>119090496</v>
      </c>
      <c r="L13" s="61">
        <f>IFERROR(ROUND(AVERAGE('Data Historis 5 Tahun'!J32:J36),0),0)</f>
        <v>1943808</v>
      </c>
      <c r="M13" s="62">
        <f>IFERROR(ROUND(AVERAGE('Data Historis 5 Tahun'!K32:K36),0),0)</f>
        <v>302055</v>
      </c>
      <c r="N13" s="62">
        <f>IFERROR(ROUND(1.65*AVERAGE('Data Historis 5 Tahun'!N32:N36)*SQRT(AVERAGE('Data Historis 5 Tahun'!H32:H36)),0),0)</f>
        <v>21</v>
      </c>
      <c r="O13" s="63">
        <f t="shared" si="2"/>
        <v>280</v>
      </c>
      <c r="P13" s="63">
        <f t="shared" si="3"/>
        <v>90936448</v>
      </c>
      <c r="Q13" s="63">
        <f t="shared" si="4"/>
        <v>28154048</v>
      </c>
      <c r="R13" s="64">
        <f t="shared" si="5"/>
        <v>140</v>
      </c>
      <c r="S13" s="65">
        <f t="shared" si="6"/>
        <v>84611185</v>
      </c>
      <c r="T13" s="65">
        <f t="shared" si="7"/>
        <v>27487005</v>
      </c>
      <c r="U13" s="66">
        <f t="shared" si="8"/>
        <v>112098190</v>
      </c>
      <c r="V13" s="67">
        <f t="shared" si="9"/>
        <v>420</v>
      </c>
      <c r="W13" s="68">
        <f t="shared" si="10"/>
        <v>28203728</v>
      </c>
      <c r="X13" s="67">
        <f t="shared" si="11"/>
        <v>97978433</v>
      </c>
      <c r="Y13" s="69">
        <f t="shared" si="12"/>
        <v>90936448</v>
      </c>
      <c r="Z13" s="70" t="str">
        <f t="shared" si="13"/>
        <v>✅ EOQ (optimal)</v>
      </c>
      <c r="AA13" s="71">
        <f t="shared" si="14"/>
        <v>0.23640885667316391</v>
      </c>
    </row>
    <row r="14" spans="1:27" ht="15.75" customHeight="1" x14ac:dyDescent="0.35">
      <c r="A14" s="56">
        <v>7</v>
      </c>
      <c r="B14" s="56" t="s">
        <v>47</v>
      </c>
      <c r="C14" s="57" t="s">
        <v>48</v>
      </c>
      <c r="D14" s="56" t="s">
        <v>263</v>
      </c>
      <c r="E14" s="56" t="s">
        <v>36</v>
      </c>
      <c r="F14" s="58">
        <f>IFERROR(ROUND(AVERAGE('Data Historis 5 Tahun'!I37:I41),0),0)</f>
        <v>19196</v>
      </c>
      <c r="G14" s="58">
        <f>IFERROR(ROUND(AVERAGE('Data Historis 5 Tahun'!J37:J41)*1.104,0),0)</f>
        <v>8468832</v>
      </c>
      <c r="H14" s="58">
        <f>IFERROR(ROUND(AVERAGE('Data Historis 5 Tahun'!K37:K41)*1.0758,0),0)</f>
        <v>246213</v>
      </c>
      <c r="I14" s="58">
        <f>IFERROR(ROUND(1.65*AVERAGE('Data Historis 5 Tahun'!N37:N41)*SQRT(AVERAGE('Data Historis 5 Tahun'!H37:H41)),0),0)</f>
        <v>112</v>
      </c>
      <c r="J14" s="59">
        <f t="shared" si="0"/>
        <v>1600</v>
      </c>
      <c r="K14" s="60">
        <f t="shared" si="1"/>
        <v>326151068</v>
      </c>
      <c r="L14" s="61">
        <f>IFERROR(ROUND(AVERAGE('Data Historis 5 Tahun'!J37:J41),0),0)</f>
        <v>7671043</v>
      </c>
      <c r="M14" s="62">
        <f>IFERROR(ROUND(AVERAGE('Data Historis 5 Tahun'!K37:K41),0),0)</f>
        <v>228865</v>
      </c>
      <c r="N14" s="62">
        <f>IFERROR(ROUND(1.65*AVERAGE('Data Historis 5 Tahun'!N37:N41)*SQRT(AVERAGE('Data Historis 5 Tahun'!H37:H41)),0),0)</f>
        <v>112</v>
      </c>
      <c r="O14" s="63">
        <f t="shared" si="2"/>
        <v>1134</v>
      </c>
      <c r="P14" s="63">
        <f t="shared" si="3"/>
        <v>285252370</v>
      </c>
      <c r="Q14" s="63">
        <f t="shared" si="4"/>
        <v>40898698</v>
      </c>
      <c r="R14" s="64">
        <f t="shared" si="5"/>
        <v>567</v>
      </c>
      <c r="S14" s="65">
        <f t="shared" si="6"/>
        <v>259706070</v>
      </c>
      <c r="T14" s="65">
        <f t="shared" si="7"/>
        <v>90516108</v>
      </c>
      <c r="U14" s="66">
        <f t="shared" si="8"/>
        <v>350222178</v>
      </c>
      <c r="V14" s="67">
        <f t="shared" si="9"/>
        <v>1701</v>
      </c>
      <c r="W14" s="68">
        <f t="shared" si="10"/>
        <v>86568690</v>
      </c>
      <c r="X14" s="67">
        <f t="shared" si="11"/>
        <v>306851252</v>
      </c>
      <c r="Y14" s="69">
        <f t="shared" si="12"/>
        <v>285252370</v>
      </c>
      <c r="Z14" s="70" t="str">
        <f t="shared" si="13"/>
        <v>✅ EOQ (optimal)</v>
      </c>
      <c r="AA14" s="71">
        <f t="shared" si="14"/>
        <v>0.12539801954596083</v>
      </c>
    </row>
    <row r="15" spans="1:27" ht="15.75" customHeight="1" x14ac:dyDescent="0.35">
      <c r="A15" s="72">
        <v>8</v>
      </c>
      <c r="B15" s="72" t="s">
        <v>49</v>
      </c>
      <c r="C15" s="73" t="s">
        <v>50</v>
      </c>
      <c r="D15" s="72" t="s">
        <v>263</v>
      </c>
      <c r="E15" s="72" t="s">
        <v>36</v>
      </c>
      <c r="F15" s="58">
        <f>IFERROR(ROUND(AVERAGE('Data Historis 5 Tahun'!I42:I46),0),0)</f>
        <v>46897</v>
      </c>
      <c r="G15" s="58">
        <f>IFERROR(ROUND(AVERAGE('Data Historis 5 Tahun'!J42:J46)*1.1975,0),0)</f>
        <v>940647</v>
      </c>
      <c r="H15" s="58">
        <f>IFERROR(ROUND(AVERAGE('Data Historis 5 Tahun'!K42:K46)*1.1208,0),0)</f>
        <v>158818</v>
      </c>
      <c r="I15" s="58">
        <f>IFERROR(ROUND(1.65*AVERAGE('Data Historis 5 Tahun'!N42:N46)*SQRT(AVERAGE('Data Historis 5 Tahun'!H42:H46)),0),0)</f>
        <v>118</v>
      </c>
      <c r="J15" s="59">
        <f t="shared" si="0"/>
        <v>3908</v>
      </c>
      <c r="K15" s="60">
        <f t="shared" si="1"/>
        <v>340358901</v>
      </c>
      <c r="L15" s="61">
        <f>IFERROR(ROUND(AVERAGE('Data Historis 5 Tahun'!J42:J46),0),0)</f>
        <v>785509</v>
      </c>
      <c r="M15" s="62">
        <f>IFERROR(ROUND(AVERAGE('Data Historis 5 Tahun'!K42:K46),0),0)</f>
        <v>141701</v>
      </c>
      <c r="N15" s="62">
        <f>IFERROR(ROUND(1.65*AVERAGE('Data Historis 5 Tahun'!N42:N46)*SQRT(AVERAGE('Data Historis 5 Tahun'!H42:H46)),0),0)</f>
        <v>118</v>
      </c>
      <c r="O15" s="63">
        <f t="shared" si="2"/>
        <v>721</v>
      </c>
      <c r="P15" s="63">
        <f t="shared" si="3"/>
        <v>118896877</v>
      </c>
      <c r="Q15" s="63">
        <f t="shared" si="4"/>
        <v>221462024</v>
      </c>
      <c r="R15" s="64">
        <f t="shared" si="5"/>
        <v>361</v>
      </c>
      <c r="S15" s="65">
        <f t="shared" si="6"/>
        <v>102044364</v>
      </c>
      <c r="T15" s="65">
        <f t="shared" si="7"/>
        <v>42297749</v>
      </c>
      <c r="U15" s="66">
        <f t="shared" si="8"/>
        <v>144342113</v>
      </c>
      <c r="V15" s="67">
        <f t="shared" si="9"/>
        <v>1082</v>
      </c>
      <c r="W15" s="68">
        <f t="shared" si="10"/>
        <v>34046225</v>
      </c>
      <c r="X15" s="67">
        <f t="shared" si="11"/>
        <v>127427184</v>
      </c>
      <c r="Y15" s="69">
        <f t="shared" si="12"/>
        <v>118896877</v>
      </c>
      <c r="Z15" s="70" t="str">
        <f t="shared" si="13"/>
        <v>✅ EOQ (optimal)</v>
      </c>
      <c r="AA15" s="71">
        <f t="shared" si="14"/>
        <v>0.65067205044242404</v>
      </c>
    </row>
    <row r="16" spans="1:27" ht="15.75" customHeight="1" x14ac:dyDescent="0.35">
      <c r="A16" s="56">
        <v>9</v>
      </c>
      <c r="B16" s="56" t="s">
        <v>51</v>
      </c>
      <c r="C16" s="57" t="s">
        <v>52</v>
      </c>
      <c r="D16" s="56" t="s">
        <v>263</v>
      </c>
      <c r="E16" s="56" t="s">
        <v>36</v>
      </c>
      <c r="F16" s="58">
        <f>IFERROR(ROUND(AVERAGE('Data Historis 5 Tahun'!I47:I51),0),0)</f>
        <v>44345</v>
      </c>
      <c r="G16" s="58">
        <f>IFERROR(ROUND(AVERAGE('Data Historis 5 Tahun'!J47:J51)*1.1331,0),0)</f>
        <v>683309</v>
      </c>
      <c r="H16" s="58">
        <f>IFERROR(ROUND(AVERAGE('Data Historis 5 Tahun'!K47:K51)*1.1266,0),0)</f>
        <v>430452</v>
      </c>
      <c r="I16" s="58">
        <f>IFERROR(ROUND(1.65*AVERAGE('Data Historis 5 Tahun'!N47:N51)*SQRT(AVERAGE('Data Historis 5 Tahun'!H47:H51)),0),0)</f>
        <v>113</v>
      </c>
      <c r="J16" s="59">
        <f t="shared" si="0"/>
        <v>3695</v>
      </c>
      <c r="K16" s="60">
        <f t="shared" si="1"/>
        <v>852101779</v>
      </c>
      <c r="L16" s="61">
        <f>IFERROR(ROUND(AVERAGE('Data Historis 5 Tahun'!J47:J51),0),0)</f>
        <v>603044</v>
      </c>
      <c r="M16" s="62">
        <f>IFERROR(ROUND(AVERAGE('Data Historis 5 Tahun'!K47:K51),0),0)</f>
        <v>382081</v>
      </c>
      <c r="N16" s="62">
        <f>IFERROR(ROUND(1.65*AVERAGE('Data Historis 5 Tahun'!N47:N51)*SQRT(AVERAGE('Data Historis 5 Tahun'!H47:H51)),0),0)</f>
        <v>113</v>
      </c>
      <c r="O16" s="63">
        <f t="shared" si="2"/>
        <v>374</v>
      </c>
      <c r="P16" s="63">
        <f t="shared" si="3"/>
        <v>186126937</v>
      </c>
      <c r="Q16" s="63">
        <f t="shared" si="4"/>
        <v>665974842</v>
      </c>
      <c r="R16" s="64">
        <f t="shared" si="5"/>
        <v>187</v>
      </c>
      <c r="S16" s="65">
        <f t="shared" si="6"/>
        <v>143005274</v>
      </c>
      <c r="T16" s="65">
        <f t="shared" si="7"/>
        <v>78899727</v>
      </c>
      <c r="U16" s="66">
        <f t="shared" si="8"/>
        <v>221905001</v>
      </c>
      <c r="V16" s="67">
        <f t="shared" si="9"/>
        <v>561</v>
      </c>
      <c r="W16" s="68">
        <f t="shared" si="10"/>
        <v>47668425</v>
      </c>
      <c r="X16" s="67">
        <f t="shared" si="11"/>
        <v>198017298</v>
      </c>
      <c r="Y16" s="69">
        <f t="shared" si="12"/>
        <v>186126937</v>
      </c>
      <c r="Z16" s="70" t="str">
        <f t="shared" si="13"/>
        <v>✅ EOQ (optimal)</v>
      </c>
      <c r="AA16" s="71">
        <f t="shared" si="14"/>
        <v>0.78156724749661621</v>
      </c>
    </row>
    <row r="17" spans="1:27" ht="15.75" customHeight="1" x14ac:dyDescent="0.35">
      <c r="A17" s="72">
        <v>10</v>
      </c>
      <c r="B17" s="72" t="s">
        <v>53</v>
      </c>
      <c r="C17" s="73" t="s">
        <v>54</v>
      </c>
      <c r="D17" s="72" t="s">
        <v>263</v>
      </c>
      <c r="E17" s="72" t="s">
        <v>36</v>
      </c>
      <c r="F17" s="58">
        <f>IFERROR(ROUND(AVERAGE('Data Historis 5 Tahun'!I52:I56),0),0)</f>
        <v>36117</v>
      </c>
      <c r="G17" s="58">
        <f>IFERROR(ROUND(AVERAGE('Data Historis 5 Tahun'!J52:J56)*1.2214,0),0)</f>
        <v>473944</v>
      </c>
      <c r="H17" s="58">
        <f>IFERROR(ROUND(AVERAGE('Data Historis 5 Tahun'!K52:K56)*1.0508,0),0)</f>
        <v>485706</v>
      </c>
      <c r="I17" s="58">
        <f>IFERROR(ROUND(1.65*AVERAGE('Data Historis 5 Tahun'!N52:N56)*SQRT(AVERAGE('Data Historis 5 Tahun'!H52:H56)),0),0)</f>
        <v>120</v>
      </c>
      <c r="J17" s="59">
        <f t="shared" si="0"/>
        <v>3010</v>
      </c>
      <c r="K17" s="60">
        <f t="shared" si="1"/>
        <v>794959106</v>
      </c>
      <c r="L17" s="61">
        <f>IFERROR(ROUND(AVERAGE('Data Historis 5 Tahun'!J52:J56),0),0)</f>
        <v>388033</v>
      </c>
      <c r="M17" s="62">
        <f>IFERROR(ROUND(AVERAGE('Data Historis 5 Tahun'!K52:K56),0),0)</f>
        <v>462225</v>
      </c>
      <c r="N17" s="62">
        <f>IFERROR(ROUND(1.65*AVERAGE('Data Historis 5 Tahun'!N52:N56)*SQRT(AVERAGE('Data Historis 5 Tahun'!H52:H56)),0),0)</f>
        <v>120</v>
      </c>
      <c r="O17" s="63">
        <f t="shared" si="2"/>
        <v>246</v>
      </c>
      <c r="P17" s="63">
        <f t="shared" si="3"/>
        <v>169290544</v>
      </c>
      <c r="Q17" s="63">
        <f t="shared" si="4"/>
        <v>625668562</v>
      </c>
      <c r="R17" s="64">
        <f t="shared" si="5"/>
        <v>123</v>
      </c>
      <c r="S17" s="65">
        <f t="shared" si="6"/>
        <v>113939739</v>
      </c>
      <c r="T17" s="65">
        <f t="shared" si="7"/>
        <v>83893838</v>
      </c>
      <c r="U17" s="66">
        <f t="shared" si="8"/>
        <v>197833577</v>
      </c>
      <c r="V17" s="67">
        <f t="shared" si="9"/>
        <v>369</v>
      </c>
      <c r="W17" s="68">
        <f t="shared" si="10"/>
        <v>37979913</v>
      </c>
      <c r="X17" s="67">
        <f t="shared" si="11"/>
        <v>178727425</v>
      </c>
      <c r="Y17" s="69">
        <f t="shared" si="12"/>
        <v>169290544</v>
      </c>
      <c r="Z17" s="70" t="str">
        <f t="shared" si="13"/>
        <v>✅ EOQ (optimal)</v>
      </c>
      <c r="AA17" s="71">
        <f t="shared" si="14"/>
        <v>0.78704496530416501</v>
      </c>
    </row>
    <row r="18" spans="1:27" ht="15.75" customHeight="1" x14ac:dyDescent="0.35">
      <c r="A18" s="56">
        <v>11</v>
      </c>
      <c r="B18" s="56" t="s">
        <v>55</v>
      </c>
      <c r="C18" s="57" t="s">
        <v>56</v>
      </c>
      <c r="D18" s="56" t="s">
        <v>263</v>
      </c>
      <c r="E18" s="56" t="s">
        <v>57</v>
      </c>
      <c r="F18" s="58">
        <f>IFERROR(ROUND(AVERAGE('Data Historis 5 Tahun'!I57:I61),0),0)</f>
        <v>9226</v>
      </c>
      <c r="G18" s="58">
        <f>IFERROR(ROUND(AVERAGE('Data Historis 5 Tahun'!J57:J61)*1.2209,0),0)</f>
        <v>10190899</v>
      </c>
      <c r="H18" s="58">
        <f>IFERROR(ROUND(AVERAGE('Data Historis 5 Tahun'!K57:K61)*1.1408,0),0)</f>
        <v>538738</v>
      </c>
      <c r="I18" s="58">
        <f>IFERROR(ROUND(1.65*AVERAGE('Data Historis 5 Tahun'!N57:N61)*SQRT(AVERAGE('Data Historis 5 Tahun'!H57:H61)),0),0)</f>
        <v>59</v>
      </c>
      <c r="J18" s="59">
        <f t="shared" si="0"/>
        <v>769</v>
      </c>
      <c r="K18" s="60">
        <f t="shared" si="1"/>
        <v>361194587</v>
      </c>
      <c r="L18" s="61">
        <f>IFERROR(ROUND(AVERAGE('Data Historis 5 Tahun'!J57:J61),0),0)</f>
        <v>8347038</v>
      </c>
      <c r="M18" s="62">
        <f>IFERROR(ROUND(AVERAGE('Data Historis 5 Tahun'!K57:K61),0),0)</f>
        <v>472246</v>
      </c>
      <c r="N18" s="62">
        <f>IFERROR(ROUND(1.65*AVERAGE('Data Historis 5 Tahun'!N57:N61)*SQRT(AVERAGE('Data Historis 5 Tahun'!H57:H61)),0),0)</f>
        <v>59</v>
      </c>
      <c r="O18" s="63">
        <f t="shared" si="2"/>
        <v>571</v>
      </c>
      <c r="P18" s="63">
        <f t="shared" si="3"/>
        <v>297557000</v>
      </c>
      <c r="Q18" s="63">
        <f t="shared" si="4"/>
        <v>63637587</v>
      </c>
      <c r="R18" s="64">
        <f t="shared" si="5"/>
        <v>286</v>
      </c>
      <c r="S18" s="65">
        <f t="shared" si="6"/>
        <v>269264939</v>
      </c>
      <c r="T18" s="65">
        <f t="shared" si="7"/>
        <v>95393692</v>
      </c>
      <c r="U18" s="66">
        <f t="shared" si="8"/>
        <v>364658631</v>
      </c>
      <c r="V18" s="67">
        <f t="shared" si="9"/>
        <v>857</v>
      </c>
      <c r="W18" s="68">
        <f t="shared" si="10"/>
        <v>89859711</v>
      </c>
      <c r="X18" s="67">
        <f t="shared" si="11"/>
        <v>320079636</v>
      </c>
      <c r="Y18" s="69">
        <f t="shared" si="12"/>
        <v>297557000</v>
      </c>
      <c r="Z18" s="70" t="str">
        <f t="shared" si="13"/>
        <v>✅ EOQ (optimal)</v>
      </c>
      <c r="AA18" s="71">
        <f t="shared" si="14"/>
        <v>0.17618643603869955</v>
      </c>
    </row>
    <row r="19" spans="1:27" ht="15.75" customHeight="1" x14ac:dyDescent="0.35">
      <c r="A19" s="72">
        <v>12</v>
      </c>
      <c r="B19" s="72" t="s">
        <v>58</v>
      </c>
      <c r="C19" s="73" t="s">
        <v>59</v>
      </c>
      <c r="D19" s="72" t="s">
        <v>263</v>
      </c>
      <c r="E19" s="72" t="s">
        <v>36</v>
      </c>
      <c r="F19" s="58">
        <f>IFERROR(ROUND(AVERAGE('Data Historis 5 Tahun'!I62:I66),0),0)</f>
        <v>11260</v>
      </c>
      <c r="G19" s="58">
        <f>IFERROR(ROUND(AVERAGE('Data Historis 5 Tahun'!J62:J66)*1.151,0),0)</f>
        <v>11631566</v>
      </c>
      <c r="H19" s="58">
        <f>IFERROR(ROUND(AVERAGE('Data Historis 5 Tahun'!K62:K66)*1.0702,0),0)</f>
        <v>292354</v>
      </c>
      <c r="I19" s="58">
        <f>IFERROR(ROUND(1.65*AVERAGE('Data Historis 5 Tahun'!N62:N66)*SQRT(AVERAGE('Data Historis 5 Tahun'!H62:H66)),0),0)</f>
        <v>61</v>
      </c>
      <c r="J19" s="59">
        <f t="shared" si="0"/>
        <v>938</v>
      </c>
      <c r="K19" s="60">
        <f t="shared" si="1"/>
        <v>294576014</v>
      </c>
      <c r="L19" s="61">
        <f>IFERROR(ROUND(AVERAGE('Data Historis 5 Tahun'!J62:J66),0),0)</f>
        <v>10105618</v>
      </c>
      <c r="M19" s="62">
        <f>IFERROR(ROUND(AVERAGE('Data Historis 5 Tahun'!K62:K66),0),0)</f>
        <v>273177</v>
      </c>
      <c r="N19" s="62">
        <f>IFERROR(ROUND(1.65*AVERAGE('Data Historis 5 Tahun'!N62:N66)*SQRT(AVERAGE('Data Historis 5 Tahun'!H62:H66)),0),0)</f>
        <v>61</v>
      </c>
      <c r="O19" s="63">
        <f t="shared" si="2"/>
        <v>913</v>
      </c>
      <c r="P19" s="63">
        <f t="shared" si="3"/>
        <v>266001363</v>
      </c>
      <c r="Q19" s="63">
        <f t="shared" si="4"/>
        <v>28574651</v>
      </c>
      <c r="R19" s="64">
        <f t="shared" si="5"/>
        <v>457</v>
      </c>
      <c r="S19" s="65">
        <f t="shared" si="6"/>
        <v>248991813</v>
      </c>
      <c r="T19" s="65">
        <f t="shared" si="7"/>
        <v>79084742</v>
      </c>
      <c r="U19" s="66">
        <f t="shared" si="8"/>
        <v>328076555</v>
      </c>
      <c r="V19" s="67">
        <f t="shared" si="9"/>
        <v>1370</v>
      </c>
      <c r="W19" s="68">
        <f t="shared" si="10"/>
        <v>83057853</v>
      </c>
      <c r="X19" s="67">
        <f t="shared" si="11"/>
        <v>286847895</v>
      </c>
      <c r="Y19" s="69">
        <f t="shared" si="12"/>
        <v>266001363</v>
      </c>
      <c r="Z19" s="70" t="str">
        <f t="shared" si="13"/>
        <v>✅ EOQ (optimal)</v>
      </c>
      <c r="AA19" s="71">
        <f t="shared" si="14"/>
        <v>9.7002639868702958E-2</v>
      </c>
    </row>
    <row r="20" spans="1:27" ht="15.75" customHeight="1" x14ac:dyDescent="0.35">
      <c r="A20" s="56">
        <v>13</v>
      </c>
      <c r="B20" s="56" t="s">
        <v>60</v>
      </c>
      <c r="C20" s="57" t="s">
        <v>61</v>
      </c>
      <c r="D20" s="56" t="s">
        <v>264</v>
      </c>
      <c r="E20" s="56" t="s">
        <v>36</v>
      </c>
      <c r="F20" s="58">
        <f>IFERROR(ROUND(AVERAGE('Data Historis 5 Tahun'!I67:I71),0),0)</f>
        <v>46649</v>
      </c>
      <c r="G20" s="58">
        <f>IFERROR(ROUND(AVERAGE('Data Historis 5 Tahun'!J67:J71)*1.2436,0),0)</f>
        <v>6958349</v>
      </c>
      <c r="H20" s="58">
        <f>IFERROR(ROUND(AVERAGE('Data Historis 5 Tahun'!K67:K71)*1.0938,0),0)</f>
        <v>363547</v>
      </c>
      <c r="I20" s="58">
        <f>IFERROR(ROUND(1.65*AVERAGE('Data Historis 5 Tahun'!N67:N71)*SQRT(AVERAGE('Data Historis 5 Tahun'!H67:H71)),0),0)</f>
        <v>267</v>
      </c>
      <c r="J20" s="59">
        <f t="shared" si="0"/>
        <v>3887</v>
      </c>
      <c r="K20" s="60">
        <f t="shared" si="1"/>
        <v>887129782</v>
      </c>
      <c r="L20" s="61">
        <f>IFERROR(ROUND(AVERAGE('Data Historis 5 Tahun'!J67:J71),0),0)</f>
        <v>5595327</v>
      </c>
      <c r="M20" s="62">
        <f>IFERROR(ROUND(AVERAGE('Data Historis 5 Tahun'!K67:K71),0),0)</f>
        <v>332370</v>
      </c>
      <c r="N20" s="62">
        <f>IFERROR(ROUND(1.65*AVERAGE('Data Historis 5 Tahun'!N67:N71)*SQRT(AVERAGE('Data Historis 5 Tahun'!H67:H71)),0),0)</f>
        <v>267</v>
      </c>
      <c r="O20" s="63">
        <f t="shared" si="2"/>
        <v>1253</v>
      </c>
      <c r="P20" s="63">
        <f t="shared" si="3"/>
        <v>505285771</v>
      </c>
      <c r="Q20" s="63">
        <f t="shared" si="4"/>
        <v>381844011</v>
      </c>
      <c r="R20" s="64">
        <f t="shared" si="5"/>
        <v>627</v>
      </c>
      <c r="S20" s="65">
        <f t="shared" si="6"/>
        <v>416294114</v>
      </c>
      <c r="T20" s="65">
        <f t="shared" si="7"/>
        <v>192940785</v>
      </c>
      <c r="U20" s="66">
        <f t="shared" si="8"/>
        <v>609234899</v>
      </c>
      <c r="V20" s="67">
        <f t="shared" si="9"/>
        <v>1880</v>
      </c>
      <c r="W20" s="68">
        <f t="shared" si="10"/>
        <v>138838516</v>
      </c>
      <c r="X20" s="67">
        <f t="shared" si="11"/>
        <v>540009106</v>
      </c>
      <c r="Y20" s="69">
        <f t="shared" si="12"/>
        <v>505285771</v>
      </c>
      <c r="Z20" s="70" t="str">
        <f t="shared" si="13"/>
        <v>✅ EOQ (optimal)</v>
      </c>
      <c r="AA20" s="71">
        <f t="shared" si="14"/>
        <v>0.43042632402572184</v>
      </c>
    </row>
    <row r="21" spans="1:27" ht="15.75" customHeight="1" x14ac:dyDescent="0.35">
      <c r="A21" s="72">
        <v>14</v>
      </c>
      <c r="B21" s="72" t="s">
        <v>62</v>
      </c>
      <c r="C21" s="73" t="s">
        <v>63</v>
      </c>
      <c r="D21" s="72" t="s">
        <v>264</v>
      </c>
      <c r="E21" s="72" t="s">
        <v>36</v>
      </c>
      <c r="F21" s="58">
        <f>IFERROR(ROUND(AVERAGE('Data Historis 5 Tahun'!I72:I76),0),0)</f>
        <v>35283</v>
      </c>
      <c r="G21" s="58">
        <f>IFERROR(ROUND(AVERAGE('Data Historis 5 Tahun'!J72:J76)*1.1139,0),0)</f>
        <v>7617844</v>
      </c>
      <c r="H21" s="58">
        <f>IFERROR(ROUND(AVERAGE('Data Historis 5 Tahun'!K72:K76)*1.0626,0),0)</f>
        <v>475108</v>
      </c>
      <c r="I21" s="58">
        <f>IFERROR(ROUND(1.65*AVERAGE('Data Historis 5 Tahun'!N72:N76)*SQRT(AVERAGE('Data Historis 5 Tahun'!H72:H76)),0),0)</f>
        <v>190</v>
      </c>
      <c r="J21" s="59">
        <f t="shared" si="0"/>
        <v>2940</v>
      </c>
      <c r="K21" s="60">
        <f t="shared" si="1"/>
        <v>880101181</v>
      </c>
      <c r="L21" s="61">
        <f>IFERROR(ROUND(AVERAGE('Data Historis 5 Tahun'!J72:J76),0),0)</f>
        <v>6838894</v>
      </c>
      <c r="M21" s="62">
        <f>IFERROR(ROUND(AVERAGE('Data Historis 5 Tahun'!K72:K76),0),0)</f>
        <v>447118</v>
      </c>
      <c r="N21" s="62">
        <f>IFERROR(ROUND(1.65*AVERAGE('Data Historis 5 Tahun'!N72:N76)*SQRT(AVERAGE('Data Historis 5 Tahun'!H72:H76)),0),0)</f>
        <v>190</v>
      </c>
      <c r="O21" s="63">
        <f t="shared" si="2"/>
        <v>1039</v>
      </c>
      <c r="P21" s="63">
        <f t="shared" si="3"/>
        <v>549469583</v>
      </c>
      <c r="Q21" s="63">
        <f t="shared" si="4"/>
        <v>330631598</v>
      </c>
      <c r="R21" s="64">
        <f t="shared" si="5"/>
        <v>520</v>
      </c>
      <c r="S21" s="65">
        <f t="shared" si="6"/>
        <v>464032110</v>
      </c>
      <c r="T21" s="65">
        <f t="shared" si="7"/>
        <v>201203100</v>
      </c>
      <c r="U21" s="66">
        <f t="shared" si="8"/>
        <v>665235210</v>
      </c>
      <c r="V21" s="67">
        <f t="shared" si="9"/>
        <v>1559</v>
      </c>
      <c r="W21" s="68">
        <f t="shared" si="10"/>
        <v>154776586</v>
      </c>
      <c r="X21" s="67">
        <f t="shared" si="11"/>
        <v>588257487</v>
      </c>
      <c r="Y21" s="69">
        <f t="shared" si="12"/>
        <v>549469583</v>
      </c>
      <c r="Z21" s="70" t="str">
        <f t="shared" si="13"/>
        <v>✅ EOQ (optimal)</v>
      </c>
      <c r="AA21" s="71">
        <f t="shared" si="14"/>
        <v>0.37567453054014249</v>
      </c>
    </row>
    <row r="22" spans="1:27" ht="15.75" customHeight="1" x14ac:dyDescent="0.35">
      <c r="A22" s="56">
        <v>15</v>
      </c>
      <c r="B22" s="56" t="s">
        <v>64</v>
      </c>
      <c r="C22" s="57" t="s">
        <v>65</v>
      </c>
      <c r="D22" s="56" t="s">
        <v>264</v>
      </c>
      <c r="E22" s="56" t="s">
        <v>36</v>
      </c>
      <c r="F22" s="58">
        <f>IFERROR(ROUND(AVERAGE('Data Historis 5 Tahun'!I77:I81),0),0)</f>
        <v>38333</v>
      </c>
      <c r="G22" s="58">
        <f>IFERROR(ROUND(AVERAGE('Data Historis 5 Tahun'!J77:J81)*1.2271,0),0)</f>
        <v>436373</v>
      </c>
      <c r="H22" s="58">
        <f>IFERROR(ROUND(AVERAGE('Data Historis 5 Tahun'!K77:K81)*1.1285,0),0)</f>
        <v>530786</v>
      </c>
      <c r="I22" s="58">
        <f>IFERROR(ROUND(1.65*AVERAGE('Data Historis 5 Tahun'!N77:N81)*SQRT(AVERAGE('Data Historis 5 Tahun'!H77:H81)),0),0)</f>
        <v>117</v>
      </c>
      <c r="J22" s="59">
        <f t="shared" si="0"/>
        <v>3194</v>
      </c>
      <c r="K22" s="60">
        <f t="shared" si="1"/>
        <v>915004363</v>
      </c>
      <c r="L22" s="61">
        <f>IFERROR(ROUND(AVERAGE('Data Historis 5 Tahun'!J77:J81),0),0)</f>
        <v>355613</v>
      </c>
      <c r="M22" s="62">
        <f>IFERROR(ROUND(AVERAGE('Data Historis 5 Tahun'!K77:K81),0),0)</f>
        <v>470347</v>
      </c>
      <c r="N22" s="62">
        <f>IFERROR(ROUND(1.65*AVERAGE('Data Historis 5 Tahun'!N77:N81)*SQRT(AVERAGE('Data Historis 5 Tahun'!H77:H81)),0),0)</f>
        <v>117</v>
      </c>
      <c r="O22" s="63">
        <f t="shared" si="2"/>
        <v>241</v>
      </c>
      <c r="P22" s="63">
        <f t="shared" si="3"/>
        <v>168270538</v>
      </c>
      <c r="Q22" s="63">
        <f t="shared" si="4"/>
        <v>746733825</v>
      </c>
      <c r="R22" s="64">
        <f t="shared" si="5"/>
        <v>121</v>
      </c>
      <c r="S22" s="65">
        <f t="shared" si="6"/>
        <v>112658786</v>
      </c>
      <c r="T22" s="65">
        <f t="shared" si="7"/>
        <v>83486593</v>
      </c>
      <c r="U22" s="66">
        <f t="shared" si="8"/>
        <v>196145379</v>
      </c>
      <c r="V22" s="67">
        <f t="shared" si="9"/>
        <v>362</v>
      </c>
      <c r="W22" s="68">
        <f t="shared" si="10"/>
        <v>37656666</v>
      </c>
      <c r="X22" s="67">
        <f t="shared" si="11"/>
        <v>177820072</v>
      </c>
      <c r="Y22" s="69">
        <f t="shared" si="12"/>
        <v>168270538</v>
      </c>
      <c r="Z22" s="70" t="str">
        <f t="shared" si="13"/>
        <v>✅ EOQ (optimal)</v>
      </c>
      <c r="AA22" s="71">
        <f t="shared" si="14"/>
        <v>0.81609864957551026</v>
      </c>
    </row>
    <row r="23" spans="1:27" ht="15.75" customHeight="1" x14ac:dyDescent="0.35">
      <c r="A23" s="72">
        <v>16</v>
      </c>
      <c r="B23" s="72" t="s">
        <v>66</v>
      </c>
      <c r="C23" s="73" t="s">
        <v>67</v>
      </c>
      <c r="D23" s="72" t="s">
        <v>263</v>
      </c>
      <c r="E23" s="72" t="s">
        <v>36</v>
      </c>
      <c r="F23" s="58">
        <f>IFERROR(ROUND(AVERAGE('Data Historis 5 Tahun'!I82:I86),0),0)</f>
        <v>21035</v>
      </c>
      <c r="G23" s="58">
        <f>IFERROR(ROUND(AVERAGE('Data Historis 5 Tahun'!J82:J86)*1.2211,0),0)</f>
        <v>1359919</v>
      </c>
      <c r="H23" s="58">
        <f>IFERROR(ROUND(AVERAGE('Data Historis 5 Tahun'!K82:K86)*1.1449,0),0)</f>
        <v>244843</v>
      </c>
      <c r="I23" s="58">
        <f>IFERROR(ROUND(1.65*AVERAGE('Data Historis 5 Tahun'!N82:N86)*SQRT(AVERAGE('Data Historis 5 Tahun'!H82:H86)),0),0)</f>
        <v>61</v>
      </c>
      <c r="J23" s="59">
        <f t="shared" si="0"/>
        <v>1753</v>
      </c>
      <c r="K23" s="60">
        <f t="shared" si="1"/>
        <v>245858565</v>
      </c>
      <c r="L23" s="61">
        <f>IFERROR(ROUND(AVERAGE('Data Historis 5 Tahun'!J82:J86),0),0)</f>
        <v>1113684</v>
      </c>
      <c r="M23" s="62">
        <f>IFERROR(ROUND(AVERAGE('Data Historis 5 Tahun'!K82:K86),0),0)</f>
        <v>213855</v>
      </c>
      <c r="N23" s="62">
        <f>IFERROR(ROUND(1.65*AVERAGE('Data Historis 5 Tahun'!N82:N86)*SQRT(AVERAGE('Data Historis 5 Tahun'!H82:H86)),0),0)</f>
        <v>61</v>
      </c>
      <c r="O23" s="63">
        <f t="shared" si="2"/>
        <v>468</v>
      </c>
      <c r="P23" s="63">
        <f t="shared" si="3"/>
        <v>113143513</v>
      </c>
      <c r="Q23" s="63">
        <f t="shared" si="4"/>
        <v>132715052</v>
      </c>
      <c r="R23" s="64">
        <f t="shared" si="5"/>
        <v>234</v>
      </c>
      <c r="S23" s="65">
        <f t="shared" si="6"/>
        <v>100112577</v>
      </c>
      <c r="T23" s="65">
        <f t="shared" si="7"/>
        <v>38066190</v>
      </c>
      <c r="U23" s="66">
        <f t="shared" si="8"/>
        <v>138178767</v>
      </c>
      <c r="V23" s="67">
        <f t="shared" si="9"/>
        <v>702</v>
      </c>
      <c r="W23" s="68">
        <f t="shared" si="10"/>
        <v>33370859</v>
      </c>
      <c r="X23" s="67">
        <f t="shared" si="11"/>
        <v>121479119</v>
      </c>
      <c r="Y23" s="69">
        <f t="shared" si="12"/>
        <v>113143513</v>
      </c>
      <c r="Z23" s="70" t="str">
        <f t="shared" si="13"/>
        <v>✅ EOQ (optimal)</v>
      </c>
      <c r="AA23" s="71">
        <f t="shared" si="14"/>
        <v>0.5398024347860324</v>
      </c>
    </row>
    <row r="24" spans="1:27" ht="15.75" customHeight="1" x14ac:dyDescent="0.35">
      <c r="A24" s="56">
        <v>17</v>
      </c>
      <c r="B24" s="56" t="s">
        <v>68</v>
      </c>
      <c r="C24" s="57" t="s">
        <v>69</v>
      </c>
      <c r="D24" s="56" t="s">
        <v>263</v>
      </c>
      <c r="E24" s="56" t="s">
        <v>36</v>
      </c>
      <c r="F24" s="58">
        <f>IFERROR(ROUND(AVERAGE('Data Historis 5 Tahun'!I87:I91),0),0)</f>
        <v>8219</v>
      </c>
      <c r="G24" s="58">
        <f>IFERROR(ROUND(AVERAGE('Data Historis 5 Tahun'!J87:J91)*1.1804,0),0)</f>
        <v>1725138</v>
      </c>
      <c r="H24" s="58">
        <f>IFERROR(ROUND(AVERAGE('Data Historis 5 Tahun'!K87:K91)*1.1765,0),0)</f>
        <v>142817</v>
      </c>
      <c r="I24" s="58">
        <f>IFERROR(ROUND(1.65*AVERAGE('Data Historis 5 Tahun'!N87:N91)*SQRT(AVERAGE('Data Historis 5 Tahun'!H87:H91)),0),0)</f>
        <v>21</v>
      </c>
      <c r="J24" s="59">
        <f t="shared" si="0"/>
        <v>685</v>
      </c>
      <c r="K24" s="60">
        <f t="shared" si="1"/>
        <v>72613117</v>
      </c>
      <c r="L24" s="61">
        <f>IFERROR(ROUND(AVERAGE('Data Historis 5 Tahun'!J87:J91),0),0)</f>
        <v>1461486</v>
      </c>
      <c r="M24" s="62">
        <f>IFERROR(ROUND(AVERAGE('Data Historis 5 Tahun'!K87:K91),0),0)</f>
        <v>121392</v>
      </c>
      <c r="N24" s="62">
        <f>IFERROR(ROUND(1.65*AVERAGE('Data Historis 5 Tahun'!N87:N91)*SQRT(AVERAGE('Data Historis 5 Tahun'!H87:H91)),0),0)</f>
        <v>21</v>
      </c>
      <c r="O24" s="63">
        <f t="shared" si="2"/>
        <v>445</v>
      </c>
      <c r="P24" s="63">
        <f t="shared" si="3"/>
        <v>56552106</v>
      </c>
      <c r="Q24" s="63">
        <f t="shared" si="4"/>
        <v>16061011</v>
      </c>
      <c r="R24" s="64">
        <f t="shared" si="5"/>
        <v>223</v>
      </c>
      <c r="S24" s="65">
        <f t="shared" si="6"/>
        <v>53865262</v>
      </c>
      <c r="T24" s="65">
        <f t="shared" si="7"/>
        <v>16084440</v>
      </c>
      <c r="U24" s="66">
        <f t="shared" si="8"/>
        <v>69949702</v>
      </c>
      <c r="V24" s="67">
        <f t="shared" si="9"/>
        <v>668</v>
      </c>
      <c r="W24" s="68">
        <f t="shared" si="10"/>
        <v>17981966</v>
      </c>
      <c r="X24" s="67">
        <f t="shared" si="11"/>
        <v>61076126</v>
      </c>
      <c r="Y24" s="69">
        <f t="shared" si="12"/>
        <v>56552106</v>
      </c>
      <c r="Z24" s="70" t="str">
        <f t="shared" si="13"/>
        <v>✅ EOQ (optimal)</v>
      </c>
      <c r="AA24" s="71">
        <f t="shared" si="14"/>
        <v>0.22118608405145312</v>
      </c>
    </row>
    <row r="25" spans="1:27" ht="15.75" customHeight="1" x14ac:dyDescent="0.35">
      <c r="A25" s="72">
        <v>18</v>
      </c>
      <c r="B25" s="72" t="s">
        <v>70</v>
      </c>
      <c r="C25" s="73" t="s">
        <v>71</v>
      </c>
      <c r="D25" s="72" t="s">
        <v>263</v>
      </c>
      <c r="E25" s="72" t="s">
        <v>36</v>
      </c>
      <c r="F25" s="58">
        <f>IFERROR(ROUND(AVERAGE('Data Historis 5 Tahun'!I92:I96),0),0)</f>
        <v>32470</v>
      </c>
      <c r="G25" s="58">
        <f>IFERROR(ROUND(AVERAGE('Data Historis 5 Tahun'!J92:J96)*1.1568,0),0)</f>
        <v>7421166</v>
      </c>
      <c r="H25" s="58">
        <f>IFERROR(ROUND(AVERAGE('Data Historis 5 Tahun'!K92:K96)*1.1218,0),0)</f>
        <v>225202</v>
      </c>
      <c r="I25" s="58">
        <f>IFERROR(ROUND(1.65*AVERAGE('Data Historis 5 Tahun'!N92:N96)*SQRT(AVERAGE('Data Historis 5 Tahun'!H92:H96)),0),0)</f>
        <v>225</v>
      </c>
      <c r="J25" s="59">
        <f t="shared" si="0"/>
        <v>2706</v>
      </c>
      <c r="K25" s="60">
        <f t="shared" si="1"/>
        <v>444417263</v>
      </c>
      <c r="L25" s="61">
        <f>IFERROR(ROUND(AVERAGE('Data Historis 5 Tahun'!J92:J96),0),0)</f>
        <v>6415254</v>
      </c>
      <c r="M25" s="62">
        <f>IFERROR(ROUND(AVERAGE('Data Historis 5 Tahun'!K92:K96),0),0)</f>
        <v>200750</v>
      </c>
      <c r="N25" s="62">
        <f>IFERROR(ROUND(1.65*AVERAGE('Data Historis 5 Tahun'!N92:N96)*SQRT(AVERAGE('Data Historis 5 Tahun'!H92:H96)),0),0)</f>
        <v>225</v>
      </c>
      <c r="O25" s="63">
        <f t="shared" si="2"/>
        <v>1441</v>
      </c>
      <c r="P25" s="63">
        <f t="shared" si="3"/>
        <v>334363807</v>
      </c>
      <c r="Q25" s="63">
        <f t="shared" si="4"/>
        <v>110053456</v>
      </c>
      <c r="R25" s="64">
        <f t="shared" si="5"/>
        <v>721</v>
      </c>
      <c r="S25" s="65">
        <f t="shared" si="6"/>
        <v>288908873</v>
      </c>
      <c r="T25" s="65">
        <f t="shared" si="7"/>
        <v>117539125</v>
      </c>
      <c r="U25" s="66">
        <f t="shared" si="8"/>
        <v>406447998</v>
      </c>
      <c r="V25" s="67">
        <f t="shared" si="9"/>
        <v>2162</v>
      </c>
      <c r="W25" s="68">
        <f t="shared" si="10"/>
        <v>96347501</v>
      </c>
      <c r="X25" s="67">
        <f t="shared" si="11"/>
        <v>358527001</v>
      </c>
      <c r="Y25" s="69">
        <f t="shared" si="12"/>
        <v>334363807</v>
      </c>
      <c r="Z25" s="70" t="str">
        <f t="shared" si="13"/>
        <v>✅ EOQ (optimal)</v>
      </c>
      <c r="AA25" s="71">
        <f t="shared" si="14"/>
        <v>0.24763542094898325</v>
      </c>
    </row>
    <row r="26" spans="1:27" ht="15.75" customHeight="1" x14ac:dyDescent="0.35">
      <c r="A26" s="56">
        <v>19</v>
      </c>
      <c r="B26" s="56" t="s">
        <v>72</v>
      </c>
      <c r="C26" s="57" t="s">
        <v>73</v>
      </c>
      <c r="D26" s="56" t="s">
        <v>264</v>
      </c>
      <c r="E26" s="56" t="s">
        <v>36</v>
      </c>
      <c r="F26" s="58">
        <f>IFERROR(ROUND(AVERAGE('Data Historis 5 Tahun'!I97:I101),0),0)</f>
        <v>4583</v>
      </c>
      <c r="G26" s="58">
        <f>IFERROR(ROUND(AVERAGE('Data Historis 5 Tahun'!J97:J101)*1.2244,0),0)</f>
        <v>2096164</v>
      </c>
      <c r="H26" s="58">
        <f>IFERROR(ROUND(AVERAGE('Data Historis 5 Tahun'!K97:K101)*1.1304,0),0)</f>
        <v>538295</v>
      </c>
      <c r="I26" s="58">
        <f>IFERROR(ROUND(1.65*AVERAGE('Data Historis 5 Tahun'!N97:N101)*SQRT(AVERAGE('Data Historis 5 Tahun'!H97:H101)),0),0)</f>
        <v>12</v>
      </c>
      <c r="J26" s="59">
        <f t="shared" si="0"/>
        <v>382</v>
      </c>
      <c r="K26" s="60">
        <f t="shared" si="1"/>
        <v>134422366</v>
      </c>
      <c r="L26" s="61">
        <f>IFERROR(ROUND(AVERAGE('Data Historis 5 Tahun'!J97:J101),0),0)</f>
        <v>1711993</v>
      </c>
      <c r="M26" s="62">
        <f>IFERROR(ROUND(AVERAGE('Data Historis 5 Tahun'!K97:K101),0),0)</f>
        <v>476199</v>
      </c>
      <c r="N26" s="62">
        <f>IFERROR(ROUND(1.65*AVERAGE('Data Historis 5 Tahun'!N97:N101)*SQRT(AVERAGE('Data Historis 5 Tahun'!H97:H101)),0),0)</f>
        <v>12</v>
      </c>
      <c r="O26" s="63">
        <f t="shared" si="2"/>
        <v>182</v>
      </c>
      <c r="P26" s="63">
        <f t="shared" si="3"/>
        <v>92158738</v>
      </c>
      <c r="Q26" s="63">
        <f t="shared" si="4"/>
        <v>42263628</v>
      </c>
      <c r="R26" s="64">
        <f t="shared" si="5"/>
        <v>91</v>
      </c>
      <c r="S26" s="65">
        <f t="shared" si="6"/>
        <v>86220483</v>
      </c>
      <c r="T26" s="65">
        <f t="shared" si="7"/>
        <v>27381443</v>
      </c>
      <c r="U26" s="66">
        <f t="shared" si="8"/>
        <v>113601926</v>
      </c>
      <c r="V26" s="67">
        <f t="shared" si="9"/>
        <v>273</v>
      </c>
      <c r="W26" s="68">
        <f t="shared" si="10"/>
        <v>28740161</v>
      </c>
      <c r="X26" s="67">
        <f t="shared" si="11"/>
        <v>99455712</v>
      </c>
      <c r="Y26" s="69">
        <f t="shared" si="12"/>
        <v>92158738</v>
      </c>
      <c r="Z26" s="70" t="str">
        <f t="shared" si="13"/>
        <v>✅ EOQ (optimal)</v>
      </c>
      <c r="AA26" s="71">
        <f t="shared" si="14"/>
        <v>0.31440919586253974</v>
      </c>
    </row>
    <row r="27" spans="1:27" ht="15.75" customHeight="1" x14ac:dyDescent="0.35">
      <c r="A27" s="72">
        <v>20</v>
      </c>
      <c r="B27" s="72" t="s">
        <v>74</v>
      </c>
      <c r="C27" s="73" t="s">
        <v>75</v>
      </c>
      <c r="D27" s="72" t="s">
        <v>264</v>
      </c>
      <c r="E27" s="72" t="s">
        <v>36</v>
      </c>
      <c r="F27" s="58">
        <f>IFERROR(ROUND(AVERAGE('Data Historis 5 Tahun'!I102:I106),0),0)</f>
        <v>2222</v>
      </c>
      <c r="G27" s="58">
        <f>IFERROR(ROUND(AVERAGE('Data Historis 5 Tahun'!J102:J106)*1.2293,0),0)</f>
        <v>2741712</v>
      </c>
      <c r="H27" s="58">
        <f>IFERROR(ROUND(AVERAGE('Data Historis 5 Tahun'!K102:K106)*1.1251,0),0)</f>
        <v>288103</v>
      </c>
      <c r="I27" s="58">
        <f>IFERROR(ROUND(1.65*AVERAGE('Data Historis 5 Tahun'!N102:N106)*SQRT(AVERAGE('Data Historis 5 Tahun'!H102:H106)),0),0)</f>
        <v>7</v>
      </c>
      <c r="J27" s="59">
        <f t="shared" si="0"/>
        <v>185</v>
      </c>
      <c r="K27" s="60">
        <f t="shared" si="1"/>
        <v>61596433</v>
      </c>
      <c r="L27" s="61">
        <f>IFERROR(ROUND(AVERAGE('Data Historis 5 Tahun'!J102:J106),0),0)</f>
        <v>2230304</v>
      </c>
      <c r="M27" s="62">
        <f>IFERROR(ROUND(AVERAGE('Data Historis 5 Tahun'!K102:K106),0),0)</f>
        <v>256069</v>
      </c>
      <c r="N27" s="62">
        <f>IFERROR(ROUND(1.65*AVERAGE('Data Historis 5 Tahun'!N102:N106)*SQRT(AVERAGE('Data Historis 5 Tahun'!H102:H106)),0),0)</f>
        <v>7</v>
      </c>
      <c r="O27" s="63">
        <f t="shared" si="2"/>
        <v>197</v>
      </c>
      <c r="P27" s="63">
        <f t="shared" si="3"/>
        <v>52171297</v>
      </c>
      <c r="Q27" s="63">
        <f t="shared" si="4"/>
        <v>9425136</v>
      </c>
      <c r="R27" s="64">
        <f t="shared" si="5"/>
        <v>99</v>
      </c>
      <c r="S27" s="65">
        <f t="shared" si="6"/>
        <v>50057934</v>
      </c>
      <c r="T27" s="65">
        <f t="shared" si="7"/>
        <v>14467899</v>
      </c>
      <c r="U27" s="66">
        <f t="shared" si="8"/>
        <v>64525833</v>
      </c>
      <c r="V27" s="67">
        <f t="shared" si="9"/>
        <v>296</v>
      </c>
      <c r="W27" s="68">
        <f t="shared" si="10"/>
        <v>16742350</v>
      </c>
      <c r="X27" s="67">
        <f t="shared" si="11"/>
        <v>56433045</v>
      </c>
      <c r="Y27" s="69">
        <f t="shared" si="12"/>
        <v>52171297</v>
      </c>
      <c r="Z27" s="70" t="str">
        <f t="shared" si="13"/>
        <v>✅ EOQ (optimal)</v>
      </c>
      <c r="AA27" s="71">
        <f t="shared" si="14"/>
        <v>0.15301431496853074</v>
      </c>
    </row>
    <row r="28" spans="1:27" ht="15.75" customHeight="1" x14ac:dyDescent="0.35">
      <c r="A28" s="56">
        <v>21</v>
      </c>
      <c r="B28" s="56" t="s">
        <v>76</v>
      </c>
      <c r="C28" s="57" t="s">
        <v>77</v>
      </c>
      <c r="D28" s="56" t="s">
        <v>264</v>
      </c>
      <c r="E28" s="56" t="s">
        <v>36</v>
      </c>
      <c r="F28" s="58">
        <f>IFERROR(ROUND(AVERAGE('Data Historis 5 Tahun'!I107:I111),0),0)</f>
        <v>3911</v>
      </c>
      <c r="G28" s="58">
        <f>IFERROR(ROUND(AVERAGE('Data Historis 5 Tahun'!J107:J111)*1.2057,0),0)</f>
        <v>12995964</v>
      </c>
      <c r="H28" s="58">
        <f>IFERROR(ROUND(AVERAGE('Data Historis 5 Tahun'!K107:K111)*1.056,0),0)</f>
        <v>582711</v>
      </c>
      <c r="I28" s="58">
        <f>IFERROR(ROUND(1.65*AVERAGE('Data Historis 5 Tahun'!N107:N111)*SQRT(AVERAGE('Data Historis 5 Tahun'!H107:H111)),0),0)</f>
        <v>18</v>
      </c>
      <c r="J28" s="59">
        <f t="shared" si="0"/>
        <v>326</v>
      </c>
      <c r="K28" s="60">
        <f t="shared" si="1"/>
        <v>261382394</v>
      </c>
      <c r="L28" s="61">
        <f>IFERROR(ROUND(AVERAGE('Data Historis 5 Tahun'!J107:J111),0),0)</f>
        <v>10778771</v>
      </c>
      <c r="M28" s="62">
        <f>IFERROR(ROUND(AVERAGE('Data Historis 5 Tahun'!K107:K111),0),0)</f>
        <v>551810</v>
      </c>
      <c r="N28" s="62">
        <f>IFERROR(ROUND(1.65*AVERAGE('Data Historis 5 Tahun'!N107:N111)*SQRT(AVERAGE('Data Historis 5 Tahun'!H107:H111)),0),0)</f>
        <v>18</v>
      </c>
      <c r="O28" s="63">
        <f t="shared" si="2"/>
        <v>391</v>
      </c>
      <c r="P28" s="63">
        <f t="shared" si="3"/>
        <v>225626712</v>
      </c>
      <c r="Q28" s="63">
        <f t="shared" si="4"/>
        <v>35755682</v>
      </c>
      <c r="R28" s="64">
        <f t="shared" si="5"/>
        <v>196</v>
      </c>
      <c r="S28" s="65">
        <f t="shared" si="6"/>
        <v>215080476</v>
      </c>
      <c r="T28" s="65">
        <f t="shared" si="7"/>
        <v>64009960</v>
      </c>
      <c r="U28" s="66">
        <f t="shared" si="8"/>
        <v>279090436</v>
      </c>
      <c r="V28" s="67">
        <f t="shared" si="9"/>
        <v>587</v>
      </c>
      <c r="W28" s="68">
        <f t="shared" si="10"/>
        <v>71815628</v>
      </c>
      <c r="X28" s="67">
        <f t="shared" si="11"/>
        <v>243704443</v>
      </c>
      <c r="Y28" s="69">
        <f t="shared" si="12"/>
        <v>225626712</v>
      </c>
      <c r="Z28" s="70" t="str">
        <f t="shared" si="13"/>
        <v>✅ EOQ (optimal)</v>
      </c>
      <c r="AA28" s="71">
        <f t="shared" si="14"/>
        <v>0.13679453100425731</v>
      </c>
    </row>
    <row r="29" spans="1:27" ht="15.75" customHeight="1" x14ac:dyDescent="0.35">
      <c r="A29" s="72">
        <v>22</v>
      </c>
      <c r="B29" s="72" t="s">
        <v>78</v>
      </c>
      <c r="C29" s="73" t="s">
        <v>79</v>
      </c>
      <c r="D29" s="72" t="s">
        <v>264</v>
      </c>
      <c r="E29" s="72" t="s">
        <v>36</v>
      </c>
      <c r="F29" s="58">
        <f>IFERROR(ROUND(AVERAGE('Data Historis 5 Tahun'!I112:I116),0),0)</f>
        <v>13122</v>
      </c>
      <c r="G29" s="58">
        <f>IFERROR(ROUND(AVERAGE('Data Historis 5 Tahun'!J112:J116)*1.1342,0),0)</f>
        <v>2718121</v>
      </c>
      <c r="H29" s="58">
        <f>IFERROR(ROUND(AVERAGE('Data Historis 5 Tahun'!K112:K116)*1.0876,0),0)</f>
        <v>594990</v>
      </c>
      <c r="I29" s="58">
        <f>IFERROR(ROUND(1.65*AVERAGE('Data Historis 5 Tahun'!N112:N116)*SQRT(AVERAGE('Data Historis 5 Tahun'!H112:H116)),0),0)</f>
        <v>33</v>
      </c>
      <c r="J29" s="59">
        <f t="shared" si="0"/>
        <v>1094</v>
      </c>
      <c r="K29" s="60">
        <f t="shared" si="1"/>
        <v>377696745</v>
      </c>
      <c r="L29" s="61">
        <f>IFERROR(ROUND(AVERAGE('Data Historis 5 Tahun'!J112:J116),0),0)</f>
        <v>2396509</v>
      </c>
      <c r="M29" s="62">
        <f>IFERROR(ROUND(AVERAGE('Data Historis 5 Tahun'!K112:K116),0),0)</f>
        <v>547067</v>
      </c>
      <c r="N29" s="62">
        <f>IFERROR(ROUND(1.65*AVERAGE('Data Historis 5 Tahun'!N112:N116)*SQRT(AVERAGE('Data Historis 5 Tahun'!H112:H116)),0),0)</f>
        <v>33</v>
      </c>
      <c r="O29" s="63">
        <f t="shared" si="2"/>
        <v>339</v>
      </c>
      <c r="P29" s="63">
        <f t="shared" si="3"/>
        <v>203545053</v>
      </c>
      <c r="Q29" s="63">
        <f t="shared" si="4"/>
        <v>174151692</v>
      </c>
      <c r="R29" s="64">
        <f t="shared" si="5"/>
        <v>170</v>
      </c>
      <c r="S29" s="65">
        <f t="shared" si="6"/>
        <v>184982301</v>
      </c>
      <c r="T29" s="65">
        <f t="shared" si="7"/>
        <v>64553906</v>
      </c>
      <c r="U29" s="66">
        <f t="shared" si="8"/>
        <v>249536207</v>
      </c>
      <c r="V29" s="67">
        <f t="shared" si="9"/>
        <v>509</v>
      </c>
      <c r="W29" s="68">
        <f t="shared" si="10"/>
        <v>61781908</v>
      </c>
      <c r="X29" s="67">
        <f t="shared" si="11"/>
        <v>219063670</v>
      </c>
      <c r="Y29" s="69">
        <f t="shared" si="12"/>
        <v>203545053</v>
      </c>
      <c r="Z29" s="70" t="str">
        <f t="shared" si="13"/>
        <v>✅ EOQ (optimal)</v>
      </c>
      <c r="AA29" s="71">
        <f t="shared" si="14"/>
        <v>0.46108867578406054</v>
      </c>
    </row>
    <row r="30" spans="1:27" ht="15.75" customHeight="1" x14ac:dyDescent="0.35">
      <c r="A30" s="56">
        <v>23</v>
      </c>
      <c r="B30" s="56" t="s">
        <v>80</v>
      </c>
      <c r="C30" s="57" t="s">
        <v>81</v>
      </c>
      <c r="D30" s="56" t="s">
        <v>264</v>
      </c>
      <c r="E30" s="56" t="s">
        <v>36</v>
      </c>
      <c r="F30" s="58">
        <f>IFERROR(ROUND(AVERAGE('Data Historis 5 Tahun'!I117:I121),0),0)</f>
        <v>49265</v>
      </c>
      <c r="G30" s="58">
        <f>IFERROR(ROUND(AVERAGE('Data Historis 5 Tahun'!J117:J121)*1.112,0),0)</f>
        <v>558583</v>
      </c>
      <c r="H30" s="58">
        <f>IFERROR(ROUND(AVERAGE('Data Historis 5 Tahun'!K117:K121)*1.0803,0),0)</f>
        <v>588190</v>
      </c>
      <c r="I30" s="58">
        <f>IFERROR(ROUND(1.65*AVERAGE('Data Historis 5 Tahun'!N117:N121)*SQRT(AVERAGE('Data Historis 5 Tahun'!H117:H121)),0),0)</f>
        <v>152</v>
      </c>
      <c r="J30" s="59">
        <f t="shared" si="0"/>
        <v>4105</v>
      </c>
      <c r="K30" s="60">
        <f t="shared" si="1"/>
        <v>1303368531</v>
      </c>
      <c r="L30" s="61">
        <f>IFERROR(ROUND(AVERAGE('Data Historis 5 Tahun'!J117:J121),0),0)</f>
        <v>502323</v>
      </c>
      <c r="M30" s="62">
        <f>IFERROR(ROUND(AVERAGE('Data Historis 5 Tahun'!K117:K121),0),0)</f>
        <v>544469</v>
      </c>
      <c r="N30" s="62">
        <f>IFERROR(ROUND(1.65*AVERAGE('Data Historis 5 Tahun'!N117:N121)*SQRT(AVERAGE('Data Historis 5 Tahun'!H117:H121)),0),0)</f>
        <v>152</v>
      </c>
      <c r="O30" s="63">
        <f t="shared" si="2"/>
        <v>302</v>
      </c>
      <c r="P30" s="63">
        <f t="shared" si="3"/>
        <v>246917626</v>
      </c>
      <c r="Q30" s="63">
        <f t="shared" si="4"/>
        <v>1056450905</v>
      </c>
      <c r="R30" s="64">
        <f t="shared" si="5"/>
        <v>151</v>
      </c>
      <c r="S30" s="65">
        <f t="shared" si="6"/>
        <v>163887037</v>
      </c>
      <c r="T30" s="65">
        <f t="shared" si="7"/>
        <v>123866698</v>
      </c>
      <c r="U30" s="66">
        <f t="shared" si="8"/>
        <v>287753735</v>
      </c>
      <c r="V30" s="67">
        <f t="shared" si="9"/>
        <v>453</v>
      </c>
      <c r="W30" s="68">
        <f t="shared" si="10"/>
        <v>54629012</v>
      </c>
      <c r="X30" s="67">
        <f t="shared" si="11"/>
        <v>260710529</v>
      </c>
      <c r="Y30" s="69">
        <f t="shared" si="12"/>
        <v>246917626</v>
      </c>
      <c r="Z30" s="70" t="str">
        <f t="shared" si="13"/>
        <v>✅ EOQ (optimal)</v>
      </c>
      <c r="AA30" s="71">
        <f t="shared" si="14"/>
        <v>0.81055425221095811</v>
      </c>
    </row>
    <row r="31" spans="1:27" ht="15.75" customHeight="1" x14ac:dyDescent="0.35">
      <c r="A31" s="72">
        <v>24</v>
      </c>
      <c r="B31" s="72" t="s">
        <v>82</v>
      </c>
      <c r="C31" s="73" t="s">
        <v>83</v>
      </c>
      <c r="D31" s="72" t="s">
        <v>264</v>
      </c>
      <c r="E31" s="72" t="s">
        <v>36</v>
      </c>
      <c r="F31" s="58">
        <f>IFERROR(ROUND(AVERAGE('Data Historis 5 Tahun'!I122:I126),0),0)</f>
        <v>30675</v>
      </c>
      <c r="G31" s="58">
        <f>IFERROR(ROUND(AVERAGE('Data Historis 5 Tahun'!J122:J126)*1.1152,0),0)</f>
        <v>12673633</v>
      </c>
      <c r="H31" s="58">
        <f>IFERROR(ROUND(AVERAGE('Data Historis 5 Tahun'!K122:K126)*1.0861,0),0)</f>
        <v>287656</v>
      </c>
      <c r="I31" s="58">
        <f>IFERROR(ROUND(1.65*AVERAGE('Data Historis 5 Tahun'!N122:N126)*SQRT(AVERAGE('Data Historis 5 Tahun'!H122:H126)),0),0)</f>
        <v>204</v>
      </c>
      <c r="J31" s="59">
        <f t="shared" si="0"/>
        <v>2556</v>
      </c>
      <c r="K31" s="60">
        <f t="shared" si="1"/>
        <v>578404663</v>
      </c>
      <c r="L31" s="61">
        <f>IFERROR(ROUND(AVERAGE('Data Historis 5 Tahun'!J122:J126),0),0)</f>
        <v>11364448</v>
      </c>
      <c r="M31" s="62">
        <f>IFERROR(ROUND(AVERAGE('Data Historis 5 Tahun'!K122:K126),0),0)</f>
        <v>264853</v>
      </c>
      <c r="N31" s="62">
        <f>IFERROR(ROUND(1.65*AVERAGE('Data Historis 5 Tahun'!N122:N126)*SQRT(AVERAGE('Data Historis 5 Tahun'!H122:H126)),0),0)</f>
        <v>204</v>
      </c>
      <c r="O31" s="63">
        <f t="shared" si="2"/>
        <v>1622</v>
      </c>
      <c r="P31" s="63">
        <f t="shared" si="3"/>
        <v>483748386</v>
      </c>
      <c r="Q31" s="63">
        <f t="shared" si="4"/>
        <v>94656277</v>
      </c>
      <c r="R31" s="64">
        <f t="shared" si="5"/>
        <v>811</v>
      </c>
      <c r="S31" s="65">
        <f t="shared" si="6"/>
        <v>429845182</v>
      </c>
      <c r="T31" s="65">
        <f t="shared" si="7"/>
        <v>161427904</v>
      </c>
      <c r="U31" s="66">
        <f t="shared" si="8"/>
        <v>591273086</v>
      </c>
      <c r="V31" s="67">
        <f t="shared" si="9"/>
        <v>2433</v>
      </c>
      <c r="W31" s="68">
        <f t="shared" si="10"/>
        <v>143281727</v>
      </c>
      <c r="X31" s="67">
        <f t="shared" si="11"/>
        <v>519505414</v>
      </c>
      <c r="Y31" s="69">
        <f t="shared" si="12"/>
        <v>483748386</v>
      </c>
      <c r="Z31" s="70" t="str">
        <f t="shared" si="13"/>
        <v>✅ EOQ (optimal)</v>
      </c>
      <c r="AA31" s="71">
        <f t="shared" si="14"/>
        <v>0.16365061185545801</v>
      </c>
    </row>
    <row r="32" spans="1:27" ht="15.75" customHeight="1" x14ac:dyDescent="0.35">
      <c r="A32" s="56">
        <v>25</v>
      </c>
      <c r="B32" s="56" t="s">
        <v>84</v>
      </c>
      <c r="C32" s="57" t="s">
        <v>85</v>
      </c>
      <c r="D32" s="56" t="s">
        <v>264</v>
      </c>
      <c r="E32" s="56" t="s">
        <v>36</v>
      </c>
      <c r="F32" s="58">
        <f>IFERROR(ROUND(AVERAGE('Data Historis 5 Tahun'!I127:I131),0),0)</f>
        <v>11249</v>
      </c>
      <c r="G32" s="58">
        <f>IFERROR(ROUND(AVERAGE('Data Historis 5 Tahun'!J127:J131)*1.1954,0),0)</f>
        <v>8420959</v>
      </c>
      <c r="H32" s="58">
        <f>IFERROR(ROUND(AVERAGE('Data Historis 5 Tahun'!K127:K131)*1.0974,0),0)</f>
        <v>567198</v>
      </c>
      <c r="I32" s="58">
        <f>IFERROR(ROUND(1.65*AVERAGE('Data Historis 5 Tahun'!N127:N131)*SQRT(AVERAGE('Data Historis 5 Tahun'!H127:H131)),0),0)</f>
        <v>65</v>
      </c>
      <c r="J32" s="59">
        <f t="shared" si="0"/>
        <v>937</v>
      </c>
      <c r="K32" s="60">
        <f t="shared" si="1"/>
        <v>403696577</v>
      </c>
      <c r="L32" s="61">
        <f>IFERROR(ROUND(AVERAGE('Data Historis 5 Tahun'!J127:J131),0),0)</f>
        <v>7044469</v>
      </c>
      <c r="M32" s="62">
        <f>IFERROR(ROUND(AVERAGE('Data Historis 5 Tahun'!K127:K131),0),0)</f>
        <v>516857</v>
      </c>
      <c r="N32" s="62">
        <f>IFERROR(ROUND(1.65*AVERAGE('Data Historis 5 Tahun'!N127:N131)*SQRT(AVERAGE('Data Historis 5 Tahun'!H127:H131)),0),0)</f>
        <v>65</v>
      </c>
      <c r="O32" s="63">
        <f t="shared" si="2"/>
        <v>554</v>
      </c>
      <c r="P32" s="63">
        <f t="shared" si="3"/>
        <v>319803419</v>
      </c>
      <c r="Q32" s="63">
        <f t="shared" si="4"/>
        <v>83893158</v>
      </c>
      <c r="R32" s="64">
        <f t="shared" si="5"/>
        <v>277</v>
      </c>
      <c r="S32" s="65">
        <f t="shared" si="6"/>
        <v>286076649</v>
      </c>
      <c r="T32" s="65">
        <f t="shared" si="7"/>
        <v>105180400</v>
      </c>
      <c r="U32" s="66">
        <f t="shared" si="8"/>
        <v>391257049</v>
      </c>
      <c r="V32" s="67">
        <f t="shared" si="9"/>
        <v>831</v>
      </c>
      <c r="W32" s="68">
        <f t="shared" si="10"/>
        <v>95358883</v>
      </c>
      <c r="X32" s="67">
        <f t="shared" si="11"/>
        <v>343708672</v>
      </c>
      <c r="Y32" s="69">
        <f t="shared" si="12"/>
        <v>319803419</v>
      </c>
      <c r="Z32" s="70" t="str">
        <f t="shared" si="13"/>
        <v>✅ EOQ (optimal)</v>
      </c>
      <c r="AA32" s="71">
        <f t="shared" si="14"/>
        <v>0.20781240857536426</v>
      </c>
    </row>
    <row r="33" spans="1:27" ht="15.75" customHeight="1" x14ac:dyDescent="0.35">
      <c r="A33" s="72">
        <v>26</v>
      </c>
      <c r="B33" s="72" t="s">
        <v>86</v>
      </c>
      <c r="C33" s="73" t="s">
        <v>87</v>
      </c>
      <c r="D33" s="72" t="s">
        <v>263</v>
      </c>
      <c r="E33" s="72" t="s">
        <v>36</v>
      </c>
      <c r="F33" s="58">
        <f>IFERROR(ROUND(AVERAGE('Data Historis 5 Tahun'!I132:I136),0),0)</f>
        <v>50413</v>
      </c>
      <c r="G33" s="58">
        <f>IFERROR(ROUND(AVERAGE('Data Historis 5 Tahun'!J132:J136)*1.1555,0),0)</f>
        <v>7511959</v>
      </c>
      <c r="H33" s="58">
        <f>IFERROR(ROUND(AVERAGE('Data Historis 5 Tahun'!K132:K136)*1.0772,0),0)</f>
        <v>634890</v>
      </c>
      <c r="I33" s="58">
        <f>IFERROR(ROUND(1.65*AVERAGE('Data Historis 5 Tahun'!N132:N136)*SQRT(AVERAGE('Data Historis 5 Tahun'!H132:H136)),0),0)</f>
        <v>320</v>
      </c>
      <c r="J33" s="59">
        <f t="shared" si="0"/>
        <v>4201</v>
      </c>
      <c r="K33" s="60">
        <f t="shared" si="1"/>
        <v>1626896541</v>
      </c>
      <c r="L33" s="61">
        <f>IFERROR(ROUND(AVERAGE('Data Historis 5 Tahun'!J132:J136),0),0)</f>
        <v>6501046</v>
      </c>
      <c r="M33" s="62">
        <f>IFERROR(ROUND(AVERAGE('Data Historis 5 Tahun'!K132:K136),0),0)</f>
        <v>589389</v>
      </c>
      <c r="N33" s="62">
        <f>IFERROR(ROUND(1.65*AVERAGE('Data Historis 5 Tahun'!N132:N136)*SQRT(AVERAGE('Data Historis 5 Tahun'!H132:H136)),0),0)</f>
        <v>320</v>
      </c>
      <c r="O33" s="63">
        <f t="shared" si="2"/>
        <v>1055</v>
      </c>
      <c r="P33" s="63">
        <f t="shared" si="3"/>
        <v>810158582</v>
      </c>
      <c r="Q33" s="63">
        <f t="shared" si="4"/>
        <v>816737959</v>
      </c>
      <c r="R33" s="64">
        <f t="shared" si="5"/>
        <v>528</v>
      </c>
      <c r="S33" s="65">
        <f t="shared" si="6"/>
        <v>620714455</v>
      </c>
      <c r="T33" s="65">
        <f t="shared" si="7"/>
        <v>344203176</v>
      </c>
      <c r="U33" s="66">
        <f t="shared" si="8"/>
        <v>964917631</v>
      </c>
      <c r="V33" s="67">
        <f t="shared" si="9"/>
        <v>1583</v>
      </c>
      <c r="W33" s="68">
        <f t="shared" si="10"/>
        <v>207035522</v>
      </c>
      <c r="X33" s="67">
        <f t="shared" si="11"/>
        <v>862141396</v>
      </c>
      <c r="Y33" s="69">
        <f t="shared" si="12"/>
        <v>810158582</v>
      </c>
      <c r="Z33" s="70" t="str">
        <f t="shared" si="13"/>
        <v>✅ EOQ (optimal)</v>
      </c>
      <c r="AA33" s="71">
        <f t="shared" si="14"/>
        <v>0.50202206373736458</v>
      </c>
    </row>
    <row r="34" spans="1:27" ht="15.75" customHeight="1" x14ac:dyDescent="0.35">
      <c r="A34" s="56">
        <v>27</v>
      </c>
      <c r="B34" s="56" t="s">
        <v>88</v>
      </c>
      <c r="C34" s="57" t="s">
        <v>89</v>
      </c>
      <c r="D34" s="56" t="s">
        <v>264</v>
      </c>
      <c r="E34" s="56" t="s">
        <v>36</v>
      </c>
      <c r="F34" s="58">
        <f>IFERROR(ROUND(AVERAGE('Data Historis 5 Tahun'!I137:I141),0),0)</f>
        <v>43228</v>
      </c>
      <c r="G34" s="58">
        <f>IFERROR(ROUND(AVERAGE('Data Historis 5 Tahun'!J137:J141)*1.14,0),0)</f>
        <v>2703657</v>
      </c>
      <c r="H34" s="58">
        <f>IFERROR(ROUND(AVERAGE('Data Historis 5 Tahun'!K137:K141)*1.1718,0),0)</f>
        <v>227841</v>
      </c>
      <c r="I34" s="58">
        <f>IFERROR(ROUND(1.65*AVERAGE('Data Historis 5 Tahun'!N137:N141)*SQRT(AVERAGE('Data Historis 5 Tahun'!H137:H141)),0),0)</f>
        <v>128</v>
      </c>
      <c r="J34" s="59">
        <f t="shared" si="0"/>
        <v>3602</v>
      </c>
      <c r="K34" s="60">
        <f t="shared" si="1"/>
        <v>471952175</v>
      </c>
      <c r="L34" s="61">
        <f>IFERROR(ROUND(AVERAGE('Data Historis 5 Tahun'!J137:J141),0),0)</f>
        <v>2371629</v>
      </c>
      <c r="M34" s="62">
        <f>IFERROR(ROUND(AVERAGE('Data Historis 5 Tahun'!K137:K141),0),0)</f>
        <v>194437</v>
      </c>
      <c r="N34" s="62">
        <f>IFERROR(ROUND(1.65*AVERAGE('Data Historis 5 Tahun'!N137:N141)*SQRT(AVERAGE('Data Historis 5 Tahun'!H137:H141)),0),0)</f>
        <v>128</v>
      </c>
      <c r="O34" s="63">
        <f t="shared" si="2"/>
        <v>1027</v>
      </c>
      <c r="P34" s="63">
        <f t="shared" si="3"/>
        <v>224556826</v>
      </c>
      <c r="Q34" s="63">
        <f t="shared" si="4"/>
        <v>247395349</v>
      </c>
      <c r="R34" s="64">
        <f t="shared" si="5"/>
        <v>514</v>
      </c>
      <c r="S34" s="65">
        <f t="shared" si="6"/>
        <v>199456767</v>
      </c>
      <c r="T34" s="65">
        <f t="shared" si="7"/>
        <v>74858245</v>
      </c>
      <c r="U34" s="66">
        <f t="shared" si="8"/>
        <v>274315012</v>
      </c>
      <c r="V34" s="67">
        <f t="shared" si="9"/>
        <v>1541</v>
      </c>
      <c r="W34" s="68">
        <f t="shared" si="10"/>
        <v>66528734</v>
      </c>
      <c r="X34" s="67">
        <f t="shared" si="11"/>
        <v>241230378</v>
      </c>
      <c r="Y34" s="69">
        <f t="shared" si="12"/>
        <v>224556826</v>
      </c>
      <c r="Z34" s="70" t="str">
        <f t="shared" si="13"/>
        <v>✅ EOQ (optimal)</v>
      </c>
      <c r="AA34" s="71">
        <f t="shared" si="14"/>
        <v>0.52419580225475182</v>
      </c>
    </row>
    <row r="35" spans="1:27" ht="15.75" customHeight="1" x14ac:dyDescent="0.35">
      <c r="A35" s="72">
        <v>28</v>
      </c>
      <c r="B35" s="72" t="s">
        <v>90</v>
      </c>
      <c r="C35" s="73" t="s">
        <v>91</v>
      </c>
      <c r="D35" s="72" t="s">
        <v>263</v>
      </c>
      <c r="E35" s="72" t="s">
        <v>36</v>
      </c>
      <c r="F35" s="58">
        <f>IFERROR(ROUND(AVERAGE('Data Historis 5 Tahun'!I142:I146),0),0)</f>
        <v>18984</v>
      </c>
      <c r="G35" s="58">
        <f>IFERROR(ROUND(AVERAGE('Data Historis 5 Tahun'!J142:J146)*1.1972,0),0)</f>
        <v>935953</v>
      </c>
      <c r="H35" s="58">
        <f>IFERROR(ROUND(AVERAGE('Data Historis 5 Tahun'!K142:K146)*1.1292,0),0)</f>
        <v>298216</v>
      </c>
      <c r="I35" s="58">
        <f>IFERROR(ROUND(1.65*AVERAGE('Data Historis 5 Tahun'!N142:N146)*SQRT(AVERAGE('Data Historis 5 Tahun'!H142:H146)),0),0)</f>
        <v>60</v>
      </c>
      <c r="J35" s="59">
        <f t="shared" si="0"/>
        <v>1582</v>
      </c>
      <c r="K35" s="60">
        <f t="shared" si="1"/>
        <v>265013252</v>
      </c>
      <c r="L35" s="61">
        <f>IFERROR(ROUND(AVERAGE('Data Historis 5 Tahun'!J142:J146),0),0)</f>
        <v>781785</v>
      </c>
      <c r="M35" s="62">
        <f>IFERROR(ROUND(AVERAGE('Data Historis 5 Tahun'!K142:K146),0),0)</f>
        <v>264095</v>
      </c>
      <c r="N35" s="62">
        <f>IFERROR(ROUND(1.65*AVERAGE('Data Historis 5 Tahun'!N142:N146)*SQRT(AVERAGE('Data Historis 5 Tahun'!H142:H146)),0),0)</f>
        <v>60</v>
      </c>
      <c r="O35" s="63">
        <f t="shared" si="2"/>
        <v>335</v>
      </c>
      <c r="P35" s="63">
        <f t="shared" si="3"/>
        <v>104384318</v>
      </c>
      <c r="Q35" s="63">
        <f t="shared" si="4"/>
        <v>160628934</v>
      </c>
      <c r="R35" s="64">
        <f t="shared" si="5"/>
        <v>168</v>
      </c>
      <c r="S35" s="65">
        <f t="shared" si="6"/>
        <v>88341705</v>
      </c>
      <c r="T35" s="65">
        <f t="shared" si="7"/>
        <v>38029680</v>
      </c>
      <c r="U35" s="66">
        <f t="shared" si="8"/>
        <v>126371385</v>
      </c>
      <c r="V35" s="67">
        <f t="shared" si="9"/>
        <v>503</v>
      </c>
      <c r="W35" s="68">
        <f t="shared" si="10"/>
        <v>29505778</v>
      </c>
      <c r="X35" s="67">
        <f t="shared" si="11"/>
        <v>111771371</v>
      </c>
      <c r="Y35" s="69">
        <f t="shared" si="12"/>
        <v>104384318</v>
      </c>
      <c r="Z35" s="70" t="str">
        <f t="shared" si="13"/>
        <v>✅ EOQ (optimal)</v>
      </c>
      <c r="AA35" s="71">
        <f t="shared" si="14"/>
        <v>0.60611661034973452</v>
      </c>
    </row>
    <row r="36" spans="1:27" ht="15.75" customHeight="1" x14ac:dyDescent="0.35">
      <c r="A36" s="56">
        <v>29</v>
      </c>
      <c r="B36" s="56" t="s">
        <v>92</v>
      </c>
      <c r="C36" s="57" t="s">
        <v>93</v>
      </c>
      <c r="D36" s="56" t="s">
        <v>264</v>
      </c>
      <c r="E36" s="56" t="s">
        <v>36</v>
      </c>
      <c r="F36" s="58">
        <f>IFERROR(ROUND(AVERAGE('Data Historis 5 Tahun'!I147:I151),0),0)</f>
        <v>16011</v>
      </c>
      <c r="G36" s="58">
        <f>IFERROR(ROUND(AVERAGE('Data Historis 5 Tahun'!J147:J151)*1.1257,0),0)</f>
        <v>9948364</v>
      </c>
      <c r="H36" s="58">
        <f>IFERROR(ROUND(AVERAGE('Data Historis 5 Tahun'!K147:K151)*1.1448,0),0)</f>
        <v>280826</v>
      </c>
      <c r="I36" s="58">
        <f>IFERROR(ROUND(1.65*AVERAGE('Data Historis 5 Tahun'!N147:N151)*SQRT(AVERAGE('Data Historis 5 Tahun'!H147:H151)),0),0)</f>
        <v>91</v>
      </c>
      <c r="J36" s="59">
        <f t="shared" si="0"/>
        <v>1334</v>
      </c>
      <c r="K36" s="60">
        <f t="shared" si="1"/>
        <v>332268849</v>
      </c>
      <c r="L36" s="61">
        <f>IFERROR(ROUND(AVERAGE('Data Historis 5 Tahun'!J147:J151),0),0)</f>
        <v>8837491</v>
      </c>
      <c r="M36" s="62">
        <f>IFERROR(ROUND(AVERAGE('Data Historis 5 Tahun'!K147:K151),0),0)</f>
        <v>245306</v>
      </c>
      <c r="N36" s="62">
        <f>IFERROR(ROUND(1.65*AVERAGE('Data Historis 5 Tahun'!N147:N151)*SQRT(AVERAGE('Data Historis 5 Tahun'!H147:H151)),0),0)</f>
        <v>91</v>
      </c>
      <c r="O36" s="63">
        <f t="shared" si="2"/>
        <v>1074</v>
      </c>
      <c r="P36" s="63">
        <f t="shared" si="3"/>
        <v>285799904</v>
      </c>
      <c r="Q36" s="63">
        <f t="shared" si="4"/>
        <v>46468945</v>
      </c>
      <c r="R36" s="64">
        <f t="shared" si="5"/>
        <v>537</v>
      </c>
      <c r="S36" s="65">
        <f t="shared" si="6"/>
        <v>263495472</v>
      </c>
      <c r="T36" s="65">
        <f t="shared" si="7"/>
        <v>88187507</v>
      </c>
      <c r="U36" s="66">
        <f t="shared" si="8"/>
        <v>351682979</v>
      </c>
      <c r="V36" s="67">
        <f t="shared" si="9"/>
        <v>1611</v>
      </c>
      <c r="W36" s="68">
        <f t="shared" si="10"/>
        <v>87831824</v>
      </c>
      <c r="X36" s="67">
        <f t="shared" si="11"/>
        <v>307748653</v>
      </c>
      <c r="Y36" s="69">
        <f t="shared" si="12"/>
        <v>285799904</v>
      </c>
      <c r="Z36" s="70" t="str">
        <f t="shared" si="13"/>
        <v>✅ EOQ (optimal)</v>
      </c>
      <c r="AA36" s="71">
        <f t="shared" si="14"/>
        <v>0.13985345042080669</v>
      </c>
    </row>
    <row r="37" spans="1:27" ht="15.75" customHeight="1" x14ac:dyDescent="0.35">
      <c r="A37" s="72">
        <v>30</v>
      </c>
      <c r="B37" s="72" t="s">
        <v>94</v>
      </c>
      <c r="C37" s="73" t="s">
        <v>95</v>
      </c>
      <c r="D37" s="72" t="s">
        <v>263</v>
      </c>
      <c r="E37" s="72" t="s">
        <v>36</v>
      </c>
      <c r="F37" s="58">
        <f>IFERROR(ROUND(AVERAGE('Data Historis 5 Tahun'!I152:I156),0),0)</f>
        <v>14744</v>
      </c>
      <c r="G37" s="58">
        <f>IFERROR(ROUND(AVERAGE('Data Historis 5 Tahun'!J152:J156)*1.1245,0),0)</f>
        <v>843153</v>
      </c>
      <c r="H37" s="58">
        <f>IFERROR(ROUND(AVERAGE('Data Historis 5 Tahun'!K152:K156)*1.0993,0),0)</f>
        <v>342853</v>
      </c>
      <c r="I37" s="58">
        <f>IFERROR(ROUND(1.65*AVERAGE('Data Historis 5 Tahun'!N152:N156)*SQRT(AVERAGE('Data Historis 5 Tahun'!H152:H156)),0),0)</f>
        <v>31</v>
      </c>
      <c r="J37" s="59">
        <f t="shared" si="0"/>
        <v>1229</v>
      </c>
      <c r="K37" s="60">
        <f t="shared" si="1"/>
        <v>231426703</v>
      </c>
      <c r="L37" s="61">
        <f>IFERROR(ROUND(AVERAGE('Data Historis 5 Tahun'!J152:J156),0),0)</f>
        <v>749803</v>
      </c>
      <c r="M37" s="62">
        <f>IFERROR(ROUND(AVERAGE('Data Historis 5 Tahun'!K152:K156),0),0)</f>
        <v>311883</v>
      </c>
      <c r="N37" s="62">
        <f>IFERROR(ROUND(1.65*AVERAGE('Data Historis 5 Tahun'!N152:N156)*SQRT(AVERAGE('Data Historis 5 Tahun'!H152:H156)),0),0)</f>
        <v>31</v>
      </c>
      <c r="O37" s="63">
        <f t="shared" si="2"/>
        <v>266</v>
      </c>
      <c r="P37" s="63">
        <f t="shared" si="3"/>
        <v>92709321</v>
      </c>
      <c r="Q37" s="63">
        <f t="shared" si="4"/>
        <v>138717382</v>
      </c>
      <c r="R37" s="64">
        <f t="shared" si="5"/>
        <v>133</v>
      </c>
      <c r="S37" s="65">
        <f t="shared" si="6"/>
        <v>83121018</v>
      </c>
      <c r="T37" s="65">
        <f t="shared" si="7"/>
        <v>30408593</v>
      </c>
      <c r="U37" s="66">
        <f t="shared" si="8"/>
        <v>113529611</v>
      </c>
      <c r="V37" s="67">
        <f t="shared" si="9"/>
        <v>399</v>
      </c>
      <c r="W37" s="68">
        <f t="shared" si="10"/>
        <v>27707006</v>
      </c>
      <c r="X37" s="67">
        <f t="shared" si="11"/>
        <v>99596038</v>
      </c>
      <c r="Y37" s="69">
        <f t="shared" si="12"/>
        <v>92709321</v>
      </c>
      <c r="Z37" s="70" t="str">
        <f t="shared" si="13"/>
        <v>✅ EOQ (optimal)</v>
      </c>
      <c r="AA37" s="71">
        <f t="shared" si="14"/>
        <v>0.59940093429927144</v>
      </c>
    </row>
    <row r="38" spans="1:27" ht="15.75" customHeight="1" x14ac:dyDescent="0.35">
      <c r="A38" s="56">
        <v>31</v>
      </c>
      <c r="B38" s="56" t="s">
        <v>96</v>
      </c>
      <c r="C38" s="57" t="s">
        <v>97</v>
      </c>
      <c r="D38" s="56" t="s">
        <v>263</v>
      </c>
      <c r="E38" s="56" t="s">
        <v>36</v>
      </c>
      <c r="F38" s="58">
        <f>IFERROR(ROUND(AVERAGE('Data Historis 5 Tahun'!I157:I161),0),0)</f>
        <v>44261</v>
      </c>
      <c r="G38" s="58">
        <f>IFERROR(ROUND(AVERAGE('Data Historis 5 Tahun'!J157:J161)*1.2484,0),0)</f>
        <v>6433758</v>
      </c>
      <c r="H38" s="58">
        <f>IFERROR(ROUND(AVERAGE('Data Historis 5 Tahun'!K157:K161)*1.1332,0),0)</f>
        <v>290079</v>
      </c>
      <c r="I38" s="58">
        <f>IFERROR(ROUND(1.65*AVERAGE('Data Historis 5 Tahun'!N157:N161)*SQRT(AVERAGE('Data Historis 5 Tahun'!H157:H161)),0),0)</f>
        <v>251</v>
      </c>
      <c r="J38" s="59">
        <f t="shared" si="0"/>
        <v>3688</v>
      </c>
      <c r="K38" s="60">
        <f t="shared" si="1"/>
        <v>684929324</v>
      </c>
      <c r="L38" s="61">
        <f>IFERROR(ROUND(AVERAGE('Data Historis 5 Tahun'!J157:J161),0),0)</f>
        <v>5153603</v>
      </c>
      <c r="M38" s="62">
        <f>IFERROR(ROUND(AVERAGE('Data Historis 5 Tahun'!K157:K161),0),0)</f>
        <v>255982</v>
      </c>
      <c r="N38" s="62">
        <f>IFERROR(ROUND(1.65*AVERAGE('Data Historis 5 Tahun'!N157:N161)*SQRT(AVERAGE('Data Historis 5 Tahun'!H157:H161)),0),0)</f>
        <v>251</v>
      </c>
      <c r="O38" s="63">
        <f t="shared" si="2"/>
        <v>1335</v>
      </c>
      <c r="P38" s="63">
        <f t="shared" si="3"/>
        <v>405983604</v>
      </c>
      <c r="Q38" s="63">
        <f t="shared" si="4"/>
        <v>278945720</v>
      </c>
      <c r="R38" s="64">
        <f t="shared" si="5"/>
        <v>668</v>
      </c>
      <c r="S38" s="65">
        <f t="shared" si="6"/>
        <v>341472489</v>
      </c>
      <c r="T38" s="65">
        <f t="shared" si="7"/>
        <v>149749470</v>
      </c>
      <c r="U38" s="66">
        <f t="shared" si="8"/>
        <v>491221959</v>
      </c>
      <c r="V38" s="67">
        <f t="shared" si="9"/>
        <v>2003</v>
      </c>
      <c r="W38" s="68">
        <f t="shared" si="10"/>
        <v>113880990</v>
      </c>
      <c r="X38" s="67">
        <f t="shared" si="11"/>
        <v>434498445</v>
      </c>
      <c r="Y38" s="69">
        <f t="shared" si="12"/>
        <v>405983604</v>
      </c>
      <c r="Z38" s="70" t="str">
        <f t="shared" si="13"/>
        <v>✅ EOQ (optimal)</v>
      </c>
      <c r="AA38" s="71">
        <f t="shared" si="14"/>
        <v>0.40726204912786007</v>
      </c>
    </row>
    <row r="39" spans="1:27" ht="15.75" customHeight="1" x14ac:dyDescent="0.35">
      <c r="A39" s="72">
        <v>32</v>
      </c>
      <c r="B39" s="72" t="s">
        <v>98</v>
      </c>
      <c r="C39" s="73" t="s">
        <v>99</v>
      </c>
      <c r="D39" s="72" t="s">
        <v>264</v>
      </c>
      <c r="E39" s="72" t="s">
        <v>36</v>
      </c>
      <c r="F39" s="58">
        <f>IFERROR(ROUND(AVERAGE('Data Historis 5 Tahun'!I162:I166),0),0)</f>
        <v>15186</v>
      </c>
      <c r="G39" s="58">
        <f>IFERROR(ROUND(AVERAGE('Data Historis 5 Tahun'!J162:J166)*1.1835,0),0)</f>
        <v>7587725</v>
      </c>
      <c r="H39" s="58">
        <f>IFERROR(ROUND(AVERAGE('Data Historis 5 Tahun'!K162:K166)*1.139,0),0)</f>
        <v>480980</v>
      </c>
      <c r="I39" s="58">
        <f>IFERROR(ROUND(1.65*AVERAGE('Data Historis 5 Tahun'!N162:N166)*SQRT(AVERAGE('Data Historis 5 Tahun'!H162:H166)),0),0)</f>
        <v>103</v>
      </c>
      <c r="J39" s="59">
        <f t="shared" si="0"/>
        <v>1266</v>
      </c>
      <c r="K39" s="60">
        <f t="shared" si="1"/>
        <v>445018019</v>
      </c>
      <c r="L39" s="61">
        <f>IFERROR(ROUND(AVERAGE('Data Historis 5 Tahun'!J162:J166),0),0)</f>
        <v>6411259</v>
      </c>
      <c r="M39" s="62">
        <f>IFERROR(ROUND(AVERAGE('Data Historis 5 Tahun'!K162:K166),0),0)</f>
        <v>422283</v>
      </c>
      <c r="N39" s="62">
        <f>IFERROR(ROUND(1.65*AVERAGE('Data Historis 5 Tahun'!N162:N166)*SQRT(AVERAGE('Data Historis 5 Tahun'!H162:H166)),0),0)</f>
        <v>103</v>
      </c>
      <c r="O39" s="63">
        <f t="shared" si="2"/>
        <v>679</v>
      </c>
      <c r="P39" s="63">
        <f t="shared" si="3"/>
        <v>330249593</v>
      </c>
      <c r="Q39" s="63">
        <f t="shared" si="4"/>
        <v>114768426</v>
      </c>
      <c r="R39" s="64">
        <f t="shared" si="5"/>
        <v>340</v>
      </c>
      <c r="S39" s="65">
        <f t="shared" si="6"/>
        <v>286356998</v>
      </c>
      <c r="T39" s="65">
        <f t="shared" si="7"/>
        <v>115283259</v>
      </c>
      <c r="U39" s="66">
        <f t="shared" si="8"/>
        <v>401640257</v>
      </c>
      <c r="V39" s="67">
        <f t="shared" si="9"/>
        <v>1019</v>
      </c>
      <c r="W39" s="68">
        <f t="shared" si="10"/>
        <v>95546005</v>
      </c>
      <c r="X39" s="67">
        <f t="shared" si="11"/>
        <v>354194343</v>
      </c>
      <c r="Y39" s="69">
        <f t="shared" si="12"/>
        <v>330249593</v>
      </c>
      <c r="Z39" s="70" t="str">
        <f t="shared" si="13"/>
        <v>✅ EOQ (optimal)</v>
      </c>
      <c r="AA39" s="71">
        <f t="shared" si="14"/>
        <v>0.25789613251592852</v>
      </c>
    </row>
    <row r="40" spans="1:27" ht="15.75" customHeight="1" x14ac:dyDescent="0.35">
      <c r="A40" s="56">
        <v>33</v>
      </c>
      <c r="B40" s="56" t="s">
        <v>100</v>
      </c>
      <c r="C40" s="57" t="s">
        <v>101</v>
      </c>
      <c r="D40" s="56" t="s">
        <v>264</v>
      </c>
      <c r="E40" s="56" t="s">
        <v>36</v>
      </c>
      <c r="F40" s="58">
        <f>IFERROR(ROUND(AVERAGE('Data Historis 5 Tahun'!I167:I171),0),0)</f>
        <v>16471</v>
      </c>
      <c r="G40" s="58">
        <f>IFERROR(ROUND(AVERAGE('Data Historis 5 Tahun'!J167:J171)*1.2264,0),0)</f>
        <v>2530049</v>
      </c>
      <c r="H40" s="58">
        <f>IFERROR(ROUND(AVERAGE('Data Historis 5 Tahun'!K167:K171)*1.1509,0),0)</f>
        <v>349618</v>
      </c>
      <c r="I40" s="58">
        <f>IFERROR(ROUND(1.65*AVERAGE('Data Historis 5 Tahun'!N167:N171)*SQRT(AVERAGE('Data Historis 5 Tahun'!H167:H171)),0),0)</f>
        <v>40</v>
      </c>
      <c r="J40" s="59">
        <f t="shared" ref="J40:J71" si="15">IFERROR(MAX(1,ROUND(F40/12,0)),1)</f>
        <v>1373</v>
      </c>
      <c r="K40" s="60">
        <f t="shared" ref="K40:K71" si="16">IFERROR(ROUND((F40/J40)*G40+(J40/2)*H40+I40*H40,0),0)</f>
        <v>284348851</v>
      </c>
      <c r="L40" s="61">
        <f>IFERROR(ROUND(AVERAGE('Data Historis 5 Tahun'!J167:J171),0),0)</f>
        <v>2062989</v>
      </c>
      <c r="M40" s="62">
        <f>IFERROR(ROUND(AVERAGE('Data Historis 5 Tahun'!K167:K171),0),0)</f>
        <v>303778</v>
      </c>
      <c r="N40" s="62">
        <f>IFERROR(ROUND(1.65*AVERAGE('Data Historis 5 Tahun'!N167:N171)*SQRT(AVERAGE('Data Historis 5 Tahun'!H167:H171)),0),0)</f>
        <v>40</v>
      </c>
      <c r="O40" s="63">
        <f t="shared" ref="O40:O71" si="17">IFERROR(ROUND(SQRT(2*F40*L40/M40),0),0)</f>
        <v>473</v>
      </c>
      <c r="P40" s="63">
        <f t="shared" ref="P40:P71" si="18">IFERROR(ROUND((F40/O40)*L40+(O40/2)*M40+N40*M40,0),0)</f>
        <v>155832866</v>
      </c>
      <c r="Q40" s="63">
        <f t="shared" ref="Q40:Q71" si="19">K40-P40</f>
        <v>128515985</v>
      </c>
      <c r="R40" s="64">
        <f t="shared" ref="R40:R71" si="20">IFERROR(MAX(1,ROUND(O40*0.5,0)),1)</f>
        <v>237</v>
      </c>
      <c r="S40" s="65">
        <f t="shared" ref="S40:S71" si="21">IFERROR(ROUND((F40/R40)*L40,0),0)</f>
        <v>143373383</v>
      </c>
      <c r="T40" s="65">
        <f t="shared" ref="T40:T71" si="22">IFERROR(ROUND((R40/2)*M40+N40*M40,0),0)</f>
        <v>48148813</v>
      </c>
      <c r="U40" s="66">
        <f t="shared" ref="U40:U71" si="23">S40+T40</f>
        <v>191522196</v>
      </c>
      <c r="V40" s="67">
        <f t="shared" ref="V40:V71" si="24">IFERROR(ROUND(O40*1.5,0),1)</f>
        <v>710</v>
      </c>
      <c r="W40" s="68">
        <f t="shared" ref="W40:W71" si="25">IFERROR(ROUND((F40/V40)*L40,0),0)</f>
        <v>47858439</v>
      </c>
      <c r="X40" s="67">
        <f t="shared" ref="X40:X71" si="26">IFERROR(ROUND((F40/V40)*L40+(V40/2)*M40+N40*M40,0),0)</f>
        <v>167850749</v>
      </c>
      <c r="Y40" s="69">
        <f t="shared" ref="Y40:Y71" si="27">MIN(K40,P40,U40,X40)</f>
        <v>155832866</v>
      </c>
      <c r="Z40" s="70" t="str">
        <f t="shared" ref="Z40:Z71" si="28">IF(Y40=P40,"✅ EOQ (optimal)",IF(Y40=K40,"Q Obs Lama",IF(Y40=U40,"Q Kecil","Q Besar")))</f>
        <v>✅ EOQ (optimal)</v>
      </c>
      <c r="AA40" s="71">
        <f t="shared" ref="AA40:AA71" si="29">IFERROR(Q40/K40,0)</f>
        <v>0.45196590226418742</v>
      </c>
    </row>
    <row r="41" spans="1:27" ht="15.75" customHeight="1" x14ac:dyDescent="0.35">
      <c r="A41" s="72">
        <v>34</v>
      </c>
      <c r="B41" s="72" t="s">
        <v>102</v>
      </c>
      <c r="C41" s="73" t="s">
        <v>103</v>
      </c>
      <c r="D41" s="72" t="s">
        <v>263</v>
      </c>
      <c r="E41" s="72" t="s">
        <v>36</v>
      </c>
      <c r="F41" s="58">
        <f>IFERROR(ROUND(AVERAGE('Data Historis 5 Tahun'!I172:I176),0),0)</f>
        <v>41752</v>
      </c>
      <c r="G41" s="58">
        <f>IFERROR(ROUND(AVERAGE('Data Historis 5 Tahun'!J172:J176)*1.1344,0),0)</f>
        <v>1615555</v>
      </c>
      <c r="H41" s="58">
        <f>IFERROR(ROUND(AVERAGE('Data Historis 5 Tahun'!K172:K176)*1.0542,0),0)</f>
        <v>264883</v>
      </c>
      <c r="I41" s="58">
        <f>IFERROR(ROUND(1.65*AVERAGE('Data Historis 5 Tahun'!N172:N176)*SQRT(AVERAGE('Data Historis 5 Tahun'!H172:H176)),0),0)</f>
        <v>123</v>
      </c>
      <c r="J41" s="59">
        <f t="shared" si="15"/>
        <v>3479</v>
      </c>
      <c r="K41" s="60">
        <f t="shared" si="16"/>
        <v>512733105</v>
      </c>
      <c r="L41" s="61">
        <f>IFERROR(ROUND(AVERAGE('Data Historis 5 Tahun'!J172:J176),0),0)</f>
        <v>1424150</v>
      </c>
      <c r="M41" s="62">
        <f>IFERROR(ROUND(AVERAGE('Data Historis 5 Tahun'!K172:K176),0),0)</f>
        <v>251264</v>
      </c>
      <c r="N41" s="62">
        <f>IFERROR(ROUND(1.65*AVERAGE('Data Historis 5 Tahun'!N172:N176)*SQRT(AVERAGE('Data Historis 5 Tahun'!H172:H176)),0),0)</f>
        <v>123</v>
      </c>
      <c r="O41" s="63">
        <f t="shared" si="17"/>
        <v>688</v>
      </c>
      <c r="P41" s="63">
        <f t="shared" si="18"/>
        <v>203766321</v>
      </c>
      <c r="Q41" s="63">
        <f t="shared" si="19"/>
        <v>308966784</v>
      </c>
      <c r="R41" s="64">
        <f t="shared" si="20"/>
        <v>344</v>
      </c>
      <c r="S41" s="65">
        <f t="shared" si="21"/>
        <v>172852066</v>
      </c>
      <c r="T41" s="65">
        <f t="shared" si="22"/>
        <v>74122880</v>
      </c>
      <c r="U41" s="66">
        <f t="shared" si="23"/>
        <v>246974946</v>
      </c>
      <c r="V41" s="67">
        <f t="shared" si="24"/>
        <v>1032</v>
      </c>
      <c r="W41" s="68">
        <f t="shared" si="25"/>
        <v>57617355</v>
      </c>
      <c r="X41" s="67">
        <f t="shared" si="26"/>
        <v>218175051</v>
      </c>
      <c r="Y41" s="69">
        <f t="shared" si="27"/>
        <v>203766321</v>
      </c>
      <c r="Z41" s="70" t="str">
        <f t="shared" si="28"/>
        <v>✅ EOQ (optimal)</v>
      </c>
      <c r="AA41" s="71">
        <f t="shared" si="29"/>
        <v>0.60258793705157776</v>
      </c>
    </row>
    <row r="42" spans="1:27" ht="15.75" customHeight="1" x14ac:dyDescent="0.35">
      <c r="A42" s="56">
        <v>35</v>
      </c>
      <c r="B42" s="56" t="s">
        <v>104</v>
      </c>
      <c r="C42" s="57" t="s">
        <v>105</v>
      </c>
      <c r="D42" s="56" t="s">
        <v>263</v>
      </c>
      <c r="E42" s="56" t="s">
        <v>57</v>
      </c>
      <c r="F42" s="58">
        <f>IFERROR(ROUND(AVERAGE('Data Historis 5 Tahun'!I177:I181),0),0)</f>
        <v>5110</v>
      </c>
      <c r="G42" s="58">
        <f>IFERROR(ROUND(AVERAGE('Data Historis 5 Tahun'!J177:J181)*1.1473,0),0)</f>
        <v>1178967</v>
      </c>
      <c r="H42" s="58">
        <f>IFERROR(ROUND(AVERAGE('Data Historis 5 Tahun'!K177:K181)*1.0848,0),0)</f>
        <v>172458</v>
      </c>
      <c r="I42" s="58">
        <f>IFERROR(ROUND(1.65*AVERAGE('Data Historis 5 Tahun'!N177:N181)*SQRT(AVERAGE('Data Historis 5 Tahun'!H177:H181)),0),0)</f>
        <v>16</v>
      </c>
      <c r="J42" s="59">
        <f t="shared" si="15"/>
        <v>426</v>
      </c>
      <c r="K42" s="60">
        <f t="shared" si="16"/>
        <v>53634951</v>
      </c>
      <c r="L42" s="61">
        <f>IFERROR(ROUND(AVERAGE('Data Historis 5 Tahun'!J177:J181),0),0)</f>
        <v>1027601</v>
      </c>
      <c r="M42" s="62">
        <f>IFERROR(ROUND(AVERAGE('Data Historis 5 Tahun'!K177:K181),0),0)</f>
        <v>158977</v>
      </c>
      <c r="N42" s="62">
        <f>IFERROR(ROUND(1.65*AVERAGE('Data Historis 5 Tahun'!N177:N181)*SQRT(AVERAGE('Data Historis 5 Tahun'!H177:H181)),0),0)</f>
        <v>16</v>
      </c>
      <c r="O42" s="63">
        <f t="shared" si="17"/>
        <v>257</v>
      </c>
      <c r="P42" s="63">
        <f t="shared" si="18"/>
        <v>43404243</v>
      </c>
      <c r="Q42" s="63">
        <f t="shared" si="19"/>
        <v>10230708</v>
      </c>
      <c r="R42" s="64">
        <f t="shared" si="20"/>
        <v>129</v>
      </c>
      <c r="S42" s="65">
        <f t="shared" si="21"/>
        <v>40705745</v>
      </c>
      <c r="T42" s="65">
        <f t="shared" si="22"/>
        <v>12797649</v>
      </c>
      <c r="U42" s="66">
        <f t="shared" si="23"/>
        <v>53503394</v>
      </c>
      <c r="V42" s="67">
        <f t="shared" si="24"/>
        <v>386</v>
      </c>
      <c r="W42" s="68">
        <f t="shared" si="25"/>
        <v>13603733</v>
      </c>
      <c r="X42" s="67">
        <f t="shared" si="26"/>
        <v>46829926</v>
      </c>
      <c r="Y42" s="69">
        <f t="shared" si="27"/>
        <v>43404243</v>
      </c>
      <c r="Z42" s="70" t="str">
        <f t="shared" si="28"/>
        <v>✅ EOQ (optimal)</v>
      </c>
      <c r="AA42" s="71">
        <f t="shared" si="29"/>
        <v>0.19074703731900491</v>
      </c>
    </row>
    <row r="43" spans="1:27" ht="15.75" customHeight="1" x14ac:dyDescent="0.35">
      <c r="A43" s="72">
        <v>36</v>
      </c>
      <c r="B43" s="72" t="s">
        <v>106</v>
      </c>
      <c r="C43" s="73" t="s">
        <v>107</v>
      </c>
      <c r="D43" s="72" t="s">
        <v>263</v>
      </c>
      <c r="E43" s="72" t="s">
        <v>36</v>
      </c>
      <c r="F43" s="58">
        <f>IFERROR(ROUND(AVERAGE('Data Historis 5 Tahun'!I182:I186),0),0)</f>
        <v>11769</v>
      </c>
      <c r="G43" s="58">
        <f>IFERROR(ROUND(AVERAGE('Data Historis 5 Tahun'!J182:J186)*1.1316,0),0)</f>
        <v>9573748</v>
      </c>
      <c r="H43" s="58">
        <f>IFERROR(ROUND(AVERAGE('Data Historis 5 Tahun'!K182:K186)*1.1726,0),0)</f>
        <v>481365</v>
      </c>
      <c r="I43" s="58">
        <f>IFERROR(ROUND(1.65*AVERAGE('Data Historis 5 Tahun'!N182:N186)*SQRT(AVERAGE('Data Historis 5 Tahun'!H182:H186)),0),0)</f>
        <v>70</v>
      </c>
      <c r="J43" s="59">
        <f t="shared" si="15"/>
        <v>981</v>
      </c>
      <c r="K43" s="60">
        <f t="shared" si="16"/>
        <v>384660781</v>
      </c>
      <c r="L43" s="61">
        <f>IFERROR(ROUND(AVERAGE('Data Historis 5 Tahun'!J182:J186),0),0)</f>
        <v>8460364</v>
      </c>
      <c r="M43" s="62">
        <f>IFERROR(ROUND(AVERAGE('Data Historis 5 Tahun'!K182:K186),0),0)</f>
        <v>410511</v>
      </c>
      <c r="N43" s="62">
        <f>IFERROR(ROUND(1.65*AVERAGE('Data Historis 5 Tahun'!N182:N186)*SQRT(AVERAGE('Data Historis 5 Tahun'!H182:H186)),0),0)</f>
        <v>70</v>
      </c>
      <c r="O43" s="63">
        <f t="shared" si="17"/>
        <v>696</v>
      </c>
      <c r="P43" s="63">
        <f t="shared" si="18"/>
        <v>314653977</v>
      </c>
      <c r="Q43" s="63">
        <f t="shared" si="19"/>
        <v>70006804</v>
      </c>
      <c r="R43" s="64">
        <f t="shared" si="20"/>
        <v>348</v>
      </c>
      <c r="S43" s="65">
        <f t="shared" si="21"/>
        <v>286120758</v>
      </c>
      <c r="T43" s="65">
        <f t="shared" si="22"/>
        <v>100164684</v>
      </c>
      <c r="U43" s="66">
        <f t="shared" si="23"/>
        <v>386285442</v>
      </c>
      <c r="V43" s="67">
        <f t="shared" si="24"/>
        <v>1044</v>
      </c>
      <c r="W43" s="68">
        <f t="shared" si="25"/>
        <v>95373586</v>
      </c>
      <c r="X43" s="67">
        <f t="shared" si="26"/>
        <v>338396098</v>
      </c>
      <c r="Y43" s="69">
        <f t="shared" si="27"/>
        <v>314653977</v>
      </c>
      <c r="Z43" s="70" t="str">
        <f t="shared" si="28"/>
        <v>✅ EOQ (optimal)</v>
      </c>
      <c r="AA43" s="71">
        <f t="shared" si="29"/>
        <v>0.18199620927822116</v>
      </c>
    </row>
    <row r="44" spans="1:27" ht="15.75" customHeight="1" x14ac:dyDescent="0.35">
      <c r="A44" s="56">
        <v>37</v>
      </c>
      <c r="B44" s="56" t="s">
        <v>108</v>
      </c>
      <c r="C44" s="57" t="s">
        <v>109</v>
      </c>
      <c r="D44" s="56" t="s">
        <v>263</v>
      </c>
      <c r="E44" s="56" t="s">
        <v>36</v>
      </c>
      <c r="F44" s="58">
        <f>IFERROR(ROUND(AVERAGE('Data Historis 5 Tahun'!I187:I191),0),0)</f>
        <v>29184</v>
      </c>
      <c r="G44" s="58">
        <f>IFERROR(ROUND(AVERAGE('Data Historis 5 Tahun'!J187:J191)*1.2315,0),0)</f>
        <v>3089424</v>
      </c>
      <c r="H44" s="58">
        <f>IFERROR(ROUND(AVERAGE('Data Historis 5 Tahun'!K187:K191)*1.0909,0),0)</f>
        <v>222046</v>
      </c>
      <c r="I44" s="58">
        <f>IFERROR(ROUND(1.65*AVERAGE('Data Historis 5 Tahun'!N187:N191)*SQRT(AVERAGE('Data Historis 5 Tahun'!H187:H191)),0),0)</f>
        <v>76</v>
      </c>
      <c r="J44" s="59">
        <f t="shared" si="15"/>
        <v>2432</v>
      </c>
      <c r="K44" s="60">
        <f t="shared" si="16"/>
        <v>323956520</v>
      </c>
      <c r="L44" s="61">
        <f>IFERROR(ROUND(AVERAGE('Data Historis 5 Tahun'!J187:J191),0),0)</f>
        <v>2508668</v>
      </c>
      <c r="M44" s="62">
        <f>IFERROR(ROUND(AVERAGE('Data Historis 5 Tahun'!K187:K191),0),0)</f>
        <v>203544</v>
      </c>
      <c r="N44" s="62">
        <f>IFERROR(ROUND(1.65*AVERAGE('Data Historis 5 Tahun'!N187:N191)*SQRT(AVERAGE('Data Historis 5 Tahun'!H187:H191)),0),0)</f>
        <v>76</v>
      </c>
      <c r="O44" s="63">
        <f t="shared" si="17"/>
        <v>848</v>
      </c>
      <c r="P44" s="63">
        <f t="shared" si="18"/>
        <v>188108046</v>
      </c>
      <c r="Q44" s="63">
        <f t="shared" si="19"/>
        <v>135848474</v>
      </c>
      <c r="R44" s="64">
        <f t="shared" si="20"/>
        <v>424</v>
      </c>
      <c r="S44" s="65">
        <f t="shared" si="21"/>
        <v>172672092</v>
      </c>
      <c r="T44" s="65">
        <f t="shared" si="22"/>
        <v>58620672</v>
      </c>
      <c r="U44" s="66">
        <f t="shared" si="23"/>
        <v>231292764</v>
      </c>
      <c r="V44" s="67">
        <f t="shared" si="24"/>
        <v>1272</v>
      </c>
      <c r="W44" s="68">
        <f t="shared" si="25"/>
        <v>57557364</v>
      </c>
      <c r="X44" s="67">
        <f t="shared" si="26"/>
        <v>202480692</v>
      </c>
      <c r="Y44" s="69">
        <f t="shared" si="27"/>
        <v>188108046</v>
      </c>
      <c r="Z44" s="70" t="str">
        <f t="shared" si="28"/>
        <v>✅ EOQ (optimal)</v>
      </c>
      <c r="AA44" s="71">
        <f t="shared" si="29"/>
        <v>0.41934168819939172</v>
      </c>
    </row>
    <row r="45" spans="1:27" ht="15.75" customHeight="1" x14ac:dyDescent="0.35">
      <c r="A45" s="72">
        <v>38</v>
      </c>
      <c r="B45" s="72" t="s">
        <v>110</v>
      </c>
      <c r="C45" s="73" t="s">
        <v>111</v>
      </c>
      <c r="D45" s="72" t="s">
        <v>263</v>
      </c>
      <c r="E45" s="72" t="s">
        <v>36</v>
      </c>
      <c r="F45" s="58">
        <f>IFERROR(ROUND(AVERAGE('Data Historis 5 Tahun'!I192:I196),0),0)</f>
        <v>51398</v>
      </c>
      <c r="G45" s="58">
        <f>IFERROR(ROUND(AVERAGE('Data Historis 5 Tahun'!J192:J196)*1.1983,0),0)</f>
        <v>6988828</v>
      </c>
      <c r="H45" s="58">
        <f>IFERROR(ROUND(AVERAGE('Data Historis 5 Tahun'!K192:K196)*1.1014,0),0)</f>
        <v>383506</v>
      </c>
      <c r="I45" s="58">
        <f>IFERROR(ROUND(1.65*AVERAGE('Data Historis 5 Tahun'!N192:N196)*SQRT(AVERAGE('Data Historis 5 Tahun'!H192:H196)),0),0)</f>
        <v>267</v>
      </c>
      <c r="J45" s="59">
        <f t="shared" si="15"/>
        <v>4283</v>
      </c>
      <c r="K45" s="60">
        <f t="shared" si="16"/>
        <v>1007543401</v>
      </c>
      <c r="L45" s="61">
        <f>IFERROR(ROUND(AVERAGE('Data Historis 5 Tahun'!J192:J196),0),0)</f>
        <v>5832286</v>
      </c>
      <c r="M45" s="62">
        <f>IFERROR(ROUND(AVERAGE('Data Historis 5 Tahun'!K192:K196),0),0)</f>
        <v>348199</v>
      </c>
      <c r="N45" s="62">
        <f>IFERROR(ROUND(1.65*AVERAGE('Data Historis 5 Tahun'!N192:N196)*SQRT(AVERAGE('Data Historis 5 Tahun'!H192:H196)),0),0)</f>
        <v>267</v>
      </c>
      <c r="O45" s="63">
        <f t="shared" si="17"/>
        <v>1312</v>
      </c>
      <c r="P45" s="63">
        <f t="shared" si="18"/>
        <v>549869259</v>
      </c>
      <c r="Q45" s="63">
        <f t="shared" si="19"/>
        <v>457674142</v>
      </c>
      <c r="R45" s="64">
        <f t="shared" si="20"/>
        <v>656</v>
      </c>
      <c r="S45" s="65">
        <f t="shared" si="21"/>
        <v>456963164</v>
      </c>
      <c r="T45" s="65">
        <f t="shared" si="22"/>
        <v>207178405</v>
      </c>
      <c r="U45" s="66">
        <f t="shared" si="23"/>
        <v>664141569</v>
      </c>
      <c r="V45" s="67">
        <f t="shared" si="24"/>
        <v>1968</v>
      </c>
      <c r="W45" s="68">
        <f t="shared" si="25"/>
        <v>152321055</v>
      </c>
      <c r="X45" s="67">
        <f t="shared" si="26"/>
        <v>587918004</v>
      </c>
      <c r="Y45" s="69">
        <f t="shared" si="27"/>
        <v>549869259</v>
      </c>
      <c r="Z45" s="70" t="str">
        <f t="shared" si="28"/>
        <v>✅ EOQ (optimal)</v>
      </c>
      <c r="AA45" s="71">
        <f t="shared" si="29"/>
        <v>0.45424757042302338</v>
      </c>
    </row>
    <row r="46" spans="1:27" ht="15.75" customHeight="1" x14ac:dyDescent="0.35">
      <c r="A46" s="56">
        <v>39</v>
      </c>
      <c r="B46" s="56" t="s">
        <v>112</v>
      </c>
      <c r="C46" s="57" t="s">
        <v>113</v>
      </c>
      <c r="D46" s="56" t="s">
        <v>263</v>
      </c>
      <c r="E46" s="56" t="s">
        <v>36</v>
      </c>
      <c r="F46" s="58">
        <f>IFERROR(ROUND(AVERAGE('Data Historis 5 Tahun'!I197:I201),0),0)</f>
        <v>25139</v>
      </c>
      <c r="G46" s="58">
        <f>IFERROR(ROUND(AVERAGE('Data Historis 5 Tahun'!J197:J201)*1.2372,0),0)</f>
        <v>11919187</v>
      </c>
      <c r="H46" s="58">
        <f>IFERROR(ROUND(AVERAGE('Data Historis 5 Tahun'!K197:K201)*1.1097,0),0)</f>
        <v>162889</v>
      </c>
      <c r="I46" s="58">
        <f>IFERROR(ROUND(1.65*AVERAGE('Data Historis 5 Tahun'!N197:N201)*SQRT(AVERAGE('Data Historis 5 Tahun'!H197:H201)),0),0)</f>
        <v>128</v>
      </c>
      <c r="J46" s="59">
        <f t="shared" si="15"/>
        <v>2095</v>
      </c>
      <c r="K46" s="60">
        <f t="shared" si="16"/>
        <v>334500574</v>
      </c>
      <c r="L46" s="61">
        <f>IFERROR(ROUND(AVERAGE('Data Historis 5 Tahun'!J197:J201),0),0)</f>
        <v>9634002</v>
      </c>
      <c r="M46" s="62">
        <f>IFERROR(ROUND(AVERAGE('Data Historis 5 Tahun'!K197:K201),0),0)</f>
        <v>146787</v>
      </c>
      <c r="N46" s="62">
        <f>IFERROR(ROUND(1.65*AVERAGE('Data Historis 5 Tahun'!N197:N201)*SQRT(AVERAGE('Data Historis 5 Tahun'!H197:H201)),0),0)</f>
        <v>128</v>
      </c>
      <c r="O46" s="63">
        <f t="shared" si="17"/>
        <v>1817</v>
      </c>
      <c r="P46" s="63">
        <f t="shared" si="18"/>
        <v>285435411</v>
      </c>
      <c r="Q46" s="63">
        <f t="shared" si="19"/>
        <v>49065163</v>
      </c>
      <c r="R46" s="64">
        <f t="shared" si="20"/>
        <v>909</v>
      </c>
      <c r="S46" s="65">
        <f t="shared" si="21"/>
        <v>266434737</v>
      </c>
      <c r="T46" s="65">
        <f t="shared" si="22"/>
        <v>85503428</v>
      </c>
      <c r="U46" s="66">
        <f t="shared" si="23"/>
        <v>351938165</v>
      </c>
      <c r="V46" s="67">
        <f t="shared" si="24"/>
        <v>2726</v>
      </c>
      <c r="W46" s="68">
        <f t="shared" si="25"/>
        <v>88844159</v>
      </c>
      <c r="X46" s="67">
        <f t="shared" si="26"/>
        <v>307703576</v>
      </c>
      <c r="Y46" s="69">
        <f t="shared" si="27"/>
        <v>285435411</v>
      </c>
      <c r="Z46" s="70" t="str">
        <f t="shared" si="28"/>
        <v>✅ EOQ (optimal)</v>
      </c>
      <c r="AA46" s="71">
        <f t="shared" si="29"/>
        <v>0.14668184993906766</v>
      </c>
    </row>
    <row r="47" spans="1:27" ht="15.75" customHeight="1" x14ac:dyDescent="0.35">
      <c r="A47" s="72">
        <v>40</v>
      </c>
      <c r="B47" s="72" t="s">
        <v>114</v>
      </c>
      <c r="C47" s="73" t="s">
        <v>115</v>
      </c>
      <c r="D47" s="72" t="s">
        <v>263</v>
      </c>
      <c r="E47" s="72" t="s">
        <v>36</v>
      </c>
      <c r="F47" s="58">
        <f>IFERROR(ROUND(AVERAGE('Data Historis 5 Tahun'!I202:I206),0),0)</f>
        <v>51676</v>
      </c>
      <c r="G47" s="58">
        <f>IFERROR(ROUND(AVERAGE('Data Historis 5 Tahun'!J202:J206)*1.1397,0),0)</f>
        <v>7013034</v>
      </c>
      <c r="H47" s="58">
        <f>IFERROR(ROUND(AVERAGE('Data Historis 5 Tahun'!K202:K206)*1.0821,0),0)</f>
        <v>339060</v>
      </c>
      <c r="I47" s="58">
        <f>IFERROR(ROUND(1.65*AVERAGE('Data Historis 5 Tahun'!N202:N206)*SQRT(AVERAGE('Data Historis 5 Tahun'!H202:H206)),0),0)</f>
        <v>324</v>
      </c>
      <c r="J47" s="59">
        <f t="shared" si="15"/>
        <v>4306</v>
      </c>
      <c r="K47" s="60">
        <f t="shared" si="16"/>
        <v>924014543</v>
      </c>
      <c r="L47" s="61">
        <f>IFERROR(ROUND(AVERAGE('Data Historis 5 Tahun'!J202:J206),0),0)</f>
        <v>6153404</v>
      </c>
      <c r="M47" s="62">
        <f>IFERROR(ROUND(AVERAGE('Data Historis 5 Tahun'!K202:K206),0),0)</f>
        <v>313335</v>
      </c>
      <c r="N47" s="62">
        <f>IFERROR(ROUND(1.65*AVERAGE('Data Historis 5 Tahun'!N202:N206)*SQRT(AVERAGE('Data Historis 5 Tahun'!H202:H206)),0),0)</f>
        <v>324</v>
      </c>
      <c r="O47" s="63">
        <f t="shared" si="17"/>
        <v>1425</v>
      </c>
      <c r="P47" s="63">
        <f t="shared" si="18"/>
        <v>547917907</v>
      </c>
      <c r="Q47" s="63">
        <f t="shared" si="19"/>
        <v>376096636</v>
      </c>
      <c r="R47" s="64">
        <f t="shared" si="20"/>
        <v>713</v>
      </c>
      <c r="S47" s="65">
        <f t="shared" si="21"/>
        <v>445979390</v>
      </c>
      <c r="T47" s="65">
        <f t="shared" si="22"/>
        <v>213224468</v>
      </c>
      <c r="U47" s="66">
        <f t="shared" si="23"/>
        <v>659203858</v>
      </c>
      <c r="V47" s="67">
        <f t="shared" si="24"/>
        <v>2138</v>
      </c>
      <c r="W47" s="68">
        <f t="shared" si="25"/>
        <v>148729329</v>
      </c>
      <c r="X47" s="67">
        <f t="shared" si="26"/>
        <v>585204984</v>
      </c>
      <c r="Y47" s="69">
        <f t="shared" si="27"/>
        <v>547917907</v>
      </c>
      <c r="Z47" s="70" t="str">
        <f t="shared" si="28"/>
        <v>✅ EOQ (optimal)</v>
      </c>
      <c r="AA47" s="71">
        <f t="shared" si="29"/>
        <v>0.40702458510980383</v>
      </c>
    </row>
    <row r="48" spans="1:27" ht="15.75" customHeight="1" x14ac:dyDescent="0.35">
      <c r="A48" s="56">
        <v>41</v>
      </c>
      <c r="B48" s="56" t="s">
        <v>116</v>
      </c>
      <c r="C48" s="57" t="s">
        <v>117</v>
      </c>
      <c r="D48" s="56" t="s">
        <v>263</v>
      </c>
      <c r="E48" s="56" t="s">
        <v>36</v>
      </c>
      <c r="F48" s="58">
        <f>IFERROR(ROUND(AVERAGE('Data Historis 5 Tahun'!I207:I211),0),0)</f>
        <v>43366</v>
      </c>
      <c r="G48" s="58">
        <f>IFERROR(ROUND(AVERAGE('Data Historis 5 Tahun'!J207:J211)*1.1842,0),0)</f>
        <v>2146381</v>
      </c>
      <c r="H48" s="58">
        <f>IFERROR(ROUND(AVERAGE('Data Historis 5 Tahun'!K207:K211)*1.0842,0),0)</f>
        <v>528675</v>
      </c>
      <c r="I48" s="58">
        <f>IFERROR(ROUND(1.65*AVERAGE('Data Historis 5 Tahun'!N207:N211)*SQRT(AVERAGE('Data Historis 5 Tahun'!H207:H211)),0),0)</f>
        <v>150</v>
      </c>
      <c r="J48" s="59">
        <f t="shared" si="15"/>
        <v>3614</v>
      </c>
      <c r="K48" s="60">
        <f t="shared" si="16"/>
        <v>1060372359</v>
      </c>
      <c r="L48" s="61">
        <f>IFERROR(ROUND(AVERAGE('Data Historis 5 Tahun'!J207:J211),0),0)</f>
        <v>1812516</v>
      </c>
      <c r="M48" s="62">
        <f>IFERROR(ROUND(AVERAGE('Data Historis 5 Tahun'!K207:K211),0),0)</f>
        <v>487618</v>
      </c>
      <c r="N48" s="62">
        <f>IFERROR(ROUND(1.65*AVERAGE('Data Historis 5 Tahun'!N207:N211)*SQRT(AVERAGE('Data Historis 5 Tahun'!H207:H211)),0),0)</f>
        <v>150</v>
      </c>
      <c r="O48" s="63">
        <f t="shared" si="17"/>
        <v>568</v>
      </c>
      <c r="P48" s="63">
        <f t="shared" si="18"/>
        <v>350009256</v>
      </c>
      <c r="Q48" s="63">
        <f t="shared" si="19"/>
        <v>710363103</v>
      </c>
      <c r="R48" s="64">
        <f t="shared" si="20"/>
        <v>284</v>
      </c>
      <c r="S48" s="65">
        <f t="shared" si="21"/>
        <v>276766088</v>
      </c>
      <c r="T48" s="65">
        <f t="shared" si="22"/>
        <v>142384456</v>
      </c>
      <c r="U48" s="66">
        <f t="shared" si="23"/>
        <v>419150544</v>
      </c>
      <c r="V48" s="67">
        <f t="shared" si="24"/>
        <v>852</v>
      </c>
      <c r="W48" s="68">
        <f t="shared" si="25"/>
        <v>92255363</v>
      </c>
      <c r="X48" s="67">
        <f t="shared" si="26"/>
        <v>373123331</v>
      </c>
      <c r="Y48" s="69">
        <f t="shared" si="27"/>
        <v>350009256</v>
      </c>
      <c r="Z48" s="70" t="str">
        <f t="shared" si="28"/>
        <v>✅ EOQ (optimal)</v>
      </c>
      <c r="AA48" s="71">
        <f t="shared" si="29"/>
        <v>0.66991854037945553</v>
      </c>
    </row>
    <row r="49" spans="1:27" ht="15.75" customHeight="1" x14ac:dyDescent="0.35">
      <c r="A49" s="72">
        <v>42</v>
      </c>
      <c r="B49" s="72" t="s">
        <v>118</v>
      </c>
      <c r="C49" s="73" t="s">
        <v>119</v>
      </c>
      <c r="D49" s="72" t="s">
        <v>264</v>
      </c>
      <c r="E49" s="72" t="s">
        <v>36</v>
      </c>
      <c r="F49" s="58">
        <f>IFERROR(ROUND(AVERAGE('Data Historis 5 Tahun'!I212:I216),0),0)</f>
        <v>27779</v>
      </c>
      <c r="G49" s="58">
        <f>IFERROR(ROUND(AVERAGE('Data Historis 5 Tahun'!J212:J216)*1.1877,0),0)</f>
        <v>13828030</v>
      </c>
      <c r="H49" s="58">
        <f>IFERROR(ROUND(AVERAGE('Data Historis 5 Tahun'!K212:K216)*1.1667,0),0)</f>
        <v>267952</v>
      </c>
      <c r="I49" s="58">
        <f>IFERROR(ROUND(1.65*AVERAGE('Data Historis 5 Tahun'!N212:N216)*SQRT(AVERAGE('Data Historis 5 Tahun'!H212:H216)),0),0)</f>
        <v>168</v>
      </c>
      <c r="J49" s="59">
        <f t="shared" si="15"/>
        <v>2315</v>
      </c>
      <c r="K49" s="60">
        <f t="shared" si="16"/>
        <v>521100763</v>
      </c>
      <c r="L49" s="61">
        <f>IFERROR(ROUND(AVERAGE('Data Historis 5 Tahun'!J212:J216),0),0)</f>
        <v>11642696</v>
      </c>
      <c r="M49" s="62">
        <f>IFERROR(ROUND(AVERAGE('Data Historis 5 Tahun'!K212:K216),0),0)</f>
        <v>229667</v>
      </c>
      <c r="N49" s="62">
        <f>IFERROR(ROUND(1.65*AVERAGE('Data Historis 5 Tahun'!N212:N216)*SQRT(AVERAGE('Data Historis 5 Tahun'!H212:H216)),0),0)</f>
        <v>168</v>
      </c>
      <c r="O49" s="63">
        <f t="shared" si="17"/>
        <v>1678</v>
      </c>
      <c r="P49" s="63">
        <f t="shared" si="18"/>
        <v>424017489</v>
      </c>
      <c r="Q49" s="63">
        <f t="shared" si="19"/>
        <v>97083274</v>
      </c>
      <c r="R49" s="64">
        <f t="shared" si="20"/>
        <v>839</v>
      </c>
      <c r="S49" s="65">
        <f t="shared" si="21"/>
        <v>385485640</v>
      </c>
      <c r="T49" s="65">
        <f t="shared" si="22"/>
        <v>134929363</v>
      </c>
      <c r="U49" s="66">
        <f t="shared" si="23"/>
        <v>520415003</v>
      </c>
      <c r="V49" s="67">
        <f t="shared" si="24"/>
        <v>2517</v>
      </c>
      <c r="W49" s="68">
        <f t="shared" si="25"/>
        <v>128495213</v>
      </c>
      <c r="X49" s="67">
        <f t="shared" si="26"/>
        <v>456115189</v>
      </c>
      <c r="Y49" s="69">
        <f t="shared" si="27"/>
        <v>424017489</v>
      </c>
      <c r="Z49" s="70" t="str">
        <f t="shared" si="28"/>
        <v>✅ EOQ (optimal)</v>
      </c>
      <c r="AA49" s="71">
        <f t="shared" si="29"/>
        <v>0.18630422538836314</v>
      </c>
    </row>
    <row r="50" spans="1:27" ht="15.75" customHeight="1" x14ac:dyDescent="0.35">
      <c r="A50" s="56">
        <v>43</v>
      </c>
      <c r="B50" s="56" t="s">
        <v>120</v>
      </c>
      <c r="C50" s="57" t="s">
        <v>121</v>
      </c>
      <c r="D50" s="56" t="s">
        <v>264</v>
      </c>
      <c r="E50" s="56" t="s">
        <v>36</v>
      </c>
      <c r="F50" s="58">
        <f>IFERROR(ROUND(AVERAGE('Data Historis 5 Tahun'!I217:I221),0),0)</f>
        <v>53386</v>
      </c>
      <c r="G50" s="58">
        <f>IFERROR(ROUND(AVERAGE('Data Historis 5 Tahun'!J217:J221)*1.1599,0),0)</f>
        <v>7531582</v>
      </c>
      <c r="H50" s="58">
        <f>IFERROR(ROUND(AVERAGE('Data Historis 5 Tahun'!K217:K221)*1.0785,0),0)</f>
        <v>561176</v>
      </c>
      <c r="I50" s="58">
        <f>IFERROR(ROUND(1.65*AVERAGE('Data Historis 5 Tahun'!N217:N221)*SQRT(AVERAGE('Data Historis 5 Tahun'!H217:H221)),0),0)</f>
        <v>360</v>
      </c>
      <c r="J50" s="59">
        <f t="shared" si="15"/>
        <v>4449</v>
      </c>
      <c r="K50" s="60">
        <f t="shared" si="16"/>
        <v>1540734970</v>
      </c>
      <c r="L50" s="61">
        <f>IFERROR(ROUND(AVERAGE('Data Historis 5 Tahun'!J217:J221),0),0)</f>
        <v>6493303</v>
      </c>
      <c r="M50" s="62">
        <f>IFERROR(ROUND(AVERAGE('Data Historis 5 Tahun'!K217:K221),0),0)</f>
        <v>520330</v>
      </c>
      <c r="N50" s="62">
        <f>IFERROR(ROUND(1.65*AVERAGE('Data Historis 5 Tahun'!N217:N221)*SQRT(AVERAGE('Data Historis 5 Tahun'!H217:H221)),0),0)</f>
        <v>360</v>
      </c>
      <c r="O50" s="63">
        <f t="shared" si="17"/>
        <v>1154</v>
      </c>
      <c r="P50" s="63">
        <f t="shared" si="18"/>
        <v>787940435</v>
      </c>
      <c r="Q50" s="63">
        <f t="shared" si="19"/>
        <v>752794535</v>
      </c>
      <c r="R50" s="64">
        <f t="shared" si="20"/>
        <v>577</v>
      </c>
      <c r="S50" s="65">
        <f t="shared" si="21"/>
        <v>600782451</v>
      </c>
      <c r="T50" s="65">
        <f t="shared" si="22"/>
        <v>337434005</v>
      </c>
      <c r="U50" s="66">
        <f t="shared" si="23"/>
        <v>938216456</v>
      </c>
      <c r="V50" s="67">
        <f t="shared" si="24"/>
        <v>1731</v>
      </c>
      <c r="W50" s="68">
        <f t="shared" si="25"/>
        <v>200260817</v>
      </c>
      <c r="X50" s="67">
        <f t="shared" si="26"/>
        <v>837925232</v>
      </c>
      <c r="Y50" s="69">
        <f t="shared" si="27"/>
        <v>787940435</v>
      </c>
      <c r="Z50" s="70" t="str">
        <f t="shared" si="28"/>
        <v>✅ EOQ (optimal)</v>
      </c>
      <c r="AA50" s="71">
        <f t="shared" si="29"/>
        <v>0.48859443684853859</v>
      </c>
    </row>
    <row r="51" spans="1:27" ht="15.75" customHeight="1" x14ac:dyDescent="0.35">
      <c r="A51" s="72">
        <v>44</v>
      </c>
      <c r="B51" s="72" t="s">
        <v>122</v>
      </c>
      <c r="C51" s="73" t="s">
        <v>123</v>
      </c>
      <c r="D51" s="72" t="s">
        <v>264</v>
      </c>
      <c r="E51" s="72" t="s">
        <v>36</v>
      </c>
      <c r="F51" s="58">
        <f>IFERROR(ROUND(AVERAGE('Data Historis 5 Tahun'!I222:I226),0),0)</f>
        <v>13878</v>
      </c>
      <c r="G51" s="58">
        <f>IFERROR(ROUND(AVERAGE('Data Historis 5 Tahun'!J222:J226)*1.2496,0),0)</f>
        <v>1992180</v>
      </c>
      <c r="H51" s="58">
        <f>IFERROR(ROUND(AVERAGE('Data Historis 5 Tahun'!K222:K226)*1.1162,0),0)</f>
        <v>675320</v>
      </c>
      <c r="I51" s="58">
        <f>IFERROR(ROUND(1.65*AVERAGE('Data Historis 5 Tahun'!N222:N226)*SQRT(AVERAGE('Data Historis 5 Tahun'!H222:H226)),0),0)</f>
        <v>45</v>
      </c>
      <c r="J51" s="59">
        <f t="shared" si="15"/>
        <v>1157</v>
      </c>
      <c r="K51" s="60">
        <f t="shared" si="16"/>
        <v>444957849</v>
      </c>
      <c r="L51" s="61">
        <f>IFERROR(ROUND(AVERAGE('Data Historis 5 Tahun'!J222:J226),0),0)</f>
        <v>1594254</v>
      </c>
      <c r="M51" s="62">
        <f>IFERROR(ROUND(AVERAGE('Data Historis 5 Tahun'!K222:K226),0),0)</f>
        <v>605017</v>
      </c>
      <c r="N51" s="62">
        <f>IFERROR(ROUND(1.65*AVERAGE('Data Historis 5 Tahun'!N222:N226)*SQRT(AVERAGE('Data Historis 5 Tahun'!H222:H226)),0),0)</f>
        <v>45</v>
      </c>
      <c r="O51" s="63">
        <f t="shared" si="17"/>
        <v>270</v>
      </c>
      <c r="P51" s="63">
        <f t="shared" si="18"/>
        <v>190847716</v>
      </c>
      <c r="Q51" s="63">
        <f t="shared" si="19"/>
        <v>254110133</v>
      </c>
      <c r="R51" s="64">
        <f t="shared" si="20"/>
        <v>135</v>
      </c>
      <c r="S51" s="65">
        <f t="shared" si="21"/>
        <v>163889311</v>
      </c>
      <c r="T51" s="65">
        <f t="shared" si="22"/>
        <v>68064413</v>
      </c>
      <c r="U51" s="66">
        <f t="shared" si="23"/>
        <v>231953724</v>
      </c>
      <c r="V51" s="67">
        <f t="shared" si="24"/>
        <v>405</v>
      </c>
      <c r="W51" s="68">
        <f t="shared" si="25"/>
        <v>54629770</v>
      </c>
      <c r="X51" s="67">
        <f t="shared" si="26"/>
        <v>204371478</v>
      </c>
      <c r="Y51" s="69">
        <f t="shared" si="27"/>
        <v>190847716</v>
      </c>
      <c r="Z51" s="70" t="str">
        <f t="shared" si="28"/>
        <v>✅ EOQ (optimal)</v>
      </c>
      <c r="AA51" s="71">
        <f t="shared" si="29"/>
        <v>0.57108810097650398</v>
      </c>
    </row>
    <row r="52" spans="1:27" ht="15.75" customHeight="1" x14ac:dyDescent="0.35">
      <c r="A52" s="56">
        <v>45</v>
      </c>
      <c r="B52" s="56" t="s">
        <v>124</v>
      </c>
      <c r="C52" s="57" t="s">
        <v>125</v>
      </c>
      <c r="D52" s="56" t="s">
        <v>264</v>
      </c>
      <c r="E52" s="56" t="s">
        <v>36</v>
      </c>
      <c r="F52" s="58">
        <f>IFERROR(ROUND(AVERAGE('Data Historis 5 Tahun'!I227:I231),0),0)</f>
        <v>28740</v>
      </c>
      <c r="G52" s="58">
        <f>IFERROR(ROUND(AVERAGE('Data Historis 5 Tahun'!J227:J231)*1.1136,0),0)</f>
        <v>1572416</v>
      </c>
      <c r="H52" s="58">
        <f>IFERROR(ROUND(AVERAGE('Data Historis 5 Tahun'!K227:K231)*1.0561,0),0)</f>
        <v>347651</v>
      </c>
      <c r="I52" s="58">
        <f>IFERROR(ROUND(1.65*AVERAGE('Data Historis 5 Tahun'!N227:N231)*SQRT(AVERAGE('Data Historis 5 Tahun'!H227:H231)),0),0)</f>
        <v>84</v>
      </c>
      <c r="J52" s="59">
        <f t="shared" si="15"/>
        <v>2395</v>
      </c>
      <c r="K52" s="60">
        <f t="shared" si="16"/>
        <v>464383749</v>
      </c>
      <c r="L52" s="61">
        <f>IFERROR(ROUND(AVERAGE('Data Historis 5 Tahun'!J227:J231),0),0)</f>
        <v>1412012</v>
      </c>
      <c r="M52" s="62">
        <f>IFERROR(ROUND(AVERAGE('Data Historis 5 Tahun'!K227:K231),0),0)</f>
        <v>329184</v>
      </c>
      <c r="N52" s="62">
        <f>IFERROR(ROUND(1.65*AVERAGE('Data Historis 5 Tahun'!N227:N231)*SQRT(AVERAGE('Data Historis 5 Tahun'!H227:H231)),0),0)</f>
        <v>84</v>
      </c>
      <c r="O52" s="63">
        <f t="shared" si="17"/>
        <v>497</v>
      </c>
      <c r="P52" s="63">
        <f t="shared" si="18"/>
        <v>191106044</v>
      </c>
      <c r="Q52" s="63">
        <f t="shared" si="19"/>
        <v>273277705</v>
      </c>
      <c r="R52" s="64">
        <f t="shared" si="20"/>
        <v>249</v>
      </c>
      <c r="S52" s="65">
        <f t="shared" si="21"/>
        <v>162976807</v>
      </c>
      <c r="T52" s="65">
        <f t="shared" si="22"/>
        <v>68634864</v>
      </c>
      <c r="U52" s="66">
        <f t="shared" si="23"/>
        <v>231611671</v>
      </c>
      <c r="V52" s="67">
        <f t="shared" si="24"/>
        <v>746</v>
      </c>
      <c r="W52" s="68">
        <f t="shared" si="25"/>
        <v>54398425</v>
      </c>
      <c r="X52" s="67">
        <f t="shared" si="26"/>
        <v>204835513</v>
      </c>
      <c r="Y52" s="69">
        <f t="shared" si="27"/>
        <v>191106044</v>
      </c>
      <c r="Z52" s="70" t="str">
        <f t="shared" si="28"/>
        <v>✅ EOQ (optimal)</v>
      </c>
      <c r="AA52" s="71">
        <f t="shared" si="29"/>
        <v>0.58847387659123274</v>
      </c>
    </row>
    <row r="53" spans="1:27" ht="15.75" customHeight="1" x14ac:dyDescent="0.35">
      <c r="A53" s="72">
        <v>46</v>
      </c>
      <c r="B53" s="72" t="s">
        <v>126</v>
      </c>
      <c r="C53" s="73" t="s">
        <v>127</v>
      </c>
      <c r="D53" s="72" t="s">
        <v>264</v>
      </c>
      <c r="E53" s="72" t="s">
        <v>36</v>
      </c>
      <c r="F53" s="58">
        <f>IFERROR(ROUND(AVERAGE('Data Historis 5 Tahun'!I232:I236),0),0)</f>
        <v>27962</v>
      </c>
      <c r="G53" s="58">
        <f>IFERROR(ROUND(AVERAGE('Data Historis 5 Tahun'!J232:J236)*1.1164,0),0)</f>
        <v>358174</v>
      </c>
      <c r="H53" s="58">
        <f>IFERROR(ROUND(AVERAGE('Data Historis 5 Tahun'!K232:K236)*1.1316,0),0)</f>
        <v>296746</v>
      </c>
      <c r="I53" s="58">
        <f>IFERROR(ROUND(1.65*AVERAGE('Data Historis 5 Tahun'!N232:N236)*SQRT(AVERAGE('Data Historis 5 Tahun'!H232:H236)),0),0)</f>
        <v>97</v>
      </c>
      <c r="J53" s="59">
        <f t="shared" si="15"/>
        <v>2330</v>
      </c>
      <c r="K53" s="60">
        <f t="shared" si="16"/>
        <v>378791847</v>
      </c>
      <c r="L53" s="61">
        <f>IFERROR(ROUND(AVERAGE('Data Historis 5 Tahun'!J232:J236),0),0)</f>
        <v>320829</v>
      </c>
      <c r="M53" s="62">
        <f>IFERROR(ROUND(AVERAGE('Data Historis 5 Tahun'!K232:K236),0),0)</f>
        <v>262236</v>
      </c>
      <c r="N53" s="62">
        <f>IFERROR(ROUND(1.65*AVERAGE('Data Historis 5 Tahun'!N232:N236)*SQRT(AVERAGE('Data Historis 5 Tahun'!H232:H236)),0),0)</f>
        <v>97</v>
      </c>
      <c r="O53" s="63">
        <f t="shared" si="17"/>
        <v>262</v>
      </c>
      <c r="P53" s="63">
        <f t="shared" si="18"/>
        <v>94030344</v>
      </c>
      <c r="Q53" s="63">
        <f t="shared" si="19"/>
        <v>284761503</v>
      </c>
      <c r="R53" s="64">
        <f t="shared" si="20"/>
        <v>131</v>
      </c>
      <c r="S53" s="65">
        <f t="shared" si="21"/>
        <v>68481073</v>
      </c>
      <c r="T53" s="65">
        <f t="shared" si="22"/>
        <v>42613350</v>
      </c>
      <c r="U53" s="66">
        <f t="shared" si="23"/>
        <v>111094423</v>
      </c>
      <c r="V53" s="67">
        <f t="shared" si="24"/>
        <v>393</v>
      </c>
      <c r="W53" s="68">
        <f t="shared" si="25"/>
        <v>22827024</v>
      </c>
      <c r="X53" s="67">
        <f t="shared" si="26"/>
        <v>99793290</v>
      </c>
      <c r="Y53" s="69">
        <f t="shared" si="27"/>
        <v>94030344</v>
      </c>
      <c r="Z53" s="70" t="str">
        <f t="shared" si="28"/>
        <v>✅ EOQ (optimal)</v>
      </c>
      <c r="AA53" s="71">
        <f t="shared" si="29"/>
        <v>0.75176249239598869</v>
      </c>
    </row>
    <row r="54" spans="1:27" ht="15.75" customHeight="1" x14ac:dyDescent="0.35">
      <c r="A54" s="56">
        <v>47</v>
      </c>
      <c r="B54" s="56" t="s">
        <v>128</v>
      </c>
      <c r="C54" s="57" t="s">
        <v>129</v>
      </c>
      <c r="D54" s="56" t="s">
        <v>264</v>
      </c>
      <c r="E54" s="56" t="s">
        <v>36</v>
      </c>
      <c r="F54" s="58">
        <f>IFERROR(ROUND(AVERAGE('Data Historis 5 Tahun'!I237:I241),0),0)</f>
        <v>43533</v>
      </c>
      <c r="G54" s="58">
        <f>IFERROR(ROUND(AVERAGE('Data Historis 5 Tahun'!J237:J241)*1.2188,0),0)</f>
        <v>8294274</v>
      </c>
      <c r="H54" s="58">
        <f>IFERROR(ROUND(AVERAGE('Data Historis 5 Tahun'!K237:K241)*1.1049,0),0)</f>
        <v>310327</v>
      </c>
      <c r="I54" s="58">
        <f>IFERROR(ROUND(1.65*AVERAGE('Data Historis 5 Tahun'!N237:N241)*SQRT(AVERAGE('Data Historis 5 Tahun'!H237:H241)),0),0)</f>
        <v>279</v>
      </c>
      <c r="J54" s="59">
        <f t="shared" si="15"/>
        <v>3628</v>
      </c>
      <c r="K54" s="60">
        <f t="shared" si="16"/>
        <v>749038840</v>
      </c>
      <c r="L54" s="61">
        <f>IFERROR(ROUND(AVERAGE('Data Historis 5 Tahun'!J237:J241),0),0)</f>
        <v>6805279</v>
      </c>
      <c r="M54" s="62">
        <f>IFERROR(ROUND(AVERAGE('Data Historis 5 Tahun'!K237:K241),0),0)</f>
        <v>280864</v>
      </c>
      <c r="N54" s="62">
        <f>IFERROR(ROUND(1.65*AVERAGE('Data Historis 5 Tahun'!N237:N241)*SQRT(AVERAGE('Data Historis 5 Tahun'!H237:H241)),0),0)</f>
        <v>279</v>
      </c>
      <c r="O54" s="63">
        <f t="shared" si="17"/>
        <v>1452</v>
      </c>
      <c r="P54" s="63">
        <f t="shared" si="18"/>
        <v>486300146</v>
      </c>
      <c r="Q54" s="63">
        <f t="shared" si="19"/>
        <v>262738694</v>
      </c>
      <c r="R54" s="64">
        <f t="shared" si="20"/>
        <v>726</v>
      </c>
      <c r="S54" s="65">
        <f t="shared" si="21"/>
        <v>408063651</v>
      </c>
      <c r="T54" s="65">
        <f t="shared" si="22"/>
        <v>180314688</v>
      </c>
      <c r="U54" s="66">
        <f t="shared" si="23"/>
        <v>588378339</v>
      </c>
      <c r="V54" s="67">
        <f t="shared" si="24"/>
        <v>2178</v>
      </c>
      <c r="W54" s="68">
        <f t="shared" si="25"/>
        <v>136021217</v>
      </c>
      <c r="X54" s="67">
        <f t="shared" si="26"/>
        <v>520243169</v>
      </c>
      <c r="Y54" s="69">
        <f t="shared" si="27"/>
        <v>486300146</v>
      </c>
      <c r="Z54" s="70" t="str">
        <f t="shared" si="28"/>
        <v>✅ EOQ (optimal)</v>
      </c>
      <c r="AA54" s="71">
        <f t="shared" si="29"/>
        <v>0.35076778395096309</v>
      </c>
    </row>
    <row r="55" spans="1:27" ht="15.75" customHeight="1" x14ac:dyDescent="0.35">
      <c r="A55" s="72">
        <v>48</v>
      </c>
      <c r="B55" s="72" t="s">
        <v>130</v>
      </c>
      <c r="C55" s="73" t="s">
        <v>131</v>
      </c>
      <c r="D55" s="72" t="s">
        <v>263</v>
      </c>
      <c r="E55" s="72" t="s">
        <v>57</v>
      </c>
      <c r="F55" s="58">
        <f>IFERROR(ROUND(AVERAGE('Data Historis 5 Tahun'!I242:I246),0),0)</f>
        <v>25806</v>
      </c>
      <c r="G55" s="58">
        <f>IFERROR(ROUND(AVERAGE('Data Historis 5 Tahun'!J242:J246)*1.1095,0),0)</f>
        <v>1113422</v>
      </c>
      <c r="H55" s="58">
        <f>IFERROR(ROUND(AVERAGE('Data Historis 5 Tahun'!K242:K246)*1.0996,0),0)</f>
        <v>493099</v>
      </c>
      <c r="I55" s="58">
        <f>IFERROR(ROUND(1.65*AVERAGE('Data Historis 5 Tahun'!N242:N246)*SQRT(AVERAGE('Data Historis 5 Tahun'!H242:H246)),0),0)</f>
        <v>89</v>
      </c>
      <c r="J55" s="59">
        <f t="shared" si="15"/>
        <v>2151</v>
      </c>
      <c r="K55" s="60">
        <f t="shared" si="16"/>
        <v>587571744</v>
      </c>
      <c r="L55" s="61">
        <f>IFERROR(ROUND(AVERAGE('Data Historis 5 Tahun'!J242:J246),0),0)</f>
        <v>1003535</v>
      </c>
      <c r="M55" s="62">
        <f>IFERROR(ROUND(AVERAGE('Data Historis 5 Tahun'!K242:K246),0),0)</f>
        <v>448435</v>
      </c>
      <c r="N55" s="62">
        <f>IFERROR(ROUND(1.65*AVERAGE('Data Historis 5 Tahun'!N242:N246)*SQRT(AVERAGE('Data Historis 5 Tahun'!H242:H246)),0),0)</f>
        <v>89</v>
      </c>
      <c r="O55" s="63">
        <f t="shared" si="17"/>
        <v>340</v>
      </c>
      <c r="P55" s="63">
        <f t="shared" si="18"/>
        <v>192312972</v>
      </c>
      <c r="Q55" s="63">
        <f t="shared" si="19"/>
        <v>395258772</v>
      </c>
      <c r="R55" s="64">
        <f t="shared" si="20"/>
        <v>170</v>
      </c>
      <c r="S55" s="65">
        <f t="shared" si="21"/>
        <v>152336613</v>
      </c>
      <c r="T55" s="65">
        <f t="shared" si="22"/>
        <v>78027690</v>
      </c>
      <c r="U55" s="66">
        <f t="shared" si="23"/>
        <v>230364303</v>
      </c>
      <c r="V55" s="67">
        <f t="shared" si="24"/>
        <v>510</v>
      </c>
      <c r="W55" s="68">
        <f t="shared" si="25"/>
        <v>50778871</v>
      </c>
      <c r="X55" s="67">
        <f t="shared" si="26"/>
        <v>205040511</v>
      </c>
      <c r="Y55" s="69">
        <f t="shared" si="27"/>
        <v>192312972</v>
      </c>
      <c r="Z55" s="70" t="str">
        <f t="shared" si="28"/>
        <v>✅ EOQ (optimal)</v>
      </c>
      <c r="AA55" s="71">
        <f t="shared" si="29"/>
        <v>0.67269874025800669</v>
      </c>
    </row>
    <row r="56" spans="1:27" ht="15.75" customHeight="1" x14ac:dyDescent="0.35">
      <c r="A56" s="56">
        <v>49</v>
      </c>
      <c r="B56" s="56" t="s">
        <v>132</v>
      </c>
      <c r="C56" s="57" t="s">
        <v>133</v>
      </c>
      <c r="D56" s="56" t="s">
        <v>263</v>
      </c>
      <c r="E56" s="56" t="s">
        <v>57</v>
      </c>
      <c r="F56" s="58">
        <f>IFERROR(ROUND(AVERAGE('Data Historis 5 Tahun'!I247:I251),0),0)</f>
        <v>13937</v>
      </c>
      <c r="G56" s="58">
        <f>IFERROR(ROUND(AVERAGE('Data Historis 5 Tahun'!J247:J251)*1.2494,0),0)</f>
        <v>11229592</v>
      </c>
      <c r="H56" s="58">
        <f>IFERROR(ROUND(AVERAGE('Data Historis 5 Tahun'!K247:K251)*1.1188,0),0)</f>
        <v>422874</v>
      </c>
      <c r="I56" s="58">
        <f>IFERROR(ROUND(1.65*AVERAGE('Data Historis 5 Tahun'!N247:N251)*SQRT(AVERAGE('Data Historis 5 Tahun'!H247:H251)),0),0)</f>
        <v>83</v>
      </c>
      <c r="J56" s="59">
        <f t="shared" si="15"/>
        <v>1161</v>
      </c>
      <c r="K56" s="60">
        <f t="shared" si="16"/>
        <v>415380365</v>
      </c>
      <c r="L56" s="61">
        <f>IFERROR(ROUND(AVERAGE('Data Historis 5 Tahun'!J247:J251),0),0)</f>
        <v>8987988</v>
      </c>
      <c r="M56" s="62">
        <f>IFERROR(ROUND(AVERAGE('Data Historis 5 Tahun'!K247:K251),0),0)</f>
        <v>377971</v>
      </c>
      <c r="N56" s="62">
        <f>IFERROR(ROUND(1.65*AVERAGE('Data Historis 5 Tahun'!N247:N251)*SQRT(AVERAGE('Data Historis 5 Tahun'!H247:H251)),0),0)</f>
        <v>83</v>
      </c>
      <c r="O56" s="63">
        <f t="shared" si="17"/>
        <v>814</v>
      </c>
      <c r="P56" s="63">
        <f t="shared" si="18"/>
        <v>339094720</v>
      </c>
      <c r="Q56" s="63">
        <f t="shared" si="19"/>
        <v>76285645</v>
      </c>
      <c r="R56" s="64">
        <f t="shared" si="20"/>
        <v>407</v>
      </c>
      <c r="S56" s="65">
        <f t="shared" si="21"/>
        <v>307777859</v>
      </c>
      <c r="T56" s="65">
        <f t="shared" si="22"/>
        <v>108288692</v>
      </c>
      <c r="U56" s="66">
        <f t="shared" si="23"/>
        <v>416066551</v>
      </c>
      <c r="V56" s="67">
        <f t="shared" si="24"/>
        <v>1221</v>
      </c>
      <c r="W56" s="68">
        <f t="shared" si="25"/>
        <v>102592620</v>
      </c>
      <c r="X56" s="67">
        <f t="shared" si="26"/>
        <v>364715508</v>
      </c>
      <c r="Y56" s="69">
        <f t="shared" si="27"/>
        <v>339094720</v>
      </c>
      <c r="Z56" s="70" t="str">
        <f t="shared" si="28"/>
        <v>✅ EOQ (optimal)</v>
      </c>
      <c r="AA56" s="71">
        <f t="shared" si="29"/>
        <v>0.18365250605911523</v>
      </c>
    </row>
    <row r="57" spans="1:27" ht="15.75" customHeight="1" x14ac:dyDescent="0.35">
      <c r="A57" s="72">
        <v>50</v>
      </c>
      <c r="B57" s="72" t="s">
        <v>134</v>
      </c>
      <c r="C57" s="73" t="s">
        <v>135</v>
      </c>
      <c r="D57" s="72" t="s">
        <v>263</v>
      </c>
      <c r="E57" s="72" t="s">
        <v>57</v>
      </c>
      <c r="F57" s="58">
        <f>IFERROR(ROUND(AVERAGE('Data Historis 5 Tahun'!I252:I256),0),0)</f>
        <v>1029</v>
      </c>
      <c r="G57" s="58">
        <f>IFERROR(ROUND(AVERAGE('Data Historis 5 Tahun'!J252:J256)*1.2457,0),0)</f>
        <v>7500065</v>
      </c>
      <c r="H57" s="58">
        <f>IFERROR(ROUND(AVERAGE('Data Historis 5 Tahun'!K252:K256)*1.1619,0),0)</f>
        <v>607442</v>
      </c>
      <c r="I57" s="58">
        <f>IFERROR(ROUND(1.65*AVERAGE('Data Historis 5 Tahun'!N252:N256)*SQRT(AVERAGE('Data Historis 5 Tahun'!H252:H256)),0),0)</f>
        <v>7</v>
      </c>
      <c r="J57" s="59">
        <f t="shared" si="15"/>
        <v>86</v>
      </c>
      <c r="K57" s="60">
        <f t="shared" si="16"/>
        <v>120111250</v>
      </c>
      <c r="L57" s="61">
        <f>IFERROR(ROUND(AVERAGE('Data Historis 5 Tahun'!J252:J256),0),0)</f>
        <v>6020764</v>
      </c>
      <c r="M57" s="62">
        <f>IFERROR(ROUND(AVERAGE('Data Historis 5 Tahun'!K252:K256),0),0)</f>
        <v>522801</v>
      </c>
      <c r="N57" s="62">
        <f>IFERROR(ROUND(1.65*AVERAGE('Data Historis 5 Tahun'!N252:N256)*SQRT(AVERAGE('Data Historis 5 Tahun'!H252:H256)),0),0)</f>
        <v>7</v>
      </c>
      <c r="O57" s="63">
        <f t="shared" si="17"/>
        <v>154</v>
      </c>
      <c r="P57" s="63">
        <f t="shared" si="18"/>
        <v>84144934</v>
      </c>
      <c r="Q57" s="63">
        <f t="shared" si="19"/>
        <v>35966316</v>
      </c>
      <c r="R57" s="64">
        <f t="shared" si="20"/>
        <v>77</v>
      </c>
      <c r="S57" s="65">
        <f t="shared" si="21"/>
        <v>80459301</v>
      </c>
      <c r="T57" s="65">
        <f t="shared" si="22"/>
        <v>23787446</v>
      </c>
      <c r="U57" s="66">
        <f t="shared" si="23"/>
        <v>104246747</v>
      </c>
      <c r="V57" s="67">
        <f t="shared" si="24"/>
        <v>231</v>
      </c>
      <c r="W57" s="68">
        <f t="shared" si="25"/>
        <v>26819767</v>
      </c>
      <c r="X57" s="67">
        <f t="shared" si="26"/>
        <v>90862889</v>
      </c>
      <c r="Y57" s="69">
        <f t="shared" si="27"/>
        <v>84144934</v>
      </c>
      <c r="Z57" s="70" t="str">
        <f t="shared" si="28"/>
        <v>✅ EOQ (optimal)</v>
      </c>
      <c r="AA57" s="71">
        <f t="shared" si="29"/>
        <v>0.29944169259748776</v>
      </c>
    </row>
    <row r="58" spans="1:27" ht="15.75" customHeight="1" x14ac:dyDescent="0.35">
      <c r="A58" s="56">
        <v>51</v>
      </c>
      <c r="B58" s="56" t="s">
        <v>136</v>
      </c>
      <c r="C58" s="57" t="s">
        <v>137</v>
      </c>
      <c r="D58" s="56" t="s">
        <v>264</v>
      </c>
      <c r="E58" s="56" t="s">
        <v>36</v>
      </c>
      <c r="F58" s="58">
        <f>IFERROR(ROUND(AVERAGE('Data Historis 5 Tahun'!I257:I261),0),0)</f>
        <v>12458</v>
      </c>
      <c r="G58" s="58">
        <f>IFERROR(ROUND(AVERAGE('Data Historis 5 Tahun'!J257:J261)*1.1017,0),0)</f>
        <v>2237646</v>
      </c>
      <c r="H58" s="58">
        <f>IFERROR(ROUND(AVERAGE('Data Historis 5 Tahun'!K257:K261)*1.1437,0),0)</f>
        <v>189433</v>
      </c>
      <c r="I58" s="58">
        <f>IFERROR(ROUND(1.65*AVERAGE('Data Historis 5 Tahun'!N257:N261)*SQRT(AVERAGE('Data Historis 5 Tahun'!H257:H261)),0),0)</f>
        <v>32</v>
      </c>
      <c r="J58" s="59">
        <f t="shared" si="15"/>
        <v>1038</v>
      </c>
      <c r="K58" s="60">
        <f t="shared" si="16"/>
        <v>131233646</v>
      </c>
      <c r="L58" s="61">
        <f>IFERROR(ROUND(AVERAGE('Data Historis 5 Tahun'!J257:J261),0),0)</f>
        <v>2031084</v>
      </c>
      <c r="M58" s="62">
        <f>IFERROR(ROUND(AVERAGE('Data Historis 5 Tahun'!K257:K261),0),0)</f>
        <v>165632</v>
      </c>
      <c r="N58" s="62">
        <f>IFERROR(ROUND(1.65*AVERAGE('Data Historis 5 Tahun'!N257:N261)*SQRT(AVERAGE('Data Historis 5 Tahun'!H257:H261)),0),0)</f>
        <v>32</v>
      </c>
      <c r="O58" s="63">
        <f t="shared" si="17"/>
        <v>553</v>
      </c>
      <c r="P58" s="63">
        <f t="shared" si="18"/>
        <v>96853791</v>
      </c>
      <c r="Q58" s="63">
        <f t="shared" si="19"/>
        <v>34379855</v>
      </c>
      <c r="R58" s="64">
        <f t="shared" si="20"/>
        <v>277</v>
      </c>
      <c r="S58" s="65">
        <f t="shared" si="21"/>
        <v>91347453</v>
      </c>
      <c r="T58" s="65">
        <f t="shared" si="22"/>
        <v>28240256</v>
      </c>
      <c r="U58" s="66">
        <f t="shared" si="23"/>
        <v>119587709</v>
      </c>
      <c r="V58" s="67">
        <f t="shared" si="24"/>
        <v>830</v>
      </c>
      <c r="W58" s="68">
        <f t="shared" si="25"/>
        <v>30485837</v>
      </c>
      <c r="X58" s="67">
        <f t="shared" si="26"/>
        <v>104523341</v>
      </c>
      <c r="Y58" s="69">
        <f t="shared" si="27"/>
        <v>96853791</v>
      </c>
      <c r="Z58" s="70" t="str">
        <f t="shared" si="28"/>
        <v>✅ EOQ (optimal)</v>
      </c>
      <c r="AA58" s="71">
        <f t="shared" si="29"/>
        <v>0.26197439488955448</v>
      </c>
    </row>
    <row r="59" spans="1:27" ht="15.75" customHeight="1" x14ac:dyDescent="0.35">
      <c r="A59" s="72">
        <v>52</v>
      </c>
      <c r="B59" s="72" t="s">
        <v>138</v>
      </c>
      <c r="C59" s="73" t="s">
        <v>139</v>
      </c>
      <c r="D59" s="72" t="s">
        <v>263</v>
      </c>
      <c r="E59" s="72" t="s">
        <v>36</v>
      </c>
      <c r="F59" s="58">
        <f>IFERROR(ROUND(AVERAGE('Data Historis 5 Tahun'!I262:I266),0),0)</f>
        <v>30465</v>
      </c>
      <c r="G59" s="58">
        <f>IFERROR(ROUND(AVERAGE('Data Historis 5 Tahun'!J262:J266)*1.2023,0),0)</f>
        <v>1684546</v>
      </c>
      <c r="H59" s="58">
        <f>IFERROR(ROUND(AVERAGE('Data Historis 5 Tahun'!K262:K266)*1.1198,0),0)</f>
        <v>356711</v>
      </c>
      <c r="I59" s="58">
        <f>IFERROR(ROUND(1.65*AVERAGE('Data Historis 5 Tahun'!N262:N266)*SQRT(AVERAGE('Data Historis 5 Tahun'!H262:H266)),0),0)</f>
        <v>83</v>
      </c>
      <c r="J59" s="59">
        <f t="shared" si="15"/>
        <v>2539</v>
      </c>
      <c r="K59" s="60">
        <f t="shared" si="16"/>
        <v>502664189</v>
      </c>
      <c r="L59" s="61">
        <f>IFERROR(ROUND(AVERAGE('Data Historis 5 Tahun'!J262:J266),0),0)</f>
        <v>1401103</v>
      </c>
      <c r="M59" s="62">
        <f>IFERROR(ROUND(AVERAGE('Data Historis 5 Tahun'!K262:K266),0),0)</f>
        <v>318549</v>
      </c>
      <c r="N59" s="62">
        <f>IFERROR(ROUND(1.65*AVERAGE('Data Historis 5 Tahun'!N262:N266)*SQRT(AVERAGE('Data Historis 5 Tahun'!H262:H266)),0),0)</f>
        <v>83</v>
      </c>
      <c r="O59" s="63">
        <f t="shared" si="17"/>
        <v>518</v>
      </c>
      <c r="P59" s="63">
        <f t="shared" si="18"/>
        <v>191346466</v>
      </c>
      <c r="Q59" s="63">
        <f t="shared" si="19"/>
        <v>311317723</v>
      </c>
      <c r="R59" s="64">
        <f t="shared" si="20"/>
        <v>259</v>
      </c>
      <c r="S59" s="65">
        <f t="shared" si="21"/>
        <v>164805417</v>
      </c>
      <c r="T59" s="65">
        <f t="shared" si="22"/>
        <v>67691663</v>
      </c>
      <c r="U59" s="66">
        <f t="shared" si="23"/>
        <v>232497080</v>
      </c>
      <c r="V59" s="67">
        <f t="shared" si="24"/>
        <v>777</v>
      </c>
      <c r="W59" s="68">
        <f t="shared" si="25"/>
        <v>54935139</v>
      </c>
      <c r="X59" s="67">
        <f t="shared" si="26"/>
        <v>205130992</v>
      </c>
      <c r="Y59" s="69">
        <f t="shared" si="27"/>
        <v>191346466</v>
      </c>
      <c r="Z59" s="70" t="str">
        <f t="shared" si="28"/>
        <v>✅ EOQ (optimal)</v>
      </c>
      <c r="AA59" s="71">
        <f t="shared" si="29"/>
        <v>0.61933539291775563</v>
      </c>
    </row>
    <row r="60" spans="1:27" ht="15.75" customHeight="1" x14ac:dyDescent="0.35">
      <c r="A60" s="56">
        <v>53</v>
      </c>
      <c r="B60" s="56" t="s">
        <v>140</v>
      </c>
      <c r="C60" s="57" t="s">
        <v>141</v>
      </c>
      <c r="D60" s="56" t="s">
        <v>264</v>
      </c>
      <c r="E60" s="56" t="s">
        <v>36</v>
      </c>
      <c r="F60" s="58">
        <f>IFERROR(ROUND(AVERAGE('Data Historis 5 Tahun'!I267:I271),0),0)</f>
        <v>36252</v>
      </c>
      <c r="G60" s="58">
        <f>IFERROR(ROUND(AVERAGE('Data Historis 5 Tahun'!J267:J271)*1.14,0),0)</f>
        <v>8493430</v>
      </c>
      <c r="H60" s="58">
        <f>IFERROR(ROUND(AVERAGE('Data Historis 5 Tahun'!K267:K271)*1.1333,0),0)</f>
        <v>98917</v>
      </c>
      <c r="I60" s="58">
        <f>IFERROR(ROUND(1.65*AVERAGE('Data Historis 5 Tahun'!N267:N271)*SQRT(AVERAGE('Data Historis 5 Tahun'!H267:H271)),0),0)</f>
        <v>225</v>
      </c>
      <c r="J60" s="59">
        <f t="shared" si="15"/>
        <v>3021</v>
      </c>
      <c r="K60" s="60">
        <f t="shared" si="16"/>
        <v>273591614</v>
      </c>
      <c r="L60" s="61">
        <f>IFERROR(ROUND(AVERAGE('Data Historis 5 Tahun'!J267:J271),0),0)</f>
        <v>7450377</v>
      </c>
      <c r="M60" s="62">
        <f>IFERROR(ROUND(AVERAGE('Data Historis 5 Tahun'!K267:K271),0),0)</f>
        <v>87282</v>
      </c>
      <c r="N60" s="62">
        <f>IFERROR(ROUND(1.65*AVERAGE('Data Historis 5 Tahun'!N267:N271)*SQRT(AVERAGE('Data Historis 5 Tahun'!H267:H271)),0),0)</f>
        <v>225</v>
      </c>
      <c r="O60" s="63">
        <f t="shared" si="17"/>
        <v>2488</v>
      </c>
      <c r="P60" s="63">
        <f t="shared" si="18"/>
        <v>236774761</v>
      </c>
      <c r="Q60" s="63">
        <f t="shared" si="19"/>
        <v>36816853</v>
      </c>
      <c r="R60" s="64">
        <f t="shared" si="20"/>
        <v>1244</v>
      </c>
      <c r="S60" s="65">
        <f t="shared" si="21"/>
        <v>217115006</v>
      </c>
      <c r="T60" s="65">
        <f t="shared" si="22"/>
        <v>73927854</v>
      </c>
      <c r="U60" s="66">
        <f t="shared" si="23"/>
        <v>291042860</v>
      </c>
      <c r="V60" s="67">
        <f t="shared" si="24"/>
        <v>3732</v>
      </c>
      <c r="W60" s="68">
        <f t="shared" si="25"/>
        <v>72371669</v>
      </c>
      <c r="X60" s="67">
        <f t="shared" si="26"/>
        <v>254878331</v>
      </c>
      <c r="Y60" s="69">
        <f t="shared" si="27"/>
        <v>236774761</v>
      </c>
      <c r="Z60" s="70" t="str">
        <f t="shared" si="28"/>
        <v>✅ EOQ (optimal)</v>
      </c>
      <c r="AA60" s="71">
        <f t="shared" si="29"/>
        <v>0.1345686458065195</v>
      </c>
    </row>
    <row r="61" spans="1:27" ht="15.75" customHeight="1" x14ac:dyDescent="0.35">
      <c r="A61" s="72">
        <v>54</v>
      </c>
      <c r="B61" s="72" t="s">
        <v>142</v>
      </c>
      <c r="C61" s="73" t="s">
        <v>143</v>
      </c>
      <c r="D61" s="72" t="s">
        <v>264</v>
      </c>
      <c r="E61" s="72" t="s">
        <v>36</v>
      </c>
      <c r="F61" s="58">
        <f>IFERROR(ROUND(AVERAGE('Data Historis 5 Tahun'!I272:I276),0),0)</f>
        <v>12356</v>
      </c>
      <c r="G61" s="58">
        <f>IFERROR(ROUND(AVERAGE('Data Historis 5 Tahun'!J272:J276)*1.1167,0),0)</f>
        <v>12031179</v>
      </c>
      <c r="H61" s="58">
        <f>IFERROR(ROUND(AVERAGE('Data Historis 5 Tahun'!K272:K276)*1.1065,0),0)</f>
        <v>590445</v>
      </c>
      <c r="I61" s="58">
        <f>IFERROR(ROUND(1.65*AVERAGE('Data Historis 5 Tahun'!N272:N276)*SQRT(AVERAGE('Data Historis 5 Tahun'!H272:H276)),0),0)</f>
        <v>75</v>
      </c>
      <c r="J61" s="59">
        <f t="shared" si="15"/>
        <v>1030</v>
      </c>
      <c r="K61" s="60">
        <f t="shared" si="16"/>
        <v>492689975</v>
      </c>
      <c r="L61" s="61">
        <f>IFERROR(ROUND(AVERAGE('Data Historis 5 Tahun'!J272:J276),0),0)</f>
        <v>10773868</v>
      </c>
      <c r="M61" s="62">
        <f>IFERROR(ROUND(AVERAGE('Data Historis 5 Tahun'!K272:K276),0),0)</f>
        <v>533615</v>
      </c>
      <c r="N61" s="62">
        <f>IFERROR(ROUND(1.65*AVERAGE('Data Historis 5 Tahun'!N272:N276)*SQRT(AVERAGE('Data Historis 5 Tahun'!H272:H276)),0),0)</f>
        <v>75</v>
      </c>
      <c r="O61" s="63">
        <f t="shared" si="17"/>
        <v>706</v>
      </c>
      <c r="P61" s="63">
        <f t="shared" si="18"/>
        <v>416945170</v>
      </c>
      <c r="Q61" s="63">
        <f t="shared" si="19"/>
        <v>75744805</v>
      </c>
      <c r="R61" s="64">
        <f t="shared" si="20"/>
        <v>353</v>
      </c>
      <c r="S61" s="65">
        <f t="shared" si="21"/>
        <v>377115901</v>
      </c>
      <c r="T61" s="65">
        <f t="shared" si="22"/>
        <v>134204173</v>
      </c>
      <c r="U61" s="66">
        <f t="shared" si="23"/>
        <v>511320074</v>
      </c>
      <c r="V61" s="67">
        <f t="shared" si="24"/>
        <v>1059</v>
      </c>
      <c r="W61" s="68">
        <f t="shared" si="25"/>
        <v>125705300</v>
      </c>
      <c r="X61" s="67">
        <f t="shared" si="26"/>
        <v>448275568</v>
      </c>
      <c r="Y61" s="69">
        <f t="shared" si="27"/>
        <v>416945170</v>
      </c>
      <c r="Z61" s="70" t="str">
        <f t="shared" si="28"/>
        <v>✅ EOQ (optimal)</v>
      </c>
      <c r="AA61" s="71">
        <f t="shared" si="29"/>
        <v>0.1537372563750663</v>
      </c>
    </row>
    <row r="62" spans="1:27" ht="15.75" customHeight="1" x14ac:dyDescent="0.35">
      <c r="A62" s="56">
        <v>55</v>
      </c>
      <c r="B62" s="56" t="s">
        <v>144</v>
      </c>
      <c r="C62" s="57" t="s">
        <v>145</v>
      </c>
      <c r="D62" s="56" t="s">
        <v>264</v>
      </c>
      <c r="E62" s="56" t="s">
        <v>36</v>
      </c>
      <c r="F62" s="58">
        <f>IFERROR(ROUND(AVERAGE('Data Historis 5 Tahun'!I277:I281),0),0)</f>
        <v>53382</v>
      </c>
      <c r="G62" s="58">
        <f>IFERROR(ROUND(AVERAGE('Data Historis 5 Tahun'!J277:J281)*1.1681,0),0)</f>
        <v>10799608</v>
      </c>
      <c r="H62" s="58">
        <f>IFERROR(ROUND(AVERAGE('Data Historis 5 Tahun'!K277:K281)*1.174,0),0)</f>
        <v>266279</v>
      </c>
      <c r="I62" s="58">
        <f>IFERROR(ROUND(1.65*AVERAGE('Data Historis 5 Tahun'!N277:N281)*SQRT(AVERAGE('Data Historis 5 Tahun'!H277:H281)),0),0)</f>
        <v>288</v>
      </c>
      <c r="J62" s="59">
        <f t="shared" si="15"/>
        <v>4449</v>
      </c>
      <c r="K62" s="60">
        <f t="shared" si="16"/>
        <v>798606719</v>
      </c>
      <c r="L62" s="61">
        <f>IFERROR(ROUND(AVERAGE('Data Historis 5 Tahun'!J277:J281),0),0)</f>
        <v>9245448</v>
      </c>
      <c r="M62" s="62">
        <f>IFERROR(ROUND(AVERAGE('Data Historis 5 Tahun'!K277:K281),0),0)</f>
        <v>226813</v>
      </c>
      <c r="N62" s="62">
        <f>IFERROR(ROUND(1.65*AVERAGE('Data Historis 5 Tahun'!N277:N281)*SQRT(AVERAGE('Data Historis 5 Tahun'!H277:H281)),0),0)</f>
        <v>288</v>
      </c>
      <c r="O62" s="63">
        <f t="shared" si="17"/>
        <v>2086</v>
      </c>
      <c r="P62" s="63">
        <f t="shared" si="18"/>
        <v>538484702</v>
      </c>
      <c r="Q62" s="63">
        <f t="shared" si="19"/>
        <v>260122017</v>
      </c>
      <c r="R62" s="64">
        <f t="shared" si="20"/>
        <v>1043</v>
      </c>
      <c r="S62" s="65">
        <f t="shared" si="21"/>
        <v>473193198</v>
      </c>
      <c r="T62" s="65">
        <f t="shared" si="22"/>
        <v>183605124</v>
      </c>
      <c r="U62" s="66">
        <f t="shared" si="23"/>
        <v>656798322</v>
      </c>
      <c r="V62" s="67">
        <f t="shared" si="24"/>
        <v>3129</v>
      </c>
      <c r="W62" s="68">
        <f t="shared" si="25"/>
        <v>157731066</v>
      </c>
      <c r="X62" s="67">
        <f t="shared" si="26"/>
        <v>577902148</v>
      </c>
      <c r="Y62" s="69">
        <f t="shared" si="27"/>
        <v>538484702</v>
      </c>
      <c r="Z62" s="70" t="str">
        <f t="shared" si="28"/>
        <v>✅ EOQ (optimal)</v>
      </c>
      <c r="AA62" s="71">
        <f t="shared" si="29"/>
        <v>0.32571979525256162</v>
      </c>
    </row>
    <row r="63" spans="1:27" ht="15.75" customHeight="1" x14ac:dyDescent="0.35">
      <c r="A63" s="72">
        <v>56</v>
      </c>
      <c r="B63" s="72" t="s">
        <v>146</v>
      </c>
      <c r="C63" s="73" t="s">
        <v>147</v>
      </c>
      <c r="D63" s="72" t="s">
        <v>263</v>
      </c>
      <c r="E63" s="72" t="s">
        <v>36</v>
      </c>
      <c r="F63" s="58">
        <f>IFERROR(ROUND(AVERAGE('Data Historis 5 Tahun'!I282:I286),0),0)</f>
        <v>29931</v>
      </c>
      <c r="G63" s="58">
        <f>IFERROR(ROUND(AVERAGE('Data Historis 5 Tahun'!J282:J286)*1.2314,0),0)</f>
        <v>2312066</v>
      </c>
      <c r="H63" s="58">
        <f>IFERROR(ROUND(AVERAGE('Data Historis 5 Tahun'!K282:K286)*1.0842,0),0)</f>
        <v>553343</v>
      </c>
      <c r="I63" s="58">
        <f>IFERROR(ROUND(1.65*AVERAGE('Data Historis 5 Tahun'!N282:N286)*SQRT(AVERAGE('Data Historis 5 Tahun'!H282:H286)),0),0)</f>
        <v>94</v>
      </c>
      <c r="J63" s="59">
        <f t="shared" si="15"/>
        <v>2494</v>
      </c>
      <c r="K63" s="60">
        <f t="shared" si="16"/>
        <v>769780536</v>
      </c>
      <c r="L63" s="61">
        <f>IFERROR(ROUND(AVERAGE('Data Historis 5 Tahun'!J282:J286),0),0)</f>
        <v>1877591</v>
      </c>
      <c r="M63" s="62">
        <f>IFERROR(ROUND(AVERAGE('Data Historis 5 Tahun'!K282:K286),0),0)</f>
        <v>510369</v>
      </c>
      <c r="N63" s="62">
        <f>IFERROR(ROUND(1.65*AVERAGE('Data Historis 5 Tahun'!N282:N286)*SQRT(AVERAGE('Data Historis 5 Tahun'!H282:H286)),0),0)</f>
        <v>94</v>
      </c>
      <c r="O63" s="63">
        <f t="shared" si="17"/>
        <v>469</v>
      </c>
      <c r="P63" s="63">
        <f t="shared" si="18"/>
        <v>287481752</v>
      </c>
      <c r="Q63" s="63">
        <f t="shared" si="19"/>
        <v>482298784</v>
      </c>
      <c r="R63" s="64">
        <f t="shared" si="20"/>
        <v>235</v>
      </c>
      <c r="S63" s="65">
        <f t="shared" si="21"/>
        <v>239141175</v>
      </c>
      <c r="T63" s="65">
        <f t="shared" si="22"/>
        <v>107943044</v>
      </c>
      <c r="U63" s="66">
        <f t="shared" si="23"/>
        <v>347084219</v>
      </c>
      <c r="V63" s="67">
        <f t="shared" si="24"/>
        <v>704</v>
      </c>
      <c r="W63" s="68">
        <f t="shared" si="25"/>
        <v>79826955</v>
      </c>
      <c r="X63" s="67">
        <f t="shared" si="26"/>
        <v>307451529</v>
      </c>
      <c r="Y63" s="69">
        <f t="shared" si="27"/>
        <v>287481752</v>
      </c>
      <c r="Z63" s="70" t="str">
        <f t="shared" si="28"/>
        <v>✅ EOQ (optimal)</v>
      </c>
      <c r="AA63" s="71">
        <f t="shared" si="29"/>
        <v>0.6265406326148002</v>
      </c>
    </row>
    <row r="64" spans="1:27" ht="15.75" customHeight="1" x14ac:dyDescent="0.35">
      <c r="A64" s="56">
        <v>57</v>
      </c>
      <c r="B64" s="56" t="s">
        <v>148</v>
      </c>
      <c r="C64" s="57" t="s">
        <v>149</v>
      </c>
      <c r="D64" s="56" t="s">
        <v>263</v>
      </c>
      <c r="E64" s="56" t="s">
        <v>36</v>
      </c>
      <c r="F64" s="58">
        <f>IFERROR(ROUND(AVERAGE('Data Historis 5 Tahun'!I287:I291),0),0)</f>
        <v>27011</v>
      </c>
      <c r="G64" s="58">
        <f>IFERROR(ROUND(AVERAGE('Data Historis 5 Tahun'!J287:J291)*1.1751,0),0)</f>
        <v>3004877</v>
      </c>
      <c r="H64" s="58">
        <f>IFERROR(ROUND(AVERAGE('Data Historis 5 Tahun'!K287:K291)*1.0732,0),0)</f>
        <v>574313</v>
      </c>
      <c r="I64" s="58">
        <f>IFERROR(ROUND(1.65*AVERAGE('Data Historis 5 Tahun'!N287:N291)*SQRT(AVERAGE('Data Historis 5 Tahun'!H287:H291)),0),0)</f>
        <v>99</v>
      </c>
      <c r="J64" s="59">
        <f t="shared" si="15"/>
        <v>2251</v>
      </c>
      <c r="K64" s="60">
        <f t="shared" si="16"/>
        <v>739303458</v>
      </c>
      <c r="L64" s="61">
        <f>IFERROR(ROUND(AVERAGE('Data Historis 5 Tahun'!J287:J291),0),0)</f>
        <v>2557124</v>
      </c>
      <c r="M64" s="62">
        <f>IFERROR(ROUND(AVERAGE('Data Historis 5 Tahun'!K287:K291),0),0)</f>
        <v>535141</v>
      </c>
      <c r="N64" s="62">
        <f>IFERROR(ROUND(1.65*AVERAGE('Data Historis 5 Tahun'!N287:N291)*SQRT(AVERAGE('Data Historis 5 Tahun'!H287:H291)),0),0)</f>
        <v>99</v>
      </c>
      <c r="O64" s="63">
        <f t="shared" si="17"/>
        <v>508</v>
      </c>
      <c r="P64" s="63">
        <f t="shared" si="18"/>
        <v>324870278</v>
      </c>
      <c r="Q64" s="63">
        <f t="shared" si="19"/>
        <v>414433180</v>
      </c>
      <c r="R64" s="64">
        <f t="shared" si="20"/>
        <v>254</v>
      </c>
      <c r="S64" s="65">
        <f t="shared" si="21"/>
        <v>271931009</v>
      </c>
      <c r="T64" s="65">
        <f t="shared" si="22"/>
        <v>120941866</v>
      </c>
      <c r="U64" s="66">
        <f t="shared" si="23"/>
        <v>392872875</v>
      </c>
      <c r="V64" s="67">
        <f t="shared" si="24"/>
        <v>762</v>
      </c>
      <c r="W64" s="68">
        <f t="shared" si="25"/>
        <v>90643670</v>
      </c>
      <c r="X64" s="67">
        <f t="shared" si="26"/>
        <v>347511350</v>
      </c>
      <c r="Y64" s="69">
        <f t="shared" si="27"/>
        <v>324870278</v>
      </c>
      <c r="Z64" s="70" t="str">
        <f t="shared" si="28"/>
        <v>✅ EOQ (optimal)</v>
      </c>
      <c r="AA64" s="71">
        <f t="shared" si="29"/>
        <v>0.56057248957166383</v>
      </c>
    </row>
    <row r="65" spans="1:27" ht="15.75" customHeight="1" x14ac:dyDescent="0.35">
      <c r="A65" s="72">
        <v>58</v>
      </c>
      <c r="B65" s="72" t="s">
        <v>150</v>
      </c>
      <c r="C65" s="73" t="s">
        <v>151</v>
      </c>
      <c r="D65" s="72" t="s">
        <v>263</v>
      </c>
      <c r="E65" s="72" t="s">
        <v>36</v>
      </c>
      <c r="F65" s="58">
        <f>IFERROR(ROUND(AVERAGE('Data Historis 5 Tahun'!I292:I296),0),0)</f>
        <v>48063</v>
      </c>
      <c r="G65" s="58">
        <f>IFERROR(ROUND(AVERAGE('Data Historis 5 Tahun'!J292:J296)*1.2369,0),0)</f>
        <v>812162</v>
      </c>
      <c r="H65" s="58">
        <f>IFERROR(ROUND(AVERAGE('Data Historis 5 Tahun'!K292:K296)*1.1632,0),0)</f>
        <v>673356</v>
      </c>
      <c r="I65" s="58">
        <f>IFERROR(ROUND(1.65*AVERAGE('Data Historis 5 Tahun'!N292:N296)*SQRT(AVERAGE('Data Historis 5 Tahun'!H292:H296)),0),0)</f>
        <v>128</v>
      </c>
      <c r="J65" s="59">
        <f t="shared" si="15"/>
        <v>4005</v>
      </c>
      <c r="K65" s="60">
        <f t="shared" si="16"/>
        <v>1444331510</v>
      </c>
      <c r="L65" s="61">
        <f>IFERROR(ROUND(AVERAGE('Data Historis 5 Tahun'!J292:J296),0),0)</f>
        <v>656611</v>
      </c>
      <c r="M65" s="62">
        <f>IFERROR(ROUND(AVERAGE('Data Historis 5 Tahun'!K292:K296),0),0)</f>
        <v>578882</v>
      </c>
      <c r="N65" s="62">
        <f>IFERROR(ROUND(1.65*AVERAGE('Data Historis 5 Tahun'!N292:N296)*SQRT(AVERAGE('Data Historis 5 Tahun'!H292:H296)),0),0)</f>
        <v>128</v>
      </c>
      <c r="O65" s="63">
        <f t="shared" si="17"/>
        <v>330</v>
      </c>
      <c r="P65" s="63">
        <f t="shared" si="18"/>
        <v>265244834</v>
      </c>
      <c r="Q65" s="63">
        <f t="shared" si="19"/>
        <v>1179086676</v>
      </c>
      <c r="R65" s="64">
        <f t="shared" si="20"/>
        <v>165</v>
      </c>
      <c r="S65" s="65">
        <f t="shared" si="21"/>
        <v>191264815</v>
      </c>
      <c r="T65" s="65">
        <f t="shared" si="22"/>
        <v>121854661</v>
      </c>
      <c r="U65" s="66">
        <f t="shared" si="23"/>
        <v>313119476</v>
      </c>
      <c r="V65" s="67">
        <f t="shared" si="24"/>
        <v>495</v>
      </c>
      <c r="W65" s="68">
        <f t="shared" si="25"/>
        <v>63754938</v>
      </c>
      <c r="X65" s="67">
        <f t="shared" si="26"/>
        <v>281125129</v>
      </c>
      <c r="Y65" s="69">
        <f t="shared" si="27"/>
        <v>265244834</v>
      </c>
      <c r="Z65" s="70" t="str">
        <f t="shared" si="28"/>
        <v>✅ EOQ (optimal)</v>
      </c>
      <c r="AA65" s="71">
        <f t="shared" si="29"/>
        <v>0.81635460269090165</v>
      </c>
    </row>
    <row r="66" spans="1:27" ht="15.75" customHeight="1" x14ac:dyDescent="0.35">
      <c r="A66" s="56">
        <v>59</v>
      </c>
      <c r="B66" s="56" t="s">
        <v>152</v>
      </c>
      <c r="C66" s="57" t="s">
        <v>153</v>
      </c>
      <c r="D66" s="56" t="s">
        <v>263</v>
      </c>
      <c r="E66" s="56" t="s">
        <v>36</v>
      </c>
      <c r="F66" s="58">
        <f>IFERROR(ROUND(AVERAGE('Data Historis 5 Tahun'!I297:I301),0),0)</f>
        <v>34729</v>
      </c>
      <c r="G66" s="58">
        <f>IFERROR(ROUND(AVERAGE('Data Historis 5 Tahun'!J297:J301)*1.1448,0),0)</f>
        <v>12857026</v>
      </c>
      <c r="H66" s="58">
        <f>IFERROR(ROUND(AVERAGE('Data Historis 5 Tahun'!K297:K301)*1.1331,0),0)</f>
        <v>285082</v>
      </c>
      <c r="I66" s="58">
        <f>IFERROR(ROUND(1.65*AVERAGE('Data Historis 5 Tahun'!N297:N301)*SQRT(AVERAGE('Data Historis 5 Tahun'!H297:H301)),0),0)</f>
        <v>200</v>
      </c>
      <c r="J66" s="59">
        <f t="shared" si="15"/>
        <v>2894</v>
      </c>
      <c r="K66" s="60">
        <f t="shared" si="16"/>
        <v>623818809</v>
      </c>
      <c r="L66" s="61">
        <f>IFERROR(ROUND(AVERAGE('Data Historis 5 Tahun'!J297:J301),0),0)</f>
        <v>11230805</v>
      </c>
      <c r="M66" s="62">
        <f>IFERROR(ROUND(AVERAGE('Data Historis 5 Tahun'!K297:K301),0),0)</f>
        <v>251595</v>
      </c>
      <c r="N66" s="62">
        <f>IFERROR(ROUND(1.65*AVERAGE('Data Historis 5 Tahun'!N297:N301)*SQRT(AVERAGE('Data Historis 5 Tahun'!H297:H301)),0),0)</f>
        <v>200</v>
      </c>
      <c r="O66" s="63">
        <f t="shared" si="17"/>
        <v>1761</v>
      </c>
      <c r="P66" s="63">
        <f t="shared" si="18"/>
        <v>493333137</v>
      </c>
      <c r="Q66" s="63">
        <f t="shared" si="19"/>
        <v>130485672</v>
      </c>
      <c r="R66" s="64">
        <f t="shared" si="20"/>
        <v>881</v>
      </c>
      <c r="S66" s="65">
        <f t="shared" si="21"/>
        <v>442718078</v>
      </c>
      <c r="T66" s="65">
        <f t="shared" si="22"/>
        <v>161146598</v>
      </c>
      <c r="U66" s="66">
        <f t="shared" si="23"/>
        <v>603864676</v>
      </c>
      <c r="V66" s="67">
        <f t="shared" si="24"/>
        <v>2642</v>
      </c>
      <c r="W66" s="68">
        <f t="shared" si="25"/>
        <v>147628549</v>
      </c>
      <c r="X66" s="67">
        <f t="shared" si="26"/>
        <v>530304544</v>
      </c>
      <c r="Y66" s="69">
        <f t="shared" si="27"/>
        <v>493333137</v>
      </c>
      <c r="Z66" s="70" t="str">
        <f t="shared" si="28"/>
        <v>✅ EOQ (optimal)</v>
      </c>
      <c r="AA66" s="71">
        <f t="shared" si="29"/>
        <v>0.20917239127363343</v>
      </c>
    </row>
    <row r="67" spans="1:27" ht="15.75" customHeight="1" x14ac:dyDescent="0.35">
      <c r="A67" s="72">
        <v>60</v>
      </c>
      <c r="B67" s="72" t="s">
        <v>154</v>
      </c>
      <c r="C67" s="73" t="s">
        <v>155</v>
      </c>
      <c r="D67" s="72" t="s">
        <v>264</v>
      </c>
      <c r="E67" s="72" t="s">
        <v>36</v>
      </c>
      <c r="F67" s="58">
        <f>IFERROR(ROUND(AVERAGE('Data Historis 5 Tahun'!I302:I306),0),0)</f>
        <v>50671</v>
      </c>
      <c r="G67" s="58">
        <f>IFERROR(ROUND(AVERAGE('Data Historis 5 Tahun'!J302:J306)*1.1913,0),0)</f>
        <v>1495326</v>
      </c>
      <c r="H67" s="58">
        <f>IFERROR(ROUND(AVERAGE('Data Historis 5 Tahun'!K302:K306)*1.0699,0),0)</f>
        <v>244160</v>
      </c>
      <c r="I67" s="58">
        <f>IFERROR(ROUND(1.65*AVERAGE('Data Historis 5 Tahun'!N302:N306)*SQRT(AVERAGE('Data Historis 5 Tahun'!H302:H306)),0),0)</f>
        <v>157</v>
      </c>
      <c r="J67" s="59">
        <f t="shared" si="15"/>
        <v>4223</v>
      </c>
      <c r="K67" s="60">
        <f t="shared" si="16"/>
        <v>571819102</v>
      </c>
      <c r="L67" s="61">
        <f>IFERROR(ROUND(AVERAGE('Data Historis 5 Tahun'!J302:J306),0),0)</f>
        <v>1255205</v>
      </c>
      <c r="M67" s="62">
        <f>IFERROR(ROUND(AVERAGE('Data Historis 5 Tahun'!K302:K306),0),0)</f>
        <v>228208</v>
      </c>
      <c r="N67" s="62">
        <f>IFERROR(ROUND(1.65*AVERAGE('Data Historis 5 Tahun'!N302:N306)*SQRT(AVERAGE('Data Historis 5 Tahun'!H302:H306)),0),0)</f>
        <v>157</v>
      </c>
      <c r="O67" s="63">
        <f t="shared" si="17"/>
        <v>747</v>
      </c>
      <c r="P67" s="63">
        <f t="shared" si="18"/>
        <v>206208243</v>
      </c>
      <c r="Q67" s="63">
        <f t="shared" si="19"/>
        <v>365610859</v>
      </c>
      <c r="R67" s="64">
        <f t="shared" si="20"/>
        <v>374</v>
      </c>
      <c r="S67" s="65">
        <f t="shared" si="21"/>
        <v>170060141</v>
      </c>
      <c r="T67" s="65">
        <f t="shared" si="22"/>
        <v>78503552</v>
      </c>
      <c r="U67" s="66">
        <f t="shared" si="23"/>
        <v>248563693</v>
      </c>
      <c r="V67" s="67">
        <f t="shared" si="24"/>
        <v>1121</v>
      </c>
      <c r="W67" s="68">
        <f t="shared" si="25"/>
        <v>56737281</v>
      </c>
      <c r="X67" s="67">
        <f t="shared" si="26"/>
        <v>220476521</v>
      </c>
      <c r="Y67" s="69">
        <f t="shared" si="27"/>
        <v>206208243</v>
      </c>
      <c r="Z67" s="70" t="str">
        <f t="shared" si="28"/>
        <v>✅ EOQ (optimal)</v>
      </c>
      <c r="AA67" s="71">
        <f t="shared" si="29"/>
        <v>0.63938203134738925</v>
      </c>
    </row>
    <row r="68" spans="1:27" ht="15.75" customHeight="1" x14ac:dyDescent="0.35">
      <c r="A68" s="56">
        <v>61</v>
      </c>
      <c r="B68" s="56" t="s">
        <v>156</v>
      </c>
      <c r="C68" s="57" t="s">
        <v>157</v>
      </c>
      <c r="D68" s="56" t="s">
        <v>264</v>
      </c>
      <c r="E68" s="56" t="s">
        <v>36</v>
      </c>
      <c r="F68" s="58">
        <f>IFERROR(ROUND(AVERAGE('Data Historis 5 Tahun'!I307:I311),0),0)</f>
        <v>1031</v>
      </c>
      <c r="G68" s="58">
        <f>IFERROR(ROUND(AVERAGE('Data Historis 5 Tahun'!J307:J311)*1.2144,0),0)</f>
        <v>8373511</v>
      </c>
      <c r="H68" s="58">
        <f>IFERROR(ROUND(AVERAGE('Data Historis 5 Tahun'!K307:K311)*1.1201,0),0)</f>
        <v>638901</v>
      </c>
      <c r="I68" s="58">
        <f>IFERROR(ROUND(1.65*AVERAGE('Data Historis 5 Tahun'!N307:N311)*SQRT(AVERAGE('Data Historis 5 Tahun'!H307:H311)),0),0)</f>
        <v>6</v>
      </c>
      <c r="J68" s="59">
        <f t="shared" si="15"/>
        <v>86</v>
      </c>
      <c r="K68" s="60">
        <f t="shared" si="16"/>
        <v>131690915</v>
      </c>
      <c r="L68" s="61">
        <f>IFERROR(ROUND(AVERAGE('Data Historis 5 Tahun'!J307:J311),0),0)</f>
        <v>6895184</v>
      </c>
      <c r="M68" s="62">
        <f>IFERROR(ROUND(AVERAGE('Data Historis 5 Tahun'!K307:K311),0),0)</f>
        <v>570396</v>
      </c>
      <c r="N68" s="62">
        <f>IFERROR(ROUND(1.65*AVERAGE('Data Historis 5 Tahun'!N307:N311)*SQRT(AVERAGE('Data Historis 5 Tahun'!H307:H311)),0),0)</f>
        <v>6</v>
      </c>
      <c r="O68" s="63">
        <f t="shared" si="17"/>
        <v>158</v>
      </c>
      <c r="P68" s="63">
        <f t="shared" si="18"/>
        <v>93476918</v>
      </c>
      <c r="Q68" s="63">
        <f t="shared" si="19"/>
        <v>38213997</v>
      </c>
      <c r="R68" s="64">
        <f t="shared" si="20"/>
        <v>79</v>
      </c>
      <c r="S68" s="65">
        <f t="shared" si="21"/>
        <v>89986515</v>
      </c>
      <c r="T68" s="65">
        <f t="shared" si="22"/>
        <v>25953018</v>
      </c>
      <c r="U68" s="66">
        <f t="shared" si="23"/>
        <v>115939533</v>
      </c>
      <c r="V68" s="67">
        <f t="shared" si="24"/>
        <v>237</v>
      </c>
      <c r="W68" s="68">
        <f t="shared" si="25"/>
        <v>29995505</v>
      </c>
      <c r="X68" s="67">
        <f t="shared" si="26"/>
        <v>101009807</v>
      </c>
      <c r="Y68" s="69">
        <f t="shared" si="27"/>
        <v>93476918</v>
      </c>
      <c r="Z68" s="70" t="str">
        <f t="shared" si="28"/>
        <v>✅ EOQ (optimal)</v>
      </c>
      <c r="AA68" s="71">
        <f t="shared" si="29"/>
        <v>0.29017944783814437</v>
      </c>
    </row>
    <row r="69" spans="1:27" ht="15.75" customHeight="1" x14ac:dyDescent="0.35">
      <c r="A69" s="72">
        <v>62</v>
      </c>
      <c r="B69" s="72" t="s">
        <v>158</v>
      </c>
      <c r="C69" s="73" t="s">
        <v>159</v>
      </c>
      <c r="D69" s="72" t="s">
        <v>263</v>
      </c>
      <c r="E69" s="72" t="s">
        <v>57</v>
      </c>
      <c r="F69" s="58">
        <f>IFERROR(ROUND(AVERAGE('Data Historis 5 Tahun'!I312:I316),0),0)</f>
        <v>34655</v>
      </c>
      <c r="G69" s="58">
        <f>IFERROR(ROUND(AVERAGE('Data Historis 5 Tahun'!J312:J316)*1.2168,0),0)</f>
        <v>2804718</v>
      </c>
      <c r="H69" s="58">
        <f>IFERROR(ROUND(AVERAGE('Data Historis 5 Tahun'!K312:K316)*1.1189,0),0)</f>
        <v>622385</v>
      </c>
      <c r="I69" s="58">
        <f>IFERROR(ROUND(1.65*AVERAGE('Data Historis 5 Tahun'!N312:N316)*SQRT(AVERAGE('Data Historis 5 Tahun'!H312:H316)),0),0)</f>
        <v>101</v>
      </c>
      <c r="J69" s="59">
        <f t="shared" si="15"/>
        <v>2888</v>
      </c>
      <c r="K69" s="60">
        <f t="shared" si="16"/>
        <v>995240470</v>
      </c>
      <c r="L69" s="61">
        <f>IFERROR(ROUND(AVERAGE('Data Historis 5 Tahun'!J312:J316),0),0)</f>
        <v>2304995</v>
      </c>
      <c r="M69" s="62">
        <f>IFERROR(ROUND(AVERAGE('Data Historis 5 Tahun'!K312:K316),0),0)</f>
        <v>556247</v>
      </c>
      <c r="N69" s="62">
        <f>IFERROR(ROUND(1.65*AVERAGE('Data Historis 5 Tahun'!N312:N316)*SQRT(AVERAGE('Data Historis 5 Tahun'!H312:H316)),0),0)</f>
        <v>101</v>
      </c>
      <c r="O69" s="63">
        <f t="shared" si="17"/>
        <v>536</v>
      </c>
      <c r="P69" s="63">
        <f t="shared" si="18"/>
        <v>354284251</v>
      </c>
      <c r="Q69" s="63">
        <f t="shared" si="19"/>
        <v>640956219</v>
      </c>
      <c r="R69" s="64">
        <f t="shared" si="20"/>
        <v>268</v>
      </c>
      <c r="S69" s="65">
        <f t="shared" si="21"/>
        <v>298058215</v>
      </c>
      <c r="T69" s="65">
        <f t="shared" si="22"/>
        <v>130718045</v>
      </c>
      <c r="U69" s="66">
        <f t="shared" si="23"/>
        <v>428776260</v>
      </c>
      <c r="V69" s="67">
        <f t="shared" si="24"/>
        <v>804</v>
      </c>
      <c r="W69" s="68">
        <f t="shared" si="25"/>
        <v>99352738</v>
      </c>
      <c r="X69" s="67">
        <f t="shared" si="26"/>
        <v>379144979</v>
      </c>
      <c r="Y69" s="69">
        <f t="shared" si="27"/>
        <v>354284251</v>
      </c>
      <c r="Z69" s="70" t="str">
        <f t="shared" si="28"/>
        <v>✅ EOQ (optimal)</v>
      </c>
      <c r="AA69" s="71">
        <f t="shared" si="29"/>
        <v>0.64402145845214676</v>
      </c>
    </row>
    <row r="70" spans="1:27" ht="15.75" customHeight="1" x14ac:dyDescent="0.35">
      <c r="A70" s="56">
        <v>63</v>
      </c>
      <c r="B70" s="56" t="s">
        <v>160</v>
      </c>
      <c r="C70" s="57" t="s">
        <v>161</v>
      </c>
      <c r="D70" s="56" t="s">
        <v>263</v>
      </c>
      <c r="E70" s="56" t="s">
        <v>57</v>
      </c>
      <c r="F70" s="58">
        <f>IFERROR(ROUND(AVERAGE('Data Historis 5 Tahun'!I317:I321),0),0)</f>
        <v>56205</v>
      </c>
      <c r="G70" s="58">
        <f>IFERROR(ROUND(AVERAGE('Data Historis 5 Tahun'!J317:J321)*1.1001,0),0)</f>
        <v>363955</v>
      </c>
      <c r="H70" s="58">
        <f>IFERROR(ROUND(AVERAGE('Data Historis 5 Tahun'!K317:K321)*1.0921,0),0)</f>
        <v>553280</v>
      </c>
      <c r="I70" s="58">
        <f>IFERROR(ROUND(1.65*AVERAGE('Data Historis 5 Tahun'!N317:N321)*SQRT(AVERAGE('Data Historis 5 Tahun'!H317:H321)),0),0)</f>
        <v>142</v>
      </c>
      <c r="J70" s="59">
        <f t="shared" si="15"/>
        <v>4684</v>
      </c>
      <c r="K70" s="60">
        <f t="shared" si="16"/>
        <v>1378714747</v>
      </c>
      <c r="L70" s="61">
        <f>IFERROR(ROUND(AVERAGE('Data Historis 5 Tahun'!J317:J321),0),0)</f>
        <v>330838</v>
      </c>
      <c r="M70" s="62">
        <f>IFERROR(ROUND(AVERAGE('Data Historis 5 Tahun'!K317:K321),0),0)</f>
        <v>506620</v>
      </c>
      <c r="N70" s="62">
        <f>IFERROR(ROUND(1.65*AVERAGE('Data Historis 5 Tahun'!N317:N321)*SQRT(AVERAGE('Data Historis 5 Tahun'!H317:H321)),0),0)</f>
        <v>142</v>
      </c>
      <c r="O70" s="63">
        <f t="shared" si="17"/>
        <v>271</v>
      </c>
      <c r="P70" s="63">
        <f t="shared" si="18"/>
        <v>209202363</v>
      </c>
      <c r="Q70" s="63">
        <f t="shared" si="19"/>
        <v>1169512384</v>
      </c>
      <c r="R70" s="64">
        <f t="shared" si="20"/>
        <v>136</v>
      </c>
      <c r="S70" s="65">
        <f t="shared" si="21"/>
        <v>136726101</v>
      </c>
      <c r="T70" s="65">
        <f t="shared" si="22"/>
        <v>106390200</v>
      </c>
      <c r="U70" s="66">
        <f t="shared" si="23"/>
        <v>243116301</v>
      </c>
      <c r="V70" s="67">
        <f t="shared" si="24"/>
        <v>407</v>
      </c>
      <c r="W70" s="68">
        <f t="shared" si="25"/>
        <v>45687346</v>
      </c>
      <c r="X70" s="67">
        <f t="shared" si="26"/>
        <v>220724556</v>
      </c>
      <c r="Y70" s="69">
        <f t="shared" si="27"/>
        <v>209202363</v>
      </c>
      <c r="Z70" s="70" t="str">
        <f t="shared" si="28"/>
        <v>✅ EOQ (optimal)</v>
      </c>
      <c r="AA70" s="71">
        <f t="shared" si="29"/>
        <v>0.84826276540871726</v>
      </c>
    </row>
    <row r="71" spans="1:27" ht="15.75" customHeight="1" x14ac:dyDescent="0.35">
      <c r="A71" s="72">
        <v>64</v>
      </c>
      <c r="B71" s="72" t="s">
        <v>162</v>
      </c>
      <c r="C71" s="73" t="s">
        <v>163</v>
      </c>
      <c r="D71" s="72" t="s">
        <v>264</v>
      </c>
      <c r="E71" s="72" t="s">
        <v>57</v>
      </c>
      <c r="F71" s="58">
        <f>IFERROR(ROUND(AVERAGE('Data Historis 5 Tahun'!I322:I326),0),0)</f>
        <v>51407</v>
      </c>
      <c r="G71" s="58">
        <f>IFERROR(ROUND(AVERAGE('Data Historis 5 Tahun'!J322:J326)*1.1029,0),0)</f>
        <v>538483</v>
      </c>
      <c r="H71" s="58">
        <f>IFERROR(ROUND(AVERAGE('Data Historis 5 Tahun'!K322:K326)*1.1708,0),0)</f>
        <v>288129</v>
      </c>
      <c r="I71" s="58">
        <f>IFERROR(ROUND(1.65*AVERAGE('Data Historis 5 Tahun'!N322:N326)*SQRT(AVERAGE('Data Historis 5 Tahun'!H322:H326)),0),0)</f>
        <v>114</v>
      </c>
      <c r="J71" s="59">
        <f t="shared" si="15"/>
        <v>4284</v>
      </c>
      <c r="K71" s="60">
        <f t="shared" si="16"/>
        <v>656480694</v>
      </c>
      <c r="L71" s="61">
        <f>IFERROR(ROUND(AVERAGE('Data Historis 5 Tahun'!J322:J326),0),0)</f>
        <v>488243</v>
      </c>
      <c r="M71" s="62">
        <f>IFERROR(ROUND(AVERAGE('Data Historis 5 Tahun'!K322:K326),0),0)</f>
        <v>246096</v>
      </c>
      <c r="N71" s="62">
        <f>IFERROR(ROUND(1.65*AVERAGE('Data Historis 5 Tahun'!N322:N326)*SQRT(AVERAGE('Data Historis 5 Tahun'!H322:H326)),0),0)</f>
        <v>114</v>
      </c>
      <c r="O71" s="63">
        <f t="shared" si="17"/>
        <v>452</v>
      </c>
      <c r="P71" s="63">
        <f t="shared" si="18"/>
        <v>139201640</v>
      </c>
      <c r="Q71" s="63">
        <f t="shared" si="19"/>
        <v>517279054</v>
      </c>
      <c r="R71" s="64">
        <f t="shared" si="20"/>
        <v>226</v>
      </c>
      <c r="S71" s="65">
        <f t="shared" si="21"/>
        <v>111058000</v>
      </c>
      <c r="T71" s="65">
        <f t="shared" si="22"/>
        <v>55863792</v>
      </c>
      <c r="U71" s="66">
        <f t="shared" si="23"/>
        <v>166921792</v>
      </c>
      <c r="V71" s="67">
        <f t="shared" si="24"/>
        <v>678</v>
      </c>
      <c r="W71" s="68">
        <f t="shared" si="25"/>
        <v>37019333</v>
      </c>
      <c r="X71" s="67">
        <f t="shared" si="26"/>
        <v>148500821</v>
      </c>
      <c r="Y71" s="69">
        <f t="shared" si="27"/>
        <v>139201640</v>
      </c>
      <c r="Z71" s="70" t="str">
        <f t="shared" si="28"/>
        <v>✅ EOQ (optimal)</v>
      </c>
      <c r="AA71" s="71">
        <f t="shared" si="29"/>
        <v>0.78795775523598266</v>
      </c>
    </row>
    <row r="72" spans="1:27" ht="15.75" customHeight="1" x14ac:dyDescent="0.35">
      <c r="A72" s="56">
        <v>65</v>
      </c>
      <c r="B72" s="56" t="s">
        <v>164</v>
      </c>
      <c r="C72" s="57" t="s">
        <v>165</v>
      </c>
      <c r="D72" s="56" t="s">
        <v>264</v>
      </c>
      <c r="E72" s="56" t="s">
        <v>57</v>
      </c>
      <c r="F72" s="58">
        <f>IFERROR(ROUND(AVERAGE('Data Historis 5 Tahun'!I327:I331),0),0)</f>
        <v>26064</v>
      </c>
      <c r="G72" s="58">
        <f>IFERROR(ROUND(AVERAGE('Data Historis 5 Tahun'!J327:J331)*1.2318,0),0)</f>
        <v>1476152</v>
      </c>
      <c r="H72" s="58">
        <f>IFERROR(ROUND(AVERAGE('Data Historis 5 Tahun'!K327:K331)*1.1581,0),0)</f>
        <v>171674</v>
      </c>
      <c r="I72" s="58">
        <f>IFERROR(ROUND(1.65*AVERAGE('Data Historis 5 Tahun'!N327:N331)*SQRT(AVERAGE('Data Historis 5 Tahun'!H327:H331)),0),0)</f>
        <v>77</v>
      </c>
      <c r="J72" s="59">
        <f t="shared" ref="J72:J107" si="30">IFERROR(MAX(1,ROUND(F72/12,0)),1)</f>
        <v>2172</v>
      </c>
      <c r="K72" s="60">
        <f t="shared" ref="K72:K103" si="31">IFERROR(ROUND((F72/J72)*G72+(J72/2)*H72+I72*H72,0),0)</f>
        <v>217370686</v>
      </c>
      <c r="L72" s="61">
        <f>IFERROR(ROUND(AVERAGE('Data Historis 5 Tahun'!J327:J331),0),0)</f>
        <v>1198370</v>
      </c>
      <c r="M72" s="62">
        <f>IFERROR(ROUND(AVERAGE('Data Historis 5 Tahun'!K327:K331),0),0)</f>
        <v>148238</v>
      </c>
      <c r="N72" s="62">
        <f>IFERROR(ROUND(1.65*AVERAGE('Data Historis 5 Tahun'!N327:N331)*SQRT(AVERAGE('Data Historis 5 Tahun'!H327:H331)),0),0)</f>
        <v>77</v>
      </c>
      <c r="O72" s="63">
        <f t="shared" ref="O72:O107" si="32">IFERROR(ROUND(SQRT(2*F72*L72/M72),0),0)</f>
        <v>649</v>
      </c>
      <c r="P72" s="63">
        <f t="shared" ref="P72:P103" si="33">IFERROR(ROUND((F72/O72)*L72+(O72/2)*M72+N72*M72,0),0)</f>
        <v>107644392</v>
      </c>
      <c r="Q72" s="63">
        <f t="shared" ref="Q72:Q103" si="34">K72-P72</f>
        <v>109726294</v>
      </c>
      <c r="R72" s="64">
        <f t="shared" ref="R72:R107" si="35">IFERROR(MAX(1,ROUND(O72*0.5,0)),1)</f>
        <v>325</v>
      </c>
      <c r="S72" s="65">
        <f t="shared" ref="S72:S103" si="36">IFERROR(ROUND((F72/R72)*L72,0),0)</f>
        <v>96105587</v>
      </c>
      <c r="T72" s="65">
        <f t="shared" ref="T72:T107" si="37">IFERROR(ROUND((R72/2)*M72+N72*M72,0),0)</f>
        <v>35503001</v>
      </c>
      <c r="U72" s="66">
        <f t="shared" ref="U72:U103" si="38">S72+T72</f>
        <v>131608588</v>
      </c>
      <c r="V72" s="67">
        <f t="shared" ref="V72:V107" si="39">IFERROR(ROUND(O72*1.5,0),1)</f>
        <v>974</v>
      </c>
      <c r="W72" s="68">
        <f t="shared" ref="W72:W103" si="40">IFERROR(ROUND((F72/V72)*L72,0),0)</f>
        <v>32068086</v>
      </c>
      <c r="X72" s="67">
        <f t="shared" ref="X72:X107" si="41">IFERROR(ROUND((F72/V72)*L72+(V72/2)*M72+N72*M72,0),0)</f>
        <v>115674318</v>
      </c>
      <c r="Y72" s="69">
        <f t="shared" ref="Y72:Y103" si="42">MIN(K72,P72,U72,X72)</f>
        <v>107644392</v>
      </c>
      <c r="Z72" s="70" t="str">
        <f t="shared" ref="Z72:Z103" si="43">IF(Y72=P72,"✅ EOQ (optimal)",IF(Y72=K72,"Q Obs Lama",IF(Y72=U72,"Q Kecil","Q Besar")))</f>
        <v>✅ EOQ (optimal)</v>
      </c>
      <c r="AA72" s="71">
        <f t="shared" ref="AA72:AA107" si="44">IFERROR(Q72/K72,0)</f>
        <v>0.50478882879359366</v>
      </c>
    </row>
    <row r="73" spans="1:27" ht="15.75" customHeight="1" x14ac:dyDescent="0.35">
      <c r="A73" s="72">
        <v>66</v>
      </c>
      <c r="B73" s="72" t="s">
        <v>166</v>
      </c>
      <c r="C73" s="73" t="s">
        <v>167</v>
      </c>
      <c r="D73" s="72" t="s">
        <v>264</v>
      </c>
      <c r="E73" s="72" t="s">
        <v>57</v>
      </c>
      <c r="F73" s="58">
        <f>IFERROR(ROUND(AVERAGE('Data Historis 5 Tahun'!I332:I336),0),0)</f>
        <v>31513</v>
      </c>
      <c r="G73" s="58">
        <f>IFERROR(ROUND(AVERAGE('Data Historis 5 Tahun'!J332:J336)*1.1461,0),0)</f>
        <v>11456237</v>
      </c>
      <c r="H73" s="58">
        <f>IFERROR(ROUND(AVERAGE('Data Historis 5 Tahun'!K332:K336)*1.0575,0),0)</f>
        <v>174130</v>
      </c>
      <c r="I73" s="58">
        <f>IFERROR(ROUND(1.65*AVERAGE('Data Historis 5 Tahun'!N332:N336)*SQRT(AVERAGE('Data Historis 5 Tahun'!H332:H336)),0),0)</f>
        <v>184</v>
      </c>
      <c r="J73" s="59">
        <f t="shared" si="30"/>
        <v>2626</v>
      </c>
      <c r="K73" s="60">
        <f t="shared" si="31"/>
        <v>398151817</v>
      </c>
      <c r="L73" s="61">
        <f>IFERROR(ROUND(AVERAGE('Data Historis 5 Tahun'!J332:J336),0),0)</f>
        <v>9995844</v>
      </c>
      <c r="M73" s="62">
        <f>IFERROR(ROUND(AVERAGE('Data Historis 5 Tahun'!K332:K336),0),0)</f>
        <v>164662</v>
      </c>
      <c r="N73" s="62">
        <f>IFERROR(ROUND(1.65*AVERAGE('Data Historis 5 Tahun'!N332:N336)*SQRT(AVERAGE('Data Historis 5 Tahun'!H332:H336)),0),0)</f>
        <v>184</v>
      </c>
      <c r="O73" s="63">
        <f t="shared" si="32"/>
        <v>1956</v>
      </c>
      <c r="P73" s="63">
        <f t="shared" si="33"/>
        <v>352379694</v>
      </c>
      <c r="Q73" s="63">
        <f t="shared" si="34"/>
        <v>45772123</v>
      </c>
      <c r="R73" s="64">
        <f t="shared" si="35"/>
        <v>978</v>
      </c>
      <c r="S73" s="65">
        <f t="shared" si="36"/>
        <v>322084900</v>
      </c>
      <c r="T73" s="65">
        <f t="shared" si="37"/>
        <v>110817526</v>
      </c>
      <c r="U73" s="66">
        <f t="shared" si="38"/>
        <v>432902426</v>
      </c>
      <c r="V73" s="67">
        <f t="shared" si="39"/>
        <v>2934</v>
      </c>
      <c r="W73" s="68">
        <f t="shared" si="40"/>
        <v>107361633</v>
      </c>
      <c r="X73" s="67">
        <f t="shared" si="41"/>
        <v>379218595</v>
      </c>
      <c r="Y73" s="69">
        <f t="shared" si="42"/>
        <v>352379694</v>
      </c>
      <c r="Z73" s="70" t="str">
        <f t="shared" si="43"/>
        <v>✅ EOQ (optimal)</v>
      </c>
      <c r="AA73" s="71">
        <f t="shared" si="44"/>
        <v>0.11496148214237585</v>
      </c>
    </row>
    <row r="74" spans="1:27" ht="15.75" customHeight="1" x14ac:dyDescent="0.35">
      <c r="A74" s="56">
        <v>67</v>
      </c>
      <c r="B74" s="56" t="s">
        <v>168</v>
      </c>
      <c r="C74" s="57" t="s">
        <v>169</v>
      </c>
      <c r="D74" s="56" t="s">
        <v>263</v>
      </c>
      <c r="E74" s="56" t="s">
        <v>57</v>
      </c>
      <c r="F74" s="58">
        <f>IFERROR(ROUND(AVERAGE('Data Historis 5 Tahun'!I337:I341),0),0)</f>
        <v>26854</v>
      </c>
      <c r="G74" s="58">
        <f>IFERROR(ROUND(AVERAGE('Data Historis 5 Tahun'!J337:J341)*1.2317,0),0)</f>
        <v>6224149</v>
      </c>
      <c r="H74" s="58">
        <f>IFERROR(ROUND(AVERAGE('Data Historis 5 Tahun'!K337:K341)*1.1731,0),0)</f>
        <v>282345</v>
      </c>
      <c r="I74" s="58">
        <f>IFERROR(ROUND(1.65*AVERAGE('Data Historis 5 Tahun'!N337:N341)*SQRT(AVERAGE('Data Historis 5 Tahun'!H337:H341)),0),0)</f>
        <v>153</v>
      </c>
      <c r="J74" s="59">
        <f t="shared" si="30"/>
        <v>2238</v>
      </c>
      <c r="K74" s="60">
        <f t="shared" si="31"/>
        <v>433827066</v>
      </c>
      <c r="L74" s="61">
        <f>IFERROR(ROUND(AVERAGE('Data Historis 5 Tahun'!J337:J341),0),0)</f>
        <v>5053299</v>
      </c>
      <c r="M74" s="62">
        <f>IFERROR(ROUND(AVERAGE('Data Historis 5 Tahun'!K337:K341),0),0)</f>
        <v>240683</v>
      </c>
      <c r="N74" s="62">
        <f>IFERROR(ROUND(1.65*AVERAGE('Data Historis 5 Tahun'!N337:N341)*SQRT(AVERAGE('Data Historis 5 Tahun'!H337:H341)),0),0)</f>
        <v>153</v>
      </c>
      <c r="O74" s="63">
        <f t="shared" si="32"/>
        <v>1062</v>
      </c>
      <c r="P74" s="63">
        <f t="shared" si="33"/>
        <v>292406166</v>
      </c>
      <c r="Q74" s="63">
        <f t="shared" si="34"/>
        <v>141420900</v>
      </c>
      <c r="R74" s="64">
        <f t="shared" si="35"/>
        <v>531</v>
      </c>
      <c r="S74" s="65">
        <f t="shared" si="36"/>
        <v>255557987</v>
      </c>
      <c r="T74" s="65">
        <f t="shared" si="37"/>
        <v>100725836</v>
      </c>
      <c r="U74" s="66">
        <f t="shared" si="38"/>
        <v>356283823</v>
      </c>
      <c r="V74" s="67">
        <f t="shared" si="39"/>
        <v>1593</v>
      </c>
      <c r="W74" s="68">
        <f t="shared" si="40"/>
        <v>85185996</v>
      </c>
      <c r="X74" s="67">
        <f t="shared" si="41"/>
        <v>313714504</v>
      </c>
      <c r="Y74" s="69">
        <f t="shared" si="42"/>
        <v>292406166</v>
      </c>
      <c r="Z74" s="70" t="str">
        <f t="shared" si="43"/>
        <v>✅ EOQ (optimal)</v>
      </c>
      <c r="AA74" s="71">
        <f t="shared" si="44"/>
        <v>0.32598450185217354</v>
      </c>
    </row>
    <row r="75" spans="1:27" ht="15.75" customHeight="1" x14ac:dyDescent="0.35">
      <c r="A75" s="72">
        <v>68</v>
      </c>
      <c r="B75" s="72" t="s">
        <v>170</v>
      </c>
      <c r="C75" s="73" t="s">
        <v>171</v>
      </c>
      <c r="D75" s="72" t="s">
        <v>264</v>
      </c>
      <c r="E75" s="72" t="s">
        <v>57</v>
      </c>
      <c r="F75" s="58">
        <f>IFERROR(ROUND(AVERAGE('Data Historis 5 Tahun'!I342:I346),0),0)</f>
        <v>42874</v>
      </c>
      <c r="G75" s="58">
        <f>IFERROR(ROUND(AVERAGE('Data Historis 5 Tahun'!J342:J346)*1.1128,0),0)</f>
        <v>550292</v>
      </c>
      <c r="H75" s="58">
        <f>IFERROR(ROUND(AVERAGE('Data Historis 5 Tahun'!K342:K346)*1.1132,0),0)</f>
        <v>100946</v>
      </c>
      <c r="I75" s="58">
        <f>IFERROR(ROUND(1.65*AVERAGE('Data Historis 5 Tahun'!N342:N346)*SQRT(AVERAGE('Data Historis 5 Tahun'!H342:H346)),0),0)</f>
        <v>132</v>
      </c>
      <c r="J75" s="59">
        <f t="shared" si="30"/>
        <v>3573</v>
      </c>
      <c r="K75" s="60">
        <f t="shared" si="31"/>
        <v>200268097</v>
      </c>
      <c r="L75" s="61">
        <f>IFERROR(ROUND(AVERAGE('Data Historis 5 Tahun'!J342:J346),0),0)</f>
        <v>494511</v>
      </c>
      <c r="M75" s="62">
        <f>IFERROR(ROUND(AVERAGE('Data Historis 5 Tahun'!K342:K346),0),0)</f>
        <v>90681</v>
      </c>
      <c r="N75" s="62">
        <f>IFERROR(ROUND(1.65*AVERAGE('Data Historis 5 Tahun'!N342:N346)*SQRT(AVERAGE('Data Historis 5 Tahun'!H342:H346)),0),0)</f>
        <v>132</v>
      </c>
      <c r="O75" s="63">
        <f t="shared" si="32"/>
        <v>684</v>
      </c>
      <c r="P75" s="63">
        <f t="shared" si="33"/>
        <v>73979380</v>
      </c>
      <c r="Q75" s="63">
        <f t="shared" si="34"/>
        <v>126288717</v>
      </c>
      <c r="R75" s="64">
        <f t="shared" si="35"/>
        <v>342</v>
      </c>
      <c r="S75" s="65">
        <f t="shared" si="36"/>
        <v>61993171</v>
      </c>
      <c r="T75" s="65">
        <f t="shared" si="37"/>
        <v>27476343</v>
      </c>
      <c r="U75" s="66">
        <f t="shared" si="38"/>
        <v>89469514</v>
      </c>
      <c r="V75" s="67">
        <f t="shared" si="39"/>
        <v>1026</v>
      </c>
      <c r="W75" s="68">
        <f t="shared" si="40"/>
        <v>20664390</v>
      </c>
      <c r="X75" s="67">
        <f t="shared" si="41"/>
        <v>79153635</v>
      </c>
      <c r="Y75" s="69">
        <f t="shared" si="42"/>
        <v>73979380</v>
      </c>
      <c r="Z75" s="70" t="str">
        <f t="shared" si="43"/>
        <v>✅ EOQ (optimal)</v>
      </c>
      <c r="AA75" s="71">
        <f t="shared" si="44"/>
        <v>0.63059827746802832</v>
      </c>
    </row>
    <row r="76" spans="1:27" ht="15.75" customHeight="1" x14ac:dyDescent="0.35">
      <c r="A76" s="56">
        <v>69</v>
      </c>
      <c r="B76" s="56" t="s">
        <v>172</v>
      </c>
      <c r="C76" s="57" t="s">
        <v>173</v>
      </c>
      <c r="D76" s="56" t="s">
        <v>263</v>
      </c>
      <c r="E76" s="56" t="s">
        <v>36</v>
      </c>
      <c r="F76" s="58">
        <f>IFERROR(ROUND(AVERAGE('Data Historis 5 Tahun'!I347:I351),0),0)</f>
        <v>40017</v>
      </c>
      <c r="G76" s="58">
        <f>IFERROR(ROUND(AVERAGE('Data Historis 5 Tahun'!J347:J351)*1.1104,0),0)</f>
        <v>2196923</v>
      </c>
      <c r="H76" s="58">
        <f>IFERROR(ROUND(AVERAGE('Data Historis 5 Tahun'!K347:K351)*1.1489,0),0)</f>
        <v>272493</v>
      </c>
      <c r="I76" s="58">
        <f>IFERROR(ROUND(1.65*AVERAGE('Data Historis 5 Tahun'!N347:N351)*SQRT(AVERAGE('Data Historis 5 Tahun'!H347:H351)),0),0)</f>
        <v>93</v>
      </c>
      <c r="J76" s="59">
        <f t="shared" si="30"/>
        <v>3335</v>
      </c>
      <c r="K76" s="60">
        <f t="shared" si="31"/>
        <v>506085026</v>
      </c>
      <c r="L76" s="61">
        <f>IFERROR(ROUND(AVERAGE('Data Historis 5 Tahun'!J347:J351),0),0)</f>
        <v>1978497</v>
      </c>
      <c r="M76" s="62">
        <f>IFERROR(ROUND(AVERAGE('Data Historis 5 Tahun'!K347:K351),0),0)</f>
        <v>237177</v>
      </c>
      <c r="N76" s="62">
        <f>IFERROR(ROUND(1.65*AVERAGE('Data Historis 5 Tahun'!N347:N351)*SQRT(AVERAGE('Data Historis 5 Tahun'!H347:H351)),0),0)</f>
        <v>93</v>
      </c>
      <c r="O76" s="63">
        <f t="shared" si="32"/>
        <v>817</v>
      </c>
      <c r="P76" s="63">
        <f t="shared" si="33"/>
        <v>215851872</v>
      </c>
      <c r="Q76" s="63">
        <f t="shared" si="34"/>
        <v>290233154</v>
      </c>
      <c r="R76" s="64">
        <f t="shared" si="35"/>
        <v>409</v>
      </c>
      <c r="S76" s="65">
        <f t="shared" si="36"/>
        <v>193578275</v>
      </c>
      <c r="T76" s="65">
        <f t="shared" si="37"/>
        <v>70560158</v>
      </c>
      <c r="U76" s="66">
        <f t="shared" si="38"/>
        <v>264138433</v>
      </c>
      <c r="V76" s="67">
        <f t="shared" si="39"/>
        <v>1226</v>
      </c>
      <c r="W76" s="68">
        <f t="shared" si="40"/>
        <v>64578723</v>
      </c>
      <c r="X76" s="67">
        <f t="shared" si="41"/>
        <v>232025685</v>
      </c>
      <c r="Y76" s="69">
        <f t="shared" si="42"/>
        <v>215851872</v>
      </c>
      <c r="Z76" s="70" t="str">
        <f t="shared" si="43"/>
        <v>✅ EOQ (optimal)</v>
      </c>
      <c r="AA76" s="71">
        <f t="shared" si="44"/>
        <v>0.57348694209340234</v>
      </c>
    </row>
    <row r="77" spans="1:27" ht="15.75" customHeight="1" x14ac:dyDescent="0.35">
      <c r="A77" s="72">
        <v>70</v>
      </c>
      <c r="B77" s="72" t="s">
        <v>174</v>
      </c>
      <c r="C77" s="73" t="s">
        <v>175</v>
      </c>
      <c r="D77" s="72" t="s">
        <v>263</v>
      </c>
      <c r="E77" s="72" t="s">
        <v>36</v>
      </c>
      <c r="F77" s="58">
        <f>IFERROR(ROUND(AVERAGE('Data Historis 5 Tahun'!I352:I356),0),0)</f>
        <v>39139</v>
      </c>
      <c r="G77" s="58">
        <f>IFERROR(ROUND(AVERAGE('Data Historis 5 Tahun'!J352:J356)*1.2149,0),0)</f>
        <v>960133</v>
      </c>
      <c r="H77" s="58">
        <f>IFERROR(ROUND(AVERAGE('Data Historis 5 Tahun'!K352:K356)*1.0667,0),0)</f>
        <v>439905</v>
      </c>
      <c r="I77" s="58">
        <f>IFERROR(ROUND(1.65*AVERAGE('Data Historis 5 Tahun'!N352:N356)*SQRT(AVERAGE('Data Historis 5 Tahun'!H352:H356)),0),0)</f>
        <v>138</v>
      </c>
      <c r="J77" s="59">
        <f t="shared" si="30"/>
        <v>3262</v>
      </c>
      <c r="K77" s="60">
        <f t="shared" si="31"/>
        <v>789712069</v>
      </c>
      <c r="L77" s="61">
        <f>IFERROR(ROUND(AVERAGE('Data Historis 5 Tahun'!J352:J356),0),0)</f>
        <v>790298</v>
      </c>
      <c r="M77" s="62">
        <f>IFERROR(ROUND(AVERAGE('Data Historis 5 Tahun'!K352:K356),0),0)</f>
        <v>412398</v>
      </c>
      <c r="N77" s="62">
        <f>IFERROR(ROUND(1.65*AVERAGE('Data Historis 5 Tahun'!N352:N356)*SQRT(AVERAGE('Data Historis 5 Tahun'!H352:H356)),0),0)</f>
        <v>138</v>
      </c>
      <c r="O77" s="63">
        <f t="shared" si="32"/>
        <v>387</v>
      </c>
      <c r="P77" s="63">
        <f t="shared" si="33"/>
        <v>216636225</v>
      </c>
      <c r="Q77" s="63">
        <f t="shared" si="34"/>
        <v>573075844</v>
      </c>
      <c r="R77" s="64">
        <f t="shared" si="35"/>
        <v>194</v>
      </c>
      <c r="S77" s="65">
        <f t="shared" si="36"/>
        <v>159440585</v>
      </c>
      <c r="T77" s="65">
        <f t="shared" si="37"/>
        <v>96913530</v>
      </c>
      <c r="U77" s="66">
        <f t="shared" si="38"/>
        <v>256354115</v>
      </c>
      <c r="V77" s="67">
        <f t="shared" si="39"/>
        <v>581</v>
      </c>
      <c r="W77" s="68">
        <f t="shared" si="40"/>
        <v>53238336</v>
      </c>
      <c r="X77" s="67">
        <f t="shared" si="41"/>
        <v>229950879</v>
      </c>
      <c r="Y77" s="69">
        <f t="shared" si="42"/>
        <v>216636225</v>
      </c>
      <c r="Z77" s="70" t="str">
        <f t="shared" si="43"/>
        <v>✅ EOQ (optimal)</v>
      </c>
      <c r="AA77" s="71">
        <f t="shared" si="44"/>
        <v>0.72567694796114357</v>
      </c>
    </row>
    <row r="78" spans="1:27" ht="15.75" customHeight="1" x14ac:dyDescent="0.35">
      <c r="A78" s="56">
        <v>71</v>
      </c>
      <c r="B78" s="56" t="s">
        <v>176</v>
      </c>
      <c r="C78" s="57" t="s">
        <v>177</v>
      </c>
      <c r="D78" s="56" t="s">
        <v>263</v>
      </c>
      <c r="E78" s="56" t="s">
        <v>36</v>
      </c>
      <c r="F78" s="58">
        <f>IFERROR(ROUND(AVERAGE('Data Historis 5 Tahun'!I357:I361),0),0)</f>
        <v>43497</v>
      </c>
      <c r="G78" s="58">
        <f>IFERROR(ROUND(AVERAGE('Data Historis 5 Tahun'!J357:J361)*1.1713,0),0)</f>
        <v>6480648</v>
      </c>
      <c r="H78" s="58">
        <f>IFERROR(ROUND(AVERAGE('Data Historis 5 Tahun'!K357:K361)*1.1215,0),0)</f>
        <v>614619</v>
      </c>
      <c r="I78" s="58">
        <f>IFERROR(ROUND(1.65*AVERAGE('Data Historis 5 Tahun'!N357:N361)*SQRT(AVERAGE('Data Historis 5 Tahun'!H357:H361)),0),0)</f>
        <v>215</v>
      </c>
      <c r="J78" s="59">
        <f t="shared" si="30"/>
        <v>3625</v>
      </c>
      <c r="K78" s="60">
        <f t="shared" si="31"/>
        <v>1323902435</v>
      </c>
      <c r="L78" s="61">
        <f>IFERROR(ROUND(AVERAGE('Data Historis 5 Tahun'!J357:J361),0),0)</f>
        <v>5532868</v>
      </c>
      <c r="M78" s="62">
        <f>IFERROR(ROUND(AVERAGE('Data Historis 5 Tahun'!K357:K361),0),0)</f>
        <v>548033</v>
      </c>
      <c r="N78" s="62">
        <f>IFERROR(ROUND(1.65*AVERAGE('Data Historis 5 Tahun'!N357:N361)*SQRT(AVERAGE('Data Historis 5 Tahun'!H357:H361)),0),0)</f>
        <v>215</v>
      </c>
      <c r="O78" s="63">
        <f t="shared" si="32"/>
        <v>937</v>
      </c>
      <c r="P78" s="63">
        <f t="shared" si="33"/>
        <v>631424909</v>
      </c>
      <c r="Q78" s="63">
        <f t="shared" si="34"/>
        <v>692477526</v>
      </c>
      <c r="R78" s="64">
        <f t="shared" si="35"/>
        <v>469</v>
      </c>
      <c r="S78" s="65">
        <f t="shared" si="36"/>
        <v>513141065</v>
      </c>
      <c r="T78" s="65">
        <f t="shared" si="37"/>
        <v>246340834</v>
      </c>
      <c r="U78" s="66">
        <f t="shared" si="38"/>
        <v>759481899</v>
      </c>
      <c r="V78" s="67">
        <f t="shared" si="39"/>
        <v>1406</v>
      </c>
      <c r="W78" s="68">
        <f t="shared" si="40"/>
        <v>171168677</v>
      </c>
      <c r="X78" s="67">
        <f t="shared" si="41"/>
        <v>674262971</v>
      </c>
      <c r="Y78" s="69">
        <f t="shared" si="42"/>
        <v>631424909</v>
      </c>
      <c r="Z78" s="70" t="str">
        <f t="shared" si="43"/>
        <v>✅ EOQ (optimal)</v>
      </c>
      <c r="AA78" s="71">
        <f t="shared" si="44"/>
        <v>0.52305782336596429</v>
      </c>
    </row>
    <row r="79" spans="1:27" ht="15.75" customHeight="1" x14ac:dyDescent="0.35">
      <c r="A79" s="72">
        <v>72</v>
      </c>
      <c r="B79" s="72" t="s">
        <v>178</v>
      </c>
      <c r="C79" s="73" t="s">
        <v>179</v>
      </c>
      <c r="D79" s="72" t="s">
        <v>263</v>
      </c>
      <c r="E79" s="72" t="s">
        <v>36</v>
      </c>
      <c r="F79" s="58">
        <f>IFERROR(ROUND(AVERAGE('Data Historis 5 Tahun'!I362:I366),0),0)</f>
        <v>30049</v>
      </c>
      <c r="G79" s="58">
        <f>IFERROR(ROUND(AVERAGE('Data Historis 5 Tahun'!J362:J366)*1.1398,0),0)</f>
        <v>12247059</v>
      </c>
      <c r="H79" s="58">
        <f>IFERROR(ROUND(AVERAGE('Data Historis 5 Tahun'!K362:K366)*1.1634,0),0)</f>
        <v>98383</v>
      </c>
      <c r="I79" s="58">
        <f>IFERROR(ROUND(1.65*AVERAGE('Data Historis 5 Tahun'!N362:N366)*SQRT(AVERAGE('Data Historis 5 Tahun'!H362:H366)),0),0)</f>
        <v>210</v>
      </c>
      <c r="J79" s="59">
        <f t="shared" si="30"/>
        <v>2504</v>
      </c>
      <c r="K79" s="60">
        <f t="shared" si="31"/>
        <v>290805545</v>
      </c>
      <c r="L79" s="61">
        <f>IFERROR(ROUND(AVERAGE('Data Historis 5 Tahun'!J362:J366),0),0)</f>
        <v>10744919</v>
      </c>
      <c r="M79" s="62">
        <f>IFERROR(ROUND(AVERAGE('Data Historis 5 Tahun'!K362:K366),0),0)</f>
        <v>84565</v>
      </c>
      <c r="N79" s="62">
        <f>IFERROR(ROUND(1.65*AVERAGE('Data Historis 5 Tahun'!N362:N366)*SQRT(AVERAGE('Data Historis 5 Tahun'!H362:H366)),0),0)</f>
        <v>210</v>
      </c>
      <c r="O79" s="63">
        <f t="shared" si="32"/>
        <v>2763</v>
      </c>
      <c r="P79" s="63">
        <f t="shared" si="33"/>
        <v>251441539</v>
      </c>
      <c r="Q79" s="63">
        <f t="shared" si="34"/>
        <v>39364006</v>
      </c>
      <c r="R79" s="64">
        <f t="shared" si="35"/>
        <v>1382</v>
      </c>
      <c r="S79" s="65">
        <f t="shared" si="36"/>
        <v>233628127</v>
      </c>
      <c r="T79" s="65">
        <f t="shared" si="37"/>
        <v>76193065</v>
      </c>
      <c r="U79" s="66">
        <f t="shared" si="38"/>
        <v>309821192</v>
      </c>
      <c r="V79" s="67">
        <f t="shared" si="39"/>
        <v>4145</v>
      </c>
      <c r="W79" s="68">
        <f t="shared" si="40"/>
        <v>77894830</v>
      </c>
      <c r="X79" s="67">
        <f t="shared" si="41"/>
        <v>270914443</v>
      </c>
      <c r="Y79" s="69">
        <f t="shared" si="42"/>
        <v>251441539</v>
      </c>
      <c r="Z79" s="70" t="str">
        <f t="shared" si="43"/>
        <v>✅ EOQ (optimal)</v>
      </c>
      <c r="AA79" s="71">
        <f t="shared" si="44"/>
        <v>0.13536195123101935</v>
      </c>
    </row>
    <row r="80" spans="1:27" ht="15.75" customHeight="1" x14ac:dyDescent="0.35">
      <c r="A80" s="56">
        <v>73</v>
      </c>
      <c r="B80" s="56" t="s">
        <v>180</v>
      </c>
      <c r="C80" s="57" t="s">
        <v>181</v>
      </c>
      <c r="D80" s="56" t="s">
        <v>264</v>
      </c>
      <c r="E80" s="56" t="s">
        <v>36</v>
      </c>
      <c r="F80" s="58">
        <f>IFERROR(ROUND(AVERAGE('Data Historis 5 Tahun'!I367:I371),0),0)</f>
        <v>39993</v>
      </c>
      <c r="G80" s="58">
        <f>IFERROR(ROUND(AVERAGE('Data Historis 5 Tahun'!J367:J371)*1.1635,0),0)</f>
        <v>6546725</v>
      </c>
      <c r="H80" s="58">
        <f>IFERROR(ROUND(AVERAGE('Data Historis 5 Tahun'!K367:K371)*1.0775,0),0)</f>
        <v>478543</v>
      </c>
      <c r="I80" s="58">
        <f>IFERROR(ROUND(1.65*AVERAGE('Data Historis 5 Tahun'!N367:N371)*SQRT(AVERAGE('Data Historis 5 Tahun'!H367:H371)),0),0)</f>
        <v>249</v>
      </c>
      <c r="J80" s="59">
        <f t="shared" si="30"/>
        <v>3333</v>
      </c>
      <c r="K80" s="60">
        <f t="shared" si="31"/>
        <v>995203924</v>
      </c>
      <c r="L80" s="61">
        <f>IFERROR(ROUND(AVERAGE('Data Historis 5 Tahun'!J367:J371),0),0)</f>
        <v>5626751</v>
      </c>
      <c r="M80" s="62">
        <f>IFERROR(ROUND(AVERAGE('Data Historis 5 Tahun'!K367:K371),0),0)</f>
        <v>444123</v>
      </c>
      <c r="N80" s="62">
        <f>IFERROR(ROUND(1.65*AVERAGE('Data Historis 5 Tahun'!N367:N371)*SQRT(AVERAGE('Data Historis 5 Tahun'!H367:H371)),0),0)</f>
        <v>249</v>
      </c>
      <c r="O80" s="63">
        <f t="shared" si="32"/>
        <v>1007</v>
      </c>
      <c r="P80" s="63">
        <f t="shared" si="33"/>
        <v>557668946</v>
      </c>
      <c r="Q80" s="63">
        <f t="shared" si="34"/>
        <v>437534978</v>
      </c>
      <c r="R80" s="64">
        <f t="shared" si="35"/>
        <v>504</v>
      </c>
      <c r="S80" s="65">
        <f t="shared" si="36"/>
        <v>446489390</v>
      </c>
      <c r="T80" s="65">
        <f t="shared" si="37"/>
        <v>222505623</v>
      </c>
      <c r="U80" s="66">
        <f t="shared" si="38"/>
        <v>668995013</v>
      </c>
      <c r="V80" s="67">
        <f t="shared" si="39"/>
        <v>1511</v>
      </c>
      <c r="W80" s="68">
        <f t="shared" si="40"/>
        <v>148928294</v>
      </c>
      <c r="X80" s="67">
        <f t="shared" si="41"/>
        <v>595049848</v>
      </c>
      <c r="Y80" s="69">
        <f t="shared" si="42"/>
        <v>557668946</v>
      </c>
      <c r="Z80" s="70" t="str">
        <f t="shared" si="43"/>
        <v>✅ EOQ (optimal)</v>
      </c>
      <c r="AA80" s="71">
        <f t="shared" si="44"/>
        <v>0.43964354183957177</v>
      </c>
    </row>
    <row r="81" spans="1:27" ht="15.75" customHeight="1" x14ac:dyDescent="0.35">
      <c r="A81" s="72">
        <v>74</v>
      </c>
      <c r="B81" s="72" t="s">
        <v>182</v>
      </c>
      <c r="C81" s="73" t="s">
        <v>183</v>
      </c>
      <c r="D81" s="72" t="s">
        <v>264</v>
      </c>
      <c r="E81" s="72" t="s">
        <v>36</v>
      </c>
      <c r="F81" s="58">
        <f>IFERROR(ROUND(AVERAGE('Data Historis 5 Tahun'!I372:I376),0),0)</f>
        <v>39238</v>
      </c>
      <c r="G81" s="58">
        <f>IFERROR(ROUND(AVERAGE('Data Historis 5 Tahun'!J372:J376)*1.1809,0),0)</f>
        <v>10601425</v>
      </c>
      <c r="H81" s="58">
        <f>IFERROR(ROUND(AVERAGE('Data Historis 5 Tahun'!K372:K376)*1.1449,0),0)</f>
        <v>158407</v>
      </c>
      <c r="I81" s="58">
        <f>IFERROR(ROUND(1.65*AVERAGE('Data Historis 5 Tahun'!N372:N376)*SQRT(AVERAGE('Data Historis 5 Tahun'!H372:H376)),0),0)</f>
        <v>235</v>
      </c>
      <c r="J81" s="59">
        <f t="shared" si="30"/>
        <v>3270</v>
      </c>
      <c r="K81" s="60">
        <f t="shared" si="31"/>
        <v>423431706</v>
      </c>
      <c r="L81" s="61">
        <f>IFERROR(ROUND(AVERAGE('Data Historis 5 Tahun'!J372:J376),0),0)</f>
        <v>8977412</v>
      </c>
      <c r="M81" s="62">
        <f>IFERROR(ROUND(AVERAGE('Data Historis 5 Tahun'!K372:K376),0),0)</f>
        <v>138359</v>
      </c>
      <c r="N81" s="62">
        <f>IFERROR(ROUND(1.65*AVERAGE('Data Historis 5 Tahun'!N372:N376)*SQRT(AVERAGE('Data Historis 5 Tahun'!H372:H376)),0),0)</f>
        <v>235</v>
      </c>
      <c r="O81" s="63">
        <f t="shared" si="32"/>
        <v>2257</v>
      </c>
      <c r="P81" s="63">
        <f t="shared" si="33"/>
        <v>344725023</v>
      </c>
      <c r="Q81" s="63">
        <f t="shared" si="34"/>
        <v>78706683</v>
      </c>
      <c r="R81" s="64">
        <f t="shared" si="35"/>
        <v>1129</v>
      </c>
      <c r="S81" s="65">
        <f t="shared" si="36"/>
        <v>312006813</v>
      </c>
      <c r="T81" s="65">
        <f t="shared" si="37"/>
        <v>110618021</v>
      </c>
      <c r="U81" s="66">
        <f t="shared" si="38"/>
        <v>422624834</v>
      </c>
      <c r="V81" s="67">
        <f t="shared" si="39"/>
        <v>3386</v>
      </c>
      <c r="W81" s="68">
        <f t="shared" si="40"/>
        <v>104032986</v>
      </c>
      <c r="X81" s="67">
        <f t="shared" si="41"/>
        <v>370789138</v>
      </c>
      <c r="Y81" s="69">
        <f t="shared" si="42"/>
        <v>344725023</v>
      </c>
      <c r="Z81" s="70" t="str">
        <f t="shared" si="43"/>
        <v>✅ EOQ (optimal)</v>
      </c>
      <c r="AA81" s="71">
        <f t="shared" si="44"/>
        <v>0.18587810474447561</v>
      </c>
    </row>
    <row r="82" spans="1:27" ht="15.75" customHeight="1" x14ac:dyDescent="0.35">
      <c r="A82" s="56">
        <v>75</v>
      </c>
      <c r="B82" s="56" t="s">
        <v>184</v>
      </c>
      <c r="C82" s="57" t="s">
        <v>185</v>
      </c>
      <c r="D82" s="56" t="s">
        <v>264</v>
      </c>
      <c r="E82" s="56" t="s">
        <v>36</v>
      </c>
      <c r="F82" s="58">
        <f>IFERROR(ROUND(AVERAGE('Data Historis 5 Tahun'!I377:I381),0),0)</f>
        <v>40919</v>
      </c>
      <c r="G82" s="58">
        <f>IFERROR(ROUND(AVERAGE('Data Historis 5 Tahun'!J377:J381)*1.1302,0),0)</f>
        <v>10226197</v>
      </c>
      <c r="H82" s="58">
        <f>IFERROR(ROUND(AVERAGE('Data Historis 5 Tahun'!K377:K381)*1.0905,0),0)</f>
        <v>400624</v>
      </c>
      <c r="I82" s="58">
        <f>IFERROR(ROUND(1.65*AVERAGE('Data Historis 5 Tahun'!N377:N381)*SQRT(AVERAGE('Data Historis 5 Tahun'!H377:H381)),0),0)</f>
        <v>274</v>
      </c>
      <c r="J82" s="59">
        <f t="shared" si="30"/>
        <v>3410</v>
      </c>
      <c r="K82" s="60">
        <f t="shared" si="31"/>
        <v>915546261</v>
      </c>
      <c r="L82" s="61">
        <f>IFERROR(ROUND(AVERAGE('Data Historis 5 Tahun'!J377:J381),0),0)</f>
        <v>9048130</v>
      </c>
      <c r="M82" s="62">
        <f>IFERROR(ROUND(AVERAGE('Data Historis 5 Tahun'!K377:K381),0),0)</f>
        <v>367377</v>
      </c>
      <c r="N82" s="62">
        <f>IFERROR(ROUND(1.65*AVERAGE('Data Historis 5 Tahun'!N377:N381)*SQRT(AVERAGE('Data Historis 5 Tahun'!H377:H381)),0),0)</f>
        <v>274</v>
      </c>
      <c r="O82" s="63">
        <f t="shared" si="32"/>
        <v>1420</v>
      </c>
      <c r="P82" s="63">
        <f t="shared" si="33"/>
        <v>622231666</v>
      </c>
      <c r="Q82" s="63">
        <f t="shared" si="34"/>
        <v>293314595</v>
      </c>
      <c r="R82" s="64">
        <f t="shared" si="35"/>
        <v>710</v>
      </c>
      <c r="S82" s="65">
        <f t="shared" si="36"/>
        <v>521465396</v>
      </c>
      <c r="T82" s="65">
        <f t="shared" si="37"/>
        <v>231080133</v>
      </c>
      <c r="U82" s="66">
        <f t="shared" si="38"/>
        <v>752545529</v>
      </c>
      <c r="V82" s="67">
        <f t="shared" si="39"/>
        <v>2130</v>
      </c>
      <c r="W82" s="68">
        <f t="shared" si="40"/>
        <v>173821799</v>
      </c>
      <c r="X82" s="67">
        <f t="shared" si="41"/>
        <v>665739602</v>
      </c>
      <c r="Y82" s="69">
        <f t="shared" si="42"/>
        <v>622231666</v>
      </c>
      <c r="Z82" s="70" t="str">
        <f t="shared" si="43"/>
        <v>✅ EOQ (optimal)</v>
      </c>
      <c r="AA82" s="71">
        <f t="shared" si="44"/>
        <v>0.32037113523857208</v>
      </c>
    </row>
    <row r="83" spans="1:27" ht="15.75" customHeight="1" x14ac:dyDescent="0.35">
      <c r="A83" s="72">
        <v>76</v>
      </c>
      <c r="B83" s="72" t="s">
        <v>186</v>
      </c>
      <c r="C83" s="73" t="s">
        <v>187</v>
      </c>
      <c r="D83" s="72" t="s">
        <v>263</v>
      </c>
      <c r="E83" s="72" t="s">
        <v>36</v>
      </c>
      <c r="F83" s="58">
        <f>IFERROR(ROUND(AVERAGE('Data Historis 5 Tahun'!I382:I386),0),0)</f>
        <v>48619</v>
      </c>
      <c r="G83" s="58">
        <f>IFERROR(ROUND(AVERAGE('Data Historis 5 Tahun'!J382:J386)*1.2493,0),0)</f>
        <v>6469357</v>
      </c>
      <c r="H83" s="58">
        <f>IFERROR(ROUND(AVERAGE('Data Historis 5 Tahun'!K382:K386)*1.1345,0),0)</f>
        <v>247736</v>
      </c>
      <c r="I83" s="58">
        <f>IFERROR(ROUND(1.65*AVERAGE('Data Historis 5 Tahun'!N382:N386)*SQRT(AVERAGE('Data Historis 5 Tahun'!H382:H386)),0),0)</f>
        <v>266</v>
      </c>
      <c r="J83" s="59">
        <f t="shared" si="30"/>
        <v>4052</v>
      </c>
      <c r="K83" s="60">
        <f t="shared" si="31"/>
        <v>645435213</v>
      </c>
      <c r="L83" s="61">
        <f>IFERROR(ROUND(AVERAGE('Data Historis 5 Tahun'!J382:J386),0),0)</f>
        <v>5178386</v>
      </c>
      <c r="M83" s="62">
        <f>IFERROR(ROUND(AVERAGE('Data Historis 5 Tahun'!K382:K386),0),0)</f>
        <v>218366</v>
      </c>
      <c r="N83" s="62">
        <f>IFERROR(ROUND(1.65*AVERAGE('Data Historis 5 Tahun'!N382:N386)*SQRT(AVERAGE('Data Historis 5 Tahun'!H382:H386)),0),0)</f>
        <v>266</v>
      </c>
      <c r="O83" s="63">
        <f t="shared" si="32"/>
        <v>1519</v>
      </c>
      <c r="P83" s="63">
        <f t="shared" si="33"/>
        <v>389680185</v>
      </c>
      <c r="Q83" s="63">
        <f t="shared" si="34"/>
        <v>255755028</v>
      </c>
      <c r="R83" s="64">
        <f t="shared" si="35"/>
        <v>760</v>
      </c>
      <c r="S83" s="65">
        <f t="shared" si="36"/>
        <v>331273617</v>
      </c>
      <c r="T83" s="65">
        <f t="shared" si="37"/>
        <v>141064436</v>
      </c>
      <c r="U83" s="66">
        <f t="shared" si="38"/>
        <v>472338053</v>
      </c>
      <c r="V83" s="67">
        <f t="shared" si="39"/>
        <v>2279</v>
      </c>
      <c r="W83" s="68">
        <f t="shared" si="40"/>
        <v>110472992</v>
      </c>
      <c r="X83" s="67">
        <f t="shared" si="41"/>
        <v>417386405</v>
      </c>
      <c r="Y83" s="69">
        <f t="shared" si="42"/>
        <v>389680185</v>
      </c>
      <c r="Z83" s="70" t="str">
        <f t="shared" si="43"/>
        <v>✅ EOQ (optimal)</v>
      </c>
      <c r="AA83" s="71">
        <f t="shared" si="44"/>
        <v>0.39625205264405056</v>
      </c>
    </row>
    <row r="84" spans="1:27" ht="15.75" customHeight="1" x14ac:dyDescent="0.35">
      <c r="A84" s="56">
        <v>77</v>
      </c>
      <c r="B84" s="56" t="s">
        <v>188</v>
      </c>
      <c r="C84" s="57" t="s">
        <v>189</v>
      </c>
      <c r="D84" s="56" t="s">
        <v>263</v>
      </c>
      <c r="E84" s="56" t="s">
        <v>36</v>
      </c>
      <c r="F84" s="58">
        <f>IFERROR(ROUND(AVERAGE('Data Historis 5 Tahun'!I387:I391),0),0)</f>
        <v>17644</v>
      </c>
      <c r="G84" s="58">
        <f>IFERROR(ROUND(AVERAGE('Data Historis 5 Tahun'!J387:J391)*1.1657,0),0)</f>
        <v>8052064</v>
      </c>
      <c r="H84" s="58">
        <f>IFERROR(ROUND(AVERAGE('Data Historis 5 Tahun'!K387:K391)*1.1173,0),0)</f>
        <v>520100</v>
      </c>
      <c r="I84" s="58">
        <f>IFERROR(ROUND(1.65*AVERAGE('Data Historis 5 Tahun'!N387:N391)*SQRT(AVERAGE('Data Historis 5 Tahun'!H387:H391)),0),0)</f>
        <v>95</v>
      </c>
      <c r="J84" s="59">
        <f t="shared" si="30"/>
        <v>1470</v>
      </c>
      <c r="K84" s="60">
        <f t="shared" si="31"/>
        <v>528329678</v>
      </c>
      <c r="L84" s="61">
        <f>IFERROR(ROUND(AVERAGE('Data Historis 5 Tahun'!J387:J391),0),0)</f>
        <v>6907493</v>
      </c>
      <c r="M84" s="62">
        <f>IFERROR(ROUND(AVERAGE('Data Historis 5 Tahun'!K387:K391),0),0)</f>
        <v>465497</v>
      </c>
      <c r="N84" s="62">
        <f>IFERROR(ROUND(1.65*AVERAGE('Data Historis 5 Tahun'!N387:N391)*SQRT(AVERAGE('Data Historis 5 Tahun'!H387:H391)),0),0)</f>
        <v>95</v>
      </c>
      <c r="O84" s="63">
        <f t="shared" si="32"/>
        <v>724</v>
      </c>
      <c r="P84" s="63">
        <f t="shared" si="33"/>
        <v>381068878</v>
      </c>
      <c r="Q84" s="63">
        <f t="shared" si="34"/>
        <v>147260800</v>
      </c>
      <c r="R84" s="64">
        <f t="shared" si="35"/>
        <v>362</v>
      </c>
      <c r="S84" s="65">
        <f t="shared" si="36"/>
        <v>336673499</v>
      </c>
      <c r="T84" s="65">
        <f t="shared" si="37"/>
        <v>128477172</v>
      </c>
      <c r="U84" s="66">
        <f t="shared" si="38"/>
        <v>465150671</v>
      </c>
      <c r="V84" s="67">
        <f t="shared" si="39"/>
        <v>1086</v>
      </c>
      <c r="W84" s="68">
        <f t="shared" si="40"/>
        <v>112224500</v>
      </c>
      <c r="X84" s="67">
        <f t="shared" si="41"/>
        <v>409211586</v>
      </c>
      <c r="Y84" s="69">
        <f t="shared" si="42"/>
        <v>381068878</v>
      </c>
      <c r="Z84" s="70" t="str">
        <f t="shared" si="43"/>
        <v>✅ EOQ (optimal)</v>
      </c>
      <c r="AA84" s="71">
        <f t="shared" si="44"/>
        <v>0.27872899466382051</v>
      </c>
    </row>
    <row r="85" spans="1:27" ht="15.75" customHeight="1" x14ac:dyDescent="0.35">
      <c r="A85" s="72">
        <v>78</v>
      </c>
      <c r="B85" s="72" t="s">
        <v>190</v>
      </c>
      <c r="C85" s="73" t="s">
        <v>191</v>
      </c>
      <c r="D85" s="72" t="s">
        <v>263</v>
      </c>
      <c r="E85" s="72" t="s">
        <v>36</v>
      </c>
      <c r="F85" s="58">
        <f>IFERROR(ROUND(AVERAGE('Data Historis 5 Tahun'!I392:I396),0),0)</f>
        <v>37503</v>
      </c>
      <c r="G85" s="58">
        <f>IFERROR(ROUND(AVERAGE('Data Historis 5 Tahun'!J392:J396)*1.1182,0),0)</f>
        <v>1246338</v>
      </c>
      <c r="H85" s="58">
        <f>IFERROR(ROUND(AVERAGE('Data Historis 5 Tahun'!K392:K396)*1.0792,0),0)</f>
        <v>348135</v>
      </c>
      <c r="I85" s="58">
        <f>IFERROR(ROUND(1.65*AVERAGE('Data Historis 5 Tahun'!N392:N396)*SQRT(AVERAGE('Data Historis 5 Tahun'!H392:H396)),0),0)</f>
        <v>101</v>
      </c>
      <c r="J85" s="59">
        <f t="shared" si="30"/>
        <v>3125</v>
      </c>
      <c r="K85" s="60">
        <f t="shared" si="31"/>
        <v>594079825</v>
      </c>
      <c r="L85" s="61">
        <f>IFERROR(ROUND(AVERAGE('Data Historis 5 Tahun'!J392:J396),0),0)</f>
        <v>1114593</v>
      </c>
      <c r="M85" s="62">
        <f>IFERROR(ROUND(AVERAGE('Data Historis 5 Tahun'!K392:K396),0),0)</f>
        <v>322586</v>
      </c>
      <c r="N85" s="62">
        <f>IFERROR(ROUND(1.65*AVERAGE('Data Historis 5 Tahun'!N392:N396)*SQRT(AVERAGE('Data Historis 5 Tahun'!H392:H396)),0),0)</f>
        <v>101</v>
      </c>
      <c r="O85" s="63">
        <f t="shared" si="32"/>
        <v>509</v>
      </c>
      <c r="P85" s="63">
        <f t="shared" si="33"/>
        <v>196802272</v>
      </c>
      <c r="Q85" s="63">
        <f t="shared" si="34"/>
        <v>397277553</v>
      </c>
      <c r="R85" s="64">
        <f t="shared" si="35"/>
        <v>255</v>
      </c>
      <c r="S85" s="65">
        <f t="shared" si="36"/>
        <v>163923848</v>
      </c>
      <c r="T85" s="65">
        <f t="shared" si="37"/>
        <v>73710901</v>
      </c>
      <c r="U85" s="66">
        <f t="shared" si="38"/>
        <v>237634749</v>
      </c>
      <c r="V85" s="67">
        <f t="shared" si="39"/>
        <v>764</v>
      </c>
      <c r="W85" s="68">
        <f t="shared" si="40"/>
        <v>54712803</v>
      </c>
      <c r="X85" s="67">
        <f t="shared" si="41"/>
        <v>210521841</v>
      </c>
      <c r="Y85" s="69">
        <f t="shared" si="42"/>
        <v>196802272</v>
      </c>
      <c r="Z85" s="70" t="str">
        <f t="shared" si="43"/>
        <v>✅ EOQ (optimal)</v>
      </c>
      <c r="AA85" s="71">
        <f t="shared" si="44"/>
        <v>0.66872756199051198</v>
      </c>
    </row>
    <row r="86" spans="1:27" ht="15.75" customHeight="1" x14ac:dyDescent="0.35">
      <c r="A86" s="56">
        <v>79</v>
      </c>
      <c r="B86" s="56" t="s">
        <v>192</v>
      </c>
      <c r="C86" s="57" t="s">
        <v>193</v>
      </c>
      <c r="D86" s="56" t="s">
        <v>263</v>
      </c>
      <c r="E86" s="56" t="s">
        <v>36</v>
      </c>
      <c r="F86" s="58">
        <f>IFERROR(ROUND(AVERAGE('Data Historis 5 Tahun'!I397:I401),0),0)</f>
        <v>43648</v>
      </c>
      <c r="G86" s="58">
        <f>IFERROR(ROUND(AVERAGE('Data Historis 5 Tahun'!J397:J401)*1.1507,0),0)</f>
        <v>6713248</v>
      </c>
      <c r="H86" s="58">
        <f>IFERROR(ROUND(AVERAGE('Data Historis 5 Tahun'!K397:K401)*1.1265,0),0)</f>
        <v>528070</v>
      </c>
      <c r="I86" s="58">
        <f>IFERROR(ROUND(1.65*AVERAGE('Data Historis 5 Tahun'!N397:N401)*SQRT(AVERAGE('Data Historis 5 Tahun'!H397:H401)),0),0)</f>
        <v>337</v>
      </c>
      <c r="J86" s="59">
        <f t="shared" si="30"/>
        <v>3637</v>
      </c>
      <c r="K86" s="60">
        <f t="shared" si="31"/>
        <v>1218821244</v>
      </c>
      <c r="L86" s="61">
        <f>IFERROR(ROUND(AVERAGE('Data Historis 5 Tahun'!J397:J401),0),0)</f>
        <v>5834056</v>
      </c>
      <c r="M86" s="62">
        <f>IFERROR(ROUND(AVERAGE('Data Historis 5 Tahun'!K397:K401),0),0)</f>
        <v>468770</v>
      </c>
      <c r="N86" s="62">
        <f>IFERROR(ROUND(1.65*AVERAGE('Data Historis 5 Tahun'!N397:N401)*SQRT(AVERAGE('Data Historis 5 Tahun'!H397:H401)),0),0)</f>
        <v>337</v>
      </c>
      <c r="O86" s="63">
        <f t="shared" si="32"/>
        <v>1042</v>
      </c>
      <c r="P86" s="63">
        <f t="shared" si="33"/>
        <v>646585539</v>
      </c>
      <c r="Q86" s="63">
        <f t="shared" si="34"/>
        <v>572235705</v>
      </c>
      <c r="R86" s="64">
        <f t="shared" si="35"/>
        <v>521</v>
      </c>
      <c r="S86" s="65">
        <f t="shared" si="36"/>
        <v>488761759</v>
      </c>
      <c r="T86" s="65">
        <f t="shared" si="37"/>
        <v>280090075</v>
      </c>
      <c r="U86" s="66">
        <f t="shared" si="38"/>
        <v>768851834</v>
      </c>
      <c r="V86" s="67">
        <f t="shared" si="39"/>
        <v>1563</v>
      </c>
      <c r="W86" s="68">
        <f t="shared" si="40"/>
        <v>162920586</v>
      </c>
      <c r="X86" s="67">
        <f t="shared" si="41"/>
        <v>687239831</v>
      </c>
      <c r="Y86" s="69">
        <f t="shared" si="42"/>
        <v>646585539</v>
      </c>
      <c r="Z86" s="70" t="str">
        <f t="shared" si="43"/>
        <v>✅ EOQ (optimal)</v>
      </c>
      <c r="AA86" s="71">
        <f t="shared" si="44"/>
        <v>0.46949928696845067</v>
      </c>
    </row>
    <row r="87" spans="1:27" ht="15.75" customHeight="1" x14ac:dyDescent="0.35">
      <c r="A87" s="72">
        <v>80</v>
      </c>
      <c r="B87" s="72" t="s">
        <v>194</v>
      </c>
      <c r="C87" s="73" t="s">
        <v>195</v>
      </c>
      <c r="D87" s="72" t="s">
        <v>263</v>
      </c>
      <c r="E87" s="72" t="s">
        <v>36</v>
      </c>
      <c r="F87" s="58">
        <f>IFERROR(ROUND(AVERAGE('Data Historis 5 Tahun'!I402:I406),0),0)</f>
        <v>31863</v>
      </c>
      <c r="G87" s="58">
        <f>IFERROR(ROUND(AVERAGE('Data Historis 5 Tahun'!J402:J406)*1.1345,0),0)</f>
        <v>1571745</v>
      </c>
      <c r="H87" s="58">
        <f>IFERROR(ROUND(AVERAGE('Data Historis 5 Tahun'!K402:K406)*1.0786,0),0)</f>
        <v>562210</v>
      </c>
      <c r="I87" s="58">
        <f>IFERROR(ROUND(1.65*AVERAGE('Data Historis 5 Tahun'!N402:N406)*SQRT(AVERAGE('Data Historis 5 Tahun'!H402:H406)),0),0)</f>
        <v>92</v>
      </c>
      <c r="J87" s="59">
        <f t="shared" si="30"/>
        <v>2655</v>
      </c>
      <c r="K87" s="60">
        <f t="shared" si="31"/>
        <v>816919811</v>
      </c>
      <c r="L87" s="61">
        <f>IFERROR(ROUND(AVERAGE('Data Historis 5 Tahun'!J402:J406),0),0)</f>
        <v>1385407</v>
      </c>
      <c r="M87" s="62">
        <f>IFERROR(ROUND(AVERAGE('Data Historis 5 Tahun'!K402:K406),0),0)</f>
        <v>521240</v>
      </c>
      <c r="N87" s="62">
        <f>IFERROR(ROUND(1.65*AVERAGE('Data Historis 5 Tahun'!N402:N406)*SQRT(AVERAGE('Data Historis 5 Tahun'!H402:H406)),0),0)</f>
        <v>92</v>
      </c>
      <c r="O87" s="63">
        <f t="shared" si="32"/>
        <v>412</v>
      </c>
      <c r="P87" s="63">
        <f t="shared" si="33"/>
        <v>262473266</v>
      </c>
      <c r="Q87" s="63">
        <f t="shared" si="34"/>
        <v>554446545</v>
      </c>
      <c r="R87" s="64">
        <f t="shared" si="35"/>
        <v>206</v>
      </c>
      <c r="S87" s="65">
        <f t="shared" si="36"/>
        <v>214287491</v>
      </c>
      <c r="T87" s="65">
        <f t="shared" si="37"/>
        <v>101641800</v>
      </c>
      <c r="U87" s="66">
        <f t="shared" si="38"/>
        <v>315929291</v>
      </c>
      <c r="V87" s="67">
        <f t="shared" si="39"/>
        <v>618</v>
      </c>
      <c r="W87" s="68">
        <f t="shared" si="40"/>
        <v>71429164</v>
      </c>
      <c r="X87" s="67">
        <f t="shared" si="41"/>
        <v>280446404</v>
      </c>
      <c r="Y87" s="69">
        <f t="shared" si="42"/>
        <v>262473266</v>
      </c>
      <c r="Z87" s="70" t="str">
        <f t="shared" si="43"/>
        <v>✅ EOQ (optimal)</v>
      </c>
      <c r="AA87" s="71">
        <f t="shared" si="44"/>
        <v>0.6787037571304535</v>
      </c>
    </row>
    <row r="88" spans="1:27" ht="15.75" customHeight="1" x14ac:dyDescent="0.35">
      <c r="A88" s="56">
        <v>81</v>
      </c>
      <c r="B88" s="56" t="s">
        <v>196</v>
      </c>
      <c r="C88" s="57" t="s">
        <v>197</v>
      </c>
      <c r="D88" s="56" t="s">
        <v>264</v>
      </c>
      <c r="E88" s="56" t="s">
        <v>36</v>
      </c>
      <c r="F88" s="58">
        <f>IFERROR(ROUND(AVERAGE('Data Historis 5 Tahun'!I407:I411),0),0)</f>
        <v>1030</v>
      </c>
      <c r="G88" s="58">
        <f>IFERROR(ROUND(AVERAGE('Data Historis 5 Tahun'!J407:J411)*1.1106,0),0)</f>
        <v>7672144</v>
      </c>
      <c r="H88" s="58">
        <f>IFERROR(ROUND(AVERAGE('Data Historis 5 Tahun'!K407:K411)*1.132,0),0)</f>
        <v>597706</v>
      </c>
      <c r="I88" s="58">
        <f>IFERROR(ROUND(1.65*AVERAGE('Data Historis 5 Tahun'!N407:N411)*SQRT(AVERAGE('Data Historis 5 Tahun'!H407:H411)),0),0)</f>
        <v>6</v>
      </c>
      <c r="J88" s="59">
        <f t="shared" si="30"/>
        <v>86</v>
      </c>
      <c r="K88" s="60">
        <f t="shared" si="31"/>
        <v>121174900</v>
      </c>
      <c r="L88" s="61">
        <f>IFERROR(ROUND(AVERAGE('Data Historis 5 Tahun'!J407:J411),0),0)</f>
        <v>6908107</v>
      </c>
      <c r="M88" s="62">
        <f>IFERROR(ROUND(AVERAGE('Data Historis 5 Tahun'!K407:K411),0),0)</f>
        <v>528009</v>
      </c>
      <c r="N88" s="62">
        <f>IFERROR(ROUND(1.65*AVERAGE('Data Historis 5 Tahun'!N407:N411)*SQRT(AVERAGE('Data Historis 5 Tahun'!H407:H411)),0),0)</f>
        <v>6</v>
      </c>
      <c r="O88" s="63">
        <f t="shared" si="32"/>
        <v>164</v>
      </c>
      <c r="P88" s="63">
        <f t="shared" si="33"/>
        <v>89851074</v>
      </c>
      <c r="Q88" s="63">
        <f t="shared" si="34"/>
        <v>31323826</v>
      </c>
      <c r="R88" s="64">
        <f t="shared" si="35"/>
        <v>82</v>
      </c>
      <c r="S88" s="65">
        <f t="shared" si="36"/>
        <v>86772564</v>
      </c>
      <c r="T88" s="65">
        <f t="shared" si="37"/>
        <v>24816423</v>
      </c>
      <c r="U88" s="66">
        <f t="shared" si="38"/>
        <v>111588987</v>
      </c>
      <c r="V88" s="67">
        <f t="shared" si="39"/>
        <v>246</v>
      </c>
      <c r="W88" s="68">
        <f t="shared" si="40"/>
        <v>28924188</v>
      </c>
      <c r="X88" s="67">
        <f t="shared" si="41"/>
        <v>97037349</v>
      </c>
      <c r="Y88" s="69">
        <f t="shared" si="42"/>
        <v>89851074</v>
      </c>
      <c r="Z88" s="70" t="str">
        <f t="shared" si="43"/>
        <v>✅ EOQ (optimal)</v>
      </c>
      <c r="AA88" s="71">
        <f t="shared" si="44"/>
        <v>0.25850094367727972</v>
      </c>
    </row>
    <row r="89" spans="1:27" ht="15.75" customHeight="1" x14ac:dyDescent="0.35">
      <c r="A89" s="72">
        <v>82</v>
      </c>
      <c r="B89" s="72" t="s">
        <v>198</v>
      </c>
      <c r="C89" s="73" t="s">
        <v>199</v>
      </c>
      <c r="D89" s="72" t="s">
        <v>264</v>
      </c>
      <c r="E89" s="72" t="s">
        <v>36</v>
      </c>
      <c r="F89" s="58">
        <f>IFERROR(ROUND(AVERAGE('Data Historis 5 Tahun'!I412:I416),0),0)</f>
        <v>34773</v>
      </c>
      <c r="G89" s="58">
        <f>IFERROR(ROUND(AVERAGE('Data Historis 5 Tahun'!J412:J416)*1.1343,0),0)</f>
        <v>5661554</v>
      </c>
      <c r="H89" s="58">
        <f>IFERROR(ROUND(AVERAGE('Data Historis 5 Tahun'!K412:K416)*1.1677,0),0)</f>
        <v>451695</v>
      </c>
      <c r="I89" s="58">
        <f>IFERROR(ROUND(1.65*AVERAGE('Data Historis 5 Tahun'!N412:N416)*SQRT(AVERAGE('Data Historis 5 Tahun'!H412:H416)),0),0)</f>
        <v>213</v>
      </c>
      <c r="J89" s="59">
        <f t="shared" si="30"/>
        <v>2898</v>
      </c>
      <c r="K89" s="60">
        <f t="shared" si="31"/>
        <v>818649877</v>
      </c>
      <c r="L89" s="61">
        <f>IFERROR(ROUND(AVERAGE('Data Historis 5 Tahun'!J412:J416),0),0)</f>
        <v>4991231</v>
      </c>
      <c r="M89" s="62">
        <f>IFERROR(ROUND(AVERAGE('Data Historis 5 Tahun'!K412:K416),0),0)</f>
        <v>386825</v>
      </c>
      <c r="N89" s="62">
        <f>IFERROR(ROUND(1.65*AVERAGE('Data Historis 5 Tahun'!N412:N416)*SQRT(AVERAGE('Data Historis 5 Tahun'!H412:H416)),0),0)</f>
        <v>213</v>
      </c>
      <c r="O89" s="63">
        <f t="shared" si="32"/>
        <v>947</v>
      </c>
      <c r="P89" s="63">
        <f t="shared" si="33"/>
        <v>448828938</v>
      </c>
      <c r="Q89" s="63">
        <f t="shared" si="34"/>
        <v>369820939</v>
      </c>
      <c r="R89" s="64">
        <f t="shared" si="35"/>
        <v>474</v>
      </c>
      <c r="S89" s="65">
        <f t="shared" si="36"/>
        <v>366160497</v>
      </c>
      <c r="T89" s="65">
        <f t="shared" si="37"/>
        <v>174071250</v>
      </c>
      <c r="U89" s="66">
        <f t="shared" si="38"/>
        <v>540231747</v>
      </c>
      <c r="V89" s="67">
        <f t="shared" si="39"/>
        <v>1421</v>
      </c>
      <c r="W89" s="68">
        <f t="shared" si="40"/>
        <v>122139392</v>
      </c>
      <c r="X89" s="67">
        <f t="shared" si="41"/>
        <v>479372279</v>
      </c>
      <c r="Y89" s="69">
        <f t="shared" si="42"/>
        <v>448828938</v>
      </c>
      <c r="Z89" s="70" t="str">
        <f t="shared" si="43"/>
        <v>✅ EOQ (optimal)</v>
      </c>
      <c r="AA89" s="71">
        <f t="shared" si="44"/>
        <v>0.4517449393081629</v>
      </c>
    </row>
    <row r="90" spans="1:27" ht="15.75" customHeight="1" x14ac:dyDescent="0.35">
      <c r="A90" s="56">
        <v>83</v>
      </c>
      <c r="B90" s="56" t="s">
        <v>200</v>
      </c>
      <c r="C90" s="57" t="s">
        <v>201</v>
      </c>
      <c r="D90" s="56" t="s">
        <v>264</v>
      </c>
      <c r="E90" s="56" t="s">
        <v>36</v>
      </c>
      <c r="F90" s="58">
        <f>IFERROR(ROUND(AVERAGE('Data Historis 5 Tahun'!I417:I421),0),0)</f>
        <v>18497</v>
      </c>
      <c r="G90" s="58">
        <f>IFERROR(ROUND(AVERAGE('Data Historis 5 Tahun'!J417:J421)*1.2289,0),0)</f>
        <v>1312319</v>
      </c>
      <c r="H90" s="58">
        <f>IFERROR(ROUND(AVERAGE('Data Historis 5 Tahun'!K417:K421)*1.0592,0),0)</f>
        <v>497460</v>
      </c>
      <c r="I90" s="58">
        <f>IFERROR(ROUND(1.65*AVERAGE('Data Historis 5 Tahun'!N417:N421)*SQRT(AVERAGE('Data Historis 5 Tahun'!H417:H421)),0),0)</f>
        <v>53</v>
      </c>
      <c r="J90" s="59">
        <f t="shared" si="30"/>
        <v>1541</v>
      </c>
      <c r="K90" s="60">
        <f t="shared" si="31"/>
        <v>425410396</v>
      </c>
      <c r="L90" s="61">
        <f>IFERROR(ROUND(AVERAGE('Data Historis 5 Tahun'!J417:J421),0),0)</f>
        <v>1067881</v>
      </c>
      <c r="M90" s="62">
        <f>IFERROR(ROUND(AVERAGE('Data Historis 5 Tahun'!K417:K421),0),0)</f>
        <v>469657</v>
      </c>
      <c r="N90" s="62">
        <f>IFERROR(ROUND(1.65*AVERAGE('Data Historis 5 Tahun'!N417:N421)*SQRT(AVERAGE('Data Historis 5 Tahun'!H417:H421)),0),0)</f>
        <v>53</v>
      </c>
      <c r="O90" s="63">
        <f t="shared" si="32"/>
        <v>290</v>
      </c>
      <c r="P90" s="63">
        <f t="shared" si="33"/>
        <v>161104482</v>
      </c>
      <c r="Q90" s="63">
        <f t="shared" si="34"/>
        <v>264305914</v>
      </c>
      <c r="R90" s="64">
        <f t="shared" si="35"/>
        <v>145</v>
      </c>
      <c r="S90" s="65">
        <f t="shared" si="36"/>
        <v>136224792</v>
      </c>
      <c r="T90" s="65">
        <f t="shared" si="37"/>
        <v>58941954</v>
      </c>
      <c r="U90" s="66">
        <f t="shared" si="38"/>
        <v>195166746</v>
      </c>
      <c r="V90" s="67">
        <f t="shared" si="39"/>
        <v>435</v>
      </c>
      <c r="W90" s="68">
        <f t="shared" si="40"/>
        <v>45408264</v>
      </c>
      <c r="X90" s="67">
        <f t="shared" si="41"/>
        <v>172450483</v>
      </c>
      <c r="Y90" s="69">
        <f t="shared" si="42"/>
        <v>161104482</v>
      </c>
      <c r="Z90" s="70" t="str">
        <f t="shared" si="43"/>
        <v>✅ EOQ (optimal)</v>
      </c>
      <c r="AA90" s="71">
        <f t="shared" si="44"/>
        <v>0.62129632111764377</v>
      </c>
    </row>
    <row r="91" spans="1:27" ht="15.75" customHeight="1" x14ac:dyDescent="0.35">
      <c r="A91" s="72">
        <v>84</v>
      </c>
      <c r="B91" s="72" t="s">
        <v>202</v>
      </c>
      <c r="C91" s="73" t="s">
        <v>203</v>
      </c>
      <c r="D91" s="72" t="s">
        <v>264</v>
      </c>
      <c r="E91" s="72" t="s">
        <v>36</v>
      </c>
      <c r="F91" s="58">
        <f>IFERROR(ROUND(AVERAGE('Data Historis 5 Tahun'!I422:I426),0),0)</f>
        <v>50138</v>
      </c>
      <c r="G91" s="58">
        <f>IFERROR(ROUND(AVERAGE('Data Historis 5 Tahun'!J422:J426)*1.1357,0),0)</f>
        <v>786736</v>
      </c>
      <c r="H91" s="58">
        <f>IFERROR(ROUND(AVERAGE('Data Historis 5 Tahun'!K422:K426)*1.137,0),0)</f>
        <v>338445</v>
      </c>
      <c r="I91" s="58">
        <f>IFERROR(ROUND(1.65*AVERAGE('Data Historis 5 Tahun'!N422:N426)*SQRT(AVERAGE('Data Historis 5 Tahun'!H422:H426)),0),0)</f>
        <v>125</v>
      </c>
      <c r="J91" s="59">
        <f t="shared" si="30"/>
        <v>4178</v>
      </c>
      <c r="K91" s="60">
        <f t="shared" si="31"/>
        <v>758758439</v>
      </c>
      <c r="L91" s="61">
        <f>IFERROR(ROUND(AVERAGE('Data Historis 5 Tahun'!J422:J426),0),0)</f>
        <v>692732</v>
      </c>
      <c r="M91" s="62">
        <f>IFERROR(ROUND(AVERAGE('Data Historis 5 Tahun'!K422:K426),0),0)</f>
        <v>297665</v>
      </c>
      <c r="N91" s="62">
        <f>IFERROR(ROUND(1.65*AVERAGE('Data Historis 5 Tahun'!N422:N426)*SQRT(AVERAGE('Data Historis 5 Tahun'!H422:H426)),0),0)</f>
        <v>125</v>
      </c>
      <c r="O91" s="63">
        <f t="shared" si="32"/>
        <v>483</v>
      </c>
      <c r="P91" s="63">
        <f t="shared" si="33"/>
        <v>181003533</v>
      </c>
      <c r="Q91" s="63">
        <f t="shared" si="34"/>
        <v>577754906</v>
      </c>
      <c r="R91" s="64">
        <f t="shared" si="35"/>
        <v>242</v>
      </c>
      <c r="S91" s="65">
        <f t="shared" si="36"/>
        <v>143521475</v>
      </c>
      <c r="T91" s="65">
        <f t="shared" si="37"/>
        <v>73225590</v>
      </c>
      <c r="U91" s="66">
        <f t="shared" si="38"/>
        <v>216747065</v>
      </c>
      <c r="V91" s="67">
        <f t="shared" si="39"/>
        <v>725</v>
      </c>
      <c r="W91" s="68">
        <f t="shared" si="40"/>
        <v>47906479</v>
      </c>
      <c r="X91" s="67">
        <f t="shared" si="41"/>
        <v>193018166</v>
      </c>
      <c r="Y91" s="69">
        <f t="shared" si="42"/>
        <v>181003533</v>
      </c>
      <c r="Z91" s="70" t="str">
        <f t="shared" si="43"/>
        <v>✅ EOQ (optimal)</v>
      </c>
      <c r="AA91" s="71">
        <f t="shared" si="44"/>
        <v>0.76144774977586771</v>
      </c>
    </row>
    <row r="92" spans="1:27" ht="15.75" customHeight="1" x14ac:dyDescent="0.35">
      <c r="A92" s="56">
        <v>85</v>
      </c>
      <c r="B92" s="56" t="s">
        <v>204</v>
      </c>
      <c r="C92" s="57" t="s">
        <v>205</v>
      </c>
      <c r="D92" s="56" t="s">
        <v>264</v>
      </c>
      <c r="E92" s="56" t="s">
        <v>36</v>
      </c>
      <c r="F92" s="58">
        <f>IFERROR(ROUND(AVERAGE('Data Historis 5 Tahun'!I427:I431),0),0)</f>
        <v>38080</v>
      </c>
      <c r="G92" s="58">
        <f>IFERROR(ROUND(AVERAGE('Data Historis 5 Tahun'!J427:J431)*1.1321,0),0)</f>
        <v>10024167</v>
      </c>
      <c r="H92" s="58">
        <f>IFERROR(ROUND(AVERAGE('Data Historis 5 Tahun'!K427:K431)*1.0672,0),0)</f>
        <v>270313</v>
      </c>
      <c r="I92" s="58">
        <f>IFERROR(ROUND(1.65*AVERAGE('Data Historis 5 Tahun'!N427:N431)*SQRT(AVERAGE('Data Historis 5 Tahun'!H427:H431)),0),0)</f>
        <v>226</v>
      </c>
      <c r="J92" s="59">
        <f t="shared" si="30"/>
        <v>3173</v>
      </c>
      <c r="K92" s="60">
        <f t="shared" si="31"/>
        <v>610244953</v>
      </c>
      <c r="L92" s="61">
        <f>IFERROR(ROUND(AVERAGE('Data Historis 5 Tahun'!J427:J431),0),0)</f>
        <v>8854489</v>
      </c>
      <c r="M92" s="62">
        <f>IFERROR(ROUND(AVERAGE('Data Historis 5 Tahun'!K427:K431),0),0)</f>
        <v>253291</v>
      </c>
      <c r="N92" s="62">
        <f>IFERROR(ROUND(1.65*AVERAGE('Data Historis 5 Tahun'!N427:N431)*SQRT(AVERAGE('Data Historis 5 Tahun'!H427:H431)),0),0)</f>
        <v>226</v>
      </c>
      <c r="O92" s="63">
        <f t="shared" si="32"/>
        <v>1632</v>
      </c>
      <c r="P92" s="63">
        <f t="shared" si="33"/>
        <v>470533965</v>
      </c>
      <c r="Q92" s="63">
        <f t="shared" si="34"/>
        <v>139710988</v>
      </c>
      <c r="R92" s="64">
        <f t="shared" si="35"/>
        <v>816</v>
      </c>
      <c r="S92" s="65">
        <f t="shared" si="36"/>
        <v>413209487</v>
      </c>
      <c r="T92" s="65">
        <f t="shared" si="37"/>
        <v>160586494</v>
      </c>
      <c r="U92" s="66">
        <f t="shared" si="38"/>
        <v>573795981</v>
      </c>
      <c r="V92" s="67">
        <f t="shared" si="39"/>
        <v>2448</v>
      </c>
      <c r="W92" s="68">
        <f t="shared" si="40"/>
        <v>137736496</v>
      </c>
      <c r="X92" s="67">
        <f t="shared" si="41"/>
        <v>505008446</v>
      </c>
      <c r="Y92" s="69">
        <f t="shared" si="42"/>
        <v>470533965</v>
      </c>
      <c r="Z92" s="70" t="str">
        <f t="shared" si="43"/>
        <v>✅ EOQ (optimal)</v>
      </c>
      <c r="AA92" s="71">
        <f t="shared" si="44"/>
        <v>0.22894247189292199</v>
      </c>
    </row>
    <row r="93" spans="1:27" ht="15.75" customHeight="1" x14ac:dyDescent="0.35">
      <c r="A93" s="72">
        <v>86</v>
      </c>
      <c r="B93" s="72" t="s">
        <v>206</v>
      </c>
      <c r="C93" s="73" t="s">
        <v>207</v>
      </c>
      <c r="D93" s="72" t="s">
        <v>264</v>
      </c>
      <c r="E93" s="72" t="s">
        <v>36</v>
      </c>
      <c r="F93" s="58">
        <f>IFERROR(ROUND(AVERAGE('Data Historis 5 Tahun'!I432:I436),0),0)</f>
        <v>16448</v>
      </c>
      <c r="G93" s="58">
        <f>IFERROR(ROUND(AVERAGE('Data Historis 5 Tahun'!J432:J436)*1.2403,0),0)</f>
        <v>1555248</v>
      </c>
      <c r="H93" s="58">
        <f>IFERROR(ROUND(AVERAGE('Data Historis 5 Tahun'!K432:K436)*1.1242,0),0)</f>
        <v>560229</v>
      </c>
      <c r="I93" s="58">
        <f>IFERROR(ROUND(1.65*AVERAGE('Data Historis 5 Tahun'!N432:N436)*SQRT(AVERAGE('Data Historis 5 Tahun'!H432:H436)),0),0)</f>
        <v>42</v>
      </c>
      <c r="J93" s="59">
        <f t="shared" si="30"/>
        <v>1371</v>
      </c>
      <c r="K93" s="60">
        <f t="shared" si="31"/>
        <v>426225036</v>
      </c>
      <c r="L93" s="61">
        <f>IFERROR(ROUND(AVERAGE('Data Historis 5 Tahun'!J432:J436),0),0)</f>
        <v>1253929</v>
      </c>
      <c r="M93" s="62">
        <f>IFERROR(ROUND(AVERAGE('Data Historis 5 Tahun'!K432:K436),0),0)</f>
        <v>498335</v>
      </c>
      <c r="N93" s="62">
        <f>IFERROR(ROUND(1.65*AVERAGE('Data Historis 5 Tahun'!N432:N436)*SQRT(AVERAGE('Data Historis 5 Tahun'!H432:H436)),0),0)</f>
        <v>42</v>
      </c>
      <c r="O93" s="63">
        <f t="shared" si="32"/>
        <v>288</v>
      </c>
      <c r="P93" s="63">
        <f t="shared" si="33"/>
        <v>164303588</v>
      </c>
      <c r="Q93" s="63">
        <f t="shared" si="34"/>
        <v>261921448</v>
      </c>
      <c r="R93" s="64">
        <f t="shared" si="35"/>
        <v>144</v>
      </c>
      <c r="S93" s="65">
        <f t="shared" si="36"/>
        <v>143226557</v>
      </c>
      <c r="T93" s="65">
        <f t="shared" si="37"/>
        <v>56810190</v>
      </c>
      <c r="U93" s="66">
        <f t="shared" si="38"/>
        <v>200036747</v>
      </c>
      <c r="V93" s="67">
        <f t="shared" si="39"/>
        <v>432</v>
      </c>
      <c r="W93" s="68">
        <f t="shared" si="40"/>
        <v>47742186</v>
      </c>
      <c r="X93" s="67">
        <f t="shared" si="41"/>
        <v>176312616</v>
      </c>
      <c r="Y93" s="69">
        <f t="shared" si="42"/>
        <v>164303588</v>
      </c>
      <c r="Z93" s="70" t="str">
        <f t="shared" si="43"/>
        <v>✅ EOQ (optimal)</v>
      </c>
      <c r="AA93" s="71">
        <f t="shared" si="44"/>
        <v>0.61451446038472501</v>
      </c>
    </row>
    <row r="94" spans="1:27" ht="15.75" customHeight="1" x14ac:dyDescent="0.35">
      <c r="A94" s="56">
        <v>87</v>
      </c>
      <c r="B94" s="56" t="s">
        <v>208</v>
      </c>
      <c r="C94" s="57" t="s">
        <v>209</v>
      </c>
      <c r="D94" s="56" t="s">
        <v>264</v>
      </c>
      <c r="E94" s="56" t="s">
        <v>36</v>
      </c>
      <c r="F94" s="58">
        <f>IFERROR(ROUND(AVERAGE('Data Historis 5 Tahun'!I437:I441),0),0)</f>
        <v>52947</v>
      </c>
      <c r="G94" s="58">
        <f>IFERROR(ROUND(AVERAGE('Data Historis 5 Tahun'!J437:J441)*1.1709,0),0)</f>
        <v>12457608</v>
      </c>
      <c r="H94" s="58">
        <f>IFERROR(ROUND(AVERAGE('Data Historis 5 Tahun'!K437:K441)*1.152,0),0)</f>
        <v>452566</v>
      </c>
      <c r="I94" s="58">
        <f>IFERROR(ROUND(1.65*AVERAGE('Data Historis 5 Tahun'!N437:N441)*SQRT(AVERAGE('Data Historis 5 Tahun'!H437:H441)),0),0)</f>
        <v>306</v>
      </c>
      <c r="J94" s="59">
        <f t="shared" si="30"/>
        <v>4412</v>
      </c>
      <c r="K94" s="60">
        <f t="shared" si="31"/>
        <v>1286345559</v>
      </c>
      <c r="L94" s="61">
        <f>IFERROR(ROUND(AVERAGE('Data Historis 5 Tahun'!J437:J441),0),0)</f>
        <v>10639344</v>
      </c>
      <c r="M94" s="62">
        <f>IFERROR(ROUND(AVERAGE('Data Historis 5 Tahun'!K437:K441),0),0)</f>
        <v>392853</v>
      </c>
      <c r="N94" s="62">
        <f>IFERROR(ROUND(1.65*AVERAGE('Data Historis 5 Tahun'!N437:N441)*SQRT(AVERAGE('Data Historis 5 Tahun'!H437:H441)),0),0)</f>
        <v>306</v>
      </c>
      <c r="O94" s="63">
        <f t="shared" si="32"/>
        <v>1693</v>
      </c>
      <c r="P94" s="63">
        <f t="shared" si="33"/>
        <v>785498668</v>
      </c>
      <c r="Q94" s="63">
        <f t="shared" si="34"/>
        <v>500846891</v>
      </c>
      <c r="R94" s="64">
        <f t="shared" si="35"/>
        <v>847</v>
      </c>
      <c r="S94" s="65">
        <f t="shared" si="36"/>
        <v>665078331</v>
      </c>
      <c r="T94" s="65">
        <f t="shared" si="37"/>
        <v>286586264</v>
      </c>
      <c r="U94" s="66">
        <f t="shared" si="38"/>
        <v>951664595</v>
      </c>
      <c r="V94" s="67">
        <f t="shared" si="39"/>
        <v>2540</v>
      </c>
      <c r="W94" s="68">
        <f t="shared" si="40"/>
        <v>221780058</v>
      </c>
      <c r="X94" s="67">
        <f t="shared" si="41"/>
        <v>840916386</v>
      </c>
      <c r="Y94" s="69">
        <f t="shared" si="42"/>
        <v>785498668</v>
      </c>
      <c r="Z94" s="70" t="str">
        <f t="shared" si="43"/>
        <v>✅ EOQ (optimal)</v>
      </c>
      <c r="AA94" s="71">
        <f t="shared" si="44"/>
        <v>0.38935641165454515</v>
      </c>
    </row>
    <row r="95" spans="1:27" ht="15.75" customHeight="1" x14ac:dyDescent="0.35">
      <c r="A95" s="72">
        <v>88</v>
      </c>
      <c r="B95" s="72" t="s">
        <v>210</v>
      </c>
      <c r="C95" s="73" t="s">
        <v>211</v>
      </c>
      <c r="D95" s="72" t="s">
        <v>264</v>
      </c>
      <c r="E95" s="72" t="s">
        <v>36</v>
      </c>
      <c r="F95" s="58">
        <f>IFERROR(ROUND(AVERAGE('Data Historis 5 Tahun'!I442:I446),0),0)</f>
        <v>46152</v>
      </c>
      <c r="G95" s="58">
        <f>IFERROR(ROUND(AVERAGE('Data Historis 5 Tahun'!J442:J446)*1.2211,0),0)</f>
        <v>8093252</v>
      </c>
      <c r="H95" s="58">
        <f>IFERROR(ROUND(AVERAGE('Data Historis 5 Tahun'!K442:K446)*1.0748,0),0)</f>
        <v>359874</v>
      </c>
      <c r="I95" s="58">
        <f>IFERROR(ROUND(1.65*AVERAGE('Data Historis 5 Tahun'!N442:N446)*SQRT(AVERAGE('Data Historis 5 Tahun'!H442:H446)),0),0)</f>
        <v>330</v>
      </c>
      <c r="J95" s="59">
        <f t="shared" si="30"/>
        <v>3846</v>
      </c>
      <c r="K95" s="60">
        <f t="shared" si="31"/>
        <v>907915146</v>
      </c>
      <c r="L95" s="61">
        <f>IFERROR(ROUND(AVERAGE('Data Historis 5 Tahun'!J442:J446),0),0)</f>
        <v>6627837</v>
      </c>
      <c r="M95" s="62">
        <f>IFERROR(ROUND(AVERAGE('Data Historis 5 Tahun'!K442:K446),0),0)</f>
        <v>334828</v>
      </c>
      <c r="N95" s="62">
        <f>IFERROR(ROUND(1.65*AVERAGE('Data Historis 5 Tahun'!N442:N446)*SQRT(AVERAGE('Data Historis 5 Tahun'!H442:H446)),0),0)</f>
        <v>330</v>
      </c>
      <c r="O95" s="63">
        <f t="shared" si="32"/>
        <v>1352</v>
      </c>
      <c r="P95" s="63">
        <f t="shared" si="33"/>
        <v>563085439</v>
      </c>
      <c r="Q95" s="63">
        <f t="shared" si="34"/>
        <v>344829707</v>
      </c>
      <c r="R95" s="64">
        <f t="shared" si="35"/>
        <v>676</v>
      </c>
      <c r="S95" s="65">
        <f t="shared" si="36"/>
        <v>452496943</v>
      </c>
      <c r="T95" s="65">
        <f t="shared" si="37"/>
        <v>223665104</v>
      </c>
      <c r="U95" s="66">
        <f t="shared" si="38"/>
        <v>676162047</v>
      </c>
      <c r="V95" s="67">
        <f t="shared" si="39"/>
        <v>2028</v>
      </c>
      <c r="W95" s="68">
        <f t="shared" si="40"/>
        <v>150832314</v>
      </c>
      <c r="X95" s="67">
        <f t="shared" si="41"/>
        <v>600841146</v>
      </c>
      <c r="Y95" s="69">
        <f t="shared" si="42"/>
        <v>563085439</v>
      </c>
      <c r="Z95" s="70" t="str">
        <f t="shared" si="43"/>
        <v>✅ EOQ (optimal)</v>
      </c>
      <c r="AA95" s="71">
        <f t="shared" si="44"/>
        <v>0.37980389303914092</v>
      </c>
    </row>
    <row r="96" spans="1:27" ht="15.75" customHeight="1" x14ac:dyDescent="0.35">
      <c r="A96" s="56">
        <v>89</v>
      </c>
      <c r="B96" s="56" t="s">
        <v>212</v>
      </c>
      <c r="C96" s="57" t="s">
        <v>213</v>
      </c>
      <c r="D96" s="56" t="s">
        <v>264</v>
      </c>
      <c r="E96" s="56" t="s">
        <v>36</v>
      </c>
      <c r="F96" s="58">
        <f>IFERROR(ROUND(AVERAGE('Data Historis 5 Tahun'!I447:I451),0),0)</f>
        <v>28477</v>
      </c>
      <c r="G96" s="58">
        <f>IFERROR(ROUND(AVERAGE('Data Historis 5 Tahun'!J447:J451)*1.1145,0),0)</f>
        <v>2655508</v>
      </c>
      <c r="H96" s="58">
        <f>IFERROR(ROUND(AVERAGE('Data Historis 5 Tahun'!K447:K451)*1.106,0),0)</f>
        <v>201777</v>
      </c>
      <c r="I96" s="58">
        <f>IFERROR(ROUND(1.65*AVERAGE('Data Historis 5 Tahun'!N447:N451)*SQRT(AVERAGE('Data Historis 5 Tahun'!H447:H451)),0),0)</f>
        <v>78</v>
      </c>
      <c r="J96" s="59">
        <f t="shared" si="30"/>
        <v>2373</v>
      </c>
      <c r="K96" s="60">
        <f t="shared" si="31"/>
        <v>287014232</v>
      </c>
      <c r="L96" s="61">
        <f>IFERROR(ROUND(AVERAGE('Data Historis 5 Tahun'!J447:J451),0),0)</f>
        <v>2382690</v>
      </c>
      <c r="M96" s="62">
        <f>IFERROR(ROUND(AVERAGE('Data Historis 5 Tahun'!K447:K451),0),0)</f>
        <v>182439</v>
      </c>
      <c r="N96" s="62">
        <f>IFERROR(ROUND(1.65*AVERAGE('Data Historis 5 Tahun'!N447:N451)*SQRT(AVERAGE('Data Historis 5 Tahun'!H447:H451)),0),0)</f>
        <v>78</v>
      </c>
      <c r="O96" s="63">
        <f t="shared" si="32"/>
        <v>862</v>
      </c>
      <c r="P96" s="63">
        <f t="shared" si="33"/>
        <v>171575909</v>
      </c>
      <c r="Q96" s="63">
        <f t="shared" si="34"/>
        <v>115438323</v>
      </c>
      <c r="R96" s="64">
        <f t="shared" si="35"/>
        <v>431</v>
      </c>
      <c r="S96" s="65">
        <f t="shared" si="36"/>
        <v>157428917</v>
      </c>
      <c r="T96" s="65">
        <f t="shared" si="37"/>
        <v>53545847</v>
      </c>
      <c r="U96" s="66">
        <f t="shared" si="38"/>
        <v>210974764</v>
      </c>
      <c r="V96" s="67">
        <f t="shared" si="39"/>
        <v>1293</v>
      </c>
      <c r="W96" s="68">
        <f t="shared" si="40"/>
        <v>52476306</v>
      </c>
      <c r="X96" s="67">
        <f t="shared" si="41"/>
        <v>184653361</v>
      </c>
      <c r="Y96" s="69">
        <f t="shared" si="42"/>
        <v>171575909</v>
      </c>
      <c r="Z96" s="70" t="str">
        <f t="shared" si="43"/>
        <v>✅ EOQ (optimal)</v>
      </c>
      <c r="AA96" s="71">
        <f t="shared" si="44"/>
        <v>0.40220417710854145</v>
      </c>
    </row>
    <row r="97" spans="1:27" ht="15.75" customHeight="1" x14ac:dyDescent="0.35">
      <c r="A97" s="72">
        <v>90</v>
      </c>
      <c r="B97" s="72" t="s">
        <v>214</v>
      </c>
      <c r="C97" s="73" t="s">
        <v>215</v>
      </c>
      <c r="D97" s="72" t="s">
        <v>264</v>
      </c>
      <c r="E97" s="72" t="s">
        <v>36</v>
      </c>
      <c r="F97" s="58">
        <f>IFERROR(ROUND(AVERAGE('Data Historis 5 Tahun'!I452:I456),0),0)</f>
        <v>43051</v>
      </c>
      <c r="G97" s="58">
        <f>IFERROR(ROUND(AVERAGE('Data Historis 5 Tahun'!J452:J456)*1.1635,0),0)</f>
        <v>13455848</v>
      </c>
      <c r="H97" s="58">
        <f>IFERROR(ROUND(AVERAGE('Data Historis 5 Tahun'!K452:K456)*1.1107,0),0)</f>
        <v>147091</v>
      </c>
      <c r="I97" s="58">
        <f>IFERROR(ROUND(1.65*AVERAGE('Data Historis 5 Tahun'!N452:N456)*SQRT(AVERAGE('Data Historis 5 Tahun'!H452:H456)),0),0)</f>
        <v>268</v>
      </c>
      <c r="J97" s="59">
        <f t="shared" si="30"/>
        <v>3588</v>
      </c>
      <c r="K97" s="60">
        <f t="shared" si="31"/>
        <v>464753067</v>
      </c>
      <c r="L97" s="61">
        <f>IFERROR(ROUND(AVERAGE('Data Historis 5 Tahun'!J452:J456),0),0)</f>
        <v>11564975</v>
      </c>
      <c r="M97" s="62">
        <f>IFERROR(ROUND(AVERAGE('Data Historis 5 Tahun'!K452:K456),0),0)</f>
        <v>132431</v>
      </c>
      <c r="N97" s="62">
        <f>IFERROR(ROUND(1.65*AVERAGE('Data Historis 5 Tahun'!N452:N456)*SQRT(AVERAGE('Data Historis 5 Tahun'!H452:H456)),0),0)</f>
        <v>268</v>
      </c>
      <c r="O97" s="63">
        <f t="shared" si="32"/>
        <v>2742</v>
      </c>
      <c r="P97" s="63">
        <f t="shared" si="33"/>
        <v>398631265</v>
      </c>
      <c r="Q97" s="63">
        <f t="shared" si="34"/>
        <v>66121802</v>
      </c>
      <c r="R97" s="64">
        <f t="shared" si="35"/>
        <v>1371</v>
      </c>
      <c r="S97" s="65">
        <f t="shared" si="36"/>
        <v>363153712</v>
      </c>
      <c r="T97" s="65">
        <f t="shared" si="37"/>
        <v>126272959</v>
      </c>
      <c r="U97" s="66">
        <f t="shared" si="38"/>
        <v>489426671</v>
      </c>
      <c r="V97" s="67">
        <f t="shared" si="39"/>
        <v>4113</v>
      </c>
      <c r="W97" s="68">
        <f t="shared" si="40"/>
        <v>121051237</v>
      </c>
      <c r="X97" s="67">
        <f t="shared" si="41"/>
        <v>428887097</v>
      </c>
      <c r="Y97" s="69">
        <f t="shared" si="42"/>
        <v>398631265</v>
      </c>
      <c r="Z97" s="70" t="str">
        <f t="shared" si="43"/>
        <v>✅ EOQ (optimal)</v>
      </c>
      <c r="AA97" s="71">
        <f t="shared" si="44"/>
        <v>0.14227297611357129</v>
      </c>
    </row>
    <row r="98" spans="1:27" ht="15.75" customHeight="1" x14ac:dyDescent="0.35">
      <c r="A98" s="56">
        <v>91</v>
      </c>
      <c r="B98" s="56" t="s">
        <v>216</v>
      </c>
      <c r="C98" s="57" t="s">
        <v>217</v>
      </c>
      <c r="D98" s="56" t="s">
        <v>264</v>
      </c>
      <c r="E98" s="56" t="s">
        <v>36</v>
      </c>
      <c r="F98" s="58">
        <f>IFERROR(ROUND(AVERAGE('Data Historis 5 Tahun'!I457:I461),0),0)</f>
        <v>18662</v>
      </c>
      <c r="G98" s="58">
        <f>IFERROR(ROUND(AVERAGE('Data Historis 5 Tahun'!J457:J461)*1.2094,0),0)</f>
        <v>2090839</v>
      </c>
      <c r="H98" s="58">
        <f>IFERROR(ROUND(AVERAGE('Data Historis 5 Tahun'!K457:K461)*1.1375,0),0)</f>
        <v>435347</v>
      </c>
      <c r="I98" s="58">
        <f>IFERROR(ROUND(1.65*AVERAGE('Data Historis 5 Tahun'!N457:N461)*SQRT(AVERAGE('Data Historis 5 Tahun'!H457:H461)),0),0)</f>
        <v>65</v>
      </c>
      <c r="J98" s="59">
        <f t="shared" si="30"/>
        <v>1555</v>
      </c>
      <c r="K98" s="60">
        <f t="shared" si="31"/>
        <v>391872605</v>
      </c>
      <c r="L98" s="61">
        <f>IFERROR(ROUND(AVERAGE('Data Historis 5 Tahun'!J457:J461),0),0)</f>
        <v>1728824</v>
      </c>
      <c r="M98" s="62">
        <f>IFERROR(ROUND(AVERAGE('Data Historis 5 Tahun'!K457:K461),0),0)</f>
        <v>382723</v>
      </c>
      <c r="N98" s="62">
        <f>IFERROR(ROUND(1.65*AVERAGE('Data Historis 5 Tahun'!N457:N461)*SQRT(AVERAGE('Data Historis 5 Tahun'!H457:H461)),0),0)</f>
        <v>65</v>
      </c>
      <c r="O98" s="63">
        <f t="shared" si="32"/>
        <v>411</v>
      </c>
      <c r="P98" s="63">
        <f t="shared" si="33"/>
        <v>182026118</v>
      </c>
      <c r="Q98" s="63">
        <f t="shared" si="34"/>
        <v>209846487</v>
      </c>
      <c r="R98" s="64">
        <f t="shared" si="35"/>
        <v>206</v>
      </c>
      <c r="S98" s="65">
        <f t="shared" si="36"/>
        <v>156618027</v>
      </c>
      <c r="T98" s="65">
        <f t="shared" si="37"/>
        <v>64297464</v>
      </c>
      <c r="U98" s="66">
        <f t="shared" si="38"/>
        <v>220915491</v>
      </c>
      <c r="V98" s="67">
        <f t="shared" si="39"/>
        <v>617</v>
      </c>
      <c r="W98" s="68">
        <f t="shared" si="40"/>
        <v>52290622</v>
      </c>
      <c r="X98" s="67">
        <f t="shared" si="41"/>
        <v>195237662</v>
      </c>
      <c r="Y98" s="69">
        <f t="shared" si="42"/>
        <v>182026118</v>
      </c>
      <c r="Z98" s="70" t="str">
        <f t="shared" si="43"/>
        <v>✅ EOQ (optimal)</v>
      </c>
      <c r="AA98" s="71">
        <f t="shared" si="44"/>
        <v>0.53549670051571985</v>
      </c>
    </row>
    <row r="99" spans="1:27" ht="15.75" customHeight="1" x14ac:dyDescent="0.35">
      <c r="A99" s="72">
        <v>92</v>
      </c>
      <c r="B99" s="72" t="s">
        <v>218</v>
      </c>
      <c r="C99" s="73" t="s">
        <v>219</v>
      </c>
      <c r="D99" s="72" t="s">
        <v>264</v>
      </c>
      <c r="E99" s="72" t="s">
        <v>36</v>
      </c>
      <c r="F99" s="58">
        <f>IFERROR(ROUND(AVERAGE('Data Historis 5 Tahun'!I462:I466),0),0)</f>
        <v>7379</v>
      </c>
      <c r="G99" s="58">
        <f>IFERROR(ROUND(AVERAGE('Data Historis 5 Tahun'!J462:J466)*1.2476,0),0)</f>
        <v>704779</v>
      </c>
      <c r="H99" s="58">
        <f>IFERROR(ROUND(AVERAGE('Data Historis 5 Tahun'!K462:K466)*1.0628,0),0)</f>
        <v>89201</v>
      </c>
      <c r="I99" s="58">
        <f>IFERROR(ROUND(1.65*AVERAGE('Data Historis 5 Tahun'!N462:N466)*SQRT(AVERAGE('Data Historis 5 Tahun'!H462:H466)),0),0)</f>
        <v>26</v>
      </c>
      <c r="J99" s="59">
        <f t="shared" si="30"/>
        <v>615</v>
      </c>
      <c r="K99" s="60">
        <f t="shared" si="31"/>
        <v>38204736</v>
      </c>
      <c r="L99" s="61">
        <f>IFERROR(ROUND(AVERAGE('Data Historis 5 Tahun'!J462:J466),0),0)</f>
        <v>564908</v>
      </c>
      <c r="M99" s="62">
        <f>IFERROR(ROUND(AVERAGE('Data Historis 5 Tahun'!K462:K466),0),0)</f>
        <v>83931</v>
      </c>
      <c r="N99" s="62">
        <f>IFERROR(ROUND(1.65*AVERAGE('Data Historis 5 Tahun'!N462:N466)*SQRT(AVERAGE('Data Historis 5 Tahun'!H462:H466)),0),0)</f>
        <v>26</v>
      </c>
      <c r="O99" s="63">
        <f t="shared" si="32"/>
        <v>315</v>
      </c>
      <c r="P99" s="63">
        <f t="shared" si="33"/>
        <v>28634533</v>
      </c>
      <c r="Q99" s="63">
        <f t="shared" si="34"/>
        <v>9570203</v>
      </c>
      <c r="R99" s="64">
        <f t="shared" si="35"/>
        <v>158</v>
      </c>
      <c r="S99" s="65">
        <f t="shared" si="36"/>
        <v>26382634</v>
      </c>
      <c r="T99" s="65">
        <f t="shared" si="37"/>
        <v>8812755</v>
      </c>
      <c r="U99" s="66">
        <f t="shared" si="38"/>
        <v>35195389</v>
      </c>
      <c r="V99" s="67">
        <f t="shared" si="39"/>
        <v>473</v>
      </c>
      <c r="W99" s="68">
        <f t="shared" si="40"/>
        <v>8812804</v>
      </c>
      <c r="X99" s="67">
        <f t="shared" si="41"/>
        <v>30844691</v>
      </c>
      <c r="Y99" s="69">
        <f t="shared" si="42"/>
        <v>28634533</v>
      </c>
      <c r="Z99" s="70" t="str">
        <f t="shared" si="43"/>
        <v>✅ EOQ (optimal)</v>
      </c>
      <c r="AA99" s="71">
        <f t="shared" si="44"/>
        <v>0.25049781786216241</v>
      </c>
    </row>
    <row r="100" spans="1:27" ht="15.75" customHeight="1" x14ac:dyDescent="0.35">
      <c r="A100" s="56">
        <v>93</v>
      </c>
      <c r="B100" s="56" t="s">
        <v>220</v>
      </c>
      <c r="C100" s="57" t="s">
        <v>221</v>
      </c>
      <c r="D100" s="56" t="s">
        <v>264</v>
      </c>
      <c r="E100" s="56" t="s">
        <v>36</v>
      </c>
      <c r="F100" s="58">
        <f>IFERROR(ROUND(AVERAGE('Data Historis 5 Tahun'!I467:I471),0),0)</f>
        <v>1228</v>
      </c>
      <c r="G100" s="58">
        <f>IFERROR(ROUND(AVERAGE('Data Historis 5 Tahun'!J467:J471)*1.1604,0),0)</f>
        <v>2298576</v>
      </c>
      <c r="H100" s="58">
        <f>IFERROR(ROUND(AVERAGE('Data Historis 5 Tahun'!K467:K471)*1.0941,0),0)</f>
        <v>453793</v>
      </c>
      <c r="I100" s="58">
        <f>IFERROR(ROUND(1.65*AVERAGE('Data Historis 5 Tahun'!N467:N471)*SQRT(AVERAGE('Data Historis 5 Tahun'!H467:H471)),0),0)</f>
        <v>5</v>
      </c>
      <c r="J100" s="59">
        <f t="shared" si="30"/>
        <v>102</v>
      </c>
      <c r="K100" s="60">
        <f t="shared" si="31"/>
        <v>53085460</v>
      </c>
      <c r="L100" s="61">
        <f>IFERROR(ROUND(AVERAGE('Data Historis 5 Tahun'!J467:J471),0),0)</f>
        <v>1980848</v>
      </c>
      <c r="M100" s="62">
        <f>IFERROR(ROUND(AVERAGE('Data Historis 5 Tahun'!K467:K471),0),0)</f>
        <v>414764</v>
      </c>
      <c r="N100" s="62">
        <f>IFERROR(ROUND(1.65*AVERAGE('Data Historis 5 Tahun'!N467:N471)*SQRT(AVERAGE('Data Historis 5 Tahun'!H467:H471)),0),0)</f>
        <v>5</v>
      </c>
      <c r="O100" s="63">
        <f t="shared" si="32"/>
        <v>108</v>
      </c>
      <c r="P100" s="63">
        <f t="shared" si="33"/>
        <v>46994051</v>
      </c>
      <c r="Q100" s="63">
        <f t="shared" si="34"/>
        <v>6091409</v>
      </c>
      <c r="R100" s="64">
        <f t="shared" si="35"/>
        <v>54</v>
      </c>
      <c r="S100" s="65">
        <f t="shared" si="36"/>
        <v>45045951</v>
      </c>
      <c r="T100" s="65">
        <f t="shared" si="37"/>
        <v>13272448</v>
      </c>
      <c r="U100" s="66">
        <f t="shared" si="38"/>
        <v>58318399</v>
      </c>
      <c r="V100" s="67">
        <f t="shared" si="39"/>
        <v>162</v>
      </c>
      <c r="W100" s="68">
        <f t="shared" si="40"/>
        <v>15015317</v>
      </c>
      <c r="X100" s="67">
        <f t="shared" si="41"/>
        <v>50685021</v>
      </c>
      <c r="Y100" s="69">
        <f t="shared" si="42"/>
        <v>46994051</v>
      </c>
      <c r="Z100" s="70" t="str">
        <f t="shared" si="43"/>
        <v>✅ EOQ (optimal)</v>
      </c>
      <c r="AA100" s="71">
        <f t="shared" si="44"/>
        <v>0.11474722080208027</v>
      </c>
    </row>
    <row r="101" spans="1:27" ht="15.75" customHeight="1" x14ac:dyDescent="0.35">
      <c r="A101" s="72">
        <v>94</v>
      </c>
      <c r="B101" s="72" t="s">
        <v>222</v>
      </c>
      <c r="C101" s="73" t="s">
        <v>223</v>
      </c>
      <c r="D101" s="72" t="s">
        <v>263</v>
      </c>
      <c r="E101" s="72" t="s">
        <v>36</v>
      </c>
      <c r="F101" s="58">
        <f>IFERROR(ROUND(AVERAGE('Data Historis 5 Tahun'!I472:I476),0),0)</f>
        <v>2277</v>
      </c>
      <c r="G101" s="58">
        <f>IFERROR(ROUND(AVERAGE('Data Historis 5 Tahun'!J472:J476)*1.2293,0),0)</f>
        <v>1250972</v>
      </c>
      <c r="H101" s="58">
        <f>IFERROR(ROUND(AVERAGE('Data Historis 5 Tahun'!K472:K476)*1.0823,0),0)</f>
        <v>318923</v>
      </c>
      <c r="I101" s="58">
        <f>IFERROR(ROUND(1.65*AVERAGE('Data Historis 5 Tahun'!N472:N476)*SQRT(AVERAGE('Data Historis 5 Tahun'!H472:H476)),0),0)</f>
        <v>5</v>
      </c>
      <c r="J101" s="59">
        <f t="shared" si="30"/>
        <v>190</v>
      </c>
      <c r="K101" s="60">
        <f t="shared" si="31"/>
        <v>46884212</v>
      </c>
      <c r="L101" s="61">
        <f>IFERROR(ROUND(AVERAGE('Data Historis 5 Tahun'!J472:J476),0),0)</f>
        <v>1017629</v>
      </c>
      <c r="M101" s="62">
        <f>IFERROR(ROUND(AVERAGE('Data Historis 5 Tahun'!K472:K476),0),0)</f>
        <v>294671</v>
      </c>
      <c r="N101" s="62">
        <f>IFERROR(ROUND(1.65*AVERAGE('Data Historis 5 Tahun'!N472:N476)*SQRT(AVERAGE('Data Historis 5 Tahun'!H472:H476)),0),0)</f>
        <v>5</v>
      </c>
      <c r="O101" s="63">
        <f t="shared" si="32"/>
        <v>125</v>
      </c>
      <c r="P101" s="63">
        <f t="shared" si="33"/>
        <v>38427422</v>
      </c>
      <c r="Q101" s="63">
        <f t="shared" si="34"/>
        <v>8456790</v>
      </c>
      <c r="R101" s="64">
        <f t="shared" si="35"/>
        <v>63</v>
      </c>
      <c r="S101" s="65">
        <f t="shared" si="36"/>
        <v>36780020</v>
      </c>
      <c r="T101" s="65">
        <f t="shared" si="37"/>
        <v>10755492</v>
      </c>
      <c r="U101" s="66">
        <f t="shared" si="38"/>
        <v>47535512</v>
      </c>
      <c r="V101" s="67">
        <f t="shared" si="39"/>
        <v>188</v>
      </c>
      <c r="W101" s="68">
        <f t="shared" si="40"/>
        <v>12325219</v>
      </c>
      <c r="X101" s="67">
        <f t="shared" si="41"/>
        <v>41497648</v>
      </c>
      <c r="Y101" s="69">
        <f t="shared" si="42"/>
        <v>38427422</v>
      </c>
      <c r="Z101" s="70" t="str">
        <f t="shared" si="43"/>
        <v>✅ EOQ (optimal)</v>
      </c>
      <c r="AA101" s="71">
        <f t="shared" si="44"/>
        <v>0.18037607201332509</v>
      </c>
    </row>
    <row r="102" spans="1:27" ht="15.75" customHeight="1" x14ac:dyDescent="0.35">
      <c r="A102" s="56">
        <v>95</v>
      </c>
      <c r="B102" s="56" t="s">
        <v>224</v>
      </c>
      <c r="C102" s="57" t="s">
        <v>225</v>
      </c>
      <c r="D102" s="56" t="s">
        <v>263</v>
      </c>
      <c r="E102" s="56" t="s">
        <v>36</v>
      </c>
      <c r="F102" s="58">
        <f>IFERROR(ROUND(AVERAGE('Data Historis 5 Tahun'!I477:I481),0),0)</f>
        <v>20812</v>
      </c>
      <c r="G102" s="58">
        <f>IFERROR(ROUND(AVERAGE('Data Historis 5 Tahun'!J477:J481)*1.1285,0),0)</f>
        <v>2055186</v>
      </c>
      <c r="H102" s="58">
        <f>IFERROR(ROUND(AVERAGE('Data Historis 5 Tahun'!K477:K481)*1.1083,0),0)</f>
        <v>169590</v>
      </c>
      <c r="I102" s="58">
        <f>IFERROR(ROUND(1.65*AVERAGE('Data Historis 5 Tahun'!N477:N481)*SQRT(AVERAGE('Data Historis 5 Tahun'!H477:H481)),0),0)</f>
        <v>48</v>
      </c>
      <c r="J102" s="59">
        <f t="shared" si="30"/>
        <v>1734</v>
      </c>
      <c r="K102" s="60">
        <f t="shared" si="31"/>
        <v>179841823</v>
      </c>
      <c r="L102" s="61">
        <f>IFERROR(ROUND(AVERAGE('Data Historis 5 Tahun'!J477:J481),0),0)</f>
        <v>1821166</v>
      </c>
      <c r="M102" s="62">
        <f>IFERROR(ROUND(AVERAGE('Data Historis 5 Tahun'!K477:K481),0),0)</f>
        <v>153018</v>
      </c>
      <c r="N102" s="62">
        <f>IFERROR(ROUND(1.65*AVERAGE('Data Historis 5 Tahun'!N477:N481)*SQRT(AVERAGE('Data Historis 5 Tahun'!H477:H481)),0),0)</f>
        <v>48</v>
      </c>
      <c r="O102" s="63">
        <f t="shared" si="32"/>
        <v>704</v>
      </c>
      <c r="P102" s="63">
        <f t="shared" si="33"/>
        <v>115045420</v>
      </c>
      <c r="Q102" s="63">
        <f t="shared" si="34"/>
        <v>64796403</v>
      </c>
      <c r="R102" s="64">
        <f t="shared" si="35"/>
        <v>352</v>
      </c>
      <c r="S102" s="65">
        <f t="shared" si="36"/>
        <v>107676440</v>
      </c>
      <c r="T102" s="65">
        <f t="shared" si="37"/>
        <v>34276032</v>
      </c>
      <c r="U102" s="66">
        <f t="shared" si="38"/>
        <v>141952472</v>
      </c>
      <c r="V102" s="67">
        <f t="shared" si="39"/>
        <v>1056</v>
      </c>
      <c r="W102" s="68">
        <f t="shared" si="40"/>
        <v>35892147</v>
      </c>
      <c r="X102" s="67">
        <f t="shared" si="41"/>
        <v>124030515</v>
      </c>
      <c r="Y102" s="69">
        <f t="shared" si="42"/>
        <v>115045420</v>
      </c>
      <c r="Z102" s="70" t="str">
        <f t="shared" si="43"/>
        <v>✅ EOQ (optimal)</v>
      </c>
      <c r="AA102" s="71">
        <f t="shared" si="44"/>
        <v>0.36029663133474799</v>
      </c>
    </row>
    <row r="103" spans="1:27" ht="15.75" customHeight="1" x14ac:dyDescent="0.35">
      <c r="A103" s="72">
        <v>96</v>
      </c>
      <c r="B103" s="72" t="s">
        <v>226</v>
      </c>
      <c r="C103" s="73" t="s">
        <v>227</v>
      </c>
      <c r="D103" s="72" t="s">
        <v>264</v>
      </c>
      <c r="E103" s="72" t="s">
        <v>36</v>
      </c>
      <c r="F103" s="58">
        <f>IFERROR(ROUND(AVERAGE('Data Historis 5 Tahun'!I482:I486),0),0)</f>
        <v>37882</v>
      </c>
      <c r="G103" s="58">
        <f>IFERROR(ROUND(AVERAGE('Data Historis 5 Tahun'!J482:J486)*1.1633,0),0)</f>
        <v>1667826</v>
      </c>
      <c r="H103" s="58">
        <f>IFERROR(ROUND(AVERAGE('Data Historis 5 Tahun'!K482:K486)*1.0862,0),0)</f>
        <v>425156</v>
      </c>
      <c r="I103" s="58">
        <f>IFERROR(ROUND(1.65*AVERAGE('Data Historis 5 Tahun'!N482:N486)*SQRT(AVERAGE('Data Historis 5 Tahun'!H482:H486)),0),0)</f>
        <v>120</v>
      </c>
      <c r="J103" s="59">
        <f t="shared" si="30"/>
        <v>3157</v>
      </c>
      <c r="K103" s="60">
        <f t="shared" si="31"/>
        <v>742140321</v>
      </c>
      <c r="L103" s="61">
        <f>IFERROR(ROUND(AVERAGE('Data Historis 5 Tahun'!J482:J486),0),0)</f>
        <v>1433703</v>
      </c>
      <c r="M103" s="62">
        <f>IFERROR(ROUND(AVERAGE('Data Historis 5 Tahun'!K482:K486),0),0)</f>
        <v>391416</v>
      </c>
      <c r="N103" s="62">
        <f>IFERROR(ROUND(1.65*AVERAGE('Data Historis 5 Tahun'!N482:N486)*SQRT(AVERAGE('Data Historis 5 Tahun'!H482:H486)),0),0)</f>
        <v>120</v>
      </c>
      <c r="O103" s="63">
        <f t="shared" si="32"/>
        <v>527</v>
      </c>
      <c r="P103" s="63">
        <f t="shared" si="33"/>
        <v>253165981</v>
      </c>
      <c r="Q103" s="63">
        <f t="shared" si="34"/>
        <v>488974340</v>
      </c>
      <c r="R103" s="64">
        <f t="shared" si="35"/>
        <v>264</v>
      </c>
      <c r="S103" s="65">
        <f t="shared" si="36"/>
        <v>205725519</v>
      </c>
      <c r="T103" s="65">
        <f t="shared" si="37"/>
        <v>98636832</v>
      </c>
      <c r="U103" s="66">
        <f t="shared" si="38"/>
        <v>304362351</v>
      </c>
      <c r="V103" s="67">
        <f t="shared" si="39"/>
        <v>791</v>
      </c>
      <c r="W103" s="68">
        <f t="shared" si="40"/>
        <v>68661867</v>
      </c>
      <c r="X103" s="67">
        <f t="shared" si="41"/>
        <v>270436815</v>
      </c>
      <c r="Y103" s="69">
        <f t="shared" si="42"/>
        <v>253165981</v>
      </c>
      <c r="Z103" s="70" t="str">
        <f t="shared" si="43"/>
        <v>✅ EOQ (optimal)</v>
      </c>
      <c r="AA103" s="71">
        <f t="shared" si="44"/>
        <v>0.6588704671660065</v>
      </c>
    </row>
    <row r="104" spans="1:27" ht="15.75" customHeight="1" x14ac:dyDescent="0.35">
      <c r="A104" s="56">
        <v>97</v>
      </c>
      <c r="B104" s="56" t="s">
        <v>228</v>
      </c>
      <c r="C104" s="57" t="s">
        <v>229</v>
      </c>
      <c r="D104" s="56" t="s">
        <v>264</v>
      </c>
      <c r="E104" s="56" t="s">
        <v>36</v>
      </c>
      <c r="F104" s="58">
        <f>IFERROR(ROUND(AVERAGE('Data Historis 5 Tahun'!I487:I491),0),0)</f>
        <v>26110</v>
      </c>
      <c r="G104" s="58">
        <f>IFERROR(ROUND(AVERAGE('Data Historis 5 Tahun'!J487:J491)*1.1375,0),0)</f>
        <v>2542051</v>
      </c>
      <c r="H104" s="58">
        <f>IFERROR(ROUND(AVERAGE('Data Historis 5 Tahun'!K487:K491)*1.17,0),0)</f>
        <v>666662</v>
      </c>
      <c r="I104" s="58">
        <f>IFERROR(ROUND(1.65*AVERAGE('Data Historis 5 Tahun'!N487:N491)*SQRT(AVERAGE('Data Historis 5 Tahun'!H487:H491)),0),0)</f>
        <v>85</v>
      </c>
      <c r="J104" s="59">
        <f t="shared" si="30"/>
        <v>2176</v>
      </c>
      <c r="K104" s="60">
        <f t="shared" ref="K104:K135" si="45">IFERROR(ROUND((F104/J104)*G104+(J104/2)*H104+I104*H104,0),0)</f>
        <v>812496802</v>
      </c>
      <c r="L104" s="61">
        <f>IFERROR(ROUND(AVERAGE('Data Historis 5 Tahun'!J487:J491),0),0)</f>
        <v>2234770</v>
      </c>
      <c r="M104" s="62">
        <f>IFERROR(ROUND(AVERAGE('Data Historis 5 Tahun'!K487:K491),0),0)</f>
        <v>569797</v>
      </c>
      <c r="N104" s="62">
        <f>IFERROR(ROUND(1.65*AVERAGE('Data Historis 5 Tahun'!N487:N491)*SQRT(AVERAGE('Data Historis 5 Tahun'!H487:H491)),0),0)</f>
        <v>85</v>
      </c>
      <c r="O104" s="63">
        <f t="shared" si="32"/>
        <v>453</v>
      </c>
      <c r="P104" s="63">
        <f t="shared" ref="P104:P135" si="46">IFERROR(ROUND((F104/O104)*L104+(O104/2)*M104+N104*M104,0),0)</f>
        <v>306299370</v>
      </c>
      <c r="Q104" s="63">
        <f t="shared" ref="Q104:Q135" si="47">K104-P104</f>
        <v>506197432</v>
      </c>
      <c r="R104" s="64">
        <f t="shared" si="35"/>
        <v>227</v>
      </c>
      <c r="S104" s="65">
        <f t="shared" ref="S104:S135" si="48">IFERROR(ROUND((F104/R104)*L104,0),0)</f>
        <v>257047774</v>
      </c>
      <c r="T104" s="65">
        <f t="shared" si="37"/>
        <v>113104705</v>
      </c>
      <c r="U104" s="66">
        <f t="shared" ref="U104:U135" si="49">S104+T104</f>
        <v>370152479</v>
      </c>
      <c r="V104" s="67">
        <f t="shared" si="39"/>
        <v>680</v>
      </c>
      <c r="W104" s="68">
        <f t="shared" ref="W104:W135" si="50">IFERROR(ROUND((F104/V104)*L104,0),0)</f>
        <v>85808595</v>
      </c>
      <c r="X104" s="67">
        <f t="shared" si="41"/>
        <v>327972320</v>
      </c>
      <c r="Y104" s="69">
        <f t="shared" ref="Y104:Y135" si="51">MIN(K104,P104,U104,X104)</f>
        <v>306299370</v>
      </c>
      <c r="Z104" s="70" t="str">
        <f t="shared" ref="Z104:Z135" si="52">IF(Y104=P104,"✅ EOQ (optimal)",IF(Y104=K104,"Q Obs Lama",IF(Y104=U104,"Q Kecil","Q Besar")))</f>
        <v>✅ EOQ (optimal)</v>
      </c>
      <c r="AA104" s="71">
        <f t="shared" si="44"/>
        <v>0.62301467618576545</v>
      </c>
    </row>
    <row r="105" spans="1:27" ht="15.75" customHeight="1" x14ac:dyDescent="0.35">
      <c r="A105" s="72">
        <v>98</v>
      </c>
      <c r="B105" s="72" t="s">
        <v>230</v>
      </c>
      <c r="C105" s="73" t="s">
        <v>231</v>
      </c>
      <c r="D105" s="72" t="s">
        <v>264</v>
      </c>
      <c r="E105" s="72" t="s">
        <v>36</v>
      </c>
      <c r="F105" s="58">
        <f>IFERROR(ROUND(AVERAGE('Data Historis 5 Tahun'!I492:I496),0),0)</f>
        <v>12630</v>
      </c>
      <c r="G105" s="58">
        <f>IFERROR(ROUND(AVERAGE('Data Historis 5 Tahun'!J492:J496)*1.1665,0),0)</f>
        <v>9773056</v>
      </c>
      <c r="H105" s="58">
        <f>IFERROR(ROUND(AVERAGE('Data Historis 5 Tahun'!K492:K496)*1.162,0),0)</f>
        <v>538288</v>
      </c>
      <c r="I105" s="58">
        <f>IFERROR(ROUND(1.65*AVERAGE('Data Historis 5 Tahun'!N492:N496)*SQRT(AVERAGE('Data Historis 5 Tahun'!H492:H496)),0),0)</f>
        <v>79</v>
      </c>
      <c r="J105" s="59">
        <f t="shared" si="30"/>
        <v>1053</v>
      </c>
      <c r="K105" s="60">
        <f t="shared" si="45"/>
        <v>443154369</v>
      </c>
      <c r="L105" s="61">
        <f>IFERROR(ROUND(AVERAGE('Data Historis 5 Tahun'!J492:J496),0),0)</f>
        <v>8378102</v>
      </c>
      <c r="M105" s="62">
        <f>IFERROR(ROUND(AVERAGE('Data Historis 5 Tahun'!K492:K496),0),0)</f>
        <v>463243</v>
      </c>
      <c r="N105" s="62">
        <f>IFERROR(ROUND(1.65*AVERAGE('Data Historis 5 Tahun'!N492:N496)*SQRT(AVERAGE('Data Historis 5 Tahun'!H492:H496)),0),0)</f>
        <v>79</v>
      </c>
      <c r="O105" s="63">
        <f t="shared" si="32"/>
        <v>676</v>
      </c>
      <c r="P105" s="63">
        <f t="shared" si="46"/>
        <v>349704030</v>
      </c>
      <c r="Q105" s="63">
        <f t="shared" si="47"/>
        <v>93450339</v>
      </c>
      <c r="R105" s="64">
        <f t="shared" si="35"/>
        <v>338</v>
      </c>
      <c r="S105" s="65">
        <f t="shared" si="48"/>
        <v>313063397</v>
      </c>
      <c r="T105" s="65">
        <f t="shared" si="37"/>
        <v>114884264</v>
      </c>
      <c r="U105" s="66">
        <f t="shared" si="49"/>
        <v>427947661</v>
      </c>
      <c r="V105" s="67">
        <f t="shared" si="39"/>
        <v>1014</v>
      </c>
      <c r="W105" s="68">
        <f t="shared" si="50"/>
        <v>104354466</v>
      </c>
      <c r="X105" s="67">
        <f t="shared" si="41"/>
        <v>375814864</v>
      </c>
      <c r="Y105" s="69">
        <f t="shared" si="51"/>
        <v>349704030</v>
      </c>
      <c r="Z105" s="70" t="str">
        <f t="shared" si="52"/>
        <v>✅ EOQ (optimal)</v>
      </c>
      <c r="AA105" s="71">
        <f t="shared" si="44"/>
        <v>0.21087536429094755</v>
      </c>
    </row>
    <row r="106" spans="1:27" ht="15.75" customHeight="1" x14ac:dyDescent="0.35">
      <c r="A106" s="56">
        <v>99</v>
      </c>
      <c r="B106" s="56" t="s">
        <v>232</v>
      </c>
      <c r="C106" s="57" t="s">
        <v>233</v>
      </c>
      <c r="D106" s="56" t="s">
        <v>263</v>
      </c>
      <c r="E106" s="56" t="s">
        <v>36</v>
      </c>
      <c r="F106" s="58">
        <f>IFERROR(ROUND(AVERAGE('Data Historis 5 Tahun'!I497:I501),0),0)</f>
        <v>48966</v>
      </c>
      <c r="G106" s="58">
        <f>IFERROR(ROUND(AVERAGE('Data Historis 5 Tahun'!J497:J501)*1.1825,0),0)</f>
        <v>1875302</v>
      </c>
      <c r="H106" s="58">
        <f>IFERROR(ROUND(AVERAGE('Data Historis 5 Tahun'!K497:K501)*1.0566,0),0)</f>
        <v>262529</v>
      </c>
      <c r="I106" s="58">
        <f>IFERROR(ROUND(1.65*AVERAGE('Data Historis 5 Tahun'!N497:N501)*SQRT(AVERAGE('Data Historis 5 Tahun'!H497:H501)),0),0)</f>
        <v>160</v>
      </c>
      <c r="J106" s="59">
        <f t="shared" si="30"/>
        <v>4081</v>
      </c>
      <c r="K106" s="60">
        <f t="shared" si="45"/>
        <v>600195931</v>
      </c>
      <c r="L106" s="61">
        <f>IFERROR(ROUND(AVERAGE('Data Historis 5 Tahun'!J497:J501),0),0)</f>
        <v>1585879</v>
      </c>
      <c r="M106" s="62">
        <f>IFERROR(ROUND(AVERAGE('Data Historis 5 Tahun'!K497:K501),0),0)</f>
        <v>248465</v>
      </c>
      <c r="N106" s="62">
        <f>IFERROR(ROUND(1.65*AVERAGE('Data Historis 5 Tahun'!N497:N501)*SQRT(AVERAGE('Data Historis 5 Tahun'!H497:H501)),0),0)</f>
        <v>160</v>
      </c>
      <c r="O106" s="63">
        <f t="shared" si="32"/>
        <v>791</v>
      </c>
      <c r="P106" s="63">
        <f t="shared" si="46"/>
        <v>236194433</v>
      </c>
      <c r="Q106" s="63">
        <f t="shared" si="47"/>
        <v>364001498</v>
      </c>
      <c r="R106" s="64">
        <f t="shared" si="35"/>
        <v>396</v>
      </c>
      <c r="S106" s="65">
        <f t="shared" si="48"/>
        <v>196096341</v>
      </c>
      <c r="T106" s="65">
        <f t="shared" si="37"/>
        <v>88950470</v>
      </c>
      <c r="U106" s="66">
        <f t="shared" si="49"/>
        <v>285046811</v>
      </c>
      <c r="V106" s="67">
        <f t="shared" si="39"/>
        <v>1187</v>
      </c>
      <c r="W106" s="68">
        <f t="shared" si="50"/>
        <v>65420515</v>
      </c>
      <c r="X106" s="67">
        <f t="shared" si="41"/>
        <v>252638892</v>
      </c>
      <c r="Y106" s="69">
        <f t="shared" si="51"/>
        <v>236194433</v>
      </c>
      <c r="Z106" s="70" t="str">
        <f t="shared" si="52"/>
        <v>✅ EOQ (optimal)</v>
      </c>
      <c r="AA106" s="71">
        <f t="shared" si="44"/>
        <v>0.60647111917858032</v>
      </c>
    </row>
    <row r="107" spans="1:27" ht="15.75" customHeight="1" x14ac:dyDescent="0.35">
      <c r="A107" s="72">
        <v>100</v>
      </c>
      <c r="B107" s="72" t="s">
        <v>234</v>
      </c>
      <c r="C107" s="73" t="s">
        <v>235</v>
      </c>
      <c r="D107" s="72" t="s">
        <v>263</v>
      </c>
      <c r="E107" s="72" t="s">
        <v>36</v>
      </c>
      <c r="F107" s="58">
        <f>IFERROR(ROUND(AVERAGE('Data Historis 5 Tahun'!I502:I506),0),0)</f>
        <v>31651</v>
      </c>
      <c r="G107" s="58">
        <f>IFERROR(ROUND(AVERAGE('Data Historis 5 Tahun'!J502:J506)*1.2499,0),0)</f>
        <v>914060</v>
      </c>
      <c r="H107" s="58">
        <f>IFERROR(ROUND(AVERAGE('Data Historis 5 Tahun'!K502:K506)*1.1587,0),0)</f>
        <v>248056</v>
      </c>
      <c r="I107" s="58">
        <f>IFERROR(ROUND(1.65*AVERAGE('Data Historis 5 Tahun'!N502:N506)*SQRT(AVERAGE('Data Historis 5 Tahun'!H502:H506)),0),0)</f>
        <v>102</v>
      </c>
      <c r="J107" s="59">
        <f t="shared" si="30"/>
        <v>2638</v>
      </c>
      <c r="K107" s="60">
        <f t="shared" si="45"/>
        <v>363454564</v>
      </c>
      <c r="L107" s="61">
        <f>IFERROR(ROUND(AVERAGE('Data Historis 5 Tahun'!J502:J506),0),0)</f>
        <v>731306</v>
      </c>
      <c r="M107" s="62">
        <f>IFERROR(ROUND(AVERAGE('Data Historis 5 Tahun'!K502:K506),0),0)</f>
        <v>214081</v>
      </c>
      <c r="N107" s="62">
        <f>IFERROR(ROUND(1.65*AVERAGE('Data Historis 5 Tahun'!N502:N506)*SQRT(AVERAGE('Data Historis 5 Tahun'!H502:H506)),0),0)</f>
        <v>102</v>
      </c>
      <c r="O107" s="63">
        <f t="shared" si="32"/>
        <v>465</v>
      </c>
      <c r="P107" s="63">
        <f t="shared" si="46"/>
        <v>121387656</v>
      </c>
      <c r="Q107" s="63">
        <f t="shared" si="47"/>
        <v>242066908</v>
      </c>
      <c r="R107" s="64">
        <f t="shared" si="35"/>
        <v>233</v>
      </c>
      <c r="S107" s="65">
        <f t="shared" si="48"/>
        <v>99341486</v>
      </c>
      <c r="T107" s="65">
        <f t="shared" si="37"/>
        <v>46776699</v>
      </c>
      <c r="U107" s="66">
        <f t="shared" si="49"/>
        <v>146118185</v>
      </c>
      <c r="V107" s="67">
        <f t="shared" si="39"/>
        <v>698</v>
      </c>
      <c r="W107" s="68">
        <f t="shared" si="50"/>
        <v>33161270</v>
      </c>
      <c r="X107" s="67">
        <f t="shared" si="41"/>
        <v>129711801</v>
      </c>
      <c r="Y107" s="69">
        <f t="shared" si="51"/>
        <v>121387656</v>
      </c>
      <c r="Z107" s="70" t="str">
        <f t="shared" si="52"/>
        <v>✅ EOQ (optimal)</v>
      </c>
      <c r="AA107" s="71">
        <f t="shared" si="44"/>
        <v>0.66601697151889394</v>
      </c>
    </row>
    <row r="108" spans="1:27" ht="19.5" customHeight="1" x14ac:dyDescent="0.35">
      <c r="A108" s="5" t="s">
        <v>303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10" spans="1:27" ht="15.75" customHeight="1" x14ac:dyDescent="0.35">
      <c r="A110" s="4" t="s">
        <v>304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 x14ac:dyDescent="0.35">
      <c r="A111" s="3" t="s">
        <v>305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35">
      <c r="A112" s="2" t="s">
        <v>306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35">
      <c r="A113" s="1" t="s">
        <v>307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</sheetData>
  <mergeCells count="14">
    <mergeCell ref="A113:AA113"/>
    <mergeCell ref="A6:AA6"/>
    <mergeCell ref="A108:AA108"/>
    <mergeCell ref="A110:AA110"/>
    <mergeCell ref="A111:AA111"/>
    <mergeCell ref="A112:AA112"/>
    <mergeCell ref="A1:AA1"/>
    <mergeCell ref="A2:AA2"/>
    <mergeCell ref="A3:AA3"/>
    <mergeCell ref="A5:E5"/>
    <mergeCell ref="F5:I5"/>
    <mergeCell ref="J5:N5"/>
    <mergeCell ref="O5:U5"/>
    <mergeCell ref="V5:AA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Bulanan</vt:lpstr>
      <vt:lpstr>Data Historis 5 Tahun</vt:lpstr>
      <vt:lpstr>Evaluasi 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Rafy Pratama</cp:lastModifiedBy>
  <cp:revision>0</cp:revision>
  <dcterms:created xsi:type="dcterms:W3CDTF">2026-05-03T17:15:32Z</dcterms:created>
  <dcterms:modified xsi:type="dcterms:W3CDTF">2026-05-17T16:34:56Z</dcterms:modified>
  <dc:language>en-US</dc:language>
</cp:coreProperties>
</file>