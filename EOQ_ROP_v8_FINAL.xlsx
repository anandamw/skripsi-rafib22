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ta Bulanan" sheetId="1" state="visible" r:id="rId3"/>
    <sheet name="Data Historis 5 Tahun" sheetId="2" state="visible" r:id="rId4"/>
    <sheet name="Evaluasi TI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<sst xmlns="http://schemas.openxmlformats.org/spreadsheetml/2006/main" count="2984" uniqueCount="310">
  <si>
    <t xml:space="preserve">DATA PEMAKAIAN BULANAN &amp; HARIAN BAHAN BAKU — PT. JJ Top Cosmindo Sidoarjo (2021–2025)</t>
  </si>
  <si>
    <t xml:space="preserve">σ_d dihitung dari 60 nilai d_harian (12 bulan × 5 tahun) per bahan  ·  d_harian = Pemakaian Bulanan ÷ Hari/Bulan  ·  Warna KUNING = input/turunan aktual  ·  Warna HIJAU = formula Excel  ·  Warna MERAH MUDA = σ_d (dipakai di sheet Data Historis)</t>
  </si>
  <si>
    <t xml:space="preserve">No</t>
  </si>
  <si>
    <t xml:space="preserve">Kode</t>
  </si>
  <si>
    <t xml:space="preserve">Nama Bahan Baku</t>
  </si>
  <si>
    <t xml:space="preserve">Satuan</t>
  </si>
  <si>
    <t xml:space="preserve">TAHUN 2021</t>
  </si>
  <si>
    <t xml:space="preserve">TAHUN 2022</t>
  </si>
  <si>
    <t xml:space="preserve">TAHUN 2023</t>
  </si>
  <si>
    <t xml:space="preserve">TAHUN 2024</t>
  </si>
  <si>
    <t xml:space="preserve">TAHUN 2025</t>
  </si>
  <si>
    <t xml:space="preserve">σ_d Global
(Std Dev d_harian
5 Tahun × 12 Bln)</t>
  </si>
  <si>
    <t xml:space="preserve">Jan</t>
  </si>
  <si>
    <t xml:space="preserve">Feb</t>
  </si>
  <si>
    <t xml:space="preserve">Mar</t>
  </si>
  <si>
    <t xml:space="preserve">Apr</t>
  </si>
  <si>
    <t xml:space="preserve">Mei</t>
  </si>
  <si>
    <t xml:space="preserve">Jun</t>
  </si>
  <si>
    <t xml:space="preserve">Jul</t>
  </si>
  <si>
    <t xml:space="preserve">Agu</t>
  </si>
  <si>
    <t xml:space="preserve">Sep</t>
  </si>
  <si>
    <t xml:space="preserve">Okt</t>
  </si>
  <si>
    <t xml:space="preserve">Nov</t>
  </si>
  <si>
    <t xml:space="preserve">Des</t>
  </si>
  <si>
    <t xml:space="preserve">Total
Pemakaian
(unit/thn)</t>
  </si>
  <si>
    <t xml:space="preserve">σ_d
2021</t>
  </si>
  <si>
    <t xml:space="preserve">σ_d
2022</t>
  </si>
  <si>
    <t xml:space="preserve">σ_d
2023</t>
  </si>
  <si>
    <t xml:space="preserve">σ_d
2024</t>
  </si>
  <si>
    <t xml:space="preserve">σ_d
2025</t>
  </si>
  <si>
    <t xml:space="preserve">Pemakaian
(unit/31hr)</t>
  </si>
  <si>
    <t xml:space="preserve">d_harian
(unit/hr)</t>
  </si>
  <si>
    <t xml:space="preserve">Pemakaian
(unit/28hr)</t>
  </si>
  <si>
    <t xml:space="preserve">Pemakaian
(unit/30hr)</t>
  </si>
  <si>
    <t xml:space="preserve">BB001</t>
  </si>
  <si>
    <t xml:space="preserve">Phenoxyethanol</t>
  </si>
  <si>
    <t xml:space="preserve">kg</t>
  </si>
  <si>
    <t xml:space="preserve">BB002</t>
  </si>
  <si>
    <t xml:space="preserve">Glycerin</t>
  </si>
  <si>
    <t xml:space="preserve">BB003</t>
  </si>
  <si>
    <t xml:space="preserve">Cetyl Alcohol</t>
  </si>
  <si>
    <t xml:space="preserve">BB004</t>
  </si>
  <si>
    <t xml:space="preserve">Stearic Acid</t>
  </si>
  <si>
    <t xml:space="preserve">BB005</t>
  </si>
  <si>
    <t xml:space="preserve">Titanium Dioxide</t>
  </si>
  <si>
    <t xml:space="preserve">BB006</t>
  </si>
  <si>
    <t xml:space="preserve">Sodium Lauryl Sulfate</t>
  </si>
  <si>
    <t xml:space="preserve">BB007</t>
  </si>
  <si>
    <t xml:space="preserve">Propylene Glycol</t>
  </si>
  <si>
    <t xml:space="preserve">BB008</t>
  </si>
  <si>
    <t xml:space="preserve">Carbomer 940</t>
  </si>
  <si>
    <t xml:space="preserve">BB009</t>
  </si>
  <si>
    <t xml:space="preserve">Kaolin Clay</t>
  </si>
  <si>
    <t xml:space="preserve">BB010</t>
  </si>
  <si>
    <t xml:space="preserve">Talc Powder</t>
  </si>
  <si>
    <t xml:space="preserve">BB011</t>
  </si>
  <si>
    <t xml:space="preserve">Aqua DM</t>
  </si>
  <si>
    <t xml:space="preserve">L</t>
  </si>
  <si>
    <t xml:space="preserve">BB012</t>
  </si>
  <si>
    <t xml:space="preserve">Zinc Oxide</t>
  </si>
  <si>
    <t xml:space="preserve">BB013</t>
  </si>
  <si>
    <t xml:space="preserve">Niacinamide</t>
  </si>
  <si>
    <t xml:space="preserve">BB014</t>
  </si>
  <si>
    <t xml:space="preserve">Allantoin</t>
  </si>
  <si>
    <t xml:space="preserve">BB015</t>
  </si>
  <si>
    <t xml:space="preserve">Panthenol</t>
  </si>
  <si>
    <t xml:space="preserve">BB016</t>
  </si>
  <si>
    <t xml:space="preserve">Cocamidopropyl Betaine</t>
  </si>
  <si>
    <t xml:space="preserve">BB017</t>
  </si>
  <si>
    <t xml:space="preserve">Disodium EDTA</t>
  </si>
  <si>
    <t xml:space="preserve">BB018</t>
  </si>
  <si>
    <t xml:space="preserve">Cetearyl Alcohol</t>
  </si>
  <si>
    <t xml:space="preserve">BB019</t>
  </si>
  <si>
    <t xml:space="preserve">Polysorbate 20</t>
  </si>
  <si>
    <t xml:space="preserve">BB020</t>
  </si>
  <si>
    <t xml:space="preserve">Polysorbate 80</t>
  </si>
  <si>
    <t xml:space="preserve">BB021</t>
  </si>
  <si>
    <t xml:space="preserve">PEG-40 Hydrogenated Castor Oil</t>
  </si>
  <si>
    <t xml:space="preserve">BB022</t>
  </si>
  <si>
    <t xml:space="preserve">Caprylic/Capric Triglyceride</t>
  </si>
  <si>
    <t xml:space="preserve">BB023</t>
  </si>
  <si>
    <t xml:space="preserve">Isopropyl Myristate</t>
  </si>
  <si>
    <t xml:space="preserve">BB024</t>
  </si>
  <si>
    <t xml:space="preserve">Dimethicone 350</t>
  </si>
  <si>
    <t xml:space="preserve">BB025</t>
  </si>
  <si>
    <t xml:space="preserve">Cyclopentasiloxane</t>
  </si>
  <si>
    <t xml:space="preserve">BB026</t>
  </si>
  <si>
    <t xml:space="preserve">BHT</t>
  </si>
  <si>
    <t xml:space="preserve">BB027</t>
  </si>
  <si>
    <t xml:space="preserve">Tocopheryl Acetate</t>
  </si>
  <si>
    <t xml:space="preserve">BB028</t>
  </si>
  <si>
    <t xml:space="preserve">Ascorbic Acid</t>
  </si>
  <si>
    <t xml:space="preserve">BB029</t>
  </si>
  <si>
    <t xml:space="preserve">Sodium Hyaluronate</t>
  </si>
  <si>
    <t xml:space="preserve">BB030</t>
  </si>
  <si>
    <t xml:space="preserve">Aloe Vera Extract</t>
  </si>
  <si>
    <t xml:space="preserve">BB031</t>
  </si>
  <si>
    <t xml:space="preserve">Green Tea Extract</t>
  </si>
  <si>
    <t xml:space="preserve">BB032</t>
  </si>
  <si>
    <t xml:space="preserve">Chamomile Extract</t>
  </si>
  <si>
    <t xml:space="preserve">BB033</t>
  </si>
  <si>
    <t xml:space="preserve">Licorice Extract</t>
  </si>
  <si>
    <t xml:space="preserve">BB034</t>
  </si>
  <si>
    <t xml:space="preserve">Salicylic Acid</t>
  </si>
  <si>
    <t xml:space="preserve">BB035</t>
  </si>
  <si>
    <t xml:space="preserve">Lactic Acid</t>
  </si>
  <si>
    <t xml:space="preserve">BB036</t>
  </si>
  <si>
    <t xml:space="preserve">Citric Acid</t>
  </si>
  <si>
    <t xml:space="preserve">BB037</t>
  </si>
  <si>
    <t xml:space="preserve">Triethanolamine</t>
  </si>
  <si>
    <t xml:space="preserve">BB038</t>
  </si>
  <si>
    <t xml:space="preserve">Sodium Benzoate</t>
  </si>
  <si>
    <t xml:space="preserve">BB039</t>
  </si>
  <si>
    <t xml:space="preserve">Potassium Sorbate</t>
  </si>
  <si>
    <t xml:space="preserve">BB040</t>
  </si>
  <si>
    <t xml:space="preserve">Methylparaben</t>
  </si>
  <si>
    <t xml:space="preserve">BB041</t>
  </si>
  <si>
    <t xml:space="preserve">Propylparaben</t>
  </si>
  <si>
    <t xml:space="preserve">BB042</t>
  </si>
  <si>
    <t xml:space="preserve">Fragrance Oil - Floral</t>
  </si>
  <si>
    <t xml:space="preserve">BB043</t>
  </si>
  <si>
    <t xml:space="preserve">Fragrance Oil - Citrus</t>
  </si>
  <si>
    <t xml:space="preserve">BB044</t>
  </si>
  <si>
    <t xml:space="preserve">Fragrance Oil - Powdery</t>
  </si>
  <si>
    <t xml:space="preserve">BB045</t>
  </si>
  <si>
    <t xml:space="preserve">Fragrance Oil - Herbal</t>
  </si>
  <si>
    <t xml:space="preserve">BB046</t>
  </si>
  <si>
    <t xml:space="preserve">Menthol Crystal</t>
  </si>
  <si>
    <t xml:space="preserve">BB047</t>
  </si>
  <si>
    <t xml:space="preserve">Camphor</t>
  </si>
  <si>
    <t xml:space="preserve">BB048</t>
  </si>
  <si>
    <t xml:space="preserve">Ethanol 96%</t>
  </si>
  <si>
    <t xml:space="preserve">BB049</t>
  </si>
  <si>
    <t xml:space="preserve">Isopropyl Alcohol</t>
  </si>
  <si>
    <t xml:space="preserve">BB050</t>
  </si>
  <si>
    <t xml:space="preserve">Hydrogen Peroxide</t>
  </si>
  <si>
    <t xml:space="preserve">BB051</t>
  </si>
  <si>
    <t xml:space="preserve">Cetyl Palmitate</t>
  </si>
  <si>
    <t xml:space="preserve">BB052</t>
  </si>
  <si>
    <t xml:space="preserve">Glyceryl Monostearate</t>
  </si>
  <si>
    <t xml:space="preserve">BB053</t>
  </si>
  <si>
    <t xml:space="preserve">PEG-100 Stearate</t>
  </si>
  <si>
    <t xml:space="preserve">BB054</t>
  </si>
  <si>
    <t xml:space="preserve">Ceteareth-20</t>
  </si>
  <si>
    <t xml:space="preserve">BB055</t>
  </si>
  <si>
    <t xml:space="preserve">Lanolin</t>
  </si>
  <si>
    <t xml:space="preserve">BB056</t>
  </si>
  <si>
    <t xml:space="preserve">Petrolatum</t>
  </si>
  <si>
    <t xml:space="preserve">BB057</t>
  </si>
  <si>
    <t xml:space="preserve">Beeswax</t>
  </si>
  <si>
    <t xml:space="preserve">BB058</t>
  </si>
  <si>
    <t xml:space="preserve">Microcrystalline Wax</t>
  </si>
  <si>
    <t xml:space="preserve">BB059</t>
  </si>
  <si>
    <t xml:space="preserve">Paraffin Wax</t>
  </si>
  <si>
    <t xml:space="preserve">BB060</t>
  </si>
  <si>
    <t xml:space="preserve">Shea Butter</t>
  </si>
  <si>
    <t xml:space="preserve">BB061</t>
  </si>
  <si>
    <t xml:space="preserve">Cocoa Butter</t>
  </si>
  <si>
    <t xml:space="preserve">BB062</t>
  </si>
  <si>
    <t xml:space="preserve">Mineral Oil</t>
  </si>
  <si>
    <t xml:space="preserve">BB063</t>
  </si>
  <si>
    <t xml:space="preserve">Sunflower Seed Oil</t>
  </si>
  <si>
    <t xml:space="preserve">BB064</t>
  </si>
  <si>
    <t xml:space="preserve">Sweet Almond Oil</t>
  </si>
  <si>
    <t xml:space="preserve">BB065</t>
  </si>
  <si>
    <t xml:space="preserve">Jojoba Oil</t>
  </si>
  <si>
    <t xml:space="preserve">BB066</t>
  </si>
  <si>
    <t xml:space="preserve">Argan Oil</t>
  </si>
  <si>
    <t xml:space="preserve">BB067</t>
  </si>
  <si>
    <t xml:space="preserve">Castor Oil</t>
  </si>
  <si>
    <t xml:space="preserve">BB068</t>
  </si>
  <si>
    <t xml:space="preserve">Olive Oil</t>
  </si>
  <si>
    <t xml:space="preserve">BB069</t>
  </si>
  <si>
    <t xml:space="preserve">Silica</t>
  </si>
  <si>
    <t xml:space="preserve">BB070</t>
  </si>
  <si>
    <t xml:space="preserve">Magnesium Stearate</t>
  </si>
  <si>
    <t xml:space="preserve">BB071</t>
  </si>
  <si>
    <t xml:space="preserve">Calamine</t>
  </si>
  <si>
    <t xml:space="preserve">BB072</t>
  </si>
  <si>
    <t xml:space="preserve">Bentonite</t>
  </si>
  <si>
    <t xml:space="preserve">BB073</t>
  </si>
  <si>
    <t xml:space="preserve">Xanthan Gum</t>
  </si>
  <si>
    <t xml:space="preserve">BB074</t>
  </si>
  <si>
    <t xml:space="preserve">Hydroxyethyl Cellulose</t>
  </si>
  <si>
    <t xml:space="preserve">BB075</t>
  </si>
  <si>
    <t xml:space="preserve">Guar Gum</t>
  </si>
  <si>
    <t xml:space="preserve">BB076</t>
  </si>
  <si>
    <t xml:space="preserve">Sodium Chloride</t>
  </si>
  <si>
    <t xml:space="preserve">BB077</t>
  </si>
  <si>
    <t xml:space="preserve">Sodium Bicarbonate</t>
  </si>
  <si>
    <t xml:space="preserve">BB078</t>
  </si>
  <si>
    <t xml:space="preserve">Calcium Carbonate</t>
  </si>
  <si>
    <t xml:space="preserve">BB079</t>
  </si>
  <si>
    <t xml:space="preserve">Dicalcium Phosphate</t>
  </si>
  <si>
    <t xml:space="preserve">BB080</t>
  </si>
  <si>
    <t xml:space="preserve">Sorbitol Powder</t>
  </si>
  <si>
    <t xml:space="preserve">BB081</t>
  </si>
  <si>
    <t xml:space="preserve">Mannitol</t>
  </si>
  <si>
    <t xml:space="preserve">BB082</t>
  </si>
  <si>
    <t xml:space="preserve">Mica Pearl Pigment</t>
  </si>
  <si>
    <t xml:space="preserve">BB083</t>
  </si>
  <si>
    <t xml:space="preserve">Iron Oxide Red</t>
  </si>
  <si>
    <t xml:space="preserve">BB084</t>
  </si>
  <si>
    <t xml:space="preserve">Iron Oxide Yellow</t>
  </si>
  <si>
    <t xml:space="preserve">BB085</t>
  </si>
  <si>
    <t xml:space="preserve">Iron Oxide Black</t>
  </si>
  <si>
    <t xml:space="preserve">BB086</t>
  </si>
  <si>
    <t xml:space="preserve">FD&amp;C Blue No. 1</t>
  </si>
  <si>
    <t xml:space="preserve">BB087</t>
  </si>
  <si>
    <t xml:space="preserve">FD&amp;C Yellow No. 5</t>
  </si>
  <si>
    <t xml:space="preserve">BB088</t>
  </si>
  <si>
    <t xml:space="preserve">DMDM Hydantoin</t>
  </si>
  <si>
    <t xml:space="preserve">BB089</t>
  </si>
  <si>
    <t xml:space="preserve">Imidazolidinyl Urea</t>
  </si>
  <si>
    <t xml:space="preserve">BB090</t>
  </si>
  <si>
    <t xml:space="preserve">Phenyl Trimethicone</t>
  </si>
  <si>
    <t xml:space="preserve">BB091</t>
  </si>
  <si>
    <t xml:space="preserve">Acrylates Copolymer</t>
  </si>
  <si>
    <t xml:space="preserve">BB092</t>
  </si>
  <si>
    <t xml:space="preserve">PVP K30</t>
  </si>
  <si>
    <t xml:space="preserve">BB093</t>
  </si>
  <si>
    <t xml:space="preserve">Polyquaternium-10</t>
  </si>
  <si>
    <t xml:space="preserve">BB094</t>
  </si>
  <si>
    <t xml:space="preserve">Sodium PCA</t>
  </si>
  <si>
    <t xml:space="preserve">BB095</t>
  </si>
  <si>
    <t xml:space="preserve">Urea</t>
  </si>
  <si>
    <t xml:space="preserve">BB096</t>
  </si>
  <si>
    <t xml:space="preserve">Zinc PCA</t>
  </si>
  <si>
    <t xml:space="preserve">BB097</t>
  </si>
  <si>
    <t xml:space="preserve">Alpha Arbutin</t>
  </si>
  <si>
    <t xml:space="preserve">BB098</t>
  </si>
  <si>
    <t xml:space="preserve">Tranexamic Acid</t>
  </si>
  <si>
    <t xml:space="preserve">BB099</t>
  </si>
  <si>
    <t xml:space="preserve">Kaempferia Galanga Extract</t>
  </si>
  <si>
    <t xml:space="preserve">BB100</t>
  </si>
  <si>
    <t xml:space="preserve">Titanium Dioxide Anatase</t>
  </si>
  <si>
    <t xml:space="preserve">DATA HISTORIS BAHAN BAKU 5 TAHUN (2021–2025) — PT. JJ Top Cosmindo Sidoarjo</t>
  </si>
  <si>
    <t xml:space="preserve">D = total tahunan dari Data Bulanan  |  d = rata-rata d_harian 12 bulan dari Data Bulanan  |  σ_d = STDEV(12 d_harian tahun tsb.) dari Data Bulanan  |  SS = 1.65 × σ_d × √LT</t>
  </si>
  <si>
    <t xml:space="preserve">EOQ = √(2DS/H)  |  σ_DL = σ_d × √LT  |  SS = 1.65 × σ_DL  |  ROP = d × LT + SS  |  Slope = SUMPRODUCT({-2,-1,0,1,2}, D) / 10  |  R² = Slope² × 10 / (ΣD² − (ΣD)²/5)</t>
  </si>
  <si>
    <t xml:space="preserve">🟡 Kuning = data input/referensi Bulanan  |  🟢 Hijau = formula EOQ  |  🟠 Oranye = formula SS  |  🟣 Ungu = formula ROP  |  🔵 Biru = analisis trend</t>
  </si>
  <si>
    <t xml:space="preserve">DATA IDENTITAS &amp; INPUT AKTUAL
(D, d, σ_d dari Data Bulanan)</t>
  </si>
  <si>
    <t xml:space="preserve">PERHITUNGAN EOQ</t>
  </si>
  <si>
    <t xml:space="preserve">PERHITUNGAN σ_DL &amp; SAFETY STOCK (SS)
Z = 1.65 (Service Level 95%)</t>
  </si>
  <si>
    <t xml:space="preserve">PERHITUNGAN ROP &amp; STATUS</t>
  </si>
  <si>
    <t xml:space="preserve">ANALISIS TREND &amp; FLUKTUATIF</t>
  </si>
  <si>
    <t xml:space="preserve">Tahun</t>
  </si>
  <si>
    <t xml:space="preserve">Kategori</t>
  </si>
  <si>
    <t xml:space="preserve">Stok Aktual
(unit)</t>
  </si>
  <si>
    <t xml:space="preserve">LT Lead Time
(hari)</t>
  </si>
  <si>
    <t xml:space="preserve">(D) Permintaan
Tahunan (unit/thn)</t>
  </si>
  <si>
    <t xml:space="preserve">(S) Biaya
Pemesanan (Rp/order)</t>
  </si>
  <si>
    <t xml:space="preserve">(H) Biaya
Simpan (Rp/unit/thn)</t>
  </si>
  <si>
    <t xml:space="preserve">EOQ
= √(2×D×S/H)</t>
  </si>
  <si>
    <t xml:space="preserve">(d) Permintaan
Harian (unit/hr)</t>
  </si>
  <si>
    <t xml:space="preserve">σ_d per Tahun
(Std Dev 12 d_harian)</t>
  </si>
  <si>
    <t xml:space="preserve">σ_DL
= σ_d × √LT</t>
  </si>
  <si>
    <t xml:space="preserve">SS (SL 95%)
= 1.65 × σ_DL</t>
  </si>
  <si>
    <t xml:space="preserve">ROP
= d × LT + SS</t>
  </si>
  <si>
    <t xml:space="preserve">Selisih
(Stok − ROP)</t>
  </si>
  <si>
    <t xml:space="preserve">STATUS</t>
  </si>
  <si>
    <t xml:space="preserve">CV
= σ_d / d̄</t>
  </si>
  <si>
    <t xml:space="preserve">Slope Trend
(unit/thn)</t>
  </si>
  <si>
    <t xml:space="preserve">R² Trend</t>
  </si>
  <si>
    <t xml:space="preserve">Lokal</t>
  </si>
  <si>
    <t xml:space="preserve">Impor</t>
  </si>
  <si>
    <t xml:space="preserve">KETERANGAN RUMUS — SHEET DATA HISTORIS 5 TAHUN</t>
  </si>
  <si>
    <t xml:space="preserve">D (Permintaan Tahunan) = ROUND(total pemakaian tahunan dari sheet Data Bulanan, 0)  — per bahan per tahun</t>
  </si>
  <si>
    <t xml:space="preserve">d (Permintaan Harian) = AVERAGE dari 12 nilai d_harian (Jan–Des) di sheet Data Bulanan  — rata-rata harian dalam satu tahun</t>
  </si>
  <si>
    <t xml:space="preserve">σ_d = referensi ke kolom σ_d per tahun di sheet Data Bulanan (formula STDEV 12 d_harian saja, sudah benar)  — nilai ~20-30 unit/hr</t>
  </si>
  <si>
    <t xml:space="preserve">σ_DL = σ_d × √LT  |  SS = 1.65 × σ_DL  (Z=1.65 untuk Service Level 95%)  |  ROP = d × LT + SS  |  EOQ = √(2×D×S/H)</t>
  </si>
  <si>
    <t xml:space="preserve">Slope = SUMPRODUCT({-2,-1,0,1,2}, D_range) / 10  — regresi linier dengan tahun tersentral {-2,-1,0,1,2}; nilai negatif = tren turun, positif = naik</t>
  </si>
  <si>
    <t xml:space="preserve">R² = Slope² × 10 / (SUMPRODUCT(D,D) − SUM(D)²/5)  — kekuatan trend (0=tidak ada, 1=sempurna)</t>
  </si>
  <si>
    <t xml:space="preserve">CV = σ_d / d̄  |  Nilai CV 0.20–0.35 pada data kosmetik adalah WAJAR karena permintaan sangat bervariasi antar bulan (musiman)</t>
  </si>
  <si>
    <t xml:space="preserve">EVALUASI TOTAL INVENTORY COST (TIC) — PT. JJ Top Cosmindo Sidoarjo</t>
  </si>
  <si>
    <t xml:space="preserve">TIC = (D/Q)×S + (Q/2)×H + SS×H  |  Service Level 95% (Z=1.65)  |  Metode Lama: Q=D÷12, S &amp; H observasi (lebih tinggi)  |  Metode EOQ: Q optimal dari Data Historis 5 Tahun</t>
  </si>
  <si>
    <t xml:space="preserve">TIC minimum → Q paling efisien  |  EOQ optimal: d(TIC)/dQ=0 → Biaya Pesan = Biaya Simpan</t>
  </si>
  <si>
    <t xml:space="preserve">IDENTITAS</t>
  </si>
  <si>
    <t xml:space="preserve">PARAMETER DASAR
(dari Data EOQ-ROP)</t>
  </si>
  <si>
    <t xml:space="preserve">① METODE LAMA vs EOQ BARU</t>
  </si>
  <si>
    <t xml:space="preserve">② Q KECIL vs OPTIMAL vs BESAR</t>
  </si>
  <si>
    <t xml:space="preserve">KESIMPULAN &amp; REKOMENDASI</t>
  </si>
  <si>
    <t xml:space="preserve">D_avg
(unit/thn)</t>
  </si>
  <si>
    <t xml:space="preserve">S_obs Biaya Pesan
(Rp/order)
[Metode Lama]</t>
  </si>
  <si>
    <t xml:space="preserve">H_obs Biaya Simpan
(Rp/unit/thn)
[Metode Lama]</t>
  </si>
  <si>
    <t xml:space="preserve">SS_obs (SL95%)
1.65×σ_d×√LT
[Metode Lama]</t>
  </si>
  <si>
    <t xml:space="preserve">Q_obs (D÷12)
Order Bulanan
[Metode Lama]</t>
  </si>
  <si>
    <t xml:space="preserve">TIC Metode Lama
(D/Q_obs)×S_obs
+(Q_obs/2)×H_obs+SS_obs×H_obs</t>
  </si>
  <si>
    <t xml:space="preserve">S_eoq Biaya Pesan
(Rp/order)
[Metode EOQ]</t>
  </si>
  <si>
    <t xml:space="preserve">H_eoq Biaya Simpan
(Rp/unit/thn)
[Metode EOQ]</t>
  </si>
  <si>
    <t xml:space="preserve">SS_eoq (SL95%)
1.65×σ_d×√LT
[Metode EOQ]</t>
  </si>
  <si>
    <t xml:space="preserve">Q_eoq = √(2DS/H)
[Metode EOQ]</t>
  </si>
  <si>
    <t xml:space="preserve">TIC Metode EOQ
(D/Q_eoq)×S_eoq
+(Q_eoq/2)×H_eoq+SS_eoq×H_eoq</t>
  </si>
  <si>
    <t xml:space="preserve">Δ TIC
(Hemat Rp/thn)</t>
  </si>
  <si>
    <t xml:space="preserve">Q Kecil
(50% EOQ)</t>
  </si>
  <si>
    <t xml:space="preserve">B.Pesan Q Kecil
(D/Q×S_eoq)</t>
  </si>
  <si>
    <t xml:space="preserve">B.Simpan Q Kecil
((Q/2+SS_eoq)×H_eoq)</t>
  </si>
  <si>
    <t xml:space="preserve">TIC Q Kecil
(Rp/thn)</t>
  </si>
  <si>
    <t xml:space="preserve">Q Besar
(150% EOQ)</t>
  </si>
  <si>
    <t xml:space="preserve">B.Pesan Q Besar
(D/Q×S_eoq)</t>
  </si>
  <si>
    <t xml:space="preserve">TIC Q Besar
(Rp/thn)</t>
  </si>
  <si>
    <t xml:space="preserve">TIC Minimum
(MIN semua TIC)</t>
  </si>
  <si>
    <t xml:space="preserve">Q Optimal
Rekomendasi</t>
  </si>
  <si>
    <t xml:space="preserve">Penghematan
vs Lama (Rp)</t>
  </si>
  <si>
    <t xml:space="preserve">% Hemat
vs Lama</t>
  </si>
  <si>
    <t xml:space="preserve">Rekomendasi Tindakan</t>
  </si>
  <si>
    <t xml:space="preserve">TOTAL SEMUA 100 BAHAN BAKU</t>
  </si>
  <si>
    <t xml:space="preserve">KETERANGAN RUMUS TIC</t>
  </si>
  <si>
    <t xml:space="preserve">TIC = (D/Q)×S + (Q/2)×H + SS×H  |  D=D_adj, Q=kuantitas order, S=biaya pesan, H=biaya simpan, SS=safety stock (SL95%, Z=1.65)</t>
  </si>
  <si>
    <t xml:space="preserve">① Metode Lama: Q=EOQ rata² historis | EOQ Baru: Q=EOQ baru terkoreksi | Δ TIC positif → EOQ Baru lebih hemat | Semua data dari sheet Data EOQ-ROP</t>
  </si>
  <si>
    <t xml:space="preserve">② Q Kecil(50%): order sering→B.Pesan↑,B.Simpan↓ | Q Optimal(EOQ): TIC minimum | Q Besar(150%): order jarang→B.Pesan↓,B.Simpan↑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</si>
</sst>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#,##0.00"/>
    <numFmt numFmtId="168" formatCode="0.0000"/>
    <numFmt numFmtId="169" formatCode="General"/>
    <numFmt numFmtId="170" formatCode="0.00%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mbria"/>
      <family val="0"/>
      <charset val="1"/>
    </font>
    <font>
      <i val="true"/>
      <sz val="9"/>
      <color rgb="FF1F3864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9"/>
      <color rgb="FFC55A11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9"/>
      <color rgb="FF375623"/>
      <name val="Cambria"/>
      <family val="0"/>
      <charset val="1"/>
    </font>
    <font>
      <b val="true"/>
      <sz val="8"/>
      <color rgb="FF7F6000"/>
      <name val="Cambria"/>
      <family val="0"/>
      <charset val="1"/>
    </font>
    <font>
      <b val="true"/>
      <sz val="8"/>
      <color rgb="FF375623"/>
      <name val="Cambria"/>
      <family val="0"/>
      <charset val="1"/>
    </font>
    <font>
      <b val="true"/>
      <sz val="9"/>
      <name val="Cambria"/>
      <family val="0"/>
      <charset val="1"/>
    </font>
    <font>
      <sz val="9"/>
      <name val="Cambria"/>
      <family val="0"/>
      <charset val="1"/>
    </font>
    <font>
      <b val="true"/>
      <sz val="12"/>
      <color rgb="FFFFFFFF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i val="true"/>
      <sz val="9"/>
      <color rgb="FF2E4057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.5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b val="true"/>
      <sz val="9"/>
      <color rgb="FF843C0C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i val="true"/>
      <sz val="9"/>
      <color rgb="FF1F497D"/>
      <name val="Calibri"/>
      <family val="0"/>
      <charset val="1"/>
    </font>
    <font>
      <sz val="8.5"/>
      <color rgb="FF375623"/>
      <name val="Calibri"/>
      <family val="0"/>
      <charset val="1"/>
    </font>
    <font>
      <sz val="8.5"/>
      <color rgb="FF1F3864"/>
      <name val="Calibri"/>
      <family val="0"/>
      <charset val="1"/>
    </font>
    <font>
      <sz val="8.5"/>
      <color rgb="FF843C0C"/>
      <name val="Calibri"/>
      <family val="0"/>
      <charset val="1"/>
    </font>
    <font>
      <sz val="8.5"/>
      <color rgb="FF4A235A"/>
      <name val="Calibri"/>
      <family val="0"/>
      <charset val="1"/>
    </font>
    <font>
      <sz val="8.5"/>
      <color rgb="FF1F497D"/>
      <name val="Calibri"/>
      <family val="0"/>
      <charset val="1"/>
    </font>
    <font>
      <i val="true"/>
      <sz val="9"/>
      <color rgb="FF4A235A"/>
      <name val="Calibri"/>
      <family val="0"/>
      <charset val="1"/>
    </font>
    <font>
      <i val="true"/>
      <sz val="8"/>
      <color rgb="FF4A235A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.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8.5"/>
      <color rgb="FF1A5276"/>
      <name val="Calibri"/>
      <family val="0"/>
      <charset val="1"/>
    </font>
    <font>
      <sz val="8.5"/>
      <color rgb="FF7D6608"/>
      <name val="Calibri"/>
      <family val="0"/>
      <charset val="1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D6E4F0"/>
        <bgColor rgb="FFDEEAF1"/>
      </patternFill>
    </fill>
    <fill>
      <patternFill patternType="solid">
        <fgColor rgb="FF2E75B6"/>
        <bgColor rgb="FF008080"/>
      </patternFill>
    </fill>
    <fill>
      <patternFill patternType="solid">
        <fgColor rgb="FFFCE4D6"/>
        <bgColor rgb="FFFFD7D7"/>
      </patternFill>
    </fill>
    <fill>
      <patternFill patternType="solid">
        <fgColor rgb="FFBDD7EE"/>
        <bgColor rgb="FFD6E4F0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DF3CC"/>
      </patternFill>
    </fill>
    <fill>
      <patternFill patternType="solid">
        <fgColor rgb="FFDEEAF1"/>
        <bgColor rgb="FFD6E4F0"/>
      </patternFill>
    </fill>
    <fill>
      <patternFill patternType="solid">
        <fgColor rgb="FFEBF3FB"/>
        <bgColor rgb="FFF2F2F2"/>
      </patternFill>
    </fill>
    <fill>
      <patternFill patternType="solid">
        <fgColor rgb="FF375623"/>
        <bgColor rgb="FF2E4057"/>
      </patternFill>
    </fill>
    <fill>
      <patternFill patternType="solid">
        <fgColor rgb="FF843C0C"/>
        <bgColor rgb="FF7F6000"/>
      </patternFill>
    </fill>
    <fill>
      <patternFill patternType="solid">
        <fgColor rgb="FF4A235A"/>
        <bgColor rgb="FF6C3483"/>
      </patternFill>
    </fill>
    <fill>
      <patternFill patternType="solid">
        <fgColor rgb="FF1F497D"/>
        <bgColor rgb="FF1A5276"/>
      </patternFill>
    </fill>
    <fill>
      <patternFill patternType="solid">
        <fgColor rgb="FFF2F2F2"/>
        <bgColor rgb="FFEBF3FB"/>
      </patternFill>
    </fill>
    <fill>
      <patternFill patternType="solid">
        <fgColor rgb="FFFFFDE7"/>
        <bgColor rgb="FFFEF9E7"/>
      </patternFill>
    </fill>
    <fill>
      <patternFill patternType="solid">
        <fgColor rgb="FFFFD7D7"/>
        <bgColor rgb="FFFCE4D6"/>
      </patternFill>
    </fill>
    <fill>
      <patternFill patternType="solid">
        <fgColor rgb="FFEDE0F5"/>
        <bgColor rgb="FFF0E6FF"/>
      </patternFill>
    </fill>
    <fill>
      <patternFill patternType="solid">
        <fgColor rgb="FFFFFFFF"/>
        <bgColor rgb="FFFFFDE7"/>
      </patternFill>
    </fill>
    <fill>
      <patternFill patternType="solid">
        <fgColor rgb="FFE8D5F5"/>
        <bgColor rgb="FFEDE0F5"/>
      </patternFill>
    </fill>
    <fill>
      <patternFill patternType="solid">
        <fgColor rgb="FFF3EAF9"/>
        <bgColor rgb="FFF4ECF7"/>
      </patternFill>
    </fill>
    <fill>
      <patternFill patternType="solid">
        <fgColor rgb="FF6C3483"/>
        <bgColor rgb="FF993366"/>
      </patternFill>
    </fill>
    <fill>
      <patternFill patternType="solid">
        <fgColor rgb="FF1A5276"/>
        <bgColor rgb="FF1F497D"/>
      </patternFill>
    </fill>
    <fill>
      <patternFill patternType="solid">
        <fgColor rgb="FF196F3D"/>
        <bgColor rgb="FF375623"/>
      </patternFill>
    </fill>
    <fill>
      <patternFill patternType="solid">
        <fgColor rgb="FF1B2631"/>
        <bgColor rgb="FF1F3864"/>
      </patternFill>
    </fill>
    <fill>
      <patternFill patternType="solid">
        <fgColor rgb="FF7D6608"/>
        <bgColor rgb="FF7F6000"/>
      </patternFill>
    </fill>
    <fill>
      <patternFill patternType="solid">
        <fgColor rgb="FFB8860B"/>
        <bgColor rgb="FFC55A11"/>
      </patternFill>
    </fill>
    <fill>
      <patternFill patternType="solid">
        <fgColor rgb="FFF4ECF7"/>
        <bgColor rgb="FFF3EAF9"/>
      </patternFill>
    </fill>
    <fill>
      <patternFill patternType="solid">
        <fgColor rgb="FFF0E6FF"/>
        <bgColor rgb="FFF3EAF9"/>
      </patternFill>
    </fill>
    <fill>
      <patternFill patternType="solid">
        <fgColor rgb="FFD5F5E3"/>
        <bgColor rgb="FFE2EFDA"/>
      </patternFill>
    </fill>
    <fill>
      <patternFill patternType="solid">
        <fgColor rgb="FFFEF9E7"/>
        <bgColor rgb="FFFFFDE7"/>
      </patternFill>
    </fill>
    <fill>
      <patternFill patternType="solid">
        <fgColor rgb="FFFDF3CC"/>
        <bgColor rgb="FFFFF2CC"/>
      </patternFill>
    </fill>
    <fill>
      <patternFill patternType="solid">
        <fgColor rgb="FFD7BDE2"/>
        <bgColor rgb="FFE8D5F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75B6"/>
      </left>
      <right style="medium">
        <color rgb="FF2E75B6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C55A11"/>
      </left>
      <right style="medium">
        <color rgb="FFC55A11"/>
      </right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1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2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2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3" fillId="2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3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3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0" fillId="3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2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5" fillId="2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FEF9E7"/>
      <rgbColor rgb="FF800000"/>
      <rgbColor rgb="FF196F3D"/>
      <rgbColor rgb="FF000080"/>
      <rgbColor rgb="FF7D6608"/>
      <rgbColor rgb="FF800080"/>
      <rgbColor rgb="FF008080"/>
      <rgbColor rgb="FFD7BDE2"/>
      <rgbColor rgb="FF7F6000"/>
      <rgbColor rgb="FFF0E6FF"/>
      <rgbColor rgb="FF6C3483"/>
      <rgbColor rgb="FFFFFDE7"/>
      <rgbColor rgb="FFEBF3FB"/>
      <rgbColor rgb="FF4A235A"/>
      <rgbColor rgb="FFF3EAF9"/>
      <rgbColor rgb="FF1A5276"/>
      <rgbColor rgb="FFBDD7EE"/>
      <rgbColor rgb="FF000080"/>
      <rgbColor rgb="FFFF00FF"/>
      <rgbColor rgb="FFE2EFDA"/>
      <rgbColor rgb="FF00FFFF"/>
      <rgbColor rgb="FF800080"/>
      <rgbColor rgb="FF800000"/>
      <rgbColor rgb="FF008080"/>
      <rgbColor rgb="FF0000FF"/>
      <rgbColor rgb="FF00CCFF"/>
      <rgbColor rgb="FFDEEAF1"/>
      <rgbColor rgb="FFD5F5E3"/>
      <rgbColor rgb="FFFDF3CC"/>
      <rgbColor rgb="FFD6E4F0"/>
      <rgbColor rgb="FFEDE0F5"/>
      <rgbColor rgb="FFE8D5F5"/>
      <rgbColor rgb="FFFFD7D7"/>
      <rgbColor rgb="FF2E75B6"/>
      <rgbColor rgb="FFF4ECF7"/>
      <rgbColor rgb="FFF2F2F2"/>
      <rgbColor rgb="FFFCE4D6"/>
      <rgbColor rgb="FFB8860B"/>
      <rgbColor rgb="FFC55A11"/>
      <rgbColor rgb="FF666699"/>
      <rgbColor rgb="FFAAAAAA"/>
      <rgbColor rgb="FF1F3864"/>
      <rgbColor rgb="FF339966"/>
      <rgbColor rgb="FF375623"/>
      <rgbColor rgb="FF1B2631"/>
      <rgbColor rgb="FF843C0C"/>
      <rgbColor rgb="FF993366"/>
      <rgbColor rgb="FF1F497D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7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1" min="11" style="1" width="10"/>
    <col collapsed="false" customWidth="true" hidden="false" outlineLevel="0" max="12" min="12" style="1" width="8"/>
    <col collapsed="false" customWidth="true" hidden="false" outlineLevel="0" max="13" min="13" style="1" width="10"/>
    <col collapsed="false" customWidth="true" hidden="false" outlineLevel="0" max="14" min="14" style="1" width="8"/>
    <col collapsed="false" customWidth="true" hidden="false" outlineLevel="0" max="15" min="15" style="1" width="10"/>
    <col collapsed="false" customWidth="true" hidden="false" outlineLevel="0" max="16" min="16" style="1" width="8"/>
    <col collapsed="false" customWidth="true" hidden="false" outlineLevel="0" max="17" min="17" style="1" width="10"/>
    <col collapsed="false" customWidth="true" hidden="false" outlineLevel="0" max="18" min="18" style="1" width="8"/>
    <col collapsed="false" customWidth="true" hidden="false" outlineLevel="0" max="19" min="19" style="1" width="10"/>
    <col collapsed="false" customWidth="true" hidden="false" outlineLevel="0" max="20" min="20" style="1" width="8"/>
    <col collapsed="false" customWidth="true" hidden="false" outlineLevel="0" max="21" min="21" style="1" width="10"/>
    <col collapsed="false" customWidth="true" hidden="false" outlineLevel="0" max="22" min="22" style="1" width="8"/>
    <col collapsed="false" customWidth="true" hidden="false" outlineLevel="0" max="23" min="23" style="1" width="10"/>
    <col collapsed="false" customWidth="true" hidden="false" outlineLevel="0" max="24" min="24" style="1" width="8"/>
    <col collapsed="false" customWidth="true" hidden="false" outlineLevel="0" max="25" min="25" style="1" width="10"/>
    <col collapsed="false" customWidth="true" hidden="false" outlineLevel="0" max="26" min="26" style="1" width="8"/>
    <col collapsed="false" customWidth="true" hidden="false" outlineLevel="0" max="27" min="27" style="1" width="10"/>
    <col collapsed="false" customWidth="true" hidden="false" outlineLevel="0" max="28" min="28" style="1" width="8"/>
    <col collapsed="false" customWidth="true" hidden="false" outlineLevel="0" max="29" min="29" style="1" width="10"/>
    <col collapsed="false" customWidth="true" hidden="false" outlineLevel="0" max="30" min="30" style="1" width="8"/>
    <col collapsed="false" customWidth="true" hidden="false" outlineLevel="0" max="31" min="31" style="1" width="10"/>
    <col collapsed="false" customWidth="true" hidden="false" outlineLevel="0" max="32" min="32" style="1" width="8"/>
    <col collapsed="false" customWidth="true" hidden="false" outlineLevel="0" max="33" min="33" style="1" width="10"/>
    <col collapsed="false" customWidth="true" hidden="false" outlineLevel="0" max="34" min="34" style="1" width="8"/>
    <col collapsed="false" customWidth="true" hidden="false" outlineLevel="0" max="35" min="35" style="1" width="10"/>
    <col collapsed="false" customWidth="true" hidden="false" outlineLevel="0" max="36" min="36" style="1" width="8"/>
    <col collapsed="false" customWidth="true" hidden="false" outlineLevel="0" max="37" min="37" style="1" width="10"/>
    <col collapsed="false" customWidth="true" hidden="false" outlineLevel="0" max="38" min="38" style="1" width="8"/>
    <col collapsed="false" customWidth="true" hidden="false" outlineLevel="0" max="39" min="39" style="1" width="10"/>
    <col collapsed="false" customWidth="true" hidden="false" outlineLevel="0" max="40" min="40" style="1" width="8"/>
    <col collapsed="false" customWidth="true" hidden="false" outlineLevel="0" max="41" min="41" style="1" width="10"/>
    <col collapsed="false" customWidth="true" hidden="false" outlineLevel="0" max="42" min="42" style="1" width="8"/>
    <col collapsed="false" customWidth="true" hidden="false" outlineLevel="0" max="43" min="43" style="1" width="10"/>
    <col collapsed="false" customWidth="true" hidden="false" outlineLevel="0" max="44" min="44" style="1" width="8"/>
    <col collapsed="false" customWidth="true" hidden="false" outlineLevel="0" max="45" min="45" style="1" width="10"/>
    <col collapsed="false" customWidth="true" hidden="false" outlineLevel="0" max="46" min="46" style="1" width="8"/>
    <col collapsed="false" customWidth="true" hidden="false" outlineLevel="0" max="47" min="47" style="1" width="10"/>
    <col collapsed="false" customWidth="true" hidden="false" outlineLevel="0" max="48" min="48" style="1" width="8"/>
    <col collapsed="false" customWidth="true" hidden="false" outlineLevel="0" max="49" min="49" style="1" width="10"/>
    <col collapsed="false" customWidth="true" hidden="false" outlineLevel="0" max="50" min="50" style="1" width="8"/>
    <col collapsed="false" customWidth="true" hidden="false" outlineLevel="0" max="51" min="51" style="1" width="10"/>
    <col collapsed="false" customWidth="true" hidden="false" outlineLevel="0" max="52" min="52" style="1" width="8"/>
    <col collapsed="false" customWidth="true" hidden="false" outlineLevel="0" max="53" min="53" style="1" width="10"/>
    <col collapsed="false" customWidth="true" hidden="false" outlineLevel="0" max="54" min="54" style="1" width="8"/>
    <col collapsed="false" customWidth="true" hidden="false" outlineLevel="0" max="55" min="55" style="1" width="10"/>
    <col collapsed="false" customWidth="true" hidden="false" outlineLevel="0" max="56" min="56" style="1" width="8"/>
    <col collapsed="false" customWidth="true" hidden="false" outlineLevel="0" max="57" min="57" style="1" width="10"/>
    <col collapsed="false" customWidth="true" hidden="false" outlineLevel="0" max="58" min="58" style="1" width="8"/>
    <col collapsed="false" customWidth="true" hidden="false" outlineLevel="0" max="59" min="59" style="1" width="10"/>
    <col collapsed="false" customWidth="true" hidden="false" outlineLevel="0" max="60" min="60" style="1" width="8"/>
    <col collapsed="false" customWidth="true" hidden="false" outlineLevel="0" max="61" min="61" style="1" width="10"/>
    <col collapsed="false" customWidth="true" hidden="false" outlineLevel="0" max="62" min="62" style="1" width="8"/>
    <col collapsed="false" customWidth="true" hidden="false" outlineLevel="0" max="63" min="63" style="1" width="10"/>
    <col collapsed="false" customWidth="true" hidden="false" outlineLevel="0" max="64" min="64" style="1" width="8"/>
    <col collapsed="false" customWidth="true" hidden="false" outlineLevel="0" max="65" min="65" style="1" width="10"/>
    <col collapsed="false" customWidth="true" hidden="false" outlineLevel="0" max="66" min="66" style="1" width="8"/>
    <col collapsed="false" customWidth="true" hidden="false" outlineLevel="0" max="67" min="67" style="1" width="10"/>
    <col collapsed="false" customWidth="true" hidden="false" outlineLevel="0" max="68" min="68" style="1" width="8"/>
    <col collapsed="false" customWidth="true" hidden="false" outlineLevel="0" max="69" min="69" style="1" width="10"/>
    <col collapsed="false" customWidth="true" hidden="false" outlineLevel="0" max="70" min="70" style="1" width="8"/>
    <col collapsed="false" customWidth="true" hidden="false" outlineLevel="0" max="71" min="71" style="1" width="10"/>
    <col collapsed="false" customWidth="true" hidden="false" outlineLevel="0" max="72" min="72" style="1" width="8"/>
    <col collapsed="false" customWidth="true" hidden="false" outlineLevel="0" max="73" min="73" style="1" width="10"/>
    <col collapsed="false" customWidth="true" hidden="false" outlineLevel="0" max="74" min="74" style="1" width="8"/>
    <col collapsed="false" customWidth="true" hidden="false" outlineLevel="0" max="75" min="75" style="1" width="10"/>
    <col collapsed="false" customWidth="true" hidden="false" outlineLevel="0" max="76" min="76" style="1" width="8"/>
    <col collapsed="false" customWidth="true" hidden="false" outlineLevel="0" max="77" min="77" style="1" width="10"/>
    <col collapsed="false" customWidth="true" hidden="false" outlineLevel="0" max="78" min="78" style="1" width="8"/>
    <col collapsed="false" customWidth="true" hidden="false" outlineLevel="0" max="79" min="79" style="1" width="10"/>
    <col collapsed="false" customWidth="true" hidden="false" outlineLevel="0" max="80" min="80" style="1" width="8"/>
    <col collapsed="false" customWidth="true" hidden="false" outlineLevel="0" max="81" min="81" style="1" width="10"/>
    <col collapsed="false" customWidth="true" hidden="false" outlineLevel="0" max="82" min="82" style="1" width="8"/>
    <col collapsed="false" customWidth="true" hidden="false" outlineLevel="0" max="83" min="83" style="1" width="10"/>
    <col collapsed="false" customWidth="true" hidden="false" outlineLevel="0" max="84" min="84" style="1" width="8"/>
    <col collapsed="false" customWidth="true" hidden="false" outlineLevel="0" max="85" min="85" style="1" width="10"/>
    <col collapsed="false" customWidth="true" hidden="false" outlineLevel="0" max="86" min="86" style="1" width="8"/>
    <col collapsed="false" customWidth="true" hidden="false" outlineLevel="0" max="87" min="87" style="1" width="10"/>
    <col collapsed="false" customWidth="true" hidden="false" outlineLevel="0" max="88" min="88" style="1" width="8"/>
    <col collapsed="false" customWidth="true" hidden="false" outlineLevel="0" max="89" min="89" style="1" width="10"/>
    <col collapsed="false" customWidth="true" hidden="false" outlineLevel="0" max="90" min="90" style="1" width="8"/>
    <col collapsed="false" customWidth="true" hidden="false" outlineLevel="0" max="91" min="91" style="1" width="10"/>
    <col collapsed="false" customWidth="true" hidden="false" outlineLevel="0" max="92" min="92" style="1" width="8"/>
    <col collapsed="false" customWidth="true" hidden="false" outlineLevel="0" max="93" min="93" style="1" width="10"/>
    <col collapsed="false" customWidth="true" hidden="false" outlineLevel="0" max="94" min="94" style="1" width="8"/>
    <col collapsed="false" customWidth="true" hidden="false" outlineLevel="0" max="95" min="95" style="1" width="10"/>
    <col collapsed="false" customWidth="true" hidden="false" outlineLevel="0" max="96" min="96" style="1" width="8"/>
    <col collapsed="false" customWidth="true" hidden="false" outlineLevel="0" max="97" min="97" style="1" width="10"/>
    <col collapsed="false" customWidth="true" hidden="false" outlineLevel="0" max="98" min="98" style="1" width="8"/>
    <col collapsed="false" customWidth="true" hidden="false" outlineLevel="0" max="99" min="99" style="1" width="10"/>
    <col collapsed="false" customWidth="true" hidden="false" outlineLevel="0" max="100" min="100" style="1" width="8"/>
    <col collapsed="false" customWidth="true" hidden="false" outlineLevel="0" max="101" min="101" style="1" width="10"/>
    <col collapsed="false" customWidth="true" hidden="false" outlineLevel="0" max="102" min="102" style="1" width="8"/>
    <col collapsed="false" customWidth="true" hidden="false" outlineLevel="0" max="103" min="103" style="1" width="10"/>
    <col collapsed="false" customWidth="true" hidden="false" outlineLevel="0" max="104" min="104" style="1" width="8"/>
    <col collapsed="false" customWidth="true" hidden="false" outlineLevel="0" max="105" min="105" style="1" width="10"/>
    <col collapsed="false" customWidth="true" hidden="false" outlineLevel="0" max="106" min="106" style="1" width="8"/>
    <col collapsed="false" customWidth="true" hidden="false" outlineLevel="0" max="107" min="107" style="1" width="10"/>
    <col collapsed="false" customWidth="true" hidden="false" outlineLevel="0" max="108" min="108" style="1" width="8"/>
    <col collapsed="false" customWidth="true" hidden="false" outlineLevel="0" max="109" min="109" style="1" width="10"/>
    <col collapsed="false" customWidth="true" hidden="false" outlineLevel="0" max="110" min="110" style="1" width="8"/>
    <col collapsed="false" customWidth="true" hidden="false" outlineLevel="0" max="111" min="111" style="1" width="10"/>
    <col collapsed="false" customWidth="true" hidden="false" outlineLevel="0" max="112" min="112" style="1" width="8"/>
    <col collapsed="false" customWidth="true" hidden="false" outlineLevel="0" max="113" min="113" style="1" width="10"/>
    <col collapsed="false" customWidth="true" hidden="false" outlineLevel="0" max="114" min="114" style="1" width="8"/>
    <col collapsed="false" customWidth="true" hidden="false" outlineLevel="0" max="115" min="115" style="1" width="10"/>
    <col collapsed="false" customWidth="true" hidden="false" outlineLevel="0" max="116" min="116" style="1" width="8"/>
    <col collapsed="false" customWidth="true" hidden="false" outlineLevel="0" max="117" min="117" style="1" width="10"/>
    <col collapsed="false" customWidth="true" hidden="false" outlineLevel="0" max="118" min="118" style="1" width="8"/>
    <col collapsed="false" customWidth="true" hidden="false" outlineLevel="0" max="119" min="119" style="1" width="10"/>
    <col collapsed="false" customWidth="true" hidden="false" outlineLevel="0" max="120" min="120" style="1" width="8"/>
    <col collapsed="false" customWidth="true" hidden="false" outlineLevel="0" max="121" min="121" style="1" width="10"/>
    <col collapsed="false" customWidth="true" hidden="false" outlineLevel="0" max="122" min="122" style="1" width="8"/>
    <col collapsed="false" customWidth="true" hidden="false" outlineLevel="0" max="123" min="123" style="1" width="10"/>
    <col collapsed="false" customWidth="true" hidden="false" outlineLevel="0" max="124" min="124" style="1" width="8"/>
    <col collapsed="false" customWidth="true" hidden="false" outlineLevel="0" max="125" min="125" style="1" width="10"/>
    <col collapsed="false" customWidth="true" hidden="false" outlineLevel="0" max="126" min="126" style="1" width="8"/>
    <col collapsed="false" customWidth="true" hidden="false" outlineLevel="0" max="127" min="127" style="1" width="10"/>
    <col collapsed="false" customWidth="true" hidden="false" outlineLevel="0" max="128" min="128" style="1" width="8"/>
    <col collapsed="false" customWidth="true" hidden="false" outlineLevel="0" max="129" min="129" style="1" width="10"/>
    <col collapsed="false" customWidth="true" hidden="false" outlineLevel="0" max="130" min="130" style="1" width="8"/>
    <col collapsed="false" customWidth="true" hidden="false" outlineLevel="0" max="131" min="131" style="1" width="10"/>
    <col collapsed="false" customWidth="true" hidden="false" outlineLevel="0" max="132" min="132" style="1" width="8"/>
    <col collapsed="false" customWidth="true" hidden="false" outlineLevel="0" max="133" min="133" style="1" width="10"/>
    <col collapsed="false" customWidth="true" hidden="false" outlineLevel="0" max="134" min="134" style="1" width="8"/>
    <col collapsed="false" customWidth="true" hidden="false" outlineLevel="0" max="135" min="135" style="1" width="13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 t="s">
        <v>7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 t="s">
        <v>8</v>
      </c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 t="s">
        <v>9</v>
      </c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 t="s">
        <v>10</v>
      </c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6" t="s">
        <v>11</v>
      </c>
    </row>
    <row r="4" customFormat="false" ht="36" hidden="false" customHeight="true" outlineLevel="0" collapsed="false">
      <c r="A4" s="4"/>
      <c r="B4" s="4"/>
      <c r="C4" s="4"/>
      <c r="D4" s="4"/>
      <c r="E4" s="7" t="s">
        <v>12</v>
      </c>
      <c r="F4" s="7"/>
      <c r="G4" s="7" t="s">
        <v>13</v>
      </c>
      <c r="H4" s="7"/>
      <c r="I4" s="7" t="s">
        <v>14</v>
      </c>
      <c r="J4" s="7"/>
      <c r="K4" s="7" t="s">
        <v>15</v>
      </c>
      <c r="L4" s="7"/>
      <c r="M4" s="7" t="s">
        <v>16</v>
      </c>
      <c r="N4" s="7"/>
      <c r="O4" s="7" t="s">
        <v>17</v>
      </c>
      <c r="P4" s="7"/>
      <c r="Q4" s="7" t="s">
        <v>18</v>
      </c>
      <c r="R4" s="7"/>
      <c r="S4" s="7" t="s">
        <v>19</v>
      </c>
      <c r="T4" s="7"/>
      <c r="U4" s="7" t="s">
        <v>20</v>
      </c>
      <c r="V4" s="7"/>
      <c r="W4" s="7" t="s">
        <v>21</v>
      </c>
      <c r="X4" s="7"/>
      <c r="Y4" s="7" t="s">
        <v>22</v>
      </c>
      <c r="Z4" s="7"/>
      <c r="AA4" s="7" t="s">
        <v>23</v>
      </c>
      <c r="AB4" s="7"/>
      <c r="AC4" s="8" t="s">
        <v>24</v>
      </c>
      <c r="AD4" s="6" t="s">
        <v>25</v>
      </c>
      <c r="AE4" s="7" t="s">
        <v>12</v>
      </c>
      <c r="AF4" s="7"/>
      <c r="AG4" s="7" t="s">
        <v>13</v>
      </c>
      <c r="AH4" s="7"/>
      <c r="AI4" s="7" t="s">
        <v>14</v>
      </c>
      <c r="AJ4" s="7"/>
      <c r="AK4" s="7" t="s">
        <v>15</v>
      </c>
      <c r="AL4" s="7"/>
      <c r="AM4" s="7" t="s">
        <v>16</v>
      </c>
      <c r="AN4" s="7"/>
      <c r="AO4" s="7" t="s">
        <v>17</v>
      </c>
      <c r="AP4" s="7"/>
      <c r="AQ4" s="7" t="s">
        <v>18</v>
      </c>
      <c r="AR4" s="7"/>
      <c r="AS4" s="7" t="s">
        <v>19</v>
      </c>
      <c r="AT4" s="7"/>
      <c r="AU4" s="7" t="s">
        <v>20</v>
      </c>
      <c r="AV4" s="7"/>
      <c r="AW4" s="7" t="s">
        <v>21</v>
      </c>
      <c r="AX4" s="7"/>
      <c r="AY4" s="7" t="s">
        <v>22</v>
      </c>
      <c r="AZ4" s="7"/>
      <c r="BA4" s="7" t="s">
        <v>23</v>
      </c>
      <c r="BB4" s="7"/>
      <c r="BC4" s="8" t="s">
        <v>24</v>
      </c>
      <c r="BD4" s="6" t="s">
        <v>26</v>
      </c>
      <c r="BE4" s="7" t="s">
        <v>12</v>
      </c>
      <c r="BF4" s="7"/>
      <c r="BG4" s="7" t="s">
        <v>13</v>
      </c>
      <c r="BH4" s="7"/>
      <c r="BI4" s="7" t="s">
        <v>14</v>
      </c>
      <c r="BJ4" s="7"/>
      <c r="BK4" s="7" t="s">
        <v>15</v>
      </c>
      <c r="BL4" s="7"/>
      <c r="BM4" s="7" t="s">
        <v>16</v>
      </c>
      <c r="BN4" s="7"/>
      <c r="BO4" s="7" t="s">
        <v>17</v>
      </c>
      <c r="BP4" s="7"/>
      <c r="BQ4" s="7" t="s">
        <v>18</v>
      </c>
      <c r="BR4" s="7"/>
      <c r="BS4" s="7" t="s">
        <v>19</v>
      </c>
      <c r="BT4" s="7"/>
      <c r="BU4" s="7" t="s">
        <v>20</v>
      </c>
      <c r="BV4" s="7"/>
      <c r="BW4" s="7" t="s">
        <v>21</v>
      </c>
      <c r="BX4" s="7"/>
      <c r="BY4" s="7" t="s">
        <v>22</v>
      </c>
      <c r="BZ4" s="7"/>
      <c r="CA4" s="7" t="s">
        <v>23</v>
      </c>
      <c r="CB4" s="7"/>
      <c r="CC4" s="8" t="s">
        <v>24</v>
      </c>
      <c r="CD4" s="6" t="s">
        <v>27</v>
      </c>
      <c r="CE4" s="7" t="s">
        <v>12</v>
      </c>
      <c r="CF4" s="7"/>
      <c r="CG4" s="7" t="s">
        <v>13</v>
      </c>
      <c r="CH4" s="7"/>
      <c r="CI4" s="7" t="s">
        <v>14</v>
      </c>
      <c r="CJ4" s="7"/>
      <c r="CK4" s="7" t="s">
        <v>15</v>
      </c>
      <c r="CL4" s="7"/>
      <c r="CM4" s="7" t="s">
        <v>16</v>
      </c>
      <c r="CN4" s="7"/>
      <c r="CO4" s="7" t="s">
        <v>17</v>
      </c>
      <c r="CP4" s="7"/>
      <c r="CQ4" s="7" t="s">
        <v>18</v>
      </c>
      <c r="CR4" s="7"/>
      <c r="CS4" s="7" t="s">
        <v>19</v>
      </c>
      <c r="CT4" s="7"/>
      <c r="CU4" s="7" t="s">
        <v>20</v>
      </c>
      <c r="CV4" s="7"/>
      <c r="CW4" s="7" t="s">
        <v>21</v>
      </c>
      <c r="CX4" s="7"/>
      <c r="CY4" s="7" t="s">
        <v>22</v>
      </c>
      <c r="CZ4" s="7"/>
      <c r="DA4" s="7" t="s">
        <v>23</v>
      </c>
      <c r="DB4" s="7"/>
      <c r="DC4" s="8" t="s">
        <v>24</v>
      </c>
      <c r="DD4" s="6" t="s">
        <v>28</v>
      </c>
      <c r="DE4" s="7" t="s">
        <v>12</v>
      </c>
      <c r="DF4" s="7"/>
      <c r="DG4" s="7" t="s">
        <v>13</v>
      </c>
      <c r="DH4" s="7"/>
      <c r="DI4" s="7" t="s">
        <v>14</v>
      </c>
      <c r="DJ4" s="7"/>
      <c r="DK4" s="7" t="s">
        <v>15</v>
      </c>
      <c r="DL4" s="7"/>
      <c r="DM4" s="7" t="s">
        <v>16</v>
      </c>
      <c r="DN4" s="7"/>
      <c r="DO4" s="7" t="s">
        <v>17</v>
      </c>
      <c r="DP4" s="7"/>
      <c r="DQ4" s="7" t="s">
        <v>18</v>
      </c>
      <c r="DR4" s="7"/>
      <c r="DS4" s="7" t="s">
        <v>19</v>
      </c>
      <c r="DT4" s="7"/>
      <c r="DU4" s="7" t="s">
        <v>20</v>
      </c>
      <c r="DV4" s="7"/>
      <c r="DW4" s="7" t="s">
        <v>21</v>
      </c>
      <c r="DX4" s="7"/>
      <c r="DY4" s="7" t="s">
        <v>22</v>
      </c>
      <c r="DZ4" s="7"/>
      <c r="EA4" s="7" t="s">
        <v>23</v>
      </c>
      <c r="EB4" s="7"/>
      <c r="EC4" s="8" t="s">
        <v>24</v>
      </c>
      <c r="ED4" s="6" t="s">
        <v>29</v>
      </c>
      <c r="EE4" s="6"/>
    </row>
    <row r="5" customFormat="false" ht="36" hidden="false" customHeight="true" outlineLevel="0" collapsed="false">
      <c r="A5" s="4"/>
      <c r="B5" s="4"/>
      <c r="C5" s="4"/>
      <c r="D5" s="4"/>
      <c r="E5" s="9" t="s">
        <v>30</v>
      </c>
      <c r="F5" s="10" t="s">
        <v>31</v>
      </c>
      <c r="G5" s="9" t="s">
        <v>32</v>
      </c>
      <c r="H5" s="10" t="s">
        <v>31</v>
      </c>
      <c r="I5" s="9" t="s">
        <v>30</v>
      </c>
      <c r="J5" s="10" t="s">
        <v>31</v>
      </c>
      <c r="K5" s="9" t="s">
        <v>33</v>
      </c>
      <c r="L5" s="10" t="s">
        <v>31</v>
      </c>
      <c r="M5" s="9" t="s">
        <v>30</v>
      </c>
      <c r="N5" s="10" t="s">
        <v>31</v>
      </c>
      <c r="O5" s="9" t="s">
        <v>33</v>
      </c>
      <c r="P5" s="10" t="s">
        <v>31</v>
      </c>
      <c r="Q5" s="9" t="s">
        <v>30</v>
      </c>
      <c r="R5" s="10" t="s">
        <v>31</v>
      </c>
      <c r="S5" s="9" t="s">
        <v>30</v>
      </c>
      <c r="T5" s="10" t="s">
        <v>31</v>
      </c>
      <c r="U5" s="9" t="s">
        <v>33</v>
      </c>
      <c r="V5" s="10" t="s">
        <v>31</v>
      </c>
      <c r="W5" s="9" t="s">
        <v>30</v>
      </c>
      <c r="X5" s="10" t="s">
        <v>31</v>
      </c>
      <c r="Y5" s="9" t="s">
        <v>33</v>
      </c>
      <c r="Z5" s="10" t="s">
        <v>31</v>
      </c>
      <c r="AA5" s="9" t="s">
        <v>30</v>
      </c>
      <c r="AB5" s="10" t="s">
        <v>31</v>
      </c>
      <c r="AC5" s="8"/>
      <c r="AD5" s="8"/>
      <c r="AE5" s="9" t="s">
        <v>30</v>
      </c>
      <c r="AF5" s="10" t="s">
        <v>31</v>
      </c>
      <c r="AG5" s="9" t="s">
        <v>32</v>
      </c>
      <c r="AH5" s="10" t="s">
        <v>31</v>
      </c>
      <c r="AI5" s="9" t="s">
        <v>30</v>
      </c>
      <c r="AJ5" s="10" t="s">
        <v>31</v>
      </c>
      <c r="AK5" s="9" t="s">
        <v>33</v>
      </c>
      <c r="AL5" s="10" t="s">
        <v>31</v>
      </c>
      <c r="AM5" s="9" t="s">
        <v>30</v>
      </c>
      <c r="AN5" s="10" t="s">
        <v>31</v>
      </c>
      <c r="AO5" s="9" t="s">
        <v>33</v>
      </c>
      <c r="AP5" s="10" t="s">
        <v>31</v>
      </c>
      <c r="AQ5" s="9" t="s">
        <v>30</v>
      </c>
      <c r="AR5" s="10" t="s">
        <v>31</v>
      </c>
      <c r="AS5" s="9" t="s">
        <v>30</v>
      </c>
      <c r="AT5" s="10" t="s">
        <v>31</v>
      </c>
      <c r="AU5" s="9" t="s">
        <v>33</v>
      </c>
      <c r="AV5" s="10" t="s">
        <v>31</v>
      </c>
      <c r="AW5" s="9" t="s">
        <v>30</v>
      </c>
      <c r="AX5" s="10" t="s">
        <v>31</v>
      </c>
      <c r="AY5" s="9" t="s">
        <v>33</v>
      </c>
      <c r="AZ5" s="10" t="s">
        <v>31</v>
      </c>
      <c r="BA5" s="9" t="s">
        <v>30</v>
      </c>
      <c r="BB5" s="10" t="s">
        <v>31</v>
      </c>
      <c r="BC5" s="8"/>
      <c r="BD5" s="8"/>
      <c r="BE5" s="9" t="s">
        <v>30</v>
      </c>
      <c r="BF5" s="10" t="s">
        <v>31</v>
      </c>
      <c r="BG5" s="9" t="s">
        <v>32</v>
      </c>
      <c r="BH5" s="10" t="s">
        <v>31</v>
      </c>
      <c r="BI5" s="9" t="s">
        <v>30</v>
      </c>
      <c r="BJ5" s="10" t="s">
        <v>31</v>
      </c>
      <c r="BK5" s="9" t="s">
        <v>33</v>
      </c>
      <c r="BL5" s="10" t="s">
        <v>31</v>
      </c>
      <c r="BM5" s="9" t="s">
        <v>30</v>
      </c>
      <c r="BN5" s="10" t="s">
        <v>31</v>
      </c>
      <c r="BO5" s="9" t="s">
        <v>33</v>
      </c>
      <c r="BP5" s="10" t="s">
        <v>31</v>
      </c>
      <c r="BQ5" s="9" t="s">
        <v>30</v>
      </c>
      <c r="BR5" s="10" t="s">
        <v>31</v>
      </c>
      <c r="BS5" s="9" t="s">
        <v>30</v>
      </c>
      <c r="BT5" s="10" t="s">
        <v>31</v>
      </c>
      <c r="BU5" s="9" t="s">
        <v>33</v>
      </c>
      <c r="BV5" s="10" t="s">
        <v>31</v>
      </c>
      <c r="BW5" s="9" t="s">
        <v>30</v>
      </c>
      <c r="BX5" s="10" t="s">
        <v>31</v>
      </c>
      <c r="BY5" s="9" t="s">
        <v>33</v>
      </c>
      <c r="BZ5" s="10" t="s">
        <v>31</v>
      </c>
      <c r="CA5" s="9" t="s">
        <v>30</v>
      </c>
      <c r="CB5" s="10" t="s">
        <v>31</v>
      </c>
      <c r="CC5" s="8"/>
      <c r="CD5" s="8"/>
      <c r="CE5" s="9" t="s">
        <v>30</v>
      </c>
      <c r="CF5" s="10" t="s">
        <v>31</v>
      </c>
      <c r="CG5" s="9" t="s">
        <v>32</v>
      </c>
      <c r="CH5" s="10" t="s">
        <v>31</v>
      </c>
      <c r="CI5" s="9" t="s">
        <v>30</v>
      </c>
      <c r="CJ5" s="10" t="s">
        <v>31</v>
      </c>
      <c r="CK5" s="9" t="s">
        <v>33</v>
      </c>
      <c r="CL5" s="10" t="s">
        <v>31</v>
      </c>
      <c r="CM5" s="9" t="s">
        <v>30</v>
      </c>
      <c r="CN5" s="10" t="s">
        <v>31</v>
      </c>
      <c r="CO5" s="9" t="s">
        <v>33</v>
      </c>
      <c r="CP5" s="10" t="s">
        <v>31</v>
      </c>
      <c r="CQ5" s="9" t="s">
        <v>30</v>
      </c>
      <c r="CR5" s="10" t="s">
        <v>31</v>
      </c>
      <c r="CS5" s="9" t="s">
        <v>30</v>
      </c>
      <c r="CT5" s="10" t="s">
        <v>31</v>
      </c>
      <c r="CU5" s="9" t="s">
        <v>33</v>
      </c>
      <c r="CV5" s="10" t="s">
        <v>31</v>
      </c>
      <c r="CW5" s="9" t="s">
        <v>30</v>
      </c>
      <c r="CX5" s="10" t="s">
        <v>31</v>
      </c>
      <c r="CY5" s="9" t="s">
        <v>33</v>
      </c>
      <c r="CZ5" s="10" t="s">
        <v>31</v>
      </c>
      <c r="DA5" s="9" t="s">
        <v>30</v>
      </c>
      <c r="DB5" s="10" t="s">
        <v>31</v>
      </c>
      <c r="DC5" s="8"/>
      <c r="DD5" s="8"/>
      <c r="DE5" s="9" t="s">
        <v>30</v>
      </c>
      <c r="DF5" s="10" t="s">
        <v>31</v>
      </c>
      <c r="DG5" s="9" t="s">
        <v>32</v>
      </c>
      <c r="DH5" s="10" t="s">
        <v>31</v>
      </c>
      <c r="DI5" s="9" t="s">
        <v>30</v>
      </c>
      <c r="DJ5" s="10" t="s">
        <v>31</v>
      </c>
      <c r="DK5" s="9" t="s">
        <v>33</v>
      </c>
      <c r="DL5" s="10" t="s">
        <v>31</v>
      </c>
      <c r="DM5" s="9" t="s">
        <v>30</v>
      </c>
      <c r="DN5" s="10" t="s">
        <v>31</v>
      </c>
      <c r="DO5" s="9" t="s">
        <v>33</v>
      </c>
      <c r="DP5" s="10" t="s">
        <v>31</v>
      </c>
      <c r="DQ5" s="9" t="s">
        <v>30</v>
      </c>
      <c r="DR5" s="10" t="s">
        <v>31</v>
      </c>
      <c r="DS5" s="9" t="s">
        <v>30</v>
      </c>
      <c r="DT5" s="10" t="s">
        <v>31</v>
      </c>
      <c r="DU5" s="9" t="s">
        <v>33</v>
      </c>
      <c r="DV5" s="10" t="s">
        <v>31</v>
      </c>
      <c r="DW5" s="9" t="s">
        <v>30</v>
      </c>
      <c r="DX5" s="10" t="s">
        <v>31</v>
      </c>
      <c r="DY5" s="9" t="s">
        <v>33</v>
      </c>
      <c r="DZ5" s="10" t="s">
        <v>31</v>
      </c>
      <c r="EA5" s="9" t="s">
        <v>30</v>
      </c>
      <c r="EB5" s="10" t="s">
        <v>31</v>
      </c>
      <c r="EC5" s="8"/>
      <c r="ED5" s="8"/>
      <c r="EE5" s="8"/>
    </row>
    <row r="6" customFormat="false" ht="15" hidden="false" customHeight="true" outlineLevel="0" collapsed="false">
      <c r="A6" s="11" t="n">
        <v>1</v>
      </c>
      <c r="B6" s="12" t="s">
        <v>34</v>
      </c>
      <c r="C6" s="13" t="s">
        <v>35</v>
      </c>
      <c r="D6" s="14" t="s">
        <v>36</v>
      </c>
      <c r="E6" s="15" t="n">
        <v>3725</v>
      </c>
      <c r="F6" s="16" t="n">
        <f aca="false">E6/31</f>
        <v>120.161290322581</v>
      </c>
      <c r="G6" s="15" t="n">
        <v>2078</v>
      </c>
      <c r="H6" s="16" t="n">
        <f aca="false">G6/28</f>
        <v>74.2142857142857</v>
      </c>
      <c r="I6" s="15" t="n">
        <v>2748</v>
      </c>
      <c r="J6" s="16" t="n">
        <f aca="false">I6/31</f>
        <v>88.6451612903226</v>
      </c>
      <c r="K6" s="15" t="n">
        <v>2609</v>
      </c>
      <c r="L6" s="16" t="n">
        <f aca="false">K6/30</f>
        <v>86.9666666666667</v>
      </c>
      <c r="M6" s="15" t="n">
        <v>3985</v>
      </c>
      <c r="N6" s="16" t="n">
        <f aca="false">M6/31</f>
        <v>128.548387096774</v>
      </c>
      <c r="O6" s="15" t="n">
        <v>3825</v>
      </c>
      <c r="P6" s="16" t="n">
        <f aca="false">O6/30</f>
        <v>127.5</v>
      </c>
      <c r="Q6" s="15" t="n">
        <v>4403</v>
      </c>
      <c r="R6" s="16" t="n">
        <f aca="false">Q6/31</f>
        <v>142.032258064516</v>
      </c>
      <c r="S6" s="15" t="n">
        <v>2244</v>
      </c>
      <c r="T6" s="16" t="n">
        <f aca="false">S6/31</f>
        <v>72.3870967741936</v>
      </c>
      <c r="U6" s="15" t="n">
        <v>3142</v>
      </c>
      <c r="V6" s="16" t="n">
        <f aca="false">U6/30</f>
        <v>104.733333333333</v>
      </c>
      <c r="W6" s="15" t="n">
        <v>2091</v>
      </c>
      <c r="X6" s="16" t="n">
        <f aca="false">W6/31</f>
        <v>67.4516129032258</v>
      </c>
      <c r="Y6" s="15" t="n">
        <v>2597</v>
      </c>
      <c r="Z6" s="16" t="n">
        <f aca="false">Y6/30</f>
        <v>86.5666666666667</v>
      </c>
      <c r="AA6" s="15" t="n">
        <v>3366</v>
      </c>
      <c r="AB6" s="16" t="n">
        <f aca="false">AA6/31</f>
        <v>108.58064516129</v>
      </c>
      <c r="AC6" s="17" t="n">
        <f aca="false">SUM(E6:AA6)</f>
        <v>37912.2067588326</v>
      </c>
      <c r="AD6" s="18" t="n">
        <f aca="false">IFERROR(STDEV(F6,H6,J6,L6,N6,P6,R6,T6,V6,X6,Z6,AB6),0)</f>
        <v>24.8659215529356</v>
      </c>
      <c r="AE6" s="15" t="n">
        <v>1966</v>
      </c>
      <c r="AF6" s="16" t="n">
        <f aca="false">AE6/31</f>
        <v>63.4193548387097</v>
      </c>
      <c r="AG6" s="15" t="n">
        <v>2402</v>
      </c>
      <c r="AH6" s="16" t="n">
        <f aca="false">AG6/28</f>
        <v>85.7857142857143</v>
      </c>
      <c r="AI6" s="15" t="n">
        <v>3544</v>
      </c>
      <c r="AJ6" s="16" t="n">
        <f aca="false">AI6/31</f>
        <v>114.322580645161</v>
      </c>
      <c r="AK6" s="15" t="n">
        <v>3278</v>
      </c>
      <c r="AL6" s="16" t="n">
        <f aca="false">AK6/30</f>
        <v>109.266666666667</v>
      </c>
      <c r="AM6" s="15" t="n">
        <v>2457</v>
      </c>
      <c r="AN6" s="16" t="n">
        <f aca="false">AM6/31</f>
        <v>79.258064516129</v>
      </c>
      <c r="AO6" s="15" t="n">
        <v>3391</v>
      </c>
      <c r="AP6" s="16" t="n">
        <f aca="false">AO6/30</f>
        <v>113.033333333333</v>
      </c>
      <c r="AQ6" s="15" t="n">
        <v>3948</v>
      </c>
      <c r="AR6" s="16" t="n">
        <f aca="false">AQ6/31</f>
        <v>127.354838709677</v>
      </c>
      <c r="AS6" s="15" t="n">
        <v>1915</v>
      </c>
      <c r="AT6" s="16" t="n">
        <f aca="false">AS6/31</f>
        <v>61.7741935483871</v>
      </c>
      <c r="AU6" s="15" t="n">
        <v>3939</v>
      </c>
      <c r="AV6" s="16" t="n">
        <f aca="false">AU6/30</f>
        <v>131.3</v>
      </c>
      <c r="AW6" s="15" t="n">
        <v>3666</v>
      </c>
      <c r="AX6" s="16" t="n">
        <f aca="false">AW6/31</f>
        <v>118.258064516129</v>
      </c>
      <c r="AY6" s="15" t="n">
        <v>2760</v>
      </c>
      <c r="AZ6" s="16" t="n">
        <f aca="false">AY6/30</f>
        <v>92</v>
      </c>
      <c r="BA6" s="15" t="n">
        <v>2292</v>
      </c>
      <c r="BB6" s="16" t="n">
        <f aca="false">BA6/31</f>
        <v>73.9354838709677</v>
      </c>
      <c r="BC6" s="17" t="n">
        <f aca="false">SUM(AE6:BA6)</f>
        <v>36653.7728110599</v>
      </c>
      <c r="BD6" s="18" t="n">
        <f aca="false">IFERROR(STDEV(AF6,AH6,AJ6,AL6,AN6,AP6,AR6,AT6,AV6,AX6,AZ6,BB6),0)</f>
        <v>24.5333398310398</v>
      </c>
      <c r="BE6" s="15" t="n">
        <v>4043</v>
      </c>
      <c r="BF6" s="16" t="n">
        <f aca="false">BE6/31</f>
        <v>130.41935483871</v>
      </c>
      <c r="BG6" s="15" t="n">
        <v>2574</v>
      </c>
      <c r="BH6" s="16" t="n">
        <f aca="false">BG6/28</f>
        <v>91.9285714285714</v>
      </c>
      <c r="BI6" s="15" t="n">
        <v>1996</v>
      </c>
      <c r="BJ6" s="16" t="n">
        <f aca="false">BI6/31</f>
        <v>64.3870967741936</v>
      </c>
      <c r="BK6" s="15" t="n">
        <v>2005</v>
      </c>
      <c r="BL6" s="16" t="n">
        <f aca="false">BK6/30</f>
        <v>66.8333333333333</v>
      </c>
      <c r="BM6" s="15" t="n">
        <v>3784</v>
      </c>
      <c r="BN6" s="16" t="n">
        <f aca="false">BM6/31</f>
        <v>122.064516129032</v>
      </c>
      <c r="BO6" s="15" t="n">
        <v>3206</v>
      </c>
      <c r="BP6" s="16" t="n">
        <f aca="false">BO6/30</f>
        <v>106.866666666667</v>
      </c>
      <c r="BQ6" s="15" t="n">
        <v>3688</v>
      </c>
      <c r="BR6" s="16" t="n">
        <f aca="false">BQ6/31</f>
        <v>118.967741935484</v>
      </c>
      <c r="BS6" s="15" t="n">
        <v>3505</v>
      </c>
      <c r="BT6" s="16" t="n">
        <f aca="false">BS6/31</f>
        <v>113.064516129032</v>
      </c>
      <c r="BU6" s="15" t="n">
        <v>3046</v>
      </c>
      <c r="BV6" s="16" t="n">
        <f aca="false">BU6/30</f>
        <v>101.533333333333</v>
      </c>
      <c r="BW6" s="15" t="n">
        <v>4081</v>
      </c>
      <c r="BX6" s="16" t="n">
        <f aca="false">BW6/31</f>
        <v>131.645161290323</v>
      </c>
      <c r="BY6" s="15" t="n">
        <v>2673</v>
      </c>
      <c r="BZ6" s="16" t="n">
        <f aca="false">BY6/30</f>
        <v>89.1</v>
      </c>
      <c r="CA6" s="15" t="n">
        <v>3084</v>
      </c>
      <c r="CB6" s="16" t="n">
        <f aca="false">CA6/31</f>
        <v>99.4838709677419</v>
      </c>
      <c r="CC6" s="17" t="n">
        <f aca="false">SUM(BE6:CA6)</f>
        <v>38821.8102918587</v>
      </c>
      <c r="CD6" s="18" t="n">
        <f aca="false">IFERROR(STDEV(BF6,BH6,BJ6,BL6,BN6,BP6,BR6,BT6,BV6,BX6,BZ6,CB6),0)</f>
        <v>22.2308428382978</v>
      </c>
      <c r="CE6" s="15" t="n">
        <v>4507</v>
      </c>
      <c r="CF6" s="16" t="n">
        <f aca="false">CE6/31</f>
        <v>145.387096774194</v>
      </c>
      <c r="CG6" s="15" t="n">
        <v>3906</v>
      </c>
      <c r="CH6" s="16" t="n">
        <f aca="false">CG6/28</f>
        <v>139.5</v>
      </c>
      <c r="CI6" s="15" t="n">
        <v>4600</v>
      </c>
      <c r="CJ6" s="16" t="n">
        <f aca="false">CI6/31</f>
        <v>148.387096774194</v>
      </c>
      <c r="CK6" s="15" t="n">
        <v>3788</v>
      </c>
      <c r="CL6" s="16" t="n">
        <f aca="false">CK6/30</f>
        <v>126.266666666667</v>
      </c>
      <c r="CM6" s="15" t="n">
        <v>4151</v>
      </c>
      <c r="CN6" s="16" t="n">
        <f aca="false">CM6/31</f>
        <v>133.903225806452</v>
      </c>
      <c r="CO6" s="15" t="n">
        <v>2271</v>
      </c>
      <c r="CP6" s="16" t="n">
        <f aca="false">CO6/30</f>
        <v>75.7</v>
      </c>
      <c r="CQ6" s="15" t="n">
        <v>2791</v>
      </c>
      <c r="CR6" s="16" t="n">
        <f aca="false">CQ6/31</f>
        <v>90.0322580645161</v>
      </c>
      <c r="CS6" s="15" t="n">
        <v>2966</v>
      </c>
      <c r="CT6" s="16" t="n">
        <f aca="false">CS6/31</f>
        <v>95.6774193548387</v>
      </c>
      <c r="CU6" s="15" t="n">
        <v>2368</v>
      </c>
      <c r="CV6" s="16" t="n">
        <f aca="false">CU6/30</f>
        <v>78.9333333333333</v>
      </c>
      <c r="CW6" s="15" t="n">
        <v>2805</v>
      </c>
      <c r="CX6" s="16" t="n">
        <f aca="false">CW6/31</f>
        <v>90.4838709677419</v>
      </c>
      <c r="CY6" s="15" t="n">
        <v>2429</v>
      </c>
      <c r="CZ6" s="16" t="n">
        <f aca="false">CY6/30</f>
        <v>80.9666666666667</v>
      </c>
      <c r="DA6" s="15" t="n">
        <v>2934</v>
      </c>
      <c r="DB6" s="16" t="n">
        <f aca="false">DA6/31</f>
        <v>94.6451612903226</v>
      </c>
      <c r="DC6" s="17" t="n">
        <f aca="false">SUM(CE6:DA6)</f>
        <v>40721.2376344086</v>
      </c>
      <c r="DD6" s="18" t="n">
        <f aca="false">IFERROR(STDEV(CF6,CH6,CJ6,CL6,CN6,CP6,CR6,CT6,CV6,CX6,CZ6,DB6),0)</f>
        <v>27.9664879436853</v>
      </c>
      <c r="DE6" s="15" t="n">
        <v>2948</v>
      </c>
      <c r="DF6" s="16" t="n">
        <f aca="false">DE6/31</f>
        <v>95.0967741935484</v>
      </c>
      <c r="DG6" s="15" t="n">
        <v>2372</v>
      </c>
      <c r="DH6" s="16" t="n">
        <f aca="false">DG6/28</f>
        <v>84.7142857142857</v>
      </c>
      <c r="DI6" s="15" t="n">
        <v>2383</v>
      </c>
      <c r="DJ6" s="16" t="n">
        <f aca="false">DI6/31</f>
        <v>76.8709677419355</v>
      </c>
      <c r="DK6" s="15" t="n">
        <v>2041</v>
      </c>
      <c r="DL6" s="16" t="n">
        <f aca="false">DK6/30</f>
        <v>68.0333333333333</v>
      </c>
      <c r="DM6" s="15" t="n">
        <v>2163</v>
      </c>
      <c r="DN6" s="16" t="n">
        <f aca="false">DM6/31</f>
        <v>69.7741935483871</v>
      </c>
      <c r="DO6" s="15" t="n">
        <v>3588</v>
      </c>
      <c r="DP6" s="16" t="n">
        <f aca="false">DO6/30</f>
        <v>119.6</v>
      </c>
      <c r="DQ6" s="15" t="n">
        <v>2974</v>
      </c>
      <c r="DR6" s="16" t="n">
        <f aca="false">DQ6/31</f>
        <v>95.9354838709677</v>
      </c>
      <c r="DS6" s="15" t="n">
        <v>2891</v>
      </c>
      <c r="DT6" s="16" t="n">
        <f aca="false">DS6/31</f>
        <v>93.258064516129</v>
      </c>
      <c r="DU6" s="15" t="n">
        <v>1960</v>
      </c>
      <c r="DV6" s="16" t="n">
        <f aca="false">DU6/30</f>
        <v>65.3333333333333</v>
      </c>
      <c r="DW6" s="15" t="n">
        <v>3147</v>
      </c>
      <c r="DX6" s="16" t="n">
        <f aca="false">DW6/31</f>
        <v>101.516129032258</v>
      </c>
      <c r="DY6" s="15" t="n">
        <v>1943</v>
      </c>
      <c r="DZ6" s="16" t="n">
        <f aca="false">DY6/30</f>
        <v>64.7666666666667</v>
      </c>
      <c r="EA6" s="15" t="n">
        <v>2403</v>
      </c>
      <c r="EB6" s="16" t="n">
        <f aca="false">EA6/31</f>
        <v>77.5161290322581</v>
      </c>
      <c r="EC6" s="17" t="n">
        <f aca="false">SUM(DE6:EA6)</f>
        <v>31747.8992319508</v>
      </c>
      <c r="ED6" s="18" t="n">
        <f aca="false">IFERROR(STDEV(DF6,DH6,DJ6,DL6,DN6,DP6,DR6,DT6,DV6,DX6,DZ6,EB6),0)</f>
        <v>17.0371347004709</v>
      </c>
      <c r="EE6" s="19" t="n">
        <f aca="false">STDEV(F6:AB6,AF6:BB6,BF6:CB6,CF6:DB6,DF6:EB6)</f>
        <v>1523.1254726514</v>
      </c>
    </row>
    <row r="7" customFormat="false" ht="15" hidden="false" customHeight="true" outlineLevel="0" collapsed="false">
      <c r="A7" s="11" t="n">
        <v>2</v>
      </c>
      <c r="B7" s="12" t="s">
        <v>37</v>
      </c>
      <c r="C7" s="13" t="s">
        <v>38</v>
      </c>
      <c r="D7" s="14" t="s">
        <v>36</v>
      </c>
      <c r="E7" s="15" t="n">
        <v>4411</v>
      </c>
      <c r="F7" s="16" t="n">
        <f aca="false">E7/31</f>
        <v>142.290322580645</v>
      </c>
      <c r="G7" s="15" t="n">
        <v>3524</v>
      </c>
      <c r="H7" s="16" t="n">
        <f aca="false">G7/28</f>
        <v>125.857142857143</v>
      </c>
      <c r="I7" s="15" t="n">
        <v>3314</v>
      </c>
      <c r="J7" s="16" t="n">
        <f aca="false">I7/31</f>
        <v>106.903225806452</v>
      </c>
      <c r="K7" s="15" t="n">
        <v>3637</v>
      </c>
      <c r="L7" s="16" t="n">
        <f aca="false">K7/30</f>
        <v>121.233333333333</v>
      </c>
      <c r="M7" s="15" t="n">
        <v>4039</v>
      </c>
      <c r="N7" s="16" t="n">
        <f aca="false">M7/31</f>
        <v>130.290322580645</v>
      </c>
      <c r="O7" s="15" t="n">
        <v>3869</v>
      </c>
      <c r="P7" s="16" t="n">
        <f aca="false">O7/30</f>
        <v>128.966666666667</v>
      </c>
      <c r="Q7" s="15" t="n">
        <v>2482</v>
      </c>
      <c r="R7" s="16" t="n">
        <f aca="false">Q7/31</f>
        <v>80.0645161290323</v>
      </c>
      <c r="S7" s="15" t="n">
        <v>1983</v>
      </c>
      <c r="T7" s="16" t="n">
        <f aca="false">S7/31</f>
        <v>63.9677419354839</v>
      </c>
      <c r="U7" s="15" t="n">
        <v>2701</v>
      </c>
      <c r="V7" s="16" t="n">
        <f aca="false">U7/30</f>
        <v>90.0333333333333</v>
      </c>
      <c r="W7" s="15" t="n">
        <v>2580</v>
      </c>
      <c r="X7" s="16" t="n">
        <f aca="false">W7/31</f>
        <v>83.2258064516129</v>
      </c>
      <c r="Y7" s="15" t="n">
        <v>2437</v>
      </c>
      <c r="Z7" s="16" t="n">
        <f aca="false">Y7/30</f>
        <v>81.2333333333333</v>
      </c>
      <c r="AA7" s="15" t="n">
        <v>4292</v>
      </c>
      <c r="AB7" s="16" t="n">
        <f aca="false">AA7/31</f>
        <v>138.451612903226</v>
      </c>
      <c r="AC7" s="17" t="n">
        <f aca="false">SUM(E7:AA7)</f>
        <v>40423.0657450077</v>
      </c>
      <c r="AD7" s="18" t="n">
        <f aca="false">IFERROR(STDEV(F7,H7,J7,L7,N7,P7,R7,T7,V7,X7,Z7,AB7),0)</f>
        <v>26.8091311049332</v>
      </c>
      <c r="AE7" s="15" t="n">
        <v>4644</v>
      </c>
      <c r="AF7" s="16" t="n">
        <f aca="false">AE7/31</f>
        <v>149.806451612903</v>
      </c>
      <c r="AG7" s="15" t="n">
        <v>3040</v>
      </c>
      <c r="AH7" s="16" t="n">
        <f aca="false">AG7/28</f>
        <v>108.571428571429</v>
      </c>
      <c r="AI7" s="15" t="n">
        <v>4013</v>
      </c>
      <c r="AJ7" s="16" t="n">
        <f aca="false">AI7/31</f>
        <v>129.451612903226</v>
      </c>
      <c r="AK7" s="15" t="n">
        <v>3271</v>
      </c>
      <c r="AL7" s="16" t="n">
        <f aca="false">AK7/30</f>
        <v>109.033333333333</v>
      </c>
      <c r="AM7" s="15" t="n">
        <v>4753</v>
      </c>
      <c r="AN7" s="16" t="n">
        <f aca="false">AM7/31</f>
        <v>153.322580645161</v>
      </c>
      <c r="AO7" s="15" t="n">
        <v>3452</v>
      </c>
      <c r="AP7" s="16" t="n">
        <f aca="false">AO7/30</f>
        <v>115.066666666667</v>
      </c>
      <c r="AQ7" s="15" t="n">
        <v>2898</v>
      </c>
      <c r="AR7" s="16" t="n">
        <f aca="false">AQ7/31</f>
        <v>93.4838709677419</v>
      </c>
      <c r="AS7" s="15" t="n">
        <v>2846</v>
      </c>
      <c r="AT7" s="16" t="n">
        <f aca="false">AS7/31</f>
        <v>91.8064516129032</v>
      </c>
      <c r="AU7" s="15" t="n">
        <v>3744</v>
      </c>
      <c r="AV7" s="16" t="n">
        <f aca="false">AU7/30</f>
        <v>124.8</v>
      </c>
      <c r="AW7" s="15" t="n">
        <v>2892</v>
      </c>
      <c r="AX7" s="16" t="n">
        <f aca="false">AW7/31</f>
        <v>93.2903225806452</v>
      </c>
      <c r="AY7" s="15" t="n">
        <v>3811</v>
      </c>
      <c r="AZ7" s="16" t="n">
        <f aca="false">AY7/30</f>
        <v>127.033333333333</v>
      </c>
      <c r="BA7" s="15" t="n">
        <v>4705</v>
      </c>
      <c r="BB7" s="16" t="n">
        <f aca="false">BA7/31</f>
        <v>151.774193548387</v>
      </c>
      <c r="BC7" s="17" t="n">
        <f aca="false">SUM(AE7:BA7)</f>
        <v>45364.6660522273</v>
      </c>
      <c r="BD7" s="18" t="n">
        <f aca="false">IFERROR(STDEV(AF7,AH7,AJ7,AL7,AN7,AP7,AR7,AT7,AV7,AX7,AZ7,BB7),0)</f>
        <v>22.668063059471</v>
      </c>
      <c r="BE7" s="15" t="n">
        <v>3677</v>
      </c>
      <c r="BF7" s="16" t="n">
        <f aca="false">BE7/31</f>
        <v>118.612903225806</v>
      </c>
      <c r="BG7" s="15" t="n">
        <v>3101</v>
      </c>
      <c r="BH7" s="16" t="n">
        <f aca="false">BG7/28</f>
        <v>110.75</v>
      </c>
      <c r="BI7" s="15" t="n">
        <v>5590</v>
      </c>
      <c r="BJ7" s="16" t="n">
        <f aca="false">BI7/31</f>
        <v>180.322580645161</v>
      </c>
      <c r="BK7" s="15" t="n">
        <v>4029</v>
      </c>
      <c r="BL7" s="16" t="n">
        <f aca="false">BK7/30</f>
        <v>134.3</v>
      </c>
      <c r="BM7" s="15" t="n">
        <v>2690</v>
      </c>
      <c r="BN7" s="16" t="n">
        <f aca="false">BM7/31</f>
        <v>86.7741935483871</v>
      </c>
      <c r="BO7" s="15" t="n">
        <v>2550</v>
      </c>
      <c r="BP7" s="16" t="n">
        <f aca="false">BO7/30</f>
        <v>85</v>
      </c>
      <c r="BQ7" s="15" t="n">
        <v>2750</v>
      </c>
      <c r="BR7" s="16" t="n">
        <f aca="false">BQ7/31</f>
        <v>88.7096774193548</v>
      </c>
      <c r="BS7" s="15" t="n">
        <v>4406</v>
      </c>
      <c r="BT7" s="16" t="n">
        <f aca="false">BS7/31</f>
        <v>142.129032258065</v>
      </c>
      <c r="BU7" s="15" t="n">
        <v>4933</v>
      </c>
      <c r="BV7" s="16" t="n">
        <f aca="false">BU7/30</f>
        <v>164.433333333333</v>
      </c>
      <c r="BW7" s="15" t="n">
        <v>3750</v>
      </c>
      <c r="BX7" s="16" t="n">
        <f aca="false">BW7/31</f>
        <v>120.967741935484</v>
      </c>
      <c r="BY7" s="15" t="n">
        <v>2602</v>
      </c>
      <c r="BZ7" s="16" t="n">
        <f aca="false">BY7/30</f>
        <v>86.7333333333333</v>
      </c>
      <c r="CA7" s="15" t="n">
        <v>3620</v>
      </c>
      <c r="CB7" s="16" t="n">
        <f aca="false">CA7/31</f>
        <v>116.774193548387</v>
      </c>
      <c r="CC7" s="17" t="n">
        <f aca="false">SUM(BE7:CA7)</f>
        <v>45016.7327956989</v>
      </c>
      <c r="CD7" s="18" t="n">
        <f aca="false">IFERROR(STDEV(BF7,BH7,BJ7,BL7,BN7,BP7,BR7,BT7,BV7,BX7,BZ7,CB7),0)</f>
        <v>31.3617821200439</v>
      </c>
      <c r="CE7" s="15" t="n">
        <v>3854</v>
      </c>
      <c r="CF7" s="16" t="n">
        <f aca="false">CE7/31</f>
        <v>124.322580645161</v>
      </c>
      <c r="CG7" s="15" t="n">
        <v>2823</v>
      </c>
      <c r="CH7" s="16" t="n">
        <f aca="false">CG7/28</f>
        <v>100.821428571429</v>
      </c>
      <c r="CI7" s="15" t="n">
        <v>3799</v>
      </c>
      <c r="CJ7" s="16" t="n">
        <f aca="false">CI7/31</f>
        <v>122.548387096774</v>
      </c>
      <c r="CK7" s="15" t="n">
        <v>3556</v>
      </c>
      <c r="CL7" s="16" t="n">
        <f aca="false">CK7/30</f>
        <v>118.533333333333</v>
      </c>
      <c r="CM7" s="15" t="n">
        <v>1681</v>
      </c>
      <c r="CN7" s="16" t="n">
        <f aca="false">CM7/31</f>
        <v>54.2258064516129</v>
      </c>
      <c r="CO7" s="15" t="n">
        <v>3246</v>
      </c>
      <c r="CP7" s="16" t="n">
        <f aca="false">CO7/30</f>
        <v>108.2</v>
      </c>
      <c r="CQ7" s="15" t="n">
        <v>3160</v>
      </c>
      <c r="CR7" s="16" t="n">
        <f aca="false">CQ7/31</f>
        <v>101.935483870968</v>
      </c>
      <c r="CS7" s="15" t="n">
        <v>2841</v>
      </c>
      <c r="CT7" s="16" t="n">
        <f aca="false">CS7/31</f>
        <v>91.6451612903226</v>
      </c>
      <c r="CU7" s="15" t="n">
        <v>2245</v>
      </c>
      <c r="CV7" s="16" t="n">
        <f aca="false">CU7/30</f>
        <v>74.8333333333333</v>
      </c>
      <c r="CW7" s="15" t="n">
        <v>3070</v>
      </c>
      <c r="CX7" s="16" t="n">
        <f aca="false">CW7/31</f>
        <v>99.0322580645161</v>
      </c>
      <c r="CY7" s="15" t="n">
        <v>1902</v>
      </c>
      <c r="CZ7" s="16" t="n">
        <f aca="false">CY7/30</f>
        <v>63.4</v>
      </c>
      <c r="DA7" s="15" t="n">
        <v>2615</v>
      </c>
      <c r="DB7" s="16" t="n">
        <f aca="false">DA7/31</f>
        <v>84.3548387096774</v>
      </c>
      <c r="DC7" s="17" t="n">
        <f aca="false">SUM(CE7:DA7)</f>
        <v>35851.4977726575</v>
      </c>
      <c r="DD7" s="18" t="n">
        <f aca="false">IFERROR(STDEV(CF7,CH7,CJ7,CL7,CN7,CP7,CR7,CT7,CV7,CX7,CZ7,DB7),0)</f>
        <v>22.6357742571775</v>
      </c>
      <c r="DE7" s="15" t="n">
        <v>2611</v>
      </c>
      <c r="DF7" s="16" t="n">
        <f aca="false">DE7/31</f>
        <v>84.2258064516129</v>
      </c>
      <c r="DG7" s="15" t="n">
        <v>3695</v>
      </c>
      <c r="DH7" s="16" t="n">
        <f aca="false">DG7/28</f>
        <v>131.964285714286</v>
      </c>
      <c r="DI7" s="15" t="n">
        <v>3526</v>
      </c>
      <c r="DJ7" s="16" t="n">
        <f aca="false">DI7/31</f>
        <v>113.741935483871</v>
      </c>
      <c r="DK7" s="15" t="n">
        <v>2198</v>
      </c>
      <c r="DL7" s="16" t="n">
        <f aca="false">DK7/30</f>
        <v>73.2666666666667</v>
      </c>
      <c r="DM7" s="15" t="n">
        <v>2712</v>
      </c>
      <c r="DN7" s="16" t="n">
        <f aca="false">DM7/31</f>
        <v>87.4838709677419</v>
      </c>
      <c r="DO7" s="15" t="n">
        <v>2014</v>
      </c>
      <c r="DP7" s="16" t="n">
        <f aca="false">DO7/30</f>
        <v>67.1333333333333</v>
      </c>
      <c r="DQ7" s="15" t="n">
        <v>3606</v>
      </c>
      <c r="DR7" s="16" t="n">
        <f aca="false">DQ7/31</f>
        <v>116.322580645161</v>
      </c>
      <c r="DS7" s="15" t="n">
        <v>3515</v>
      </c>
      <c r="DT7" s="16" t="n">
        <f aca="false">DS7/31</f>
        <v>113.387096774194</v>
      </c>
      <c r="DU7" s="15" t="n">
        <v>2274</v>
      </c>
      <c r="DV7" s="16" t="n">
        <f aca="false">DU7/30</f>
        <v>75.8</v>
      </c>
      <c r="DW7" s="15" t="n">
        <v>3012</v>
      </c>
      <c r="DX7" s="16" t="n">
        <f aca="false">DW7/31</f>
        <v>97.1612903225806</v>
      </c>
      <c r="DY7" s="15" t="n">
        <v>2947</v>
      </c>
      <c r="DZ7" s="16" t="n">
        <f aca="false">DY7/30</f>
        <v>98.2333333333333</v>
      </c>
      <c r="EA7" s="15" t="n">
        <v>1958</v>
      </c>
      <c r="EB7" s="16" t="n">
        <f aca="false">EA7/31</f>
        <v>63.1612903225807</v>
      </c>
      <c r="EC7" s="17" t="n">
        <f aca="false">SUM(DE7:EA7)</f>
        <v>35126.7201996928</v>
      </c>
      <c r="ED7" s="18" t="n">
        <f aca="false">IFERROR(STDEV(DF7,DH7,DJ7,DL7,DN7,DP7,DR7,DT7,DV7,DX7,DZ7,EB7),0)</f>
        <v>21.9543597290249</v>
      </c>
      <c r="EE7" s="19" t="n">
        <f aca="false">STDEV(F7:AB7,AF7:BB7,BF7:CB7,CF7:DB7,DF7:EB7)</f>
        <v>1658.06510267207</v>
      </c>
    </row>
    <row r="8" customFormat="false" ht="15" hidden="false" customHeight="true" outlineLevel="0" collapsed="false">
      <c r="A8" s="11" t="n">
        <v>3</v>
      </c>
      <c r="B8" s="12" t="s">
        <v>39</v>
      </c>
      <c r="C8" s="13" t="s">
        <v>40</v>
      </c>
      <c r="D8" s="14" t="s">
        <v>36</v>
      </c>
      <c r="E8" s="15" t="n">
        <v>3492</v>
      </c>
      <c r="F8" s="16" t="n">
        <f aca="false">E8/31</f>
        <v>112.645161290323</v>
      </c>
      <c r="G8" s="15" t="n">
        <v>2977</v>
      </c>
      <c r="H8" s="16" t="n">
        <f aca="false">G8/28</f>
        <v>106.321428571429</v>
      </c>
      <c r="I8" s="15" t="n">
        <v>3529</v>
      </c>
      <c r="J8" s="16" t="n">
        <f aca="false">I8/31</f>
        <v>113.838709677419</v>
      </c>
      <c r="K8" s="15" t="n">
        <v>2956</v>
      </c>
      <c r="L8" s="16" t="n">
        <f aca="false">K8/30</f>
        <v>98.5333333333333</v>
      </c>
      <c r="M8" s="15" t="n">
        <v>1733</v>
      </c>
      <c r="N8" s="16" t="n">
        <f aca="false">M8/31</f>
        <v>55.9032258064516</v>
      </c>
      <c r="O8" s="15" t="n">
        <v>2480</v>
      </c>
      <c r="P8" s="16" t="n">
        <f aca="false">O8/30</f>
        <v>82.6666666666667</v>
      </c>
      <c r="Q8" s="15" t="n">
        <v>1776</v>
      </c>
      <c r="R8" s="16" t="n">
        <f aca="false">Q8/31</f>
        <v>57.2903225806452</v>
      </c>
      <c r="S8" s="15" t="n">
        <v>3877</v>
      </c>
      <c r="T8" s="16" t="n">
        <f aca="false">S8/31</f>
        <v>125.064516129032</v>
      </c>
      <c r="U8" s="15" t="n">
        <v>3760</v>
      </c>
      <c r="V8" s="16" t="n">
        <f aca="false">U8/30</f>
        <v>125.333333333333</v>
      </c>
      <c r="W8" s="15" t="n">
        <v>3652</v>
      </c>
      <c r="X8" s="16" t="n">
        <f aca="false">W8/31</f>
        <v>117.806451612903</v>
      </c>
      <c r="Y8" s="15" t="n">
        <v>2441</v>
      </c>
      <c r="Z8" s="16" t="n">
        <f aca="false">Y8/30</f>
        <v>81.3666666666667</v>
      </c>
      <c r="AA8" s="15" t="n">
        <v>1865</v>
      </c>
      <c r="AB8" s="16" t="n">
        <f aca="false">AA8/31</f>
        <v>60.1612903225807</v>
      </c>
      <c r="AC8" s="17" t="n">
        <f aca="false">SUM(E8:AA8)</f>
        <v>35614.7698156682</v>
      </c>
      <c r="AD8" s="18" t="n">
        <f aca="false">IFERROR(STDEV(F8,H8,J8,L8,N8,P8,R8,T8,V8,X8,Z8,AB8),0)</f>
        <v>26.3758422988684</v>
      </c>
      <c r="AE8" s="15" t="n">
        <v>2938</v>
      </c>
      <c r="AF8" s="16" t="n">
        <f aca="false">AE8/31</f>
        <v>94.7741935483871</v>
      </c>
      <c r="AG8" s="15" t="n">
        <v>3062</v>
      </c>
      <c r="AH8" s="16" t="n">
        <f aca="false">AG8/28</f>
        <v>109.357142857143</v>
      </c>
      <c r="AI8" s="15" t="n">
        <v>1508</v>
      </c>
      <c r="AJ8" s="16" t="n">
        <f aca="false">AI8/31</f>
        <v>48.6451612903226</v>
      </c>
      <c r="AK8" s="15" t="n">
        <v>2230</v>
      </c>
      <c r="AL8" s="16" t="n">
        <f aca="false">AK8/30</f>
        <v>74.3333333333333</v>
      </c>
      <c r="AM8" s="15" t="n">
        <v>1478</v>
      </c>
      <c r="AN8" s="16" t="n">
        <f aca="false">AM8/31</f>
        <v>47.6774193548387</v>
      </c>
      <c r="AO8" s="15" t="n">
        <v>2726</v>
      </c>
      <c r="AP8" s="16" t="n">
        <f aca="false">AO8/30</f>
        <v>90.8666666666667</v>
      </c>
      <c r="AQ8" s="15" t="n">
        <v>2735</v>
      </c>
      <c r="AR8" s="16" t="n">
        <f aca="false">AQ8/31</f>
        <v>88.2258064516129</v>
      </c>
      <c r="AS8" s="15" t="n">
        <v>1585</v>
      </c>
      <c r="AT8" s="16" t="n">
        <f aca="false">AS8/31</f>
        <v>51.1290322580645</v>
      </c>
      <c r="AU8" s="15" t="n">
        <v>2211</v>
      </c>
      <c r="AV8" s="16" t="n">
        <f aca="false">AU8/30</f>
        <v>73.7</v>
      </c>
      <c r="AW8" s="15" t="n">
        <v>2346</v>
      </c>
      <c r="AX8" s="16" t="n">
        <f aca="false">AW8/31</f>
        <v>75.6774193548387</v>
      </c>
      <c r="AY8" s="15" t="n">
        <v>1832</v>
      </c>
      <c r="AZ8" s="16" t="n">
        <f aca="false">AY8/30</f>
        <v>61.0666666666667</v>
      </c>
      <c r="BA8" s="15" t="n">
        <v>2928</v>
      </c>
      <c r="BB8" s="16" t="n">
        <f aca="false">BA8/31</f>
        <v>94.4516129032258</v>
      </c>
      <c r="BC8" s="17" t="n">
        <f aca="false">SUM(AE8:BA8)</f>
        <v>28394.4528417819</v>
      </c>
      <c r="BD8" s="18" t="n">
        <f aca="false">IFERROR(STDEV(AF8,AH8,AJ8,AL8,AN8,AP8,AR8,AT8,AV8,AX8,AZ8,BB8),0)</f>
        <v>20.3959679895098</v>
      </c>
      <c r="BE8" s="15" t="n">
        <v>2325</v>
      </c>
      <c r="BF8" s="16" t="n">
        <f aca="false">BE8/31</f>
        <v>75</v>
      </c>
      <c r="BG8" s="15" t="n">
        <v>1906</v>
      </c>
      <c r="BH8" s="16" t="n">
        <f aca="false">BG8/28</f>
        <v>68.0714285714286</v>
      </c>
      <c r="BI8" s="15" t="n">
        <v>2555</v>
      </c>
      <c r="BJ8" s="16" t="n">
        <f aca="false">BI8/31</f>
        <v>82.4193548387097</v>
      </c>
      <c r="BK8" s="15" t="n">
        <v>2933</v>
      </c>
      <c r="BL8" s="16" t="n">
        <f aca="false">BK8/30</f>
        <v>97.7666666666667</v>
      </c>
      <c r="BM8" s="15" t="n">
        <v>1885</v>
      </c>
      <c r="BN8" s="16" t="n">
        <f aca="false">BM8/31</f>
        <v>60.8064516129032</v>
      </c>
      <c r="BO8" s="15" t="n">
        <v>2104</v>
      </c>
      <c r="BP8" s="16" t="n">
        <f aca="false">BO8/30</f>
        <v>70.1333333333333</v>
      </c>
      <c r="BQ8" s="15" t="n">
        <v>3459</v>
      </c>
      <c r="BR8" s="16" t="n">
        <f aca="false">BQ8/31</f>
        <v>111.58064516129</v>
      </c>
      <c r="BS8" s="15" t="n">
        <v>2775</v>
      </c>
      <c r="BT8" s="16" t="n">
        <f aca="false">BS8/31</f>
        <v>89.5161290322581</v>
      </c>
      <c r="BU8" s="15" t="n">
        <v>2355</v>
      </c>
      <c r="BV8" s="16" t="n">
        <f aca="false">BU8/30</f>
        <v>78.5</v>
      </c>
      <c r="BW8" s="15" t="n">
        <v>2512</v>
      </c>
      <c r="BX8" s="16" t="n">
        <f aca="false">BW8/31</f>
        <v>81.0322580645161</v>
      </c>
      <c r="BY8" s="15" t="n">
        <v>1726</v>
      </c>
      <c r="BZ8" s="16" t="n">
        <f aca="false">BY8/30</f>
        <v>57.5333333333333</v>
      </c>
      <c r="CA8" s="15" t="n">
        <v>1932</v>
      </c>
      <c r="CB8" s="16" t="n">
        <f aca="false">CA8/31</f>
        <v>62.3225806451613</v>
      </c>
      <c r="CC8" s="17" t="n">
        <f aca="false">SUM(BE8:CA8)</f>
        <v>29339.3596006144</v>
      </c>
      <c r="CD8" s="18" t="n">
        <f aca="false">IFERROR(STDEV(BF8,BH8,BJ8,BL8,BN8,BP8,BR8,BT8,BV8,BX8,BZ8,CB8),0)</f>
        <v>15.9817442368021</v>
      </c>
      <c r="CE8" s="15" t="n">
        <v>2042</v>
      </c>
      <c r="CF8" s="16" t="n">
        <f aca="false">CE8/31</f>
        <v>65.8709677419355</v>
      </c>
      <c r="CG8" s="15" t="n">
        <v>2511</v>
      </c>
      <c r="CH8" s="16" t="n">
        <f aca="false">CG8/28</f>
        <v>89.6785714285714</v>
      </c>
      <c r="CI8" s="15" t="n">
        <v>1839</v>
      </c>
      <c r="CJ8" s="16" t="n">
        <f aca="false">CI8/31</f>
        <v>59.3225806451613</v>
      </c>
      <c r="CK8" s="15" t="n">
        <v>1821</v>
      </c>
      <c r="CL8" s="16" t="n">
        <f aca="false">CK8/30</f>
        <v>60.7</v>
      </c>
      <c r="CM8" s="15" t="n">
        <v>1541</v>
      </c>
      <c r="CN8" s="16" t="n">
        <f aca="false">CM8/31</f>
        <v>49.7096774193548</v>
      </c>
      <c r="CO8" s="15" t="n">
        <v>2592</v>
      </c>
      <c r="CP8" s="16" t="n">
        <f aca="false">CO8/30</f>
        <v>86.4</v>
      </c>
      <c r="CQ8" s="15" t="n">
        <v>1837</v>
      </c>
      <c r="CR8" s="16" t="n">
        <f aca="false">CQ8/31</f>
        <v>59.258064516129</v>
      </c>
      <c r="CS8" s="15" t="n">
        <v>3107</v>
      </c>
      <c r="CT8" s="16" t="n">
        <f aca="false">CS8/31</f>
        <v>100.225806451613</v>
      </c>
      <c r="CU8" s="15" t="n">
        <v>3021</v>
      </c>
      <c r="CV8" s="16" t="n">
        <f aca="false">CU8/30</f>
        <v>100.7</v>
      </c>
      <c r="CW8" s="15" t="n">
        <v>1540</v>
      </c>
      <c r="CX8" s="16" t="n">
        <f aca="false">CW8/31</f>
        <v>49.6774193548387</v>
      </c>
      <c r="CY8" s="15" t="n">
        <v>1854</v>
      </c>
      <c r="CZ8" s="16" t="n">
        <f aca="false">CY8/30</f>
        <v>61.8</v>
      </c>
      <c r="DA8" s="15" t="n">
        <v>2663</v>
      </c>
      <c r="DB8" s="16" t="n">
        <f aca="false">DA8/31</f>
        <v>85.9032258064516</v>
      </c>
      <c r="DC8" s="17" t="n">
        <f aca="false">SUM(CE8:DA8)</f>
        <v>27151.3430875576</v>
      </c>
      <c r="DD8" s="18" t="n">
        <f aca="false">IFERROR(STDEV(CF8,CH8,CJ8,CL8,CN8,CP8,CR8,CT8,CV8,CX8,CZ8,DB8),0)</f>
        <v>18.8747283672229</v>
      </c>
      <c r="DE8" s="15" t="n">
        <v>2107</v>
      </c>
      <c r="DF8" s="16" t="n">
        <f aca="false">DE8/31</f>
        <v>67.9677419354839</v>
      </c>
      <c r="DG8" s="15" t="n">
        <v>1928</v>
      </c>
      <c r="DH8" s="16" t="n">
        <f aca="false">DG8/28</f>
        <v>68.8571428571429</v>
      </c>
      <c r="DI8" s="15" t="n">
        <v>3683</v>
      </c>
      <c r="DJ8" s="16" t="n">
        <f aca="false">DI8/31</f>
        <v>118.806451612903</v>
      </c>
      <c r="DK8" s="15" t="n">
        <v>2887</v>
      </c>
      <c r="DL8" s="16" t="n">
        <f aca="false">DK8/30</f>
        <v>96.2333333333333</v>
      </c>
      <c r="DM8" s="15" t="n">
        <v>2672</v>
      </c>
      <c r="DN8" s="16" t="n">
        <f aca="false">DM8/31</f>
        <v>86.1935483870968</v>
      </c>
      <c r="DO8" s="15" t="n">
        <v>3354</v>
      </c>
      <c r="DP8" s="16" t="n">
        <f aca="false">DO8/30</f>
        <v>111.8</v>
      </c>
      <c r="DQ8" s="15" t="n">
        <v>3404</v>
      </c>
      <c r="DR8" s="16" t="n">
        <f aca="false">DQ8/31</f>
        <v>109.806451612903</v>
      </c>
      <c r="DS8" s="15" t="n">
        <v>2055</v>
      </c>
      <c r="DT8" s="16" t="n">
        <f aca="false">DS8/31</f>
        <v>66.2903225806452</v>
      </c>
      <c r="DU8" s="15" t="n">
        <v>1851</v>
      </c>
      <c r="DV8" s="16" t="n">
        <f aca="false">DU8/30</f>
        <v>61.7</v>
      </c>
      <c r="DW8" s="15" t="n">
        <v>2581</v>
      </c>
      <c r="DX8" s="16" t="n">
        <f aca="false">DW8/31</f>
        <v>83.258064516129</v>
      </c>
      <c r="DY8" s="15" t="n">
        <v>2565</v>
      </c>
      <c r="DZ8" s="16" t="n">
        <f aca="false">DY8/30</f>
        <v>85.5</v>
      </c>
      <c r="EA8" s="15" t="n">
        <v>2660</v>
      </c>
      <c r="EB8" s="16" t="n">
        <f aca="false">EA8/31</f>
        <v>85.8064516129032</v>
      </c>
      <c r="EC8" s="17" t="n">
        <f aca="false">SUM(DE8:EA8)</f>
        <v>32703.4130568356</v>
      </c>
      <c r="ED8" s="18" t="n">
        <f aca="false">IFERROR(STDEV(DF8,DH8,DJ8,DL8,DN8,DP8,DR8,DT8,DV8,DX8,DZ8,EB8),0)</f>
        <v>19.094294052307</v>
      </c>
      <c r="EE8" s="19" t="n">
        <f aca="false">STDEV(F8:AB8,AF8:BB8,BF8:CB8,CF8:DB8,DF8:EB8)</f>
        <v>1280.26538452006</v>
      </c>
    </row>
    <row r="9" customFormat="false" ht="15" hidden="false" customHeight="true" outlineLevel="0" collapsed="false">
      <c r="A9" s="11" t="n">
        <v>4</v>
      </c>
      <c r="B9" s="12" t="s">
        <v>41</v>
      </c>
      <c r="C9" s="13" t="s">
        <v>42</v>
      </c>
      <c r="D9" s="14" t="s">
        <v>36</v>
      </c>
      <c r="E9" s="15" t="n">
        <v>3617</v>
      </c>
      <c r="F9" s="16" t="n">
        <f aca="false">E9/31</f>
        <v>116.677419354839</v>
      </c>
      <c r="G9" s="15" t="n">
        <v>3481</v>
      </c>
      <c r="H9" s="16" t="n">
        <f aca="false">G9/28</f>
        <v>124.321428571429</v>
      </c>
      <c r="I9" s="15" t="n">
        <v>4241</v>
      </c>
      <c r="J9" s="16" t="n">
        <f aca="false">I9/31</f>
        <v>136.806451612903</v>
      </c>
      <c r="K9" s="15" t="n">
        <v>2075</v>
      </c>
      <c r="L9" s="16" t="n">
        <f aca="false">K9/30</f>
        <v>69.1666666666667</v>
      </c>
      <c r="M9" s="15" t="n">
        <v>2819</v>
      </c>
      <c r="N9" s="16" t="n">
        <f aca="false">M9/31</f>
        <v>90.9354838709677</v>
      </c>
      <c r="O9" s="15" t="n">
        <v>2664</v>
      </c>
      <c r="P9" s="16" t="n">
        <f aca="false">O9/30</f>
        <v>88.8</v>
      </c>
      <c r="Q9" s="15" t="n">
        <v>3941</v>
      </c>
      <c r="R9" s="16" t="n">
        <f aca="false">Q9/31</f>
        <v>127.129032258065</v>
      </c>
      <c r="S9" s="15" t="n">
        <v>2442</v>
      </c>
      <c r="T9" s="16" t="n">
        <f aca="false">S9/31</f>
        <v>78.7741935483871</v>
      </c>
      <c r="U9" s="15" t="n">
        <v>2299</v>
      </c>
      <c r="V9" s="16" t="n">
        <f aca="false">U9/30</f>
        <v>76.6333333333333</v>
      </c>
      <c r="W9" s="15" t="n">
        <v>2931</v>
      </c>
      <c r="X9" s="16" t="n">
        <f aca="false">W9/31</f>
        <v>94.5483870967742</v>
      </c>
      <c r="Y9" s="15" t="n">
        <v>2866</v>
      </c>
      <c r="Z9" s="16" t="n">
        <f aca="false">Y9/30</f>
        <v>95.5333333333333</v>
      </c>
      <c r="AA9" s="15" t="n">
        <v>2515</v>
      </c>
      <c r="AB9" s="16" t="n">
        <f aca="false">AA9/31</f>
        <v>81.1290322580645</v>
      </c>
      <c r="AC9" s="17" t="n">
        <f aca="false">SUM(E9:AA9)</f>
        <v>36990.3257296467</v>
      </c>
      <c r="AD9" s="18" t="n">
        <f aca="false">IFERROR(STDEV(F9,H9,J9,L9,N9,P9,R9,T9,V9,X9,Z9,AB9),0)</f>
        <v>22.3386197728989</v>
      </c>
      <c r="AE9" s="15" t="n">
        <v>2341</v>
      </c>
      <c r="AF9" s="16" t="n">
        <f aca="false">AE9/31</f>
        <v>75.5161290322581</v>
      </c>
      <c r="AG9" s="15" t="n">
        <v>3919</v>
      </c>
      <c r="AH9" s="16" t="n">
        <f aca="false">AG9/28</f>
        <v>139.964285714286</v>
      </c>
      <c r="AI9" s="15" t="n">
        <v>2794</v>
      </c>
      <c r="AJ9" s="16" t="n">
        <f aca="false">AI9/31</f>
        <v>90.1290322580645</v>
      </c>
      <c r="AK9" s="15" t="n">
        <v>3774</v>
      </c>
      <c r="AL9" s="16" t="n">
        <f aca="false">AK9/30</f>
        <v>125.8</v>
      </c>
      <c r="AM9" s="15" t="n">
        <v>3045</v>
      </c>
      <c r="AN9" s="16" t="n">
        <f aca="false">AM9/31</f>
        <v>98.2258064516129</v>
      </c>
      <c r="AO9" s="15" t="n">
        <v>1875</v>
      </c>
      <c r="AP9" s="16" t="n">
        <f aca="false">AO9/30</f>
        <v>62.5</v>
      </c>
      <c r="AQ9" s="15" t="n">
        <v>4097</v>
      </c>
      <c r="AR9" s="16" t="n">
        <f aca="false">AQ9/31</f>
        <v>132.161290322581</v>
      </c>
      <c r="AS9" s="15" t="n">
        <v>3714</v>
      </c>
      <c r="AT9" s="16" t="n">
        <f aca="false">AS9/31</f>
        <v>119.806451612903</v>
      </c>
      <c r="AU9" s="15" t="n">
        <v>4026</v>
      </c>
      <c r="AV9" s="16" t="n">
        <f aca="false">AU9/30</f>
        <v>134.2</v>
      </c>
      <c r="AW9" s="15" t="n">
        <v>3926</v>
      </c>
      <c r="AX9" s="16" t="n">
        <f aca="false">AW9/31</f>
        <v>126.645161290323</v>
      </c>
      <c r="AY9" s="15" t="n">
        <v>3744</v>
      </c>
      <c r="AZ9" s="16" t="n">
        <f aca="false">AY9/30</f>
        <v>124.8</v>
      </c>
      <c r="BA9" s="15" t="n">
        <v>2146</v>
      </c>
      <c r="BB9" s="16" t="n">
        <f aca="false">BA9/31</f>
        <v>69.2258064516129</v>
      </c>
      <c r="BC9" s="17" t="n">
        <f aca="false">SUM(AE9:BA9)</f>
        <v>40630.748156682</v>
      </c>
      <c r="BD9" s="18" t="n">
        <f aca="false">IFERROR(STDEV(AF9,AH9,AJ9,AL9,AN9,AP9,AR9,AT9,AV9,AX9,AZ9,BB9),0)</f>
        <v>27.6686516384317</v>
      </c>
      <c r="BE9" s="15" t="n">
        <v>3060</v>
      </c>
      <c r="BF9" s="16" t="n">
        <f aca="false">BE9/31</f>
        <v>98.7096774193548</v>
      </c>
      <c r="BG9" s="15" t="n">
        <v>2387</v>
      </c>
      <c r="BH9" s="16" t="n">
        <f aca="false">BG9/28</f>
        <v>85.25</v>
      </c>
      <c r="BI9" s="15" t="n">
        <v>2851</v>
      </c>
      <c r="BJ9" s="16" t="n">
        <f aca="false">BI9/31</f>
        <v>91.9677419354839</v>
      </c>
      <c r="BK9" s="15" t="n">
        <v>2003</v>
      </c>
      <c r="BL9" s="16" t="n">
        <f aca="false">BK9/30</f>
        <v>66.7666666666667</v>
      </c>
      <c r="BM9" s="15" t="n">
        <v>2796</v>
      </c>
      <c r="BN9" s="16" t="n">
        <f aca="false">BM9/31</f>
        <v>90.1935483870968</v>
      </c>
      <c r="BO9" s="15" t="n">
        <v>4298</v>
      </c>
      <c r="BP9" s="16" t="n">
        <f aca="false">BO9/30</f>
        <v>143.266666666667</v>
      </c>
      <c r="BQ9" s="15" t="n">
        <v>2514</v>
      </c>
      <c r="BR9" s="16" t="n">
        <f aca="false">BQ9/31</f>
        <v>81.0967741935484</v>
      </c>
      <c r="BS9" s="15" t="n">
        <v>3799</v>
      </c>
      <c r="BT9" s="16" t="n">
        <f aca="false">BS9/31</f>
        <v>122.548387096774</v>
      </c>
      <c r="BU9" s="15" t="n">
        <v>2984</v>
      </c>
      <c r="BV9" s="16" t="n">
        <f aca="false">BU9/30</f>
        <v>99.4666666666667</v>
      </c>
      <c r="BW9" s="15" t="n">
        <v>2905</v>
      </c>
      <c r="BX9" s="16" t="n">
        <f aca="false">BW9/31</f>
        <v>93.7096774193548</v>
      </c>
      <c r="BY9" s="15" t="n">
        <v>4228</v>
      </c>
      <c r="BZ9" s="16" t="n">
        <f aca="false">BY9/30</f>
        <v>140.933333333333</v>
      </c>
      <c r="CA9" s="15" t="n">
        <v>4323</v>
      </c>
      <c r="CB9" s="16" t="n">
        <f aca="false">CA9/31</f>
        <v>139.451612903226</v>
      </c>
      <c r="CC9" s="17" t="n">
        <f aca="false">SUM(BE9:CA9)</f>
        <v>39261.909139785</v>
      </c>
      <c r="CD9" s="18" t="n">
        <f aca="false">IFERROR(STDEV(BF9,BH9,BJ9,BL9,BN9,BP9,BR9,BT9,BV9,BX9,BZ9,CB9),0)</f>
        <v>25.6845744375655</v>
      </c>
      <c r="CE9" s="15" t="n">
        <v>2782</v>
      </c>
      <c r="CF9" s="16" t="n">
        <f aca="false">CE9/31</f>
        <v>89.741935483871</v>
      </c>
      <c r="CG9" s="15" t="n">
        <v>3128</v>
      </c>
      <c r="CH9" s="16" t="n">
        <f aca="false">CG9/28</f>
        <v>111.714285714286</v>
      </c>
      <c r="CI9" s="15" t="n">
        <v>1927</v>
      </c>
      <c r="CJ9" s="16" t="n">
        <f aca="false">CI9/31</f>
        <v>62.1612903225807</v>
      </c>
      <c r="CK9" s="15" t="n">
        <v>2230</v>
      </c>
      <c r="CL9" s="16" t="n">
        <f aca="false">CK9/30</f>
        <v>74.3333333333333</v>
      </c>
      <c r="CM9" s="15" t="n">
        <v>3661</v>
      </c>
      <c r="CN9" s="16" t="n">
        <f aca="false">CM9/31</f>
        <v>118.096774193548</v>
      </c>
      <c r="CO9" s="15" t="n">
        <v>2832</v>
      </c>
      <c r="CP9" s="16" t="n">
        <f aca="false">CO9/30</f>
        <v>94.4</v>
      </c>
      <c r="CQ9" s="15" t="n">
        <v>2753</v>
      </c>
      <c r="CR9" s="16" t="n">
        <f aca="false">CQ9/31</f>
        <v>88.8064516129032</v>
      </c>
      <c r="CS9" s="15" t="n">
        <v>3191</v>
      </c>
      <c r="CT9" s="16" t="n">
        <f aca="false">CS9/31</f>
        <v>102.935483870968</v>
      </c>
      <c r="CU9" s="15" t="n">
        <v>1720</v>
      </c>
      <c r="CV9" s="16" t="n">
        <f aca="false">CU9/30</f>
        <v>57.3333333333333</v>
      </c>
      <c r="CW9" s="15" t="n">
        <v>2842</v>
      </c>
      <c r="CX9" s="16" t="n">
        <f aca="false">CW9/31</f>
        <v>91.6774193548387</v>
      </c>
      <c r="CY9" s="15" t="n">
        <v>2669</v>
      </c>
      <c r="CZ9" s="16" t="n">
        <f aca="false">CY9/30</f>
        <v>88.9666666666667</v>
      </c>
      <c r="DA9" s="15" t="n">
        <v>3414</v>
      </c>
      <c r="DB9" s="16" t="n">
        <f aca="false">DA9/31</f>
        <v>110.129032258065</v>
      </c>
      <c r="DC9" s="17" t="n">
        <f aca="false">SUM(CE9:DA9)</f>
        <v>34129.1669738863</v>
      </c>
      <c r="DD9" s="18" t="n">
        <f aca="false">IFERROR(STDEV(CF9,CH9,CJ9,CL9,CN9,CP9,CR9,CT9,CV9,CX9,CZ9,DB9),0)</f>
        <v>18.9182250003899</v>
      </c>
      <c r="DE9" s="15" t="n">
        <v>2126</v>
      </c>
      <c r="DF9" s="16" t="n">
        <f aca="false">DE9/31</f>
        <v>68.5806451612903</v>
      </c>
      <c r="DG9" s="15" t="n">
        <v>4007</v>
      </c>
      <c r="DH9" s="16" t="n">
        <f aca="false">DG9/28</f>
        <v>143.107142857143</v>
      </c>
      <c r="DI9" s="15" t="n">
        <v>1945</v>
      </c>
      <c r="DJ9" s="16" t="n">
        <f aca="false">DI9/31</f>
        <v>62.741935483871</v>
      </c>
      <c r="DK9" s="15" t="n">
        <v>2192</v>
      </c>
      <c r="DL9" s="16" t="n">
        <f aca="false">DK9/30</f>
        <v>73.0666666666667</v>
      </c>
      <c r="DM9" s="15" t="n">
        <v>3151</v>
      </c>
      <c r="DN9" s="16" t="n">
        <f aca="false">DM9/31</f>
        <v>101.645161290323</v>
      </c>
      <c r="DO9" s="15" t="n">
        <v>3339</v>
      </c>
      <c r="DP9" s="16" t="n">
        <f aca="false">DO9/30</f>
        <v>111.3</v>
      </c>
      <c r="DQ9" s="15" t="n">
        <v>2308</v>
      </c>
      <c r="DR9" s="16" t="n">
        <f aca="false">DQ9/31</f>
        <v>74.4516129032258</v>
      </c>
      <c r="DS9" s="15" t="n">
        <v>2038</v>
      </c>
      <c r="DT9" s="16" t="n">
        <f aca="false">DS9/31</f>
        <v>65.741935483871</v>
      </c>
      <c r="DU9" s="15" t="n">
        <v>3842</v>
      </c>
      <c r="DV9" s="16" t="n">
        <f aca="false">DU9/30</f>
        <v>128.066666666667</v>
      </c>
      <c r="DW9" s="15" t="n">
        <v>2334</v>
      </c>
      <c r="DX9" s="16" t="n">
        <f aca="false">DW9/31</f>
        <v>75.2903225806452</v>
      </c>
      <c r="DY9" s="15" t="n">
        <v>3150</v>
      </c>
      <c r="DZ9" s="16" t="n">
        <f aca="false">DY9/30</f>
        <v>105</v>
      </c>
      <c r="EA9" s="15" t="n">
        <v>3208</v>
      </c>
      <c r="EB9" s="16" t="n">
        <f aca="false">EA9/31</f>
        <v>103.483870967742</v>
      </c>
      <c r="EC9" s="17" t="n">
        <f aca="false">SUM(DE9:EA9)</f>
        <v>34648.9920890937</v>
      </c>
      <c r="ED9" s="18" t="n">
        <f aca="false">IFERROR(STDEV(DF9,DH9,DJ9,DL9,DN9,DP9,DR9,DT9,DV9,DX9,DZ9,EB9),0)</f>
        <v>26.4794481059696</v>
      </c>
      <c r="EE9" s="19" t="n">
        <f aca="false">STDEV(F9:AB9,AF9:BB9,BF9:CB9,CF9:DB9,DF9:EB9)</f>
        <v>1552.93054011279</v>
      </c>
    </row>
    <row r="10" customFormat="false" ht="15" hidden="false" customHeight="true" outlineLevel="0" collapsed="false">
      <c r="A10" s="11" t="n">
        <v>5</v>
      </c>
      <c r="B10" s="12" t="s">
        <v>43</v>
      </c>
      <c r="C10" s="13" t="s">
        <v>44</v>
      </c>
      <c r="D10" s="14" t="s">
        <v>36</v>
      </c>
      <c r="E10" s="15" t="n">
        <v>972</v>
      </c>
      <c r="F10" s="16" t="n">
        <f aca="false">E10/31</f>
        <v>31.3548387096774</v>
      </c>
      <c r="G10" s="15" t="n">
        <v>1108</v>
      </c>
      <c r="H10" s="16" t="n">
        <f aca="false">G10/28</f>
        <v>39.5714285714286</v>
      </c>
      <c r="I10" s="15" t="n">
        <v>1058</v>
      </c>
      <c r="J10" s="16" t="n">
        <f aca="false">I10/31</f>
        <v>34.1290322580645</v>
      </c>
      <c r="K10" s="15" t="n">
        <v>1400</v>
      </c>
      <c r="L10" s="16" t="n">
        <f aca="false">K10/30</f>
        <v>46.6666666666667</v>
      </c>
      <c r="M10" s="15" t="n">
        <v>793</v>
      </c>
      <c r="N10" s="16" t="n">
        <f aca="false">M10/31</f>
        <v>25.5806451612903</v>
      </c>
      <c r="O10" s="15" t="n">
        <v>1219</v>
      </c>
      <c r="P10" s="16" t="n">
        <f aca="false">O10/30</f>
        <v>40.6333333333333</v>
      </c>
      <c r="Q10" s="15" t="n">
        <v>822</v>
      </c>
      <c r="R10" s="16" t="n">
        <f aca="false">Q10/31</f>
        <v>26.5161290322581</v>
      </c>
      <c r="S10" s="15" t="n">
        <v>952</v>
      </c>
      <c r="T10" s="16" t="n">
        <f aca="false">S10/31</f>
        <v>30.7096774193548</v>
      </c>
      <c r="U10" s="15" t="n">
        <v>1182</v>
      </c>
      <c r="V10" s="16" t="n">
        <f aca="false">U10/30</f>
        <v>39.4</v>
      </c>
      <c r="W10" s="15" t="n">
        <v>873</v>
      </c>
      <c r="X10" s="16" t="n">
        <f aca="false">W10/31</f>
        <v>28.1612903225806</v>
      </c>
      <c r="Y10" s="15" t="n">
        <v>886</v>
      </c>
      <c r="Z10" s="16" t="n">
        <f aca="false">Y10/30</f>
        <v>29.5333333333333</v>
      </c>
      <c r="AA10" s="15" t="n">
        <v>1248</v>
      </c>
      <c r="AB10" s="16" t="n">
        <f aca="false">AA10/31</f>
        <v>40.258064516129</v>
      </c>
      <c r="AC10" s="17" t="n">
        <f aca="false">SUM(E10:AA10)</f>
        <v>12885.256374808</v>
      </c>
      <c r="AD10" s="18" t="n">
        <f aca="false">IFERROR(STDEV(F10,H10,J10,L10,N10,P10,R10,T10,V10,X10,Z10,AB10),0)</f>
        <v>6.74797376411405</v>
      </c>
      <c r="AE10" s="15" t="n">
        <v>803</v>
      </c>
      <c r="AF10" s="16" t="n">
        <f aca="false">AE10/31</f>
        <v>25.9032258064516</v>
      </c>
      <c r="AG10" s="15" t="n">
        <v>1180</v>
      </c>
      <c r="AH10" s="16" t="n">
        <f aca="false">AG10/28</f>
        <v>42.1428571428571</v>
      </c>
      <c r="AI10" s="15" t="n">
        <v>1707</v>
      </c>
      <c r="AJ10" s="16" t="n">
        <f aca="false">AI10/31</f>
        <v>55.0645161290323</v>
      </c>
      <c r="AK10" s="15" t="n">
        <v>1705</v>
      </c>
      <c r="AL10" s="16" t="n">
        <f aca="false">AK10/30</f>
        <v>56.8333333333333</v>
      </c>
      <c r="AM10" s="15" t="n">
        <v>804</v>
      </c>
      <c r="AN10" s="16" t="n">
        <f aca="false">AM10/31</f>
        <v>25.9354838709677</v>
      </c>
      <c r="AO10" s="15" t="n">
        <v>940</v>
      </c>
      <c r="AP10" s="16" t="n">
        <f aca="false">AO10/30</f>
        <v>31.3333333333333</v>
      </c>
      <c r="AQ10" s="15" t="n">
        <v>991</v>
      </c>
      <c r="AR10" s="16" t="n">
        <f aca="false">AQ10/31</f>
        <v>31.9677419354839</v>
      </c>
      <c r="AS10" s="15" t="n">
        <v>1643</v>
      </c>
      <c r="AT10" s="16" t="n">
        <f aca="false">AS10/31</f>
        <v>53</v>
      </c>
      <c r="AU10" s="15" t="n">
        <v>1592</v>
      </c>
      <c r="AV10" s="16" t="n">
        <f aca="false">AU10/30</f>
        <v>53.0666666666667</v>
      </c>
      <c r="AW10" s="15" t="n">
        <v>1591</v>
      </c>
      <c r="AX10" s="16" t="n">
        <f aca="false">AW10/31</f>
        <v>51.3225806451613</v>
      </c>
      <c r="AY10" s="15" t="n">
        <v>1093</v>
      </c>
      <c r="AZ10" s="16" t="n">
        <f aca="false">AY10/30</f>
        <v>36.4333333333333</v>
      </c>
      <c r="BA10" s="15" t="n">
        <v>886</v>
      </c>
      <c r="BB10" s="16" t="n">
        <f aca="false">BA10/31</f>
        <v>28.5806451612903</v>
      </c>
      <c r="BC10" s="17" t="n">
        <f aca="false">SUM(AE10:BA10)</f>
        <v>15398.0030721966</v>
      </c>
      <c r="BD10" s="18" t="n">
        <f aca="false">IFERROR(STDEV(AF10,AH10,AJ10,AL10,AN10,AP10,AR10,AT10,AV10,AX10,AZ10,BB10),0)</f>
        <v>12.2508999373203</v>
      </c>
      <c r="BE10" s="15" t="n">
        <v>1400</v>
      </c>
      <c r="BF10" s="16" t="n">
        <f aca="false">BE10/31</f>
        <v>45.1612903225807</v>
      </c>
      <c r="BG10" s="15" t="n">
        <v>1285</v>
      </c>
      <c r="BH10" s="16" t="n">
        <f aca="false">BG10/28</f>
        <v>45.8928571428571</v>
      </c>
      <c r="BI10" s="15" t="n">
        <v>1204</v>
      </c>
      <c r="BJ10" s="16" t="n">
        <f aca="false">BI10/31</f>
        <v>38.8387096774194</v>
      </c>
      <c r="BK10" s="15" t="n">
        <v>1536</v>
      </c>
      <c r="BL10" s="16" t="n">
        <f aca="false">BK10/30</f>
        <v>51.2</v>
      </c>
      <c r="BM10" s="15" t="n">
        <v>1242</v>
      </c>
      <c r="BN10" s="16" t="n">
        <f aca="false">BM10/31</f>
        <v>40.0645161290323</v>
      </c>
      <c r="BO10" s="15" t="n">
        <v>670</v>
      </c>
      <c r="BP10" s="16" t="n">
        <f aca="false">BO10/30</f>
        <v>22.3333333333333</v>
      </c>
      <c r="BQ10" s="15" t="n">
        <v>1386</v>
      </c>
      <c r="BR10" s="16" t="n">
        <f aca="false">BQ10/31</f>
        <v>44.7096774193548</v>
      </c>
      <c r="BS10" s="15" t="n">
        <v>928</v>
      </c>
      <c r="BT10" s="16" t="n">
        <f aca="false">BS10/31</f>
        <v>29.9354838709677</v>
      </c>
      <c r="BU10" s="15" t="n">
        <v>1250</v>
      </c>
      <c r="BV10" s="16" t="n">
        <f aca="false">BU10/30</f>
        <v>41.6666666666667</v>
      </c>
      <c r="BW10" s="15" t="n">
        <v>1493</v>
      </c>
      <c r="BX10" s="16" t="n">
        <f aca="false">BW10/31</f>
        <v>48.1612903225807</v>
      </c>
      <c r="BY10" s="15" t="n">
        <v>782</v>
      </c>
      <c r="BZ10" s="16" t="n">
        <f aca="false">BY10/30</f>
        <v>26.0666666666667</v>
      </c>
      <c r="CA10" s="15" t="n">
        <v>765</v>
      </c>
      <c r="CB10" s="16" t="n">
        <f aca="false">CA10/31</f>
        <v>24.6774193548387</v>
      </c>
      <c r="CC10" s="17" t="n">
        <f aca="false">SUM(BE10:CA10)</f>
        <v>14375.0304915515</v>
      </c>
      <c r="CD10" s="18" t="n">
        <f aca="false">IFERROR(STDEV(BF10,BH10,BJ10,BL10,BN10,BP10,BR10,BT10,BV10,BX10,BZ10,CB10),0)</f>
        <v>9.92823507832808</v>
      </c>
      <c r="CE10" s="15" t="n">
        <v>811</v>
      </c>
      <c r="CF10" s="16" t="n">
        <f aca="false">CE10/31</f>
        <v>26.1612903225806</v>
      </c>
      <c r="CG10" s="15" t="n">
        <v>1233</v>
      </c>
      <c r="CH10" s="16" t="n">
        <f aca="false">CG10/28</f>
        <v>44.0357142857143</v>
      </c>
      <c r="CI10" s="15" t="n">
        <v>967</v>
      </c>
      <c r="CJ10" s="16" t="n">
        <f aca="false">CI10/31</f>
        <v>31.1935483870968</v>
      </c>
      <c r="CK10" s="15" t="n">
        <v>1282</v>
      </c>
      <c r="CL10" s="16" t="n">
        <f aca="false">CK10/30</f>
        <v>42.7333333333333</v>
      </c>
      <c r="CM10" s="15" t="n">
        <v>1389</v>
      </c>
      <c r="CN10" s="16" t="n">
        <f aca="false">CM10/31</f>
        <v>44.8064516129032</v>
      </c>
      <c r="CO10" s="15" t="n">
        <v>902</v>
      </c>
      <c r="CP10" s="16" t="n">
        <f aca="false">CO10/30</f>
        <v>30.0666666666667</v>
      </c>
      <c r="CQ10" s="15" t="n">
        <v>1310</v>
      </c>
      <c r="CR10" s="16" t="n">
        <f aca="false">CQ10/31</f>
        <v>42.258064516129</v>
      </c>
      <c r="CS10" s="15" t="n">
        <v>960</v>
      </c>
      <c r="CT10" s="16" t="n">
        <f aca="false">CS10/31</f>
        <v>30.9677419354839</v>
      </c>
      <c r="CU10" s="15" t="n">
        <v>1172</v>
      </c>
      <c r="CV10" s="16" t="n">
        <f aca="false">CU10/30</f>
        <v>39.0666666666667</v>
      </c>
      <c r="CW10" s="15" t="n">
        <v>1566</v>
      </c>
      <c r="CX10" s="16" t="n">
        <f aca="false">CW10/31</f>
        <v>50.5161290322581</v>
      </c>
      <c r="CY10" s="15" t="n">
        <v>1510</v>
      </c>
      <c r="CZ10" s="16" t="n">
        <f aca="false">CY10/30</f>
        <v>50.3333333333333</v>
      </c>
      <c r="DA10" s="15" t="n">
        <v>797</v>
      </c>
      <c r="DB10" s="16" t="n">
        <f aca="false">DA10/31</f>
        <v>25.7096774193548</v>
      </c>
      <c r="DC10" s="17" t="n">
        <f aca="false">SUM(CE10:DA10)</f>
        <v>14331.1389400922</v>
      </c>
      <c r="DD10" s="18" t="n">
        <f aca="false">IFERROR(STDEV(CF10,CH10,CJ10,CL10,CN10,CP10,CR10,CT10,CV10,CX10,CZ10,DB10),0)</f>
        <v>8.95867315544139</v>
      </c>
      <c r="DE10" s="15" t="n">
        <v>1204</v>
      </c>
      <c r="DF10" s="16" t="n">
        <f aca="false">DE10/31</f>
        <v>38.8387096774194</v>
      </c>
      <c r="DG10" s="15" t="n">
        <v>1053</v>
      </c>
      <c r="DH10" s="16" t="n">
        <f aca="false">DG10/28</f>
        <v>37.6071428571429</v>
      </c>
      <c r="DI10" s="15" t="n">
        <v>773</v>
      </c>
      <c r="DJ10" s="16" t="n">
        <f aca="false">DI10/31</f>
        <v>24.9354838709677</v>
      </c>
      <c r="DK10" s="15" t="n">
        <v>1560</v>
      </c>
      <c r="DL10" s="16" t="n">
        <f aca="false">DK10/30</f>
        <v>52</v>
      </c>
      <c r="DM10" s="15" t="n">
        <v>1423</v>
      </c>
      <c r="DN10" s="16" t="n">
        <f aca="false">DM10/31</f>
        <v>45.9032258064516</v>
      </c>
      <c r="DO10" s="15" t="n">
        <v>1038</v>
      </c>
      <c r="DP10" s="16" t="n">
        <f aca="false">DO10/30</f>
        <v>34.6</v>
      </c>
      <c r="DQ10" s="15" t="n">
        <v>1530</v>
      </c>
      <c r="DR10" s="16" t="n">
        <f aca="false">DQ10/31</f>
        <v>49.3548387096774</v>
      </c>
      <c r="DS10" s="15" t="n">
        <v>1335</v>
      </c>
      <c r="DT10" s="16" t="n">
        <f aca="false">DS10/31</f>
        <v>43.0645161290323</v>
      </c>
      <c r="DU10" s="15" t="n">
        <v>1208</v>
      </c>
      <c r="DV10" s="16" t="n">
        <f aca="false">DU10/30</f>
        <v>40.2666666666667</v>
      </c>
      <c r="DW10" s="15" t="n">
        <v>779</v>
      </c>
      <c r="DX10" s="16" t="n">
        <f aca="false">DW10/31</f>
        <v>25.1290322580645</v>
      </c>
      <c r="DY10" s="15" t="n">
        <v>847</v>
      </c>
      <c r="DZ10" s="16" t="n">
        <f aca="false">DY10/30</f>
        <v>28.2333333333333</v>
      </c>
      <c r="EA10" s="15" t="n">
        <v>1675</v>
      </c>
      <c r="EB10" s="16" t="n">
        <f aca="false">EA10/31</f>
        <v>54.0322580645161</v>
      </c>
      <c r="EC10" s="17" t="n">
        <f aca="false">SUM(DE10:EA10)</f>
        <v>14844.9329493088</v>
      </c>
      <c r="ED10" s="18" t="n">
        <f aca="false">IFERROR(STDEV(DF10,DH10,DJ10,DL10,DN10,DP10,DR10,DT10,DV10,DX10,DZ10,EB10),0)</f>
        <v>9.96570007601027</v>
      </c>
      <c r="EE10" s="19" t="n">
        <f aca="false">STDEV(F10:AB10,AF10:BB10,BF10:CB10,CF10:DB10,DF10:EB10)</f>
        <v>604.398446886951</v>
      </c>
    </row>
    <row r="11" customFormat="false" ht="15" hidden="false" customHeight="true" outlineLevel="0" collapsed="false">
      <c r="A11" s="11" t="n">
        <v>6</v>
      </c>
      <c r="B11" s="12" t="s">
        <v>45</v>
      </c>
      <c r="C11" s="13" t="s">
        <v>46</v>
      </c>
      <c r="D11" s="14" t="s">
        <v>36</v>
      </c>
      <c r="E11" s="15" t="n">
        <v>537</v>
      </c>
      <c r="F11" s="16" t="n">
        <f aca="false">E11/31</f>
        <v>17.3225806451613</v>
      </c>
      <c r="G11" s="15" t="n">
        <v>421</v>
      </c>
      <c r="H11" s="16" t="n">
        <f aca="false">G11/28</f>
        <v>15.0357142857143</v>
      </c>
      <c r="I11" s="15" t="n">
        <v>515</v>
      </c>
      <c r="J11" s="16" t="n">
        <f aca="false">I11/31</f>
        <v>16.6129032258065</v>
      </c>
      <c r="K11" s="15" t="n">
        <v>433</v>
      </c>
      <c r="L11" s="16" t="n">
        <f aca="false">K11/30</f>
        <v>14.4333333333333</v>
      </c>
      <c r="M11" s="15" t="n">
        <v>292</v>
      </c>
      <c r="N11" s="16" t="n">
        <f aca="false">M11/31</f>
        <v>9.41935483870968</v>
      </c>
      <c r="O11" s="15" t="n">
        <v>285</v>
      </c>
      <c r="P11" s="16" t="n">
        <f aca="false">O11/30</f>
        <v>9.5</v>
      </c>
      <c r="Q11" s="15" t="n">
        <v>344</v>
      </c>
      <c r="R11" s="16" t="n">
        <f aca="false">Q11/31</f>
        <v>11.0967741935484</v>
      </c>
      <c r="S11" s="15" t="n">
        <v>536</v>
      </c>
      <c r="T11" s="16" t="n">
        <f aca="false">S11/31</f>
        <v>17.2903225806452</v>
      </c>
      <c r="U11" s="15" t="n">
        <v>502</v>
      </c>
      <c r="V11" s="16" t="n">
        <f aca="false">U11/30</f>
        <v>16.7333333333333</v>
      </c>
      <c r="W11" s="15" t="n">
        <v>523</v>
      </c>
      <c r="X11" s="16" t="n">
        <f aca="false">W11/31</f>
        <v>16.8709677419355</v>
      </c>
      <c r="Y11" s="15" t="n">
        <v>536</v>
      </c>
      <c r="Z11" s="16" t="n">
        <f aca="false">Y11/30</f>
        <v>17.8666666666667</v>
      </c>
      <c r="AA11" s="15" t="n">
        <v>312</v>
      </c>
      <c r="AB11" s="16" t="n">
        <f aca="false">AA11/31</f>
        <v>10.0645161290323</v>
      </c>
      <c r="AC11" s="17" t="n">
        <f aca="false">SUM(E11:AA11)</f>
        <v>5398.18195084485</v>
      </c>
      <c r="AD11" s="18" t="n">
        <f aca="false">IFERROR(STDEV(F11,H11,J11,L11,N11,P11,R11,T11,V11,X11,Z11,AB11),0)</f>
        <v>3.36106780401148</v>
      </c>
      <c r="AE11" s="15" t="n">
        <v>380</v>
      </c>
      <c r="AF11" s="16" t="n">
        <f aca="false">AE11/31</f>
        <v>12.258064516129</v>
      </c>
      <c r="AG11" s="15" t="n">
        <v>324</v>
      </c>
      <c r="AH11" s="16" t="n">
        <f aca="false">AG11/28</f>
        <v>11.5714285714286</v>
      </c>
      <c r="AI11" s="15" t="n">
        <v>582</v>
      </c>
      <c r="AJ11" s="16" t="n">
        <f aca="false">AI11/31</f>
        <v>18.7741935483871</v>
      </c>
      <c r="AK11" s="15" t="n">
        <v>621</v>
      </c>
      <c r="AL11" s="16" t="n">
        <f aca="false">AK11/30</f>
        <v>20.7</v>
      </c>
      <c r="AM11" s="15" t="n">
        <v>440</v>
      </c>
      <c r="AN11" s="16" t="n">
        <f aca="false">AM11/31</f>
        <v>14.1935483870968</v>
      </c>
      <c r="AO11" s="15" t="n">
        <v>521</v>
      </c>
      <c r="AP11" s="16" t="n">
        <f aca="false">AO11/30</f>
        <v>17.3666666666667</v>
      </c>
      <c r="AQ11" s="15" t="n">
        <v>344</v>
      </c>
      <c r="AR11" s="16" t="n">
        <f aca="false">AQ11/31</f>
        <v>11.0967741935484</v>
      </c>
      <c r="AS11" s="15" t="n">
        <v>639</v>
      </c>
      <c r="AT11" s="16" t="n">
        <f aca="false">AS11/31</f>
        <v>20.6129032258065</v>
      </c>
      <c r="AU11" s="15" t="n">
        <v>614</v>
      </c>
      <c r="AV11" s="16" t="n">
        <f aca="false">AU11/30</f>
        <v>20.4666666666667</v>
      </c>
      <c r="AW11" s="15" t="n">
        <v>656</v>
      </c>
      <c r="AX11" s="16" t="n">
        <f aca="false">AW11/31</f>
        <v>21.1612903225806</v>
      </c>
      <c r="AY11" s="15" t="n">
        <v>593</v>
      </c>
      <c r="AZ11" s="16" t="n">
        <f aca="false">AY11/30</f>
        <v>19.7666666666667</v>
      </c>
      <c r="BA11" s="15" t="n">
        <v>620</v>
      </c>
      <c r="BB11" s="16" t="n">
        <f aca="false">BA11/31</f>
        <v>20</v>
      </c>
      <c r="BC11" s="17" t="n">
        <f aca="false">SUM(AE11:BA11)</f>
        <v>6521.96820276498</v>
      </c>
      <c r="BD11" s="18" t="n">
        <f aca="false">IFERROR(STDEV(AF11,AH11,AJ11,AL11,AN11,AP11,AR11,AT11,AV11,AX11,AZ11,BB11),0)</f>
        <v>3.92406563650361</v>
      </c>
      <c r="BE11" s="15" t="n">
        <v>239</v>
      </c>
      <c r="BF11" s="16" t="n">
        <f aca="false">BE11/31</f>
        <v>7.70967741935484</v>
      </c>
      <c r="BG11" s="15" t="n">
        <v>459</v>
      </c>
      <c r="BH11" s="16" t="n">
        <f aca="false">BG11/28</f>
        <v>16.3928571428571</v>
      </c>
      <c r="BI11" s="15" t="n">
        <v>334</v>
      </c>
      <c r="BJ11" s="16" t="n">
        <f aca="false">BI11/31</f>
        <v>10.7741935483871</v>
      </c>
      <c r="BK11" s="15" t="n">
        <v>519</v>
      </c>
      <c r="BL11" s="16" t="n">
        <f aca="false">BK11/30</f>
        <v>17.3</v>
      </c>
      <c r="BM11" s="15" t="n">
        <v>479</v>
      </c>
      <c r="BN11" s="16" t="n">
        <f aca="false">BM11/31</f>
        <v>15.4516129032258</v>
      </c>
      <c r="BO11" s="15" t="n">
        <v>498</v>
      </c>
      <c r="BP11" s="16" t="n">
        <f aca="false">BO11/30</f>
        <v>16.6</v>
      </c>
      <c r="BQ11" s="15" t="n">
        <v>482</v>
      </c>
      <c r="BR11" s="16" t="n">
        <f aca="false">BQ11/31</f>
        <v>15.5483870967742</v>
      </c>
      <c r="BS11" s="15" t="n">
        <v>314</v>
      </c>
      <c r="BT11" s="16" t="n">
        <f aca="false">BS11/31</f>
        <v>10.1290322580645</v>
      </c>
      <c r="BU11" s="15" t="n">
        <v>475</v>
      </c>
      <c r="BV11" s="16" t="n">
        <f aca="false">BU11/30</f>
        <v>15.8333333333333</v>
      </c>
      <c r="BW11" s="15" t="n">
        <v>265</v>
      </c>
      <c r="BX11" s="16" t="n">
        <f aca="false">BW11/31</f>
        <v>8.54838709677419</v>
      </c>
      <c r="BY11" s="15" t="n">
        <v>501</v>
      </c>
      <c r="BZ11" s="16" t="n">
        <f aca="false">BY11/30</f>
        <v>16.7</v>
      </c>
      <c r="CA11" s="15" t="n">
        <v>497</v>
      </c>
      <c r="CB11" s="16" t="n">
        <f aca="false">CA11/31</f>
        <v>16.0322580645161</v>
      </c>
      <c r="CC11" s="17" t="n">
        <f aca="false">SUM(BE11:CA11)</f>
        <v>5212.98748079877</v>
      </c>
      <c r="CD11" s="18" t="n">
        <f aca="false">IFERROR(STDEV(BF11,BH11,BJ11,BL11,BN11,BP11,BR11,BT11,BV11,BX11,BZ11,CB11),0)</f>
        <v>3.53244720511937</v>
      </c>
      <c r="CE11" s="15" t="n">
        <v>438</v>
      </c>
      <c r="CF11" s="16" t="n">
        <f aca="false">CE11/31</f>
        <v>14.1290322580645</v>
      </c>
      <c r="CG11" s="15" t="n">
        <v>705</v>
      </c>
      <c r="CH11" s="16" t="n">
        <f aca="false">CG11/28</f>
        <v>25.1785714285714</v>
      </c>
      <c r="CI11" s="15" t="n">
        <v>545</v>
      </c>
      <c r="CJ11" s="16" t="n">
        <f aca="false">CI11/31</f>
        <v>17.5806451612903</v>
      </c>
      <c r="CK11" s="15" t="n">
        <v>475</v>
      </c>
      <c r="CL11" s="16" t="n">
        <f aca="false">CK11/30</f>
        <v>15.8333333333333</v>
      </c>
      <c r="CM11" s="15" t="n">
        <v>695</v>
      </c>
      <c r="CN11" s="16" t="n">
        <f aca="false">CM11/31</f>
        <v>22.4193548387097</v>
      </c>
      <c r="CO11" s="15" t="n">
        <v>440</v>
      </c>
      <c r="CP11" s="16" t="n">
        <f aca="false">CO11/30</f>
        <v>14.6666666666667</v>
      </c>
      <c r="CQ11" s="15" t="n">
        <v>348</v>
      </c>
      <c r="CR11" s="16" t="n">
        <f aca="false">CQ11/31</f>
        <v>11.2258064516129</v>
      </c>
      <c r="CS11" s="15" t="n">
        <v>424</v>
      </c>
      <c r="CT11" s="16" t="n">
        <f aca="false">CS11/31</f>
        <v>13.6774193548387</v>
      </c>
      <c r="CU11" s="15" t="n">
        <v>485</v>
      </c>
      <c r="CV11" s="16" t="n">
        <f aca="false">CU11/30</f>
        <v>16.1666666666667</v>
      </c>
      <c r="CW11" s="15" t="n">
        <v>727</v>
      </c>
      <c r="CX11" s="16" t="n">
        <f aca="false">CW11/31</f>
        <v>23.4516129032258</v>
      </c>
      <c r="CY11" s="15" t="n">
        <v>773</v>
      </c>
      <c r="CZ11" s="16" t="n">
        <f aca="false">CY11/30</f>
        <v>25.7666666666667</v>
      </c>
      <c r="DA11" s="15" t="n">
        <v>463</v>
      </c>
      <c r="DB11" s="16" t="n">
        <f aca="false">DA11/31</f>
        <v>14.9354838709677</v>
      </c>
      <c r="DC11" s="17" t="n">
        <f aca="false">SUM(CE11:DA11)</f>
        <v>6718.09577572965</v>
      </c>
      <c r="DD11" s="18" t="n">
        <f aca="false">IFERROR(STDEV(CF11,CH11,CJ11,CL11,CN11,CP11,CR11,CT11,CV11,CX11,CZ11,DB11),0)</f>
        <v>4.94807723583518</v>
      </c>
      <c r="DE11" s="15" t="n">
        <v>575</v>
      </c>
      <c r="DF11" s="16" t="n">
        <f aca="false">DE11/31</f>
        <v>18.5483870967742</v>
      </c>
      <c r="DG11" s="15" t="n">
        <v>475</v>
      </c>
      <c r="DH11" s="16" t="n">
        <f aca="false">DG11/28</f>
        <v>16.9642857142857</v>
      </c>
      <c r="DI11" s="15" t="n">
        <v>716</v>
      </c>
      <c r="DJ11" s="16" t="n">
        <f aca="false">DI11/31</f>
        <v>23.0967741935484</v>
      </c>
      <c r="DK11" s="15" t="n">
        <v>532</v>
      </c>
      <c r="DL11" s="16" t="n">
        <f aca="false">DK11/30</f>
        <v>17.7333333333333</v>
      </c>
      <c r="DM11" s="15" t="n">
        <v>699</v>
      </c>
      <c r="DN11" s="16" t="n">
        <f aca="false">DM11/31</f>
        <v>22.5483870967742</v>
      </c>
      <c r="DO11" s="15" t="n">
        <v>358</v>
      </c>
      <c r="DP11" s="16" t="n">
        <f aca="false">DO11/30</f>
        <v>11.9333333333333</v>
      </c>
      <c r="DQ11" s="15" t="n">
        <v>711</v>
      </c>
      <c r="DR11" s="16" t="n">
        <f aca="false">DQ11/31</f>
        <v>22.9354838709677</v>
      </c>
      <c r="DS11" s="15" t="n">
        <v>384</v>
      </c>
      <c r="DT11" s="16" t="n">
        <f aca="false">DS11/31</f>
        <v>12.3870967741935</v>
      </c>
      <c r="DU11" s="15" t="n">
        <v>708</v>
      </c>
      <c r="DV11" s="16" t="n">
        <f aca="false">DU11/30</f>
        <v>23.6</v>
      </c>
      <c r="DW11" s="15" t="n">
        <v>420</v>
      </c>
      <c r="DX11" s="16" t="n">
        <f aca="false">DW11/31</f>
        <v>13.5483870967742</v>
      </c>
      <c r="DY11" s="15" t="n">
        <v>355</v>
      </c>
      <c r="DZ11" s="16" t="n">
        <f aca="false">DY11/30</f>
        <v>11.8333333333333</v>
      </c>
      <c r="EA11" s="15" t="n">
        <v>490</v>
      </c>
      <c r="EB11" s="16" t="n">
        <f aca="false">EA11/31</f>
        <v>15.8064516129032</v>
      </c>
      <c r="EC11" s="17" t="n">
        <f aca="false">SUM(DE11:EA11)</f>
        <v>6618.12880184332</v>
      </c>
      <c r="ED11" s="18" t="n">
        <f aca="false">IFERROR(STDEV(DF11,DH11,DJ11,DL11,DN11,DP11,DR11,DT11,DV11,DX11,DZ11,EB11),0)</f>
        <v>4.59897474429362</v>
      </c>
      <c r="EE11" s="19" t="n">
        <f aca="false">STDEV(F11:AB11,AF11:BB11,BF11:CB11,CF11:DB11,DF11:EB11)</f>
        <v>258.075641416359</v>
      </c>
    </row>
    <row r="12" customFormat="false" ht="15" hidden="false" customHeight="true" outlineLevel="0" collapsed="false">
      <c r="A12" s="11" t="n">
        <v>7</v>
      </c>
      <c r="B12" s="12" t="s">
        <v>47</v>
      </c>
      <c r="C12" s="13" t="s">
        <v>48</v>
      </c>
      <c r="D12" s="14" t="s">
        <v>36</v>
      </c>
      <c r="E12" s="15" t="n">
        <v>1556</v>
      </c>
      <c r="F12" s="16" t="n">
        <f aca="false">E12/31</f>
        <v>50.1935483870968</v>
      </c>
      <c r="G12" s="15" t="n">
        <v>1120</v>
      </c>
      <c r="H12" s="16" t="n">
        <f aca="false">G12/28</f>
        <v>40</v>
      </c>
      <c r="I12" s="15" t="n">
        <v>1428</v>
      </c>
      <c r="J12" s="16" t="n">
        <f aca="false">I12/31</f>
        <v>46.0645161290323</v>
      </c>
      <c r="K12" s="15" t="n">
        <v>1328</v>
      </c>
      <c r="L12" s="16" t="n">
        <f aca="false">K12/30</f>
        <v>44.2666666666667</v>
      </c>
      <c r="M12" s="15" t="n">
        <v>1195</v>
      </c>
      <c r="N12" s="16" t="n">
        <f aca="false">M12/31</f>
        <v>38.5483870967742</v>
      </c>
      <c r="O12" s="15" t="n">
        <v>1396</v>
      </c>
      <c r="P12" s="16" t="n">
        <f aca="false">O12/30</f>
        <v>46.5333333333333</v>
      </c>
      <c r="Q12" s="15" t="n">
        <v>1058</v>
      </c>
      <c r="R12" s="16" t="n">
        <f aca="false">Q12/31</f>
        <v>34.1290322580645</v>
      </c>
      <c r="S12" s="15" t="n">
        <v>1536</v>
      </c>
      <c r="T12" s="16" t="n">
        <f aca="false">S12/31</f>
        <v>49.5483870967742</v>
      </c>
      <c r="U12" s="15" t="n">
        <v>791</v>
      </c>
      <c r="V12" s="16" t="n">
        <f aca="false">U12/30</f>
        <v>26.3666666666667</v>
      </c>
      <c r="W12" s="15" t="n">
        <v>1764</v>
      </c>
      <c r="X12" s="16" t="n">
        <f aca="false">W12/31</f>
        <v>56.9032258064516</v>
      </c>
      <c r="Y12" s="15" t="n">
        <v>1356</v>
      </c>
      <c r="Z12" s="16" t="n">
        <f aca="false">Y12/30</f>
        <v>45.2</v>
      </c>
      <c r="AA12" s="15" t="n">
        <v>1547</v>
      </c>
      <c r="AB12" s="16" t="n">
        <f aca="false">AA12/31</f>
        <v>49.9032258064516</v>
      </c>
      <c r="AC12" s="17" t="n">
        <f aca="false">SUM(E12:AA12)</f>
        <v>16552.7537634409</v>
      </c>
      <c r="AD12" s="18" t="n">
        <f aca="false">IFERROR(STDEV(F12,H12,J12,L12,N12,P12,R12,T12,V12,X12,Z12,AB12),0)</f>
        <v>8.18400765920103</v>
      </c>
      <c r="AE12" s="15" t="n">
        <v>2060</v>
      </c>
      <c r="AF12" s="16" t="n">
        <f aca="false">AE12/31</f>
        <v>66.4516129032258</v>
      </c>
      <c r="AG12" s="15" t="n">
        <v>1962</v>
      </c>
      <c r="AH12" s="16" t="n">
        <f aca="false">AG12/28</f>
        <v>70.0714285714286</v>
      </c>
      <c r="AI12" s="15" t="n">
        <v>1539</v>
      </c>
      <c r="AJ12" s="16" t="n">
        <f aca="false">AI12/31</f>
        <v>49.6451612903226</v>
      </c>
      <c r="AK12" s="15" t="n">
        <v>1132</v>
      </c>
      <c r="AL12" s="16" t="n">
        <f aca="false">AK12/30</f>
        <v>37.7333333333333</v>
      </c>
      <c r="AM12" s="15" t="n">
        <v>1953</v>
      </c>
      <c r="AN12" s="16" t="n">
        <f aca="false">AM12/31</f>
        <v>63</v>
      </c>
      <c r="AO12" s="15" t="n">
        <v>1492</v>
      </c>
      <c r="AP12" s="16" t="n">
        <f aca="false">AO12/30</f>
        <v>49.7333333333333</v>
      </c>
      <c r="AQ12" s="15" t="n">
        <v>1469</v>
      </c>
      <c r="AR12" s="16" t="n">
        <f aca="false">AQ12/31</f>
        <v>47.3870967741936</v>
      </c>
      <c r="AS12" s="15" t="n">
        <v>2207</v>
      </c>
      <c r="AT12" s="16" t="n">
        <f aca="false">AS12/31</f>
        <v>71.1935483870968</v>
      </c>
      <c r="AU12" s="15" t="n">
        <v>2030</v>
      </c>
      <c r="AV12" s="16" t="n">
        <f aca="false">AU12/30</f>
        <v>67.6666666666667</v>
      </c>
      <c r="AW12" s="15" t="n">
        <v>1450</v>
      </c>
      <c r="AX12" s="16" t="n">
        <f aca="false">AW12/31</f>
        <v>46.7741935483871</v>
      </c>
      <c r="AY12" s="15" t="n">
        <v>1463</v>
      </c>
      <c r="AZ12" s="16" t="n">
        <f aca="false">AY12/30</f>
        <v>48.7666666666667</v>
      </c>
      <c r="BA12" s="15" t="n">
        <v>1600</v>
      </c>
      <c r="BB12" s="16" t="n">
        <f aca="false">BA12/31</f>
        <v>51.6129032258065</v>
      </c>
      <c r="BC12" s="17" t="n">
        <f aca="false">SUM(AE12:BA12)</f>
        <v>20975.4230414747</v>
      </c>
      <c r="BD12" s="18" t="n">
        <f aca="false">IFERROR(STDEV(AF12,AH12,AJ12,AL12,AN12,AP12,AR12,AT12,AV12,AX12,AZ12,BB12),0)</f>
        <v>11.1480386033194</v>
      </c>
      <c r="BE12" s="15" t="n">
        <v>1579</v>
      </c>
      <c r="BF12" s="16" t="n">
        <f aca="false">BE12/31</f>
        <v>50.9354838709677</v>
      </c>
      <c r="BG12" s="15" t="n">
        <v>1433</v>
      </c>
      <c r="BH12" s="16" t="n">
        <f aca="false">BG12/28</f>
        <v>51.1785714285714</v>
      </c>
      <c r="BI12" s="15" t="n">
        <v>1202</v>
      </c>
      <c r="BJ12" s="16" t="n">
        <f aca="false">BI12/31</f>
        <v>38.7741935483871</v>
      </c>
      <c r="BK12" s="15" t="n">
        <v>1603</v>
      </c>
      <c r="BL12" s="16" t="n">
        <f aca="false">BK12/30</f>
        <v>53.4333333333333</v>
      </c>
      <c r="BM12" s="15" t="n">
        <v>2316</v>
      </c>
      <c r="BN12" s="16" t="n">
        <f aca="false">BM12/31</f>
        <v>74.7096774193548</v>
      </c>
      <c r="BO12" s="15" t="n">
        <v>1955</v>
      </c>
      <c r="BP12" s="16" t="n">
        <f aca="false">BO12/30</f>
        <v>65.1666666666667</v>
      </c>
      <c r="BQ12" s="15" t="n">
        <v>2264</v>
      </c>
      <c r="BR12" s="16" t="n">
        <f aca="false">BQ12/31</f>
        <v>73.0322580645161</v>
      </c>
      <c r="BS12" s="15" t="n">
        <v>1871</v>
      </c>
      <c r="BT12" s="16" t="n">
        <f aca="false">BS12/31</f>
        <v>60.3548387096774</v>
      </c>
      <c r="BU12" s="15" t="n">
        <v>1440</v>
      </c>
      <c r="BV12" s="16" t="n">
        <f aca="false">BU12/30</f>
        <v>48</v>
      </c>
      <c r="BW12" s="15" t="n">
        <v>1778</v>
      </c>
      <c r="BX12" s="16" t="n">
        <f aca="false">BW12/31</f>
        <v>57.3548387096774</v>
      </c>
      <c r="BY12" s="15" t="n">
        <v>1028</v>
      </c>
      <c r="BZ12" s="16" t="n">
        <f aca="false">BY12/30</f>
        <v>34.2666666666667</v>
      </c>
      <c r="CA12" s="15" t="n">
        <v>1421</v>
      </c>
      <c r="CB12" s="16" t="n">
        <f aca="false">CA12/31</f>
        <v>45.8387096774194</v>
      </c>
      <c r="CC12" s="17" t="n">
        <f aca="false">SUM(BE12:CA12)</f>
        <v>20497.2065284178</v>
      </c>
      <c r="CD12" s="18" t="n">
        <f aca="false">IFERROR(STDEV(BF12,BH12,BJ12,BL12,BN12,BP12,BR12,BT12,BV12,BX12,BZ12,CB12),0)</f>
        <v>12.4566114664089</v>
      </c>
      <c r="CE12" s="15" t="n">
        <v>1637</v>
      </c>
      <c r="CF12" s="16" t="n">
        <f aca="false">CE12/31</f>
        <v>52.8064516129032</v>
      </c>
      <c r="CG12" s="15" t="n">
        <v>1845</v>
      </c>
      <c r="CH12" s="16" t="n">
        <f aca="false">CG12/28</f>
        <v>65.8928571428571</v>
      </c>
      <c r="CI12" s="15" t="n">
        <v>1949</v>
      </c>
      <c r="CJ12" s="16" t="n">
        <f aca="false">CI12/31</f>
        <v>62.8709677419355</v>
      </c>
      <c r="CK12" s="15" t="n">
        <v>1685</v>
      </c>
      <c r="CL12" s="16" t="n">
        <f aca="false">CK12/30</f>
        <v>56.1666666666667</v>
      </c>
      <c r="CM12" s="15" t="n">
        <v>1654</v>
      </c>
      <c r="CN12" s="16" t="n">
        <f aca="false">CM12/31</f>
        <v>53.3548387096774</v>
      </c>
      <c r="CO12" s="15" t="n">
        <v>1337</v>
      </c>
      <c r="CP12" s="16" t="n">
        <f aca="false">CO12/30</f>
        <v>44.5666666666667</v>
      </c>
      <c r="CQ12" s="15" t="n">
        <v>1697</v>
      </c>
      <c r="CR12" s="16" t="n">
        <f aca="false">CQ12/31</f>
        <v>54.741935483871</v>
      </c>
      <c r="CS12" s="15" t="n">
        <v>2291</v>
      </c>
      <c r="CT12" s="16" t="n">
        <f aca="false">CS12/31</f>
        <v>73.9032258064516</v>
      </c>
      <c r="CU12" s="15" t="n">
        <v>2145</v>
      </c>
      <c r="CV12" s="16" t="n">
        <f aca="false">CU12/30</f>
        <v>71.5</v>
      </c>
      <c r="CW12" s="15" t="n">
        <v>1276</v>
      </c>
      <c r="CX12" s="16" t="n">
        <f aca="false">CW12/31</f>
        <v>41.1612903225807</v>
      </c>
      <c r="CY12" s="15" t="n">
        <v>1158</v>
      </c>
      <c r="CZ12" s="16" t="n">
        <f aca="false">CY12/30</f>
        <v>38.6</v>
      </c>
      <c r="DA12" s="15" t="n">
        <v>1755</v>
      </c>
      <c r="DB12" s="16" t="n">
        <f aca="false">DA12/31</f>
        <v>56.6129032258065</v>
      </c>
      <c r="DC12" s="17" t="n">
        <f aca="false">SUM(CE12:DA12)</f>
        <v>21044.5649001536</v>
      </c>
      <c r="DD12" s="18" t="n">
        <f aca="false">IFERROR(STDEV(CF12,CH12,CJ12,CL12,CN12,CP12,CR12,CT12,CV12,CX12,CZ12,DB12),0)</f>
        <v>11.1953800534626</v>
      </c>
      <c r="DE12" s="15" t="n">
        <v>1586</v>
      </c>
      <c r="DF12" s="16" t="n">
        <f aca="false">DE12/31</f>
        <v>51.1612903225807</v>
      </c>
      <c r="DG12" s="15" t="n">
        <v>1244</v>
      </c>
      <c r="DH12" s="16" t="n">
        <f aca="false">DG12/28</f>
        <v>44.4285714285714</v>
      </c>
      <c r="DI12" s="15" t="n">
        <v>1799</v>
      </c>
      <c r="DJ12" s="16" t="n">
        <f aca="false">DI12/31</f>
        <v>58.0322580645161</v>
      </c>
      <c r="DK12" s="15" t="n">
        <v>1721</v>
      </c>
      <c r="DL12" s="16" t="n">
        <f aca="false">DK12/30</f>
        <v>57.3666666666667</v>
      </c>
      <c r="DM12" s="15" t="n">
        <v>1632</v>
      </c>
      <c r="DN12" s="16" t="n">
        <f aca="false">DM12/31</f>
        <v>52.6451612903226</v>
      </c>
      <c r="DO12" s="15" t="n">
        <v>1118</v>
      </c>
      <c r="DP12" s="16" t="n">
        <f aca="false">DO12/30</f>
        <v>37.2666666666667</v>
      </c>
      <c r="DQ12" s="15" t="n">
        <v>1088</v>
      </c>
      <c r="DR12" s="16" t="n">
        <f aca="false">DQ12/31</f>
        <v>35.0967741935484</v>
      </c>
      <c r="DS12" s="15" t="n">
        <v>888</v>
      </c>
      <c r="DT12" s="16" t="n">
        <f aca="false">DS12/31</f>
        <v>28.6451612903226</v>
      </c>
      <c r="DU12" s="15" t="n">
        <v>1141</v>
      </c>
      <c r="DV12" s="16" t="n">
        <f aca="false">DU12/30</f>
        <v>38.0333333333333</v>
      </c>
      <c r="DW12" s="15" t="n">
        <v>1405</v>
      </c>
      <c r="DX12" s="16" t="n">
        <f aca="false">DW12/31</f>
        <v>45.3225806451613</v>
      </c>
      <c r="DY12" s="15" t="n">
        <v>1835</v>
      </c>
      <c r="DZ12" s="16" t="n">
        <f aca="false">DY12/30</f>
        <v>61.1666666666667</v>
      </c>
      <c r="EA12" s="15" t="n">
        <v>944</v>
      </c>
      <c r="EB12" s="16" t="n">
        <f aca="false">EA12/31</f>
        <v>30.4516129032258</v>
      </c>
      <c r="EC12" s="17" t="n">
        <f aca="false">SUM(DE12:EA12)</f>
        <v>16910.1651305684</v>
      </c>
      <c r="ED12" s="18" t="n">
        <f aca="false">IFERROR(STDEV(DF12,DH12,DJ12,DL12,DN12,DP12,DR12,DT12,DV12,DX12,DZ12,EB12),0)</f>
        <v>11.1457808178312</v>
      </c>
      <c r="EE12" s="19" t="n">
        <f aca="false">STDEV(F12:AB12,AF12:BB12,BF12:CB12,CF12:DB12,DF12:EB12)</f>
        <v>790.354614342904</v>
      </c>
    </row>
    <row r="13" customFormat="false" ht="15" hidden="false" customHeight="true" outlineLevel="0" collapsed="false">
      <c r="A13" s="11" t="n">
        <v>8</v>
      </c>
      <c r="B13" s="12" t="s">
        <v>49</v>
      </c>
      <c r="C13" s="13" t="s">
        <v>50</v>
      </c>
      <c r="D13" s="14" t="s">
        <v>36</v>
      </c>
      <c r="E13" s="15" t="n">
        <v>3099</v>
      </c>
      <c r="F13" s="16" t="n">
        <f aca="false">E13/31</f>
        <v>99.9677419354839</v>
      </c>
      <c r="G13" s="15" t="n">
        <v>3672</v>
      </c>
      <c r="H13" s="16" t="n">
        <f aca="false">G13/28</f>
        <v>131.142857142857</v>
      </c>
      <c r="I13" s="15" t="n">
        <v>2513</v>
      </c>
      <c r="J13" s="16" t="n">
        <f aca="false">I13/31</f>
        <v>81.0645161290323</v>
      </c>
      <c r="K13" s="15" t="n">
        <v>3849</v>
      </c>
      <c r="L13" s="16" t="n">
        <f aca="false">K13/30</f>
        <v>128.3</v>
      </c>
      <c r="M13" s="15" t="n">
        <v>3311</v>
      </c>
      <c r="N13" s="16" t="n">
        <f aca="false">M13/31</f>
        <v>106.806451612903</v>
      </c>
      <c r="O13" s="15" t="n">
        <v>2645</v>
      </c>
      <c r="P13" s="16" t="n">
        <f aca="false">O13/30</f>
        <v>88.1666666666667</v>
      </c>
      <c r="Q13" s="15" t="n">
        <v>3742</v>
      </c>
      <c r="R13" s="16" t="n">
        <f aca="false">Q13/31</f>
        <v>120.709677419355</v>
      </c>
      <c r="S13" s="15" t="n">
        <v>2011</v>
      </c>
      <c r="T13" s="16" t="n">
        <f aca="false">S13/31</f>
        <v>64.8709677419355</v>
      </c>
      <c r="U13" s="15" t="n">
        <v>3994</v>
      </c>
      <c r="V13" s="16" t="n">
        <f aca="false">U13/30</f>
        <v>133.133333333333</v>
      </c>
      <c r="W13" s="15" t="n">
        <v>4045</v>
      </c>
      <c r="X13" s="16" t="n">
        <f aca="false">W13/31</f>
        <v>130.483870967742</v>
      </c>
      <c r="Y13" s="15" t="n">
        <v>2279</v>
      </c>
      <c r="Z13" s="16" t="n">
        <f aca="false">Y13/30</f>
        <v>75.9666666666667</v>
      </c>
      <c r="AA13" s="15" t="n">
        <v>3127</v>
      </c>
      <c r="AB13" s="16" t="n">
        <f aca="false">AA13/31</f>
        <v>100.870967741935</v>
      </c>
      <c r="AC13" s="17" t="n">
        <f aca="false">SUM(E13:AA13)</f>
        <v>39447.612749616</v>
      </c>
      <c r="AD13" s="18" t="n">
        <f aca="false">IFERROR(STDEV(F13,H13,J13,L13,N13,P13,R13,T13,V13,X13,Z13,AB13),0)</f>
        <v>23.8728441890691</v>
      </c>
      <c r="AE13" s="15" t="n">
        <v>2467</v>
      </c>
      <c r="AF13" s="16" t="n">
        <f aca="false">AE13/31</f>
        <v>79.5806451612903</v>
      </c>
      <c r="AG13" s="15" t="n">
        <v>4551</v>
      </c>
      <c r="AH13" s="16" t="n">
        <f aca="false">AG13/28</f>
        <v>162.535714285714</v>
      </c>
      <c r="AI13" s="15" t="n">
        <v>3379</v>
      </c>
      <c r="AJ13" s="16" t="n">
        <f aca="false">AI13/31</f>
        <v>109</v>
      </c>
      <c r="AK13" s="15" t="n">
        <v>2132</v>
      </c>
      <c r="AL13" s="16" t="n">
        <f aca="false">AK13/30</f>
        <v>71.0666666666667</v>
      </c>
      <c r="AM13" s="15" t="n">
        <v>2663</v>
      </c>
      <c r="AN13" s="16" t="n">
        <f aca="false">AM13/31</f>
        <v>85.9032258064516</v>
      </c>
      <c r="AO13" s="15" t="n">
        <v>4259</v>
      </c>
      <c r="AP13" s="16" t="n">
        <f aca="false">AO13/30</f>
        <v>141.966666666667</v>
      </c>
      <c r="AQ13" s="15" t="n">
        <v>3215</v>
      </c>
      <c r="AR13" s="16" t="n">
        <f aca="false">AQ13/31</f>
        <v>103.709677419355</v>
      </c>
      <c r="AS13" s="15" t="n">
        <v>4134</v>
      </c>
      <c r="AT13" s="16" t="n">
        <f aca="false">AS13/31</f>
        <v>133.354838709677</v>
      </c>
      <c r="AU13" s="15" t="n">
        <v>3777</v>
      </c>
      <c r="AV13" s="16" t="n">
        <f aca="false">AU13/30</f>
        <v>125.9</v>
      </c>
      <c r="AW13" s="15" t="n">
        <v>4631</v>
      </c>
      <c r="AX13" s="16" t="n">
        <f aca="false">AW13/31</f>
        <v>149.387096774194</v>
      </c>
      <c r="AY13" s="15" t="n">
        <v>3585</v>
      </c>
      <c r="AZ13" s="16" t="n">
        <f aca="false">AY13/30</f>
        <v>119.5</v>
      </c>
      <c r="BA13" s="15" t="n">
        <v>4530</v>
      </c>
      <c r="BB13" s="16" t="n">
        <f aca="false">BA13/31</f>
        <v>146.129032258065</v>
      </c>
      <c r="BC13" s="17" t="n">
        <f aca="false">SUM(AE13:BA13)</f>
        <v>44604.90453149</v>
      </c>
      <c r="BD13" s="18" t="n">
        <f aca="false">IFERROR(STDEV(AF13,AH13,AJ13,AL13,AN13,AP13,AR13,AT13,AV13,AX13,AZ13,BB13),0)</f>
        <v>29.5677772172461</v>
      </c>
      <c r="BE13" s="15" t="n">
        <v>4209</v>
      </c>
      <c r="BF13" s="16" t="n">
        <f aca="false">BE13/31</f>
        <v>135.774193548387</v>
      </c>
      <c r="BG13" s="15" t="n">
        <v>3494</v>
      </c>
      <c r="BH13" s="16" t="n">
        <f aca="false">BG13/28</f>
        <v>124.785714285714</v>
      </c>
      <c r="BI13" s="15" t="n">
        <v>3767</v>
      </c>
      <c r="BJ13" s="16" t="n">
        <f aca="false">BI13/31</f>
        <v>121.516129032258</v>
      </c>
      <c r="BK13" s="15" t="n">
        <v>3217</v>
      </c>
      <c r="BL13" s="16" t="n">
        <f aca="false">BK13/30</f>
        <v>107.233333333333</v>
      </c>
      <c r="BM13" s="15" t="n">
        <v>4053</v>
      </c>
      <c r="BN13" s="16" t="n">
        <f aca="false">BM13/31</f>
        <v>130.741935483871</v>
      </c>
      <c r="BO13" s="15" t="n">
        <v>3328</v>
      </c>
      <c r="BP13" s="16" t="n">
        <f aca="false">BO13/30</f>
        <v>110.933333333333</v>
      </c>
      <c r="BQ13" s="15" t="n">
        <v>4224</v>
      </c>
      <c r="BR13" s="16" t="n">
        <f aca="false">BQ13/31</f>
        <v>136.258064516129</v>
      </c>
      <c r="BS13" s="15" t="n">
        <v>3830</v>
      </c>
      <c r="BT13" s="16" t="n">
        <f aca="false">BS13/31</f>
        <v>123.548387096774</v>
      </c>
      <c r="BU13" s="15" t="n">
        <v>3140</v>
      </c>
      <c r="BV13" s="16" t="n">
        <f aca="false">BU13/30</f>
        <v>104.666666666667</v>
      </c>
      <c r="BW13" s="15" t="n">
        <v>2588</v>
      </c>
      <c r="BX13" s="16" t="n">
        <f aca="false">BW13/31</f>
        <v>83.4838709677419</v>
      </c>
      <c r="BY13" s="15" t="n">
        <v>2557</v>
      </c>
      <c r="BZ13" s="16" t="n">
        <f aca="false">BY13/30</f>
        <v>85.2333333333333</v>
      </c>
      <c r="CA13" s="15" t="n">
        <v>3558</v>
      </c>
      <c r="CB13" s="16" t="n">
        <f aca="false">CA13/31</f>
        <v>114.774193548387</v>
      </c>
      <c r="CC13" s="17" t="n">
        <f aca="false">SUM(BE13:CA13)</f>
        <v>43229.1749615975</v>
      </c>
      <c r="CD13" s="18" t="n">
        <f aca="false">IFERROR(STDEV(BF13,BH13,BJ13,BL13,BN13,BP13,BR13,BT13,BV13,BX13,BZ13,CB13),0)</f>
        <v>17.595176216206</v>
      </c>
      <c r="CE13" s="15" t="n">
        <v>5751</v>
      </c>
      <c r="CF13" s="16" t="n">
        <f aca="false">CE13/31</f>
        <v>185.516129032258</v>
      </c>
      <c r="CG13" s="15" t="n">
        <v>4823</v>
      </c>
      <c r="CH13" s="16" t="n">
        <f aca="false">CG13/28</f>
        <v>172.25</v>
      </c>
      <c r="CI13" s="15" t="n">
        <v>5223</v>
      </c>
      <c r="CJ13" s="16" t="n">
        <f aca="false">CI13/31</f>
        <v>168.483870967742</v>
      </c>
      <c r="CK13" s="15" t="n">
        <v>3887</v>
      </c>
      <c r="CL13" s="16" t="n">
        <f aca="false">CK13/30</f>
        <v>129.566666666667</v>
      </c>
      <c r="CM13" s="15" t="n">
        <v>3139</v>
      </c>
      <c r="CN13" s="16" t="n">
        <f aca="false">CM13/31</f>
        <v>101.258064516129</v>
      </c>
      <c r="CO13" s="15" t="n">
        <v>3929</v>
      </c>
      <c r="CP13" s="16" t="n">
        <f aca="false">CO13/30</f>
        <v>130.966666666667</v>
      </c>
      <c r="CQ13" s="15" t="n">
        <v>3876</v>
      </c>
      <c r="CR13" s="16" t="n">
        <f aca="false">CQ13/31</f>
        <v>125.032258064516</v>
      </c>
      <c r="CS13" s="15" t="n">
        <v>4058</v>
      </c>
      <c r="CT13" s="16" t="n">
        <f aca="false">CS13/31</f>
        <v>130.903225806452</v>
      </c>
      <c r="CU13" s="15" t="n">
        <v>4895</v>
      </c>
      <c r="CV13" s="16" t="n">
        <f aca="false">CU13/30</f>
        <v>163.166666666667</v>
      </c>
      <c r="CW13" s="15" t="n">
        <v>3370</v>
      </c>
      <c r="CX13" s="16" t="n">
        <f aca="false">CW13/31</f>
        <v>108.709677419355</v>
      </c>
      <c r="CY13" s="15" t="n">
        <v>3723</v>
      </c>
      <c r="CZ13" s="16" t="n">
        <f aca="false">CY13/30</f>
        <v>124.1</v>
      </c>
      <c r="DA13" s="15" t="n">
        <v>5478</v>
      </c>
      <c r="DB13" s="16" t="n">
        <f aca="false">DA13/31</f>
        <v>176.709677419355</v>
      </c>
      <c r="DC13" s="17" t="n">
        <f aca="false">SUM(CE13:DA13)</f>
        <v>53691.9532258065</v>
      </c>
      <c r="DD13" s="18" t="n">
        <f aca="false">IFERROR(STDEV(CF13,CH13,CJ13,CL13,CN13,CP13,CR13,CT13,CV13,CX13,CZ13,DB13),0)</f>
        <v>28.4851863188603</v>
      </c>
      <c r="DE13" s="15" t="n">
        <v>4861</v>
      </c>
      <c r="DF13" s="16" t="n">
        <f aca="false">DE13/31</f>
        <v>156.806451612903</v>
      </c>
      <c r="DG13" s="15" t="n">
        <v>2718</v>
      </c>
      <c r="DH13" s="16" t="n">
        <f aca="false">DG13/28</f>
        <v>97.0714285714286</v>
      </c>
      <c r="DI13" s="15" t="n">
        <v>3864</v>
      </c>
      <c r="DJ13" s="16" t="n">
        <f aca="false">DI13/31</f>
        <v>124.645161290323</v>
      </c>
      <c r="DK13" s="15" t="n">
        <v>4314</v>
      </c>
      <c r="DL13" s="16" t="n">
        <f aca="false">DK13/30</f>
        <v>143.8</v>
      </c>
      <c r="DM13" s="15" t="n">
        <v>3891</v>
      </c>
      <c r="DN13" s="16" t="n">
        <f aca="false">DM13/31</f>
        <v>125.516129032258</v>
      </c>
      <c r="DO13" s="15" t="n">
        <v>3193</v>
      </c>
      <c r="DP13" s="16" t="n">
        <f aca="false">DO13/30</f>
        <v>106.433333333333</v>
      </c>
      <c r="DQ13" s="15" t="n">
        <v>3905</v>
      </c>
      <c r="DR13" s="16" t="n">
        <f aca="false">DQ13/31</f>
        <v>125.967741935484</v>
      </c>
      <c r="DS13" s="15" t="n">
        <v>5523</v>
      </c>
      <c r="DT13" s="16" t="n">
        <f aca="false">DS13/31</f>
        <v>178.161290322581</v>
      </c>
      <c r="DU13" s="15" t="n">
        <v>4453</v>
      </c>
      <c r="DV13" s="16" t="n">
        <f aca="false">DU13/30</f>
        <v>148.433333333333</v>
      </c>
      <c r="DW13" s="15" t="n">
        <v>4825</v>
      </c>
      <c r="DX13" s="16" t="n">
        <f aca="false">DW13/31</f>
        <v>155.645161290323</v>
      </c>
      <c r="DY13" s="15" t="n">
        <v>5363</v>
      </c>
      <c r="DZ13" s="16" t="n">
        <f aca="false">DY13/30</f>
        <v>178.766666666667</v>
      </c>
      <c r="EA13" s="15" t="n">
        <v>5058</v>
      </c>
      <c r="EB13" s="16" t="n">
        <f aca="false">EA13/31</f>
        <v>163.161290322581</v>
      </c>
      <c r="EC13" s="17" t="n">
        <f aca="false">SUM(DE13:EA13)</f>
        <v>53509.2466973886</v>
      </c>
      <c r="ED13" s="18" t="n">
        <f aca="false">IFERROR(STDEV(DF13,DH13,DJ13,DL13,DN13,DP13,DR13,DT13,DV13,DX13,DZ13,EB13),0)</f>
        <v>26.4072446706705</v>
      </c>
      <c r="EE13" s="19" t="n">
        <f aca="false">STDEV(F13:AB13,AF13:BB13,BF13:CB13,CF13:DB13,DF13:EB13)</f>
        <v>1918.7702050367</v>
      </c>
    </row>
    <row r="14" customFormat="false" ht="15" hidden="false" customHeight="true" outlineLevel="0" collapsed="false">
      <c r="A14" s="11" t="n">
        <v>9</v>
      </c>
      <c r="B14" s="12" t="s">
        <v>51</v>
      </c>
      <c r="C14" s="13" t="s">
        <v>52</v>
      </c>
      <c r="D14" s="14" t="s">
        <v>36</v>
      </c>
      <c r="E14" s="15" t="n">
        <v>3358</v>
      </c>
      <c r="F14" s="16" t="n">
        <f aca="false">E14/31</f>
        <v>108.322580645161</v>
      </c>
      <c r="G14" s="15" t="n">
        <v>2246</v>
      </c>
      <c r="H14" s="16" t="n">
        <f aca="false">G14/28</f>
        <v>80.2142857142857</v>
      </c>
      <c r="I14" s="15" t="n">
        <v>3273</v>
      </c>
      <c r="J14" s="16" t="n">
        <f aca="false">I14/31</f>
        <v>105.58064516129</v>
      </c>
      <c r="K14" s="15" t="n">
        <v>4467</v>
      </c>
      <c r="L14" s="16" t="n">
        <f aca="false">K14/30</f>
        <v>148.9</v>
      </c>
      <c r="M14" s="15" t="n">
        <v>4764</v>
      </c>
      <c r="N14" s="16" t="n">
        <f aca="false">M14/31</f>
        <v>153.677419354839</v>
      </c>
      <c r="O14" s="15" t="n">
        <v>5061</v>
      </c>
      <c r="P14" s="16" t="n">
        <f aca="false">O14/30</f>
        <v>168.7</v>
      </c>
      <c r="Q14" s="15" t="n">
        <v>3473</v>
      </c>
      <c r="R14" s="16" t="n">
        <f aca="false">Q14/31</f>
        <v>112.032258064516</v>
      </c>
      <c r="S14" s="15" t="n">
        <v>4449</v>
      </c>
      <c r="T14" s="16" t="n">
        <f aca="false">S14/31</f>
        <v>143.516129032258</v>
      </c>
      <c r="U14" s="15" t="n">
        <v>3851</v>
      </c>
      <c r="V14" s="16" t="n">
        <f aca="false">U14/30</f>
        <v>128.366666666667</v>
      </c>
      <c r="W14" s="15" t="n">
        <v>4021</v>
      </c>
      <c r="X14" s="16" t="n">
        <f aca="false">W14/31</f>
        <v>129.709677419355</v>
      </c>
      <c r="Y14" s="15" t="n">
        <v>2884</v>
      </c>
      <c r="Z14" s="16" t="n">
        <f aca="false">Y14/30</f>
        <v>96.1333333333333</v>
      </c>
      <c r="AA14" s="15" t="n">
        <v>2880</v>
      </c>
      <c r="AB14" s="16" t="n">
        <f aca="false">AA14/31</f>
        <v>92.9032258064516</v>
      </c>
      <c r="AC14" s="17" t="n">
        <f aca="false">SUM(E14:AA14)</f>
        <v>46102.1529953917</v>
      </c>
      <c r="AD14" s="18" t="n">
        <f aca="false">IFERROR(STDEV(F14,H14,J14,L14,N14,P14,R14,T14,V14,X14,Z14,AB14),0)</f>
        <v>27.4479353792828</v>
      </c>
      <c r="AE14" s="15" t="n">
        <v>3361</v>
      </c>
      <c r="AF14" s="16" t="n">
        <f aca="false">AE14/31</f>
        <v>108.41935483871</v>
      </c>
      <c r="AG14" s="15" t="n">
        <v>2208</v>
      </c>
      <c r="AH14" s="16" t="n">
        <f aca="false">AG14/28</f>
        <v>78.8571428571429</v>
      </c>
      <c r="AI14" s="15" t="n">
        <v>3078</v>
      </c>
      <c r="AJ14" s="16" t="n">
        <f aca="false">AI14/31</f>
        <v>99.2903225806452</v>
      </c>
      <c r="AK14" s="15" t="n">
        <v>4051</v>
      </c>
      <c r="AL14" s="16" t="n">
        <f aca="false">AK14/30</f>
        <v>135.033333333333</v>
      </c>
      <c r="AM14" s="15" t="n">
        <v>3272</v>
      </c>
      <c r="AN14" s="16" t="n">
        <f aca="false">AM14/31</f>
        <v>105.548387096774</v>
      </c>
      <c r="AO14" s="15" t="n">
        <v>2593</v>
      </c>
      <c r="AP14" s="16" t="n">
        <f aca="false">AO14/30</f>
        <v>86.4333333333333</v>
      </c>
      <c r="AQ14" s="15" t="n">
        <v>3450</v>
      </c>
      <c r="AR14" s="16" t="n">
        <f aca="false">AQ14/31</f>
        <v>111.290322580645</v>
      </c>
      <c r="AS14" s="15" t="n">
        <v>2487</v>
      </c>
      <c r="AT14" s="16" t="n">
        <f aca="false">AS14/31</f>
        <v>80.2258064516129</v>
      </c>
      <c r="AU14" s="15" t="n">
        <v>3889</v>
      </c>
      <c r="AV14" s="16" t="n">
        <f aca="false">AU14/30</f>
        <v>129.633333333333</v>
      </c>
      <c r="AW14" s="15" t="n">
        <v>2202</v>
      </c>
      <c r="AX14" s="16" t="n">
        <f aca="false">AW14/31</f>
        <v>71.0322580645161</v>
      </c>
      <c r="AY14" s="15" t="n">
        <v>3242</v>
      </c>
      <c r="AZ14" s="16" t="n">
        <f aca="false">AY14/30</f>
        <v>108.066666666667</v>
      </c>
      <c r="BA14" s="15" t="n">
        <v>3725</v>
      </c>
      <c r="BB14" s="16" t="n">
        <f aca="false">BA14/31</f>
        <v>120.161290322581</v>
      </c>
      <c r="BC14" s="17" t="n">
        <f aca="false">SUM(AE14:BA14)</f>
        <v>38671.8302611367</v>
      </c>
      <c r="BD14" s="18" t="n">
        <f aca="false">IFERROR(STDEV(AF14,AH14,AJ14,AL14,AN14,AP14,AR14,AT14,AV14,AX14,AZ14,BB14),0)</f>
        <v>20.3862720754607</v>
      </c>
      <c r="BE14" s="15" t="n">
        <v>2459</v>
      </c>
      <c r="BF14" s="16" t="n">
        <f aca="false">BE14/31</f>
        <v>79.3225806451613</v>
      </c>
      <c r="BG14" s="15" t="n">
        <v>4406</v>
      </c>
      <c r="BH14" s="16" t="n">
        <f aca="false">BG14/28</f>
        <v>157.357142857143</v>
      </c>
      <c r="BI14" s="15" t="n">
        <v>2802</v>
      </c>
      <c r="BJ14" s="16" t="n">
        <f aca="false">BI14/31</f>
        <v>90.3870967741936</v>
      </c>
      <c r="BK14" s="15" t="n">
        <v>3834</v>
      </c>
      <c r="BL14" s="16" t="n">
        <f aca="false">BK14/30</f>
        <v>127.8</v>
      </c>
      <c r="BM14" s="15" t="n">
        <v>2532</v>
      </c>
      <c r="BN14" s="16" t="n">
        <f aca="false">BM14/31</f>
        <v>81.6774193548387</v>
      </c>
      <c r="BO14" s="15" t="n">
        <v>3572</v>
      </c>
      <c r="BP14" s="16" t="n">
        <f aca="false">BO14/30</f>
        <v>119.066666666667</v>
      </c>
      <c r="BQ14" s="15" t="n">
        <v>3043</v>
      </c>
      <c r="BR14" s="16" t="n">
        <f aca="false">BQ14/31</f>
        <v>98.1612903225806</v>
      </c>
      <c r="BS14" s="15" t="n">
        <v>3407</v>
      </c>
      <c r="BT14" s="16" t="n">
        <f aca="false">BS14/31</f>
        <v>109.903225806452</v>
      </c>
      <c r="BU14" s="15" t="n">
        <v>4781</v>
      </c>
      <c r="BV14" s="16" t="n">
        <f aca="false">BU14/30</f>
        <v>159.366666666667</v>
      </c>
      <c r="BW14" s="15" t="n">
        <v>3572</v>
      </c>
      <c r="BX14" s="16" t="n">
        <f aca="false">BW14/31</f>
        <v>115.225806451613</v>
      </c>
      <c r="BY14" s="15" t="n">
        <v>4752</v>
      </c>
      <c r="BZ14" s="16" t="n">
        <f aca="false">BY14/30</f>
        <v>158.4</v>
      </c>
      <c r="CA14" s="15" t="n">
        <v>5005</v>
      </c>
      <c r="CB14" s="16" t="n">
        <f aca="false">CA14/31</f>
        <v>161.451612903226</v>
      </c>
      <c r="CC14" s="17" t="n">
        <f aca="false">SUM(BE14:CA14)</f>
        <v>45461.6678955453</v>
      </c>
      <c r="CD14" s="18" t="n">
        <f aca="false">IFERROR(STDEV(BF14,BH14,BJ14,BL14,BN14,BP14,BR14,BT14,BV14,BX14,BZ14,CB14),0)</f>
        <v>31.2966769342741</v>
      </c>
      <c r="CE14" s="15" t="n">
        <v>3070</v>
      </c>
      <c r="CF14" s="16" t="n">
        <f aca="false">CE14/31</f>
        <v>99.0322580645161</v>
      </c>
      <c r="CG14" s="15" t="n">
        <v>2548</v>
      </c>
      <c r="CH14" s="16" t="n">
        <f aca="false">CG14/28</f>
        <v>91</v>
      </c>
      <c r="CI14" s="15" t="n">
        <v>2357</v>
      </c>
      <c r="CJ14" s="16" t="n">
        <f aca="false">CI14/31</f>
        <v>76.0322580645161</v>
      </c>
      <c r="CK14" s="15" t="n">
        <v>3949</v>
      </c>
      <c r="CL14" s="16" t="n">
        <f aca="false">CK14/30</f>
        <v>131.633333333333</v>
      </c>
      <c r="CM14" s="15" t="n">
        <v>5360</v>
      </c>
      <c r="CN14" s="16" t="n">
        <f aca="false">CM14/31</f>
        <v>172.903225806452</v>
      </c>
      <c r="CO14" s="15" t="n">
        <v>3369</v>
      </c>
      <c r="CP14" s="16" t="n">
        <f aca="false">CO14/30</f>
        <v>112.3</v>
      </c>
      <c r="CQ14" s="15" t="n">
        <v>4288</v>
      </c>
      <c r="CR14" s="16" t="n">
        <f aca="false">CQ14/31</f>
        <v>138.322580645161</v>
      </c>
      <c r="CS14" s="15" t="n">
        <v>4690</v>
      </c>
      <c r="CT14" s="16" t="n">
        <f aca="false">CS14/31</f>
        <v>151.290322580645</v>
      </c>
      <c r="CU14" s="15" t="n">
        <v>4293</v>
      </c>
      <c r="CV14" s="16" t="n">
        <f aca="false">CU14/30</f>
        <v>143.1</v>
      </c>
      <c r="CW14" s="15" t="n">
        <v>4607</v>
      </c>
      <c r="CX14" s="16" t="n">
        <f aca="false">CW14/31</f>
        <v>148.612903225806</v>
      </c>
      <c r="CY14" s="15" t="n">
        <v>5206</v>
      </c>
      <c r="CZ14" s="16" t="n">
        <f aca="false">CY14/30</f>
        <v>173.533333333333</v>
      </c>
      <c r="DA14" s="15" t="n">
        <v>2908</v>
      </c>
      <c r="DB14" s="16" t="n">
        <f aca="false">DA14/31</f>
        <v>93.8064516129032</v>
      </c>
      <c r="DC14" s="17" t="n">
        <f aca="false">SUM(CE14:DA14)</f>
        <v>48082.7602150538</v>
      </c>
      <c r="DD14" s="18" t="n">
        <f aca="false">IFERROR(STDEV(CF14,CH14,CJ14,CL14,CN14,CP14,CR14,CT14,CV14,CX14,CZ14,DB14),0)</f>
        <v>32.6517561486609</v>
      </c>
      <c r="DE14" s="15" t="n">
        <v>2341</v>
      </c>
      <c r="DF14" s="16" t="n">
        <f aca="false">DE14/31</f>
        <v>75.5161290322581</v>
      </c>
      <c r="DG14" s="15" t="n">
        <v>2743</v>
      </c>
      <c r="DH14" s="16" t="n">
        <f aca="false">DG14/28</f>
        <v>97.9642857142857</v>
      </c>
      <c r="DI14" s="15" t="n">
        <v>2663</v>
      </c>
      <c r="DJ14" s="16" t="n">
        <f aca="false">DI14/31</f>
        <v>85.9032258064516</v>
      </c>
      <c r="DK14" s="15" t="n">
        <v>4314</v>
      </c>
      <c r="DL14" s="16" t="n">
        <f aca="false">DK14/30</f>
        <v>143.8</v>
      </c>
      <c r="DM14" s="15" t="n">
        <v>3994</v>
      </c>
      <c r="DN14" s="16" t="n">
        <f aca="false">DM14/31</f>
        <v>128.838709677419</v>
      </c>
      <c r="DO14" s="15" t="n">
        <v>2942</v>
      </c>
      <c r="DP14" s="16" t="n">
        <f aca="false">DO14/30</f>
        <v>98.0666666666667</v>
      </c>
      <c r="DQ14" s="15" t="n">
        <v>4405</v>
      </c>
      <c r="DR14" s="16" t="n">
        <f aca="false">DQ14/31</f>
        <v>142.096774193548</v>
      </c>
      <c r="DS14" s="15" t="n">
        <v>4610</v>
      </c>
      <c r="DT14" s="16" t="n">
        <f aca="false">DS14/31</f>
        <v>148.709677419355</v>
      </c>
      <c r="DU14" s="15" t="n">
        <v>2789</v>
      </c>
      <c r="DV14" s="16" t="n">
        <f aca="false">DU14/30</f>
        <v>92.9666666666667</v>
      </c>
      <c r="DW14" s="15" t="n">
        <v>4125</v>
      </c>
      <c r="DX14" s="16" t="n">
        <f aca="false">DW14/31</f>
        <v>133.064516129032</v>
      </c>
      <c r="DY14" s="15" t="n">
        <v>4553</v>
      </c>
      <c r="DZ14" s="16" t="n">
        <f aca="false">DY14/30</f>
        <v>151.766666666667</v>
      </c>
      <c r="EA14" s="15" t="n">
        <v>2628</v>
      </c>
      <c r="EB14" s="16" t="n">
        <f aca="false">EA14/31</f>
        <v>84.7741935483871</v>
      </c>
      <c r="EC14" s="17" t="n">
        <f aca="false">SUM(DE14:EA14)</f>
        <v>43405.6933179724</v>
      </c>
      <c r="ED14" s="18" t="n">
        <f aca="false">IFERROR(STDEV(DF14,DH14,DJ14,DL14,DN14,DP14,DR14,DT14,DV14,DX14,DZ14,EB14),0)</f>
        <v>28.5247241840255</v>
      </c>
      <c r="EE14" s="19" t="n">
        <f aca="false">STDEV(F14:AB14,AF14:BB14,BF14:CB14,CF14:DB14,DF14:EB14)</f>
        <v>1871.79589439898</v>
      </c>
    </row>
    <row r="15" customFormat="false" ht="15" hidden="false" customHeight="true" outlineLevel="0" collapsed="false">
      <c r="A15" s="11" t="n">
        <v>10</v>
      </c>
      <c r="B15" s="12" t="s">
        <v>53</v>
      </c>
      <c r="C15" s="13" t="s">
        <v>54</v>
      </c>
      <c r="D15" s="14" t="s">
        <v>36</v>
      </c>
      <c r="E15" s="15" t="n">
        <v>3941</v>
      </c>
      <c r="F15" s="16" t="n">
        <f aca="false">E15/31</f>
        <v>127.129032258065</v>
      </c>
      <c r="G15" s="15" t="n">
        <v>4307</v>
      </c>
      <c r="H15" s="16" t="n">
        <f aca="false">G15/28</f>
        <v>153.821428571429</v>
      </c>
      <c r="I15" s="15" t="n">
        <v>2155</v>
      </c>
      <c r="J15" s="16" t="n">
        <f aca="false">I15/31</f>
        <v>69.5161290322581</v>
      </c>
      <c r="K15" s="15" t="n">
        <v>1948</v>
      </c>
      <c r="L15" s="16" t="n">
        <f aca="false">K15/30</f>
        <v>64.9333333333333</v>
      </c>
      <c r="M15" s="15" t="n">
        <v>2667</v>
      </c>
      <c r="N15" s="16" t="n">
        <f aca="false">M15/31</f>
        <v>86.0322580645161</v>
      </c>
      <c r="O15" s="15" t="n">
        <v>3585</v>
      </c>
      <c r="P15" s="16" t="n">
        <f aca="false">O15/30</f>
        <v>119.5</v>
      </c>
      <c r="Q15" s="15" t="n">
        <v>4290</v>
      </c>
      <c r="R15" s="16" t="n">
        <f aca="false">Q15/31</f>
        <v>138.387096774194</v>
      </c>
      <c r="S15" s="15" t="n">
        <v>2880</v>
      </c>
      <c r="T15" s="16" t="n">
        <f aca="false">S15/31</f>
        <v>92.9032258064516</v>
      </c>
      <c r="U15" s="15" t="n">
        <v>3680</v>
      </c>
      <c r="V15" s="16" t="n">
        <f aca="false">U15/30</f>
        <v>122.666666666667</v>
      </c>
      <c r="W15" s="15" t="n">
        <v>2075</v>
      </c>
      <c r="X15" s="16" t="n">
        <f aca="false">W15/31</f>
        <v>66.9354838709677</v>
      </c>
      <c r="Y15" s="15" t="n">
        <v>3618</v>
      </c>
      <c r="Z15" s="16" t="n">
        <f aca="false">Y15/30</f>
        <v>120.6</v>
      </c>
      <c r="AA15" s="15" t="n">
        <v>3459</v>
      </c>
      <c r="AB15" s="16" t="n">
        <f aca="false">AA15/31</f>
        <v>111.58064516129</v>
      </c>
      <c r="AC15" s="17" t="n">
        <f aca="false">SUM(E15:AA15)</f>
        <v>39767.4246543779</v>
      </c>
      <c r="AD15" s="18" t="n">
        <f aca="false">IFERROR(STDEV(F15,H15,J15,L15,N15,P15,R15,T15,V15,X15,Z15,AB15),0)</f>
        <v>29.5420531274241</v>
      </c>
      <c r="AE15" s="15" t="n">
        <v>1946</v>
      </c>
      <c r="AF15" s="16" t="n">
        <f aca="false">AE15/31</f>
        <v>62.7741935483871</v>
      </c>
      <c r="AG15" s="15" t="n">
        <v>3478</v>
      </c>
      <c r="AH15" s="16" t="n">
        <f aca="false">AG15/28</f>
        <v>124.214285714286</v>
      </c>
      <c r="AI15" s="15" t="n">
        <v>3656</v>
      </c>
      <c r="AJ15" s="16" t="n">
        <f aca="false">AI15/31</f>
        <v>117.935483870968</v>
      </c>
      <c r="AK15" s="15" t="n">
        <v>3085</v>
      </c>
      <c r="AL15" s="16" t="n">
        <f aca="false">AK15/30</f>
        <v>102.833333333333</v>
      </c>
      <c r="AM15" s="15" t="n">
        <v>1990</v>
      </c>
      <c r="AN15" s="16" t="n">
        <f aca="false">AM15/31</f>
        <v>64.1935483870968</v>
      </c>
      <c r="AO15" s="15" t="n">
        <v>3961</v>
      </c>
      <c r="AP15" s="16" t="n">
        <f aca="false">AO15/30</f>
        <v>132.033333333333</v>
      </c>
      <c r="AQ15" s="15" t="n">
        <v>3501</v>
      </c>
      <c r="AR15" s="16" t="n">
        <f aca="false">AQ15/31</f>
        <v>112.935483870968</v>
      </c>
      <c r="AS15" s="15" t="n">
        <v>2506</v>
      </c>
      <c r="AT15" s="16" t="n">
        <f aca="false">AS15/31</f>
        <v>80.8387096774194</v>
      </c>
      <c r="AU15" s="15" t="n">
        <v>2692</v>
      </c>
      <c r="AV15" s="16" t="n">
        <f aca="false">AU15/30</f>
        <v>89.7333333333333</v>
      </c>
      <c r="AW15" s="15" t="n">
        <v>2560</v>
      </c>
      <c r="AX15" s="16" t="n">
        <f aca="false">AW15/31</f>
        <v>82.5806451612903</v>
      </c>
      <c r="AY15" s="15" t="n">
        <v>2869</v>
      </c>
      <c r="AZ15" s="16" t="n">
        <f aca="false">AY15/30</f>
        <v>95.6333333333333</v>
      </c>
      <c r="BA15" s="15" t="n">
        <v>2493</v>
      </c>
      <c r="BB15" s="16" t="n">
        <f aca="false">BA15/31</f>
        <v>80.4193548387097</v>
      </c>
      <c r="BC15" s="17" t="n">
        <f aca="false">SUM(AE15:BA15)</f>
        <v>35802.7056835638</v>
      </c>
      <c r="BD15" s="18" t="n">
        <f aca="false">IFERROR(STDEV(AF15,AH15,AJ15,AL15,AN15,AP15,AR15,AT15,AV15,AX15,AZ15,BB15),0)</f>
        <v>22.7914491986748</v>
      </c>
      <c r="BE15" s="15" t="n">
        <v>3099</v>
      </c>
      <c r="BF15" s="16" t="n">
        <f aca="false">BE15/31</f>
        <v>99.9677419354839</v>
      </c>
      <c r="BG15" s="15" t="n">
        <v>3046</v>
      </c>
      <c r="BH15" s="16" t="n">
        <f aca="false">BG15/28</f>
        <v>108.785714285714</v>
      </c>
      <c r="BI15" s="15" t="n">
        <v>1657</v>
      </c>
      <c r="BJ15" s="16" t="n">
        <f aca="false">BI15/31</f>
        <v>53.4516129032258</v>
      </c>
      <c r="BK15" s="15" t="n">
        <v>3314</v>
      </c>
      <c r="BL15" s="16" t="n">
        <f aca="false">BK15/30</f>
        <v>110.466666666667</v>
      </c>
      <c r="BM15" s="15" t="n">
        <v>2684</v>
      </c>
      <c r="BN15" s="16" t="n">
        <f aca="false">BM15/31</f>
        <v>86.5806451612903</v>
      </c>
      <c r="BO15" s="15" t="n">
        <v>3058</v>
      </c>
      <c r="BP15" s="16" t="n">
        <f aca="false">BO15/30</f>
        <v>101.933333333333</v>
      </c>
      <c r="BQ15" s="15" t="n">
        <v>2823</v>
      </c>
      <c r="BR15" s="16" t="n">
        <f aca="false">BQ15/31</f>
        <v>91.0645161290323</v>
      </c>
      <c r="BS15" s="15" t="n">
        <v>2296</v>
      </c>
      <c r="BT15" s="16" t="n">
        <f aca="false">BS15/31</f>
        <v>74.0645161290323</v>
      </c>
      <c r="BU15" s="15" t="n">
        <v>2874</v>
      </c>
      <c r="BV15" s="16" t="n">
        <f aca="false">BU15/30</f>
        <v>95.8</v>
      </c>
      <c r="BW15" s="15" t="n">
        <v>3323</v>
      </c>
      <c r="BX15" s="16" t="n">
        <f aca="false">BW15/31</f>
        <v>107.193548387097</v>
      </c>
      <c r="BY15" s="15" t="n">
        <v>1976</v>
      </c>
      <c r="BZ15" s="16" t="n">
        <f aca="false">BY15/30</f>
        <v>65.8666666666667</v>
      </c>
      <c r="CA15" s="15" t="n">
        <v>3019</v>
      </c>
      <c r="CB15" s="16" t="n">
        <f aca="false">CA15/31</f>
        <v>97.3870967741936</v>
      </c>
      <c r="CC15" s="17" t="n">
        <f aca="false">SUM(BE15:CA15)</f>
        <v>34164.1749615975</v>
      </c>
      <c r="CD15" s="18" t="n">
        <f aca="false">IFERROR(STDEV(BF15,BH15,BJ15,BL15,BN15,BP15,BR15,BT15,BV15,BX15,BZ15,CB15),0)</f>
        <v>18.013106080168</v>
      </c>
      <c r="CE15" s="15" t="n">
        <v>3313</v>
      </c>
      <c r="CF15" s="16" t="n">
        <f aca="false">CE15/31</f>
        <v>106.870967741935</v>
      </c>
      <c r="CG15" s="15" t="n">
        <v>3173</v>
      </c>
      <c r="CH15" s="16" t="n">
        <f aca="false">CG15/28</f>
        <v>113.321428571429</v>
      </c>
      <c r="CI15" s="15" t="n">
        <v>3049</v>
      </c>
      <c r="CJ15" s="16" t="n">
        <f aca="false">CI15/31</f>
        <v>98.3548387096774</v>
      </c>
      <c r="CK15" s="15" t="n">
        <v>3809</v>
      </c>
      <c r="CL15" s="16" t="n">
        <f aca="false">CK15/30</f>
        <v>126.966666666667</v>
      </c>
      <c r="CM15" s="15" t="n">
        <v>2619</v>
      </c>
      <c r="CN15" s="16" t="n">
        <f aca="false">CM15/31</f>
        <v>84.4838709677419</v>
      </c>
      <c r="CO15" s="15" t="n">
        <v>4120</v>
      </c>
      <c r="CP15" s="16" t="n">
        <f aca="false">CO15/30</f>
        <v>137.333333333333</v>
      </c>
      <c r="CQ15" s="15" t="n">
        <v>4066</v>
      </c>
      <c r="CR15" s="16" t="n">
        <f aca="false">CQ15/31</f>
        <v>131.161290322581</v>
      </c>
      <c r="CS15" s="15" t="n">
        <v>2152</v>
      </c>
      <c r="CT15" s="16" t="n">
        <f aca="false">CS15/31</f>
        <v>69.4193548387097</v>
      </c>
      <c r="CU15" s="15" t="n">
        <v>4197</v>
      </c>
      <c r="CV15" s="16" t="n">
        <f aca="false">CU15/30</f>
        <v>139.9</v>
      </c>
      <c r="CW15" s="15" t="n">
        <v>2556</v>
      </c>
      <c r="CX15" s="16" t="n">
        <f aca="false">CW15/31</f>
        <v>82.4516129032258</v>
      </c>
      <c r="CY15" s="15" t="n">
        <v>3124</v>
      </c>
      <c r="CZ15" s="16" t="n">
        <f aca="false">CY15/30</f>
        <v>104.133333333333</v>
      </c>
      <c r="DA15" s="15" t="n">
        <v>3499</v>
      </c>
      <c r="DB15" s="16" t="n">
        <f aca="false">DA15/31</f>
        <v>112.870967741935</v>
      </c>
      <c r="DC15" s="17" t="n">
        <f aca="false">SUM(CE15:DA15)</f>
        <v>40871.3966973886</v>
      </c>
      <c r="DD15" s="18" t="n">
        <f aca="false">IFERROR(STDEV(CF15,CH15,CJ15,CL15,CN15,CP15,CR15,CT15,CV15,CX15,CZ15,DB15),0)</f>
        <v>22.6015842449394</v>
      </c>
      <c r="DE15" s="15" t="n">
        <v>2252</v>
      </c>
      <c r="DF15" s="16" t="n">
        <f aca="false">DE15/31</f>
        <v>72.6451612903226</v>
      </c>
      <c r="DG15" s="15" t="n">
        <v>1553</v>
      </c>
      <c r="DH15" s="16" t="n">
        <f aca="false">DG15/28</f>
        <v>55.4642857142857</v>
      </c>
      <c r="DI15" s="15" t="n">
        <v>3193</v>
      </c>
      <c r="DJ15" s="16" t="n">
        <f aca="false">DI15/31</f>
        <v>103</v>
      </c>
      <c r="DK15" s="15" t="n">
        <v>1859</v>
      </c>
      <c r="DL15" s="16" t="n">
        <f aca="false">DK15/30</f>
        <v>61.9666666666667</v>
      </c>
      <c r="DM15" s="15" t="n">
        <v>1919</v>
      </c>
      <c r="DN15" s="16" t="n">
        <f aca="false">DM15/31</f>
        <v>61.9032258064516</v>
      </c>
      <c r="DO15" s="15" t="n">
        <v>3087</v>
      </c>
      <c r="DP15" s="16" t="n">
        <f aca="false">DO15/30</f>
        <v>102.9</v>
      </c>
      <c r="DQ15" s="15" t="n">
        <v>2175</v>
      </c>
      <c r="DR15" s="16" t="n">
        <f aca="false">DQ15/31</f>
        <v>70.1612903225806</v>
      </c>
      <c r="DS15" s="15" t="n">
        <v>3252</v>
      </c>
      <c r="DT15" s="16" t="n">
        <f aca="false">DS15/31</f>
        <v>104.903225806452</v>
      </c>
      <c r="DU15" s="15" t="n">
        <v>2895</v>
      </c>
      <c r="DV15" s="16" t="n">
        <f aca="false">DU15/30</f>
        <v>96.5</v>
      </c>
      <c r="DW15" s="15" t="n">
        <v>2047</v>
      </c>
      <c r="DX15" s="16" t="n">
        <f aca="false">DW15/31</f>
        <v>66.0322580645161</v>
      </c>
      <c r="DY15" s="15" t="n">
        <v>1516</v>
      </c>
      <c r="DZ15" s="16" t="n">
        <f aca="false">DY15/30</f>
        <v>50.5333333333333</v>
      </c>
      <c r="EA15" s="15" t="n">
        <v>3387</v>
      </c>
      <c r="EB15" s="16" t="n">
        <f aca="false">EA15/31</f>
        <v>109.258064516129</v>
      </c>
      <c r="EC15" s="17" t="n">
        <f aca="false">SUM(DE15:EA15)</f>
        <v>29981.0094470046</v>
      </c>
      <c r="ED15" s="18" t="n">
        <f aca="false">IFERROR(STDEV(DF15,DH15,DJ15,DL15,DN15,DP15,DR15,DT15,DV15,DX15,DZ15,EB15),0)</f>
        <v>21.8860070838399</v>
      </c>
      <c r="EE15" s="19" t="n">
        <f aca="false">STDEV(F15:AB15,AF15:BB15,BF15:CB15,CF15:DB15,DF15:EB15)</f>
        <v>1505.62538021664</v>
      </c>
    </row>
    <row r="16" customFormat="false" ht="15" hidden="false" customHeight="true" outlineLevel="0" collapsed="false">
      <c r="A16" s="11" t="n">
        <v>11</v>
      </c>
      <c r="B16" s="12" t="s">
        <v>55</v>
      </c>
      <c r="C16" s="13" t="s">
        <v>56</v>
      </c>
      <c r="D16" s="14" t="s">
        <v>57</v>
      </c>
      <c r="E16" s="15" t="n">
        <v>488</v>
      </c>
      <c r="F16" s="16" t="n">
        <f aca="false">E16/31</f>
        <v>15.741935483871</v>
      </c>
      <c r="G16" s="15" t="n">
        <v>859</v>
      </c>
      <c r="H16" s="16" t="n">
        <f aca="false">G16/28</f>
        <v>30.6785714285714</v>
      </c>
      <c r="I16" s="15" t="n">
        <v>724</v>
      </c>
      <c r="J16" s="16" t="n">
        <f aca="false">I16/31</f>
        <v>23.3548387096774</v>
      </c>
      <c r="K16" s="15" t="n">
        <v>881</v>
      </c>
      <c r="L16" s="16" t="n">
        <f aca="false">K16/30</f>
        <v>29.3666666666667</v>
      </c>
      <c r="M16" s="15" t="n">
        <v>842</v>
      </c>
      <c r="N16" s="16" t="n">
        <f aca="false">M16/31</f>
        <v>27.1612903225806</v>
      </c>
      <c r="O16" s="15" t="n">
        <v>816</v>
      </c>
      <c r="P16" s="16" t="n">
        <f aca="false">O16/30</f>
        <v>27.2</v>
      </c>
      <c r="Q16" s="15" t="n">
        <v>725</v>
      </c>
      <c r="R16" s="16" t="n">
        <f aca="false">Q16/31</f>
        <v>23.3870967741935</v>
      </c>
      <c r="S16" s="15" t="n">
        <v>902</v>
      </c>
      <c r="T16" s="16" t="n">
        <f aca="false">S16/31</f>
        <v>29.0967741935484</v>
      </c>
      <c r="U16" s="15" t="n">
        <v>493</v>
      </c>
      <c r="V16" s="16" t="n">
        <f aca="false">U16/30</f>
        <v>16.4333333333333</v>
      </c>
      <c r="W16" s="15" t="n">
        <v>568</v>
      </c>
      <c r="X16" s="16" t="n">
        <f aca="false">W16/31</f>
        <v>18.3225806451613</v>
      </c>
      <c r="Y16" s="15" t="n">
        <v>843</v>
      </c>
      <c r="Z16" s="16" t="n">
        <f aca="false">Y16/30</f>
        <v>28.1</v>
      </c>
      <c r="AA16" s="15" t="n">
        <v>617</v>
      </c>
      <c r="AB16" s="16" t="n">
        <f aca="false">AA16/31</f>
        <v>19.9032258064516</v>
      </c>
      <c r="AC16" s="17" t="n">
        <f aca="false">SUM(E16:AA16)</f>
        <v>9026.8430875576</v>
      </c>
      <c r="AD16" s="18" t="n">
        <f aca="false">IFERROR(STDEV(F16,H16,J16,L16,N16,P16,R16,T16,V16,X16,Z16,AB16),0)</f>
        <v>5.32265725326893</v>
      </c>
      <c r="AE16" s="15" t="n">
        <v>760</v>
      </c>
      <c r="AF16" s="16" t="n">
        <f aca="false">AE16/31</f>
        <v>24.5161290322581</v>
      </c>
      <c r="AG16" s="15" t="n">
        <v>698</v>
      </c>
      <c r="AH16" s="16" t="n">
        <f aca="false">AG16/28</f>
        <v>24.9285714285714</v>
      </c>
      <c r="AI16" s="15" t="n">
        <v>731</v>
      </c>
      <c r="AJ16" s="16" t="n">
        <f aca="false">AI16/31</f>
        <v>23.5806451612903</v>
      </c>
      <c r="AK16" s="15" t="n">
        <v>671</v>
      </c>
      <c r="AL16" s="16" t="n">
        <f aca="false">AK16/30</f>
        <v>22.3666666666667</v>
      </c>
      <c r="AM16" s="15" t="n">
        <v>854</v>
      </c>
      <c r="AN16" s="16" t="n">
        <f aca="false">AM16/31</f>
        <v>27.5483870967742</v>
      </c>
      <c r="AO16" s="15" t="n">
        <v>617</v>
      </c>
      <c r="AP16" s="16" t="n">
        <f aca="false">AO16/30</f>
        <v>20.5666666666667</v>
      </c>
      <c r="AQ16" s="15" t="n">
        <v>829</v>
      </c>
      <c r="AR16" s="16" t="n">
        <f aca="false">AQ16/31</f>
        <v>26.741935483871</v>
      </c>
      <c r="AS16" s="15" t="n">
        <v>583</v>
      </c>
      <c r="AT16" s="16" t="n">
        <f aca="false">AS16/31</f>
        <v>18.8064516129032</v>
      </c>
      <c r="AU16" s="15" t="n">
        <v>572</v>
      </c>
      <c r="AV16" s="16" t="n">
        <f aca="false">AU16/30</f>
        <v>19.0666666666667</v>
      </c>
      <c r="AW16" s="15" t="n">
        <v>497</v>
      </c>
      <c r="AX16" s="16" t="n">
        <f aca="false">AW16/31</f>
        <v>16.0322580645161</v>
      </c>
      <c r="AY16" s="15" t="n">
        <v>538</v>
      </c>
      <c r="AZ16" s="16" t="n">
        <f aca="false">AY16/30</f>
        <v>17.9333333333333</v>
      </c>
      <c r="BA16" s="15" t="n">
        <v>496</v>
      </c>
      <c r="BB16" s="16" t="n">
        <f aca="false">BA16/31</f>
        <v>16</v>
      </c>
      <c r="BC16" s="17" t="n">
        <f aca="false">SUM(AE16:BA16)</f>
        <v>8088.08771121352</v>
      </c>
      <c r="BD16" s="18" t="n">
        <f aca="false">IFERROR(STDEV(AF16,AH16,AJ16,AL16,AN16,AP16,AR16,AT16,AV16,AX16,AZ16,BB16),0)</f>
        <v>4.01029700649255</v>
      </c>
      <c r="BE16" s="15" t="n">
        <v>852</v>
      </c>
      <c r="BF16" s="16" t="n">
        <f aca="false">BE16/31</f>
        <v>27.4838709677419</v>
      </c>
      <c r="BG16" s="15" t="n">
        <v>1002</v>
      </c>
      <c r="BH16" s="16" t="n">
        <f aca="false">BG16/28</f>
        <v>35.7857142857143</v>
      </c>
      <c r="BI16" s="15" t="n">
        <v>620</v>
      </c>
      <c r="BJ16" s="16" t="n">
        <f aca="false">BI16/31</f>
        <v>20</v>
      </c>
      <c r="BK16" s="15" t="n">
        <v>640</v>
      </c>
      <c r="BL16" s="16" t="n">
        <f aca="false">BK16/30</f>
        <v>21.3333333333333</v>
      </c>
      <c r="BM16" s="15" t="n">
        <v>818</v>
      </c>
      <c r="BN16" s="16" t="n">
        <f aca="false">BM16/31</f>
        <v>26.3870967741935</v>
      </c>
      <c r="BO16" s="15" t="n">
        <v>977</v>
      </c>
      <c r="BP16" s="16" t="n">
        <f aca="false">BO16/30</f>
        <v>32.5666666666667</v>
      </c>
      <c r="BQ16" s="15" t="n">
        <v>1144</v>
      </c>
      <c r="BR16" s="16" t="n">
        <f aca="false">BQ16/31</f>
        <v>36.9032258064516</v>
      </c>
      <c r="BS16" s="15" t="n">
        <v>845</v>
      </c>
      <c r="BT16" s="16" t="n">
        <f aca="false">BS16/31</f>
        <v>27.258064516129</v>
      </c>
      <c r="BU16" s="15" t="n">
        <v>684</v>
      </c>
      <c r="BV16" s="16" t="n">
        <f aca="false">BU16/30</f>
        <v>22.8</v>
      </c>
      <c r="BW16" s="15" t="n">
        <v>564</v>
      </c>
      <c r="BX16" s="16" t="n">
        <f aca="false">BW16/31</f>
        <v>18.1935483870968</v>
      </c>
      <c r="BY16" s="15" t="n">
        <v>626</v>
      </c>
      <c r="BZ16" s="16" t="n">
        <f aca="false">BY16/30</f>
        <v>20.8666666666667</v>
      </c>
      <c r="CA16" s="15" t="n">
        <v>648</v>
      </c>
      <c r="CB16" s="16" t="n">
        <f aca="false">CA16/31</f>
        <v>20.9032258064516</v>
      </c>
      <c r="CC16" s="17" t="n">
        <f aca="false">SUM(BE16:CA16)</f>
        <v>9709.57818740399</v>
      </c>
      <c r="CD16" s="18" t="n">
        <f aca="false">IFERROR(STDEV(BF16,BH16,BJ16,BL16,BN16,BP16,BR16,BT16,BV16,BX16,BZ16,CB16),0)</f>
        <v>6.34457963959298</v>
      </c>
      <c r="CE16" s="15" t="n">
        <v>566</v>
      </c>
      <c r="CF16" s="16" t="n">
        <f aca="false">CE16/31</f>
        <v>18.258064516129</v>
      </c>
      <c r="CG16" s="15" t="n">
        <v>465</v>
      </c>
      <c r="CH16" s="16" t="n">
        <f aca="false">CG16/28</f>
        <v>16.6071428571429</v>
      </c>
      <c r="CI16" s="15" t="n">
        <v>782</v>
      </c>
      <c r="CJ16" s="16" t="n">
        <f aca="false">CI16/31</f>
        <v>25.2258064516129</v>
      </c>
      <c r="CK16" s="15" t="n">
        <v>624</v>
      </c>
      <c r="CL16" s="16" t="n">
        <f aca="false">CK16/30</f>
        <v>20.8</v>
      </c>
      <c r="CM16" s="15" t="n">
        <v>1050</v>
      </c>
      <c r="CN16" s="16" t="n">
        <f aca="false">CM16/31</f>
        <v>33.8709677419355</v>
      </c>
      <c r="CO16" s="15" t="n">
        <v>794</v>
      </c>
      <c r="CP16" s="16" t="n">
        <f aca="false">CO16/30</f>
        <v>26.4666666666667</v>
      </c>
      <c r="CQ16" s="15" t="n">
        <v>882</v>
      </c>
      <c r="CR16" s="16" t="n">
        <f aca="false">CQ16/31</f>
        <v>28.4516129032258</v>
      </c>
      <c r="CS16" s="15" t="n">
        <v>534</v>
      </c>
      <c r="CT16" s="16" t="n">
        <f aca="false">CS16/31</f>
        <v>17.2258064516129</v>
      </c>
      <c r="CU16" s="15" t="n">
        <v>986</v>
      </c>
      <c r="CV16" s="16" t="n">
        <f aca="false">CU16/30</f>
        <v>32.8666666666667</v>
      </c>
      <c r="CW16" s="15" t="n">
        <v>756</v>
      </c>
      <c r="CX16" s="16" t="n">
        <f aca="false">CW16/31</f>
        <v>24.3870967741935</v>
      </c>
      <c r="CY16" s="15" t="n">
        <v>988</v>
      </c>
      <c r="CZ16" s="16" t="n">
        <f aca="false">CY16/30</f>
        <v>32.9333333333333</v>
      </c>
      <c r="DA16" s="15" t="n">
        <v>806</v>
      </c>
      <c r="DB16" s="16" t="n">
        <f aca="false">DA16/31</f>
        <v>26</v>
      </c>
      <c r="DC16" s="17" t="n">
        <f aca="false">SUM(CE16:DA16)</f>
        <v>9510.09316436252</v>
      </c>
      <c r="DD16" s="18" t="n">
        <f aca="false">IFERROR(STDEV(CF16,CH16,CJ16,CL16,CN16,CP16,CR16,CT16,CV16,CX16,CZ16,DB16),0)</f>
        <v>6.12136495101781</v>
      </c>
      <c r="DE16" s="15" t="n">
        <v>846</v>
      </c>
      <c r="DF16" s="16" t="n">
        <f aca="false">DE16/31</f>
        <v>27.2903225806452</v>
      </c>
      <c r="DG16" s="15" t="n">
        <v>826</v>
      </c>
      <c r="DH16" s="16" t="n">
        <f aca="false">DG16/28</f>
        <v>29.5</v>
      </c>
      <c r="DI16" s="15" t="n">
        <v>648</v>
      </c>
      <c r="DJ16" s="16" t="n">
        <f aca="false">DI16/31</f>
        <v>20.9032258064516</v>
      </c>
      <c r="DK16" s="15" t="n">
        <v>556</v>
      </c>
      <c r="DL16" s="16" t="n">
        <f aca="false">DK16/30</f>
        <v>18.5333333333333</v>
      </c>
      <c r="DM16" s="15" t="n">
        <v>1173</v>
      </c>
      <c r="DN16" s="16" t="n">
        <f aca="false">DM16/31</f>
        <v>37.8387096774194</v>
      </c>
      <c r="DO16" s="15" t="n">
        <v>852</v>
      </c>
      <c r="DP16" s="16" t="n">
        <f aca="false">DO16/30</f>
        <v>28.4</v>
      </c>
      <c r="DQ16" s="15" t="n">
        <v>1091</v>
      </c>
      <c r="DR16" s="16" t="n">
        <f aca="false">DQ16/31</f>
        <v>35.1935483870968</v>
      </c>
      <c r="DS16" s="15" t="n">
        <v>798</v>
      </c>
      <c r="DT16" s="16" t="n">
        <f aca="false">DS16/31</f>
        <v>25.741935483871</v>
      </c>
      <c r="DU16" s="15" t="n">
        <v>572</v>
      </c>
      <c r="DV16" s="16" t="n">
        <f aca="false">DU16/30</f>
        <v>19.0666666666667</v>
      </c>
      <c r="DW16" s="15" t="n">
        <v>957</v>
      </c>
      <c r="DX16" s="16" t="n">
        <f aca="false">DW16/31</f>
        <v>30.8709677419355</v>
      </c>
      <c r="DY16" s="15" t="n">
        <v>558</v>
      </c>
      <c r="DZ16" s="16" t="n">
        <f aca="false">DY16/30</f>
        <v>18.6</v>
      </c>
      <c r="EA16" s="15" t="n">
        <v>624</v>
      </c>
      <c r="EB16" s="16" t="n">
        <f aca="false">EA16/31</f>
        <v>20.1290322580645</v>
      </c>
      <c r="EC16" s="17" t="n">
        <f aca="false">SUM(DE16:EA16)</f>
        <v>9792.93870967742</v>
      </c>
      <c r="ED16" s="18" t="n">
        <f aca="false">IFERROR(STDEV(DF16,DH16,DJ16,DL16,DN16,DP16,DR16,DT16,DV16,DX16,DZ16,EB16),0)</f>
        <v>6.65494651564216</v>
      </c>
      <c r="EE16" s="19" t="n">
        <f aca="false">STDEV(F16:AB16,AF16:BB16,BF16:CB16,CF16:DB16,DF16:EB16)</f>
        <v>383.959018971147</v>
      </c>
    </row>
    <row r="17" customFormat="false" ht="15" hidden="false" customHeight="true" outlineLevel="0" collapsed="false">
      <c r="A17" s="11" t="n">
        <v>12</v>
      </c>
      <c r="B17" s="12" t="s">
        <v>58</v>
      </c>
      <c r="C17" s="13" t="s">
        <v>59</v>
      </c>
      <c r="D17" s="14" t="s">
        <v>36</v>
      </c>
      <c r="E17" s="15" t="n">
        <v>986</v>
      </c>
      <c r="F17" s="16" t="n">
        <f aca="false">E17/31</f>
        <v>31.8064516129032</v>
      </c>
      <c r="G17" s="15" t="n">
        <v>791</v>
      </c>
      <c r="H17" s="16" t="n">
        <f aca="false">G17/28</f>
        <v>28.25</v>
      </c>
      <c r="I17" s="15" t="n">
        <v>1310</v>
      </c>
      <c r="J17" s="16" t="n">
        <f aca="false">I17/31</f>
        <v>42.258064516129</v>
      </c>
      <c r="K17" s="15" t="n">
        <v>652</v>
      </c>
      <c r="L17" s="16" t="n">
        <f aca="false">K17/30</f>
        <v>21.7333333333333</v>
      </c>
      <c r="M17" s="15" t="n">
        <v>1137</v>
      </c>
      <c r="N17" s="16" t="n">
        <f aca="false">M17/31</f>
        <v>36.6774193548387</v>
      </c>
      <c r="O17" s="15" t="n">
        <v>1018</v>
      </c>
      <c r="P17" s="16" t="n">
        <f aca="false">O17/30</f>
        <v>33.9333333333333</v>
      </c>
      <c r="Q17" s="15" t="n">
        <v>1157</v>
      </c>
      <c r="R17" s="16" t="n">
        <f aca="false">Q17/31</f>
        <v>37.3225806451613</v>
      </c>
      <c r="S17" s="15" t="n">
        <v>733</v>
      </c>
      <c r="T17" s="16" t="n">
        <f aca="false">S17/31</f>
        <v>23.6451612903226</v>
      </c>
      <c r="U17" s="15" t="n">
        <v>956</v>
      </c>
      <c r="V17" s="16" t="n">
        <f aca="false">U17/30</f>
        <v>31.8666666666667</v>
      </c>
      <c r="W17" s="15" t="n">
        <v>901</v>
      </c>
      <c r="X17" s="16" t="n">
        <f aca="false">W17/31</f>
        <v>29.0645161290323</v>
      </c>
      <c r="Y17" s="15" t="n">
        <v>896</v>
      </c>
      <c r="Z17" s="16" t="n">
        <f aca="false">Y17/30</f>
        <v>29.8666666666667</v>
      </c>
      <c r="AA17" s="15" t="n">
        <v>1209</v>
      </c>
      <c r="AB17" s="16" t="n">
        <f aca="false">AA17/31</f>
        <v>39</v>
      </c>
      <c r="AC17" s="17" t="n">
        <f aca="false">SUM(E17:AA17)</f>
        <v>12092.4241935484</v>
      </c>
      <c r="AD17" s="18" t="n">
        <f aca="false">IFERROR(STDEV(F17,H17,J17,L17,N17,P17,R17,T17,V17,X17,Z17,AB17),0)</f>
        <v>6.10884935156358</v>
      </c>
      <c r="AE17" s="15" t="n">
        <v>1339</v>
      </c>
      <c r="AF17" s="16" t="n">
        <f aca="false">AE17/31</f>
        <v>43.1935483870968</v>
      </c>
      <c r="AG17" s="15" t="n">
        <v>812</v>
      </c>
      <c r="AH17" s="16" t="n">
        <f aca="false">AG17/28</f>
        <v>29</v>
      </c>
      <c r="AI17" s="15" t="n">
        <v>1055</v>
      </c>
      <c r="AJ17" s="16" t="n">
        <f aca="false">AI17/31</f>
        <v>34.0322580645161</v>
      </c>
      <c r="AK17" s="15" t="n">
        <v>1047</v>
      </c>
      <c r="AL17" s="16" t="n">
        <f aca="false">AK17/30</f>
        <v>34.9</v>
      </c>
      <c r="AM17" s="15" t="n">
        <v>1147</v>
      </c>
      <c r="AN17" s="16" t="n">
        <f aca="false">AM17/31</f>
        <v>37</v>
      </c>
      <c r="AO17" s="15" t="n">
        <v>1307</v>
      </c>
      <c r="AP17" s="16" t="n">
        <f aca="false">AO17/30</f>
        <v>43.5666666666667</v>
      </c>
      <c r="AQ17" s="15" t="n">
        <v>737</v>
      </c>
      <c r="AR17" s="16" t="n">
        <f aca="false">AQ17/31</f>
        <v>23.7741935483871</v>
      </c>
      <c r="AS17" s="15" t="n">
        <v>740</v>
      </c>
      <c r="AT17" s="16" t="n">
        <f aca="false">AS17/31</f>
        <v>23.8709677419355</v>
      </c>
      <c r="AU17" s="15" t="n">
        <v>1086</v>
      </c>
      <c r="AV17" s="16" t="n">
        <f aca="false">AU17/30</f>
        <v>36.2</v>
      </c>
      <c r="AW17" s="15" t="n">
        <v>698</v>
      </c>
      <c r="AX17" s="16" t="n">
        <f aca="false">AW17/31</f>
        <v>22.5161290322581</v>
      </c>
      <c r="AY17" s="15" t="n">
        <v>711</v>
      </c>
      <c r="AZ17" s="16" t="n">
        <f aca="false">AY17/30</f>
        <v>23.7</v>
      </c>
      <c r="BA17" s="15" t="n">
        <v>635</v>
      </c>
      <c r="BB17" s="16" t="n">
        <f aca="false">BA17/31</f>
        <v>20.4838709677419</v>
      </c>
      <c r="BC17" s="17" t="n">
        <f aca="false">SUM(AE17:BA17)</f>
        <v>11665.7537634409</v>
      </c>
      <c r="BD17" s="18" t="n">
        <f aca="false">IFERROR(STDEV(AF17,AH17,AJ17,AL17,AN17,AP17,AR17,AT17,AV17,AX17,AZ17,BB17),0)</f>
        <v>8.18498643715107</v>
      </c>
      <c r="BE17" s="15" t="n">
        <v>480</v>
      </c>
      <c r="BF17" s="16" t="n">
        <f aca="false">BE17/31</f>
        <v>15.4838709677419</v>
      </c>
      <c r="BG17" s="15" t="n">
        <v>765</v>
      </c>
      <c r="BH17" s="16" t="n">
        <f aca="false">BG17/28</f>
        <v>27.3214285714286</v>
      </c>
      <c r="BI17" s="15" t="n">
        <v>856</v>
      </c>
      <c r="BJ17" s="16" t="n">
        <f aca="false">BI17/31</f>
        <v>27.6129032258065</v>
      </c>
      <c r="BK17" s="15" t="n">
        <v>663</v>
      </c>
      <c r="BL17" s="16" t="n">
        <f aca="false">BK17/30</f>
        <v>22.1</v>
      </c>
      <c r="BM17" s="15" t="n">
        <v>625</v>
      </c>
      <c r="BN17" s="16" t="n">
        <f aca="false">BM17/31</f>
        <v>20.1612903225806</v>
      </c>
      <c r="BO17" s="15" t="n">
        <v>928</v>
      </c>
      <c r="BP17" s="16" t="n">
        <f aca="false">BO17/30</f>
        <v>30.9333333333333</v>
      </c>
      <c r="BQ17" s="15" t="n">
        <v>926</v>
      </c>
      <c r="BR17" s="16" t="n">
        <f aca="false">BQ17/31</f>
        <v>29.8709677419355</v>
      </c>
      <c r="BS17" s="15" t="n">
        <v>767</v>
      </c>
      <c r="BT17" s="16" t="n">
        <f aca="false">BS17/31</f>
        <v>24.741935483871</v>
      </c>
      <c r="BU17" s="15" t="n">
        <v>916</v>
      </c>
      <c r="BV17" s="16" t="n">
        <f aca="false">BU17/30</f>
        <v>30.5333333333333</v>
      </c>
      <c r="BW17" s="15" t="n">
        <v>1066</v>
      </c>
      <c r="BX17" s="16" t="n">
        <f aca="false">BW17/31</f>
        <v>34.3870967741936</v>
      </c>
      <c r="BY17" s="15" t="n">
        <v>980</v>
      </c>
      <c r="BZ17" s="16" t="n">
        <f aca="false">BY17/30</f>
        <v>32.6666666666667</v>
      </c>
      <c r="CA17" s="15" t="n">
        <v>876</v>
      </c>
      <c r="CB17" s="16" t="n">
        <f aca="false">CA17/31</f>
        <v>28.258064516129</v>
      </c>
      <c r="CC17" s="17" t="n">
        <f aca="false">SUM(BE17:CA17)</f>
        <v>10143.8128264209</v>
      </c>
      <c r="CD17" s="18" t="n">
        <f aca="false">IFERROR(STDEV(BF17,BH17,BJ17,BL17,BN17,BP17,BR17,BT17,BV17,BX17,BZ17,CB17),0)</f>
        <v>5.5056799490541</v>
      </c>
      <c r="CE17" s="15" t="n">
        <v>949</v>
      </c>
      <c r="CF17" s="16" t="n">
        <f aca="false">CE17/31</f>
        <v>30.6129032258065</v>
      </c>
      <c r="CG17" s="15" t="n">
        <v>1132</v>
      </c>
      <c r="CH17" s="16" t="n">
        <f aca="false">CG17/28</f>
        <v>40.4285714285714</v>
      </c>
      <c r="CI17" s="15" t="n">
        <v>790</v>
      </c>
      <c r="CJ17" s="16" t="n">
        <f aca="false">CI17/31</f>
        <v>25.4838709677419</v>
      </c>
      <c r="CK17" s="15" t="n">
        <v>871</v>
      </c>
      <c r="CL17" s="16" t="n">
        <f aca="false">CK17/30</f>
        <v>29.0333333333333</v>
      </c>
      <c r="CM17" s="15" t="n">
        <v>940</v>
      </c>
      <c r="CN17" s="16" t="n">
        <f aca="false">CM17/31</f>
        <v>30.3225806451613</v>
      </c>
      <c r="CO17" s="15" t="n">
        <v>1115</v>
      </c>
      <c r="CP17" s="16" t="n">
        <f aca="false">CO17/30</f>
        <v>37.1666666666667</v>
      </c>
      <c r="CQ17" s="15" t="n">
        <v>1060</v>
      </c>
      <c r="CR17" s="16" t="n">
        <f aca="false">CQ17/31</f>
        <v>34.1935483870968</v>
      </c>
      <c r="CS17" s="15" t="n">
        <v>552</v>
      </c>
      <c r="CT17" s="16" t="n">
        <f aca="false">CS17/31</f>
        <v>17.8064516129032</v>
      </c>
      <c r="CU17" s="15" t="n">
        <v>616</v>
      </c>
      <c r="CV17" s="16" t="n">
        <f aca="false">CU17/30</f>
        <v>20.5333333333333</v>
      </c>
      <c r="CW17" s="15" t="n">
        <v>711</v>
      </c>
      <c r="CX17" s="16" t="n">
        <f aca="false">CW17/31</f>
        <v>22.9354838709677</v>
      </c>
      <c r="CY17" s="15" t="n">
        <v>1008</v>
      </c>
      <c r="CZ17" s="16" t="n">
        <f aca="false">CY17/30</f>
        <v>33.6</v>
      </c>
      <c r="DA17" s="15" t="n">
        <v>887</v>
      </c>
      <c r="DB17" s="16" t="n">
        <f aca="false">DA17/31</f>
        <v>28.6129032258065</v>
      </c>
      <c r="DC17" s="17" t="n">
        <f aca="false">SUM(CE17:DA17)</f>
        <v>10953.1167434716</v>
      </c>
      <c r="DD17" s="18" t="n">
        <f aca="false">IFERROR(STDEV(CF17,CH17,CJ17,CL17,CN17,CP17,CR17,CT17,CV17,CX17,CZ17,DB17),0)</f>
        <v>6.71119716000995</v>
      </c>
      <c r="DE17" s="15" t="n">
        <v>832</v>
      </c>
      <c r="DF17" s="16" t="n">
        <f aca="false">DE17/31</f>
        <v>26.8387096774194</v>
      </c>
      <c r="DG17" s="15" t="n">
        <v>701</v>
      </c>
      <c r="DH17" s="16" t="n">
        <f aca="false">DG17/28</f>
        <v>25.0357142857143</v>
      </c>
      <c r="DI17" s="15" t="n">
        <v>1153</v>
      </c>
      <c r="DJ17" s="16" t="n">
        <f aca="false">DI17/31</f>
        <v>37.1935483870968</v>
      </c>
      <c r="DK17" s="15" t="n">
        <v>1161</v>
      </c>
      <c r="DL17" s="16" t="n">
        <f aca="false">DK17/30</f>
        <v>38.7</v>
      </c>
      <c r="DM17" s="15" t="n">
        <v>1356</v>
      </c>
      <c r="DN17" s="16" t="n">
        <f aca="false">DM17/31</f>
        <v>43.741935483871</v>
      </c>
      <c r="DO17" s="15" t="n">
        <v>1002</v>
      </c>
      <c r="DP17" s="16" t="n">
        <f aca="false">DO17/30</f>
        <v>33.4</v>
      </c>
      <c r="DQ17" s="15" t="n">
        <v>997</v>
      </c>
      <c r="DR17" s="16" t="n">
        <f aca="false">DQ17/31</f>
        <v>32.1612903225807</v>
      </c>
      <c r="DS17" s="15" t="n">
        <v>665</v>
      </c>
      <c r="DT17" s="16" t="n">
        <f aca="false">DS17/31</f>
        <v>21.4516129032258</v>
      </c>
      <c r="DU17" s="15" t="n">
        <v>633</v>
      </c>
      <c r="DV17" s="16" t="n">
        <f aca="false">DU17/30</f>
        <v>21.1</v>
      </c>
      <c r="DW17" s="15" t="n">
        <v>947</v>
      </c>
      <c r="DX17" s="16" t="n">
        <f aca="false">DW17/31</f>
        <v>30.5483870967742</v>
      </c>
      <c r="DY17" s="15" t="n">
        <v>859</v>
      </c>
      <c r="DZ17" s="16" t="n">
        <f aca="false">DY17/30</f>
        <v>28.6333333333333</v>
      </c>
      <c r="EA17" s="15" t="n">
        <v>801</v>
      </c>
      <c r="EB17" s="16" t="n">
        <f aca="false">EA17/31</f>
        <v>25.8387096774194</v>
      </c>
      <c r="EC17" s="17" t="n">
        <f aca="false">SUM(DE17:EA17)</f>
        <v>11445.80453149</v>
      </c>
      <c r="ED17" s="18" t="n">
        <f aca="false">IFERROR(STDEV(DF17,DH17,DJ17,DL17,DN17,DP17,DR17,DT17,DV17,DX17,DZ17,EB17),0)</f>
        <v>6.98778231717698</v>
      </c>
      <c r="EE17" s="19" t="n">
        <f aca="false">STDEV(F17:AB17,AF17:BB17,BF17:CB17,CF17:DB17,DF17:EB17)</f>
        <v>462.481008129358</v>
      </c>
    </row>
    <row r="18" customFormat="false" ht="15" hidden="false" customHeight="true" outlineLevel="0" collapsed="false">
      <c r="A18" s="11" t="n">
        <v>13</v>
      </c>
      <c r="B18" s="12" t="s">
        <v>60</v>
      </c>
      <c r="C18" s="13" t="s">
        <v>61</v>
      </c>
      <c r="D18" s="14" t="s">
        <v>36</v>
      </c>
      <c r="E18" s="15" t="n">
        <v>2382</v>
      </c>
      <c r="F18" s="16" t="n">
        <f aca="false">E18/31</f>
        <v>76.8387096774194</v>
      </c>
      <c r="G18" s="15" t="n">
        <v>4846</v>
      </c>
      <c r="H18" s="16" t="n">
        <f aca="false">G18/28</f>
        <v>173.071428571429</v>
      </c>
      <c r="I18" s="15" t="n">
        <v>4489</v>
      </c>
      <c r="J18" s="16" t="n">
        <f aca="false">I18/31</f>
        <v>144.806451612903</v>
      </c>
      <c r="K18" s="15" t="n">
        <v>3751</v>
      </c>
      <c r="L18" s="16" t="n">
        <f aca="false">K18/30</f>
        <v>125.033333333333</v>
      </c>
      <c r="M18" s="15" t="n">
        <v>4814</v>
      </c>
      <c r="N18" s="16" t="n">
        <f aca="false">M18/31</f>
        <v>155.290322580645</v>
      </c>
      <c r="O18" s="15" t="n">
        <v>4953</v>
      </c>
      <c r="P18" s="16" t="n">
        <f aca="false">O18/30</f>
        <v>165.1</v>
      </c>
      <c r="Q18" s="15" t="n">
        <v>4026</v>
      </c>
      <c r="R18" s="16" t="n">
        <f aca="false">Q18/31</f>
        <v>129.870967741936</v>
      </c>
      <c r="S18" s="15" t="n">
        <v>2886</v>
      </c>
      <c r="T18" s="16" t="n">
        <f aca="false">S18/31</f>
        <v>93.0967741935484</v>
      </c>
      <c r="U18" s="15" t="n">
        <v>2237</v>
      </c>
      <c r="V18" s="16" t="n">
        <f aca="false">U18/30</f>
        <v>74.5666666666667</v>
      </c>
      <c r="W18" s="15" t="n">
        <v>4264</v>
      </c>
      <c r="X18" s="16" t="n">
        <f aca="false">W18/31</f>
        <v>137.548387096774</v>
      </c>
      <c r="Y18" s="15" t="n">
        <v>3455</v>
      </c>
      <c r="Z18" s="16" t="n">
        <f aca="false">Y18/30</f>
        <v>115.166666666667</v>
      </c>
      <c r="AA18" s="15" t="n">
        <v>3967</v>
      </c>
      <c r="AB18" s="16" t="n">
        <f aca="false">AA18/31</f>
        <v>127.967741935484</v>
      </c>
      <c r="AC18" s="17" t="n">
        <f aca="false">SUM(E18:AA18)</f>
        <v>47460.3897081413</v>
      </c>
      <c r="AD18" s="18" t="n">
        <f aca="false">IFERROR(STDEV(F18,H18,J18,L18,N18,P18,R18,T18,V18,X18,Z18,AB18),0)</f>
        <v>32.1475668828833</v>
      </c>
      <c r="AE18" s="15" t="n">
        <v>4736</v>
      </c>
      <c r="AF18" s="16" t="n">
        <f aca="false">AE18/31</f>
        <v>152.774193548387</v>
      </c>
      <c r="AG18" s="15" t="n">
        <v>2648</v>
      </c>
      <c r="AH18" s="16" t="n">
        <f aca="false">AG18/28</f>
        <v>94.5714285714286</v>
      </c>
      <c r="AI18" s="15" t="n">
        <v>3796</v>
      </c>
      <c r="AJ18" s="16" t="n">
        <f aca="false">AI18/31</f>
        <v>122.451612903226</v>
      </c>
      <c r="AK18" s="15" t="n">
        <v>3937</v>
      </c>
      <c r="AL18" s="16" t="n">
        <f aca="false">AK18/30</f>
        <v>131.233333333333</v>
      </c>
      <c r="AM18" s="15" t="n">
        <v>3530</v>
      </c>
      <c r="AN18" s="16" t="n">
        <f aca="false">AM18/31</f>
        <v>113.870967741935</v>
      </c>
      <c r="AO18" s="15" t="n">
        <v>2391</v>
      </c>
      <c r="AP18" s="16" t="n">
        <f aca="false">AO18/30</f>
        <v>79.7</v>
      </c>
      <c r="AQ18" s="15" t="n">
        <v>3121</v>
      </c>
      <c r="AR18" s="16" t="n">
        <f aca="false">AQ18/31</f>
        <v>100.677419354839</v>
      </c>
      <c r="AS18" s="15" t="n">
        <v>3080</v>
      </c>
      <c r="AT18" s="16" t="n">
        <f aca="false">AS18/31</f>
        <v>99.3548387096774</v>
      </c>
      <c r="AU18" s="15" t="n">
        <v>4037</v>
      </c>
      <c r="AV18" s="16" t="n">
        <f aca="false">AU18/30</f>
        <v>134.566666666667</v>
      </c>
      <c r="AW18" s="15" t="n">
        <v>4570</v>
      </c>
      <c r="AX18" s="16" t="n">
        <f aca="false">AW18/31</f>
        <v>147.41935483871</v>
      </c>
      <c r="AY18" s="15" t="n">
        <v>3070</v>
      </c>
      <c r="AZ18" s="16" t="n">
        <f aca="false">AY18/30</f>
        <v>102.333333333333</v>
      </c>
      <c r="BA18" s="15" t="n">
        <v>4104</v>
      </c>
      <c r="BB18" s="16" t="n">
        <f aca="false">BA18/31</f>
        <v>132.387096774194</v>
      </c>
      <c r="BC18" s="17" t="n">
        <f aca="false">SUM(AE18:BA18)</f>
        <v>44298.9531490015</v>
      </c>
      <c r="BD18" s="18" t="n">
        <f aca="false">IFERROR(STDEV(AF18,AH18,AJ18,AL18,AN18,AP18,AR18,AT18,AV18,AX18,AZ18,BB18),0)</f>
        <v>22.7142519356666</v>
      </c>
      <c r="BE18" s="15" t="n">
        <v>2739</v>
      </c>
      <c r="BF18" s="16" t="n">
        <f aca="false">BE18/31</f>
        <v>88.3548387096774</v>
      </c>
      <c r="BG18" s="15" t="n">
        <v>4472</v>
      </c>
      <c r="BH18" s="16" t="n">
        <f aca="false">BG18/28</f>
        <v>159.714285714286</v>
      </c>
      <c r="BI18" s="15" t="n">
        <v>4125</v>
      </c>
      <c r="BJ18" s="16" t="n">
        <f aca="false">BI18/31</f>
        <v>133.064516129032</v>
      </c>
      <c r="BK18" s="15" t="n">
        <v>3430</v>
      </c>
      <c r="BL18" s="16" t="n">
        <f aca="false">BK18/30</f>
        <v>114.333333333333</v>
      </c>
      <c r="BM18" s="15" t="n">
        <v>3179</v>
      </c>
      <c r="BN18" s="16" t="n">
        <f aca="false">BM18/31</f>
        <v>102.548387096774</v>
      </c>
      <c r="BO18" s="15" t="n">
        <v>2808</v>
      </c>
      <c r="BP18" s="16" t="n">
        <f aca="false">BO18/30</f>
        <v>93.6</v>
      </c>
      <c r="BQ18" s="15" t="n">
        <v>2832</v>
      </c>
      <c r="BR18" s="16" t="n">
        <f aca="false">BQ18/31</f>
        <v>91.3548387096774</v>
      </c>
      <c r="BS18" s="15" t="n">
        <v>4538</v>
      </c>
      <c r="BT18" s="16" t="n">
        <f aca="false">BS18/31</f>
        <v>146.387096774194</v>
      </c>
      <c r="BU18" s="15" t="n">
        <v>3045</v>
      </c>
      <c r="BV18" s="16" t="n">
        <f aca="false">BU18/30</f>
        <v>101.5</v>
      </c>
      <c r="BW18" s="15" t="n">
        <v>3336</v>
      </c>
      <c r="BX18" s="16" t="n">
        <f aca="false">BW18/31</f>
        <v>107.612903225806</v>
      </c>
      <c r="BY18" s="15" t="n">
        <v>4586</v>
      </c>
      <c r="BZ18" s="16" t="n">
        <f aca="false">BY18/30</f>
        <v>152.866666666667</v>
      </c>
      <c r="CA18" s="15" t="n">
        <v>3714</v>
      </c>
      <c r="CB18" s="16" t="n">
        <f aca="false">CA18/31</f>
        <v>119.806451612903</v>
      </c>
      <c r="CC18" s="17" t="n">
        <f aca="false">SUM(BE18:CA18)</f>
        <v>44095.3368663594</v>
      </c>
      <c r="CD18" s="18" t="n">
        <f aca="false">IFERROR(STDEV(BF18,BH18,BJ18,BL18,BN18,BP18,BR18,BT18,BV18,BX18,BZ18,CB18),0)</f>
        <v>24.8748310435657</v>
      </c>
      <c r="CE18" s="15" t="n">
        <v>3342</v>
      </c>
      <c r="CF18" s="16" t="n">
        <f aca="false">CE18/31</f>
        <v>107.806451612903</v>
      </c>
      <c r="CG18" s="15" t="n">
        <v>3008</v>
      </c>
      <c r="CH18" s="16" t="n">
        <f aca="false">CG18/28</f>
        <v>107.428571428571</v>
      </c>
      <c r="CI18" s="15" t="n">
        <v>2424</v>
      </c>
      <c r="CJ18" s="16" t="n">
        <f aca="false">CI18/31</f>
        <v>78.1935483870968</v>
      </c>
      <c r="CK18" s="15" t="n">
        <v>2875</v>
      </c>
      <c r="CL18" s="16" t="n">
        <f aca="false">CK18/30</f>
        <v>95.8333333333333</v>
      </c>
      <c r="CM18" s="15" t="n">
        <v>3895</v>
      </c>
      <c r="CN18" s="16" t="n">
        <f aca="false">CM18/31</f>
        <v>125.645161290323</v>
      </c>
      <c r="CO18" s="15" t="n">
        <v>3556</v>
      </c>
      <c r="CP18" s="16" t="n">
        <f aca="false">CO18/30</f>
        <v>118.533333333333</v>
      </c>
      <c r="CQ18" s="15" t="n">
        <v>3904</v>
      </c>
      <c r="CR18" s="16" t="n">
        <f aca="false">CQ18/31</f>
        <v>125.935483870968</v>
      </c>
      <c r="CS18" s="15" t="n">
        <v>2465</v>
      </c>
      <c r="CT18" s="16" t="n">
        <f aca="false">CS18/31</f>
        <v>79.5161290322581</v>
      </c>
      <c r="CU18" s="15" t="n">
        <v>3359</v>
      </c>
      <c r="CV18" s="16" t="n">
        <f aca="false">CU18/30</f>
        <v>111.966666666667</v>
      </c>
      <c r="CW18" s="15" t="n">
        <v>4338</v>
      </c>
      <c r="CX18" s="16" t="n">
        <f aca="false">CW18/31</f>
        <v>139.935483870968</v>
      </c>
      <c r="CY18" s="15" t="n">
        <v>3072</v>
      </c>
      <c r="CZ18" s="16" t="n">
        <f aca="false">CY18/30</f>
        <v>102.4</v>
      </c>
      <c r="DA18" s="15" t="n">
        <v>3745</v>
      </c>
      <c r="DB18" s="16" t="n">
        <f aca="false">DA18/31</f>
        <v>120.806451612903</v>
      </c>
      <c r="DC18" s="17" t="n">
        <f aca="false">SUM(CE18:DA18)</f>
        <v>41176.1941628264</v>
      </c>
      <c r="DD18" s="18" t="n">
        <f aca="false">IFERROR(STDEV(CF18,CH18,CJ18,CL18,CN18,CP18,CR18,CT18,CV18,CX18,CZ18,DB18),0)</f>
        <v>18.576878532851</v>
      </c>
      <c r="DE18" s="15" t="n">
        <v>3214</v>
      </c>
      <c r="DF18" s="16" t="n">
        <f aca="false">DE18/31</f>
        <v>103.677419354839</v>
      </c>
      <c r="DG18" s="15" t="n">
        <v>6355</v>
      </c>
      <c r="DH18" s="16" t="n">
        <f aca="false">DG18/28</f>
        <v>226.964285714286</v>
      </c>
      <c r="DI18" s="15" t="n">
        <v>5012</v>
      </c>
      <c r="DJ18" s="16" t="n">
        <f aca="false">DI18/31</f>
        <v>161.677419354839</v>
      </c>
      <c r="DK18" s="15" t="n">
        <v>3649</v>
      </c>
      <c r="DL18" s="16" t="n">
        <f aca="false">DK18/30</f>
        <v>121.633333333333</v>
      </c>
      <c r="DM18" s="15" t="n">
        <v>3350</v>
      </c>
      <c r="DN18" s="16" t="n">
        <f aca="false">DM18/31</f>
        <v>108.064516129032</v>
      </c>
      <c r="DO18" s="15" t="n">
        <v>4798</v>
      </c>
      <c r="DP18" s="16" t="n">
        <f aca="false">DO18/30</f>
        <v>159.933333333333</v>
      </c>
      <c r="DQ18" s="15" t="n">
        <v>4803</v>
      </c>
      <c r="DR18" s="16" t="n">
        <f aca="false">DQ18/31</f>
        <v>154.935483870968</v>
      </c>
      <c r="DS18" s="15" t="n">
        <v>3110</v>
      </c>
      <c r="DT18" s="16" t="n">
        <f aca="false">DS18/31</f>
        <v>100.322580645161</v>
      </c>
      <c r="DU18" s="15" t="n">
        <v>6426</v>
      </c>
      <c r="DV18" s="16" t="n">
        <f aca="false">DU18/30</f>
        <v>214.2</v>
      </c>
      <c r="DW18" s="15" t="n">
        <v>6133</v>
      </c>
      <c r="DX18" s="16" t="n">
        <f aca="false">DW18/31</f>
        <v>197.838709677419</v>
      </c>
      <c r="DY18" s="15" t="n">
        <v>4468</v>
      </c>
      <c r="DZ18" s="16" t="n">
        <f aca="false">DY18/30</f>
        <v>148.933333333333</v>
      </c>
      <c r="EA18" s="15" t="n">
        <v>3199</v>
      </c>
      <c r="EB18" s="16" t="n">
        <f aca="false">EA18/31</f>
        <v>103.193548387097</v>
      </c>
      <c r="EC18" s="17" t="n">
        <f aca="false">SUM(DE18:EA18)</f>
        <v>56215.1804147465</v>
      </c>
      <c r="ED18" s="18" t="n">
        <f aca="false">IFERROR(STDEV(DF18,DH18,DJ18,DL18,DN18,DP18,DR18,DT18,DV18,DX18,DZ18,EB18),0)</f>
        <v>44.6824961524147</v>
      </c>
      <c r="EE18" s="19" t="n">
        <f aca="false">STDEV(F18:AB18,AF18:BB18,BF18:CB18,CF18:DB18,DF18:EB18)</f>
        <v>1964.28209374339</v>
      </c>
    </row>
    <row r="19" customFormat="false" ht="15" hidden="false" customHeight="true" outlineLevel="0" collapsed="false">
      <c r="A19" s="11" t="n">
        <v>14</v>
      </c>
      <c r="B19" s="12" t="s">
        <v>62</v>
      </c>
      <c r="C19" s="13" t="s">
        <v>63</v>
      </c>
      <c r="D19" s="14" t="s">
        <v>36</v>
      </c>
      <c r="E19" s="15" t="n">
        <v>3111</v>
      </c>
      <c r="F19" s="16" t="n">
        <f aca="false">E19/31</f>
        <v>100.354838709677</v>
      </c>
      <c r="G19" s="15" t="n">
        <v>2455</v>
      </c>
      <c r="H19" s="16" t="n">
        <f aca="false">G19/28</f>
        <v>87.6785714285714</v>
      </c>
      <c r="I19" s="15" t="n">
        <v>2884</v>
      </c>
      <c r="J19" s="16" t="n">
        <f aca="false">I19/31</f>
        <v>93.0322580645161</v>
      </c>
      <c r="K19" s="15" t="n">
        <v>2475</v>
      </c>
      <c r="L19" s="16" t="n">
        <f aca="false">K19/30</f>
        <v>82.5</v>
      </c>
      <c r="M19" s="15" t="n">
        <v>2012</v>
      </c>
      <c r="N19" s="16" t="n">
        <f aca="false">M19/31</f>
        <v>64.9032258064516</v>
      </c>
      <c r="O19" s="15" t="n">
        <v>3116</v>
      </c>
      <c r="P19" s="16" t="n">
        <f aca="false">O19/30</f>
        <v>103.866666666667</v>
      </c>
      <c r="Q19" s="15" t="n">
        <v>3402</v>
      </c>
      <c r="R19" s="16" t="n">
        <f aca="false">Q19/31</f>
        <v>109.741935483871</v>
      </c>
      <c r="S19" s="15" t="n">
        <v>1954</v>
      </c>
      <c r="T19" s="16" t="n">
        <f aca="false">S19/31</f>
        <v>63.0322580645161</v>
      </c>
      <c r="U19" s="15" t="n">
        <v>2559</v>
      </c>
      <c r="V19" s="16" t="n">
        <f aca="false">U19/30</f>
        <v>85.3</v>
      </c>
      <c r="W19" s="15" t="n">
        <v>2229</v>
      </c>
      <c r="X19" s="16" t="n">
        <f aca="false">W19/31</f>
        <v>71.9032258064516</v>
      </c>
      <c r="Y19" s="15" t="n">
        <v>3288</v>
      </c>
      <c r="Z19" s="16" t="n">
        <f aca="false">Y19/30</f>
        <v>109.6</v>
      </c>
      <c r="AA19" s="15" t="n">
        <v>2474</v>
      </c>
      <c r="AB19" s="16" t="n">
        <f aca="false">AA19/31</f>
        <v>79.8064516129032</v>
      </c>
      <c r="AC19" s="17" t="n">
        <f aca="false">SUM(E19:AA19)</f>
        <v>32930.9129800307</v>
      </c>
      <c r="AD19" s="18" t="n">
        <f aca="false">IFERROR(STDEV(F19,H19,J19,L19,N19,P19,R19,T19,V19,X19,Z19,AB19),0)</f>
        <v>16.2037997735636</v>
      </c>
      <c r="AE19" s="15" t="n">
        <v>3082</v>
      </c>
      <c r="AF19" s="16" t="n">
        <f aca="false">AE19/31</f>
        <v>99.4193548387097</v>
      </c>
      <c r="AG19" s="15" t="n">
        <v>3053</v>
      </c>
      <c r="AH19" s="16" t="n">
        <f aca="false">AG19/28</f>
        <v>109.035714285714</v>
      </c>
      <c r="AI19" s="15" t="n">
        <v>1941</v>
      </c>
      <c r="AJ19" s="16" t="n">
        <f aca="false">AI19/31</f>
        <v>62.6129032258065</v>
      </c>
      <c r="AK19" s="15" t="n">
        <v>2913</v>
      </c>
      <c r="AL19" s="16" t="n">
        <f aca="false">AK19/30</f>
        <v>97.1</v>
      </c>
      <c r="AM19" s="15" t="n">
        <v>2204</v>
      </c>
      <c r="AN19" s="16" t="n">
        <f aca="false">AM19/31</f>
        <v>71.0967741935484</v>
      </c>
      <c r="AO19" s="15" t="n">
        <v>3186</v>
      </c>
      <c r="AP19" s="16" t="n">
        <f aca="false">AO19/30</f>
        <v>106.2</v>
      </c>
      <c r="AQ19" s="15" t="n">
        <v>2379</v>
      </c>
      <c r="AR19" s="16" t="n">
        <f aca="false">AQ19/31</f>
        <v>76.741935483871</v>
      </c>
      <c r="AS19" s="15" t="n">
        <v>2971</v>
      </c>
      <c r="AT19" s="16" t="n">
        <f aca="false">AS19/31</f>
        <v>95.8387096774194</v>
      </c>
      <c r="AU19" s="15" t="n">
        <v>1954</v>
      </c>
      <c r="AV19" s="16" t="n">
        <f aca="false">AU19/30</f>
        <v>65.1333333333333</v>
      </c>
      <c r="AW19" s="15" t="n">
        <v>1984</v>
      </c>
      <c r="AX19" s="16" t="n">
        <f aca="false">AW19/31</f>
        <v>64</v>
      </c>
      <c r="AY19" s="15" t="n">
        <v>2529</v>
      </c>
      <c r="AZ19" s="16" t="n">
        <f aca="false">AY19/30</f>
        <v>84.3</v>
      </c>
      <c r="BA19" s="15" t="n">
        <v>3309</v>
      </c>
      <c r="BB19" s="16" t="n">
        <f aca="false">BA19/31</f>
        <v>106.741935483871</v>
      </c>
      <c r="BC19" s="17" t="n">
        <f aca="false">SUM(AE19:BA19)</f>
        <v>32436.4787250384</v>
      </c>
      <c r="BD19" s="18" t="n">
        <f aca="false">IFERROR(STDEV(AF19,AH19,AJ19,AL19,AN19,AP19,AR19,AT19,AV19,AX19,AZ19,BB19),0)</f>
        <v>17.9465331316232</v>
      </c>
      <c r="BE19" s="15" t="n">
        <v>2671</v>
      </c>
      <c r="BF19" s="16" t="n">
        <f aca="false">BE19/31</f>
        <v>86.1612903225806</v>
      </c>
      <c r="BG19" s="15" t="n">
        <v>1936</v>
      </c>
      <c r="BH19" s="16" t="n">
        <f aca="false">BG19/28</f>
        <v>69.1428571428571</v>
      </c>
      <c r="BI19" s="15" t="n">
        <v>2776</v>
      </c>
      <c r="BJ19" s="16" t="n">
        <f aca="false">BI19/31</f>
        <v>89.5483870967742</v>
      </c>
      <c r="BK19" s="15" t="n">
        <v>2360</v>
      </c>
      <c r="BL19" s="16" t="n">
        <f aca="false">BK19/30</f>
        <v>78.6666666666667</v>
      </c>
      <c r="BM19" s="15" t="n">
        <v>2805</v>
      </c>
      <c r="BN19" s="16" t="n">
        <f aca="false">BM19/31</f>
        <v>90.4838709677419</v>
      </c>
      <c r="BO19" s="15" t="n">
        <v>2787</v>
      </c>
      <c r="BP19" s="16" t="n">
        <f aca="false">BO19/30</f>
        <v>92.9</v>
      </c>
      <c r="BQ19" s="15" t="n">
        <v>2597</v>
      </c>
      <c r="BR19" s="16" t="n">
        <f aca="false">BQ19/31</f>
        <v>83.7741935483871</v>
      </c>
      <c r="BS19" s="15" t="n">
        <v>2309</v>
      </c>
      <c r="BT19" s="16" t="n">
        <f aca="false">BS19/31</f>
        <v>74.4838709677419</v>
      </c>
      <c r="BU19" s="15" t="n">
        <v>2022</v>
      </c>
      <c r="BV19" s="16" t="n">
        <f aca="false">BU19/30</f>
        <v>67.4</v>
      </c>
      <c r="BW19" s="15" t="n">
        <v>3119</v>
      </c>
      <c r="BX19" s="16" t="n">
        <f aca="false">BW19/31</f>
        <v>100.612903225806</v>
      </c>
      <c r="BY19" s="15" t="n">
        <v>2848</v>
      </c>
      <c r="BZ19" s="16" t="n">
        <f aca="false">BY19/30</f>
        <v>94.9333333333333</v>
      </c>
      <c r="CA19" s="15" t="n">
        <v>2119</v>
      </c>
      <c r="CB19" s="16" t="n">
        <f aca="false">CA19/31</f>
        <v>68.3548387096774</v>
      </c>
      <c r="CC19" s="17" t="n">
        <f aca="false">SUM(BE19:CA19)</f>
        <v>31277.1073732719</v>
      </c>
      <c r="CD19" s="18" t="n">
        <f aca="false">IFERROR(STDEV(BF19,BH19,BJ19,BL19,BN19,BP19,BR19,BT19,BV19,BX19,BZ19,CB19),0)</f>
        <v>11.2865858449893</v>
      </c>
      <c r="CE19" s="15" t="n">
        <v>3886</v>
      </c>
      <c r="CF19" s="16" t="n">
        <f aca="false">CE19/31</f>
        <v>125.354838709677</v>
      </c>
      <c r="CG19" s="15" t="n">
        <v>2022</v>
      </c>
      <c r="CH19" s="16" t="n">
        <f aca="false">CG19/28</f>
        <v>72.2142857142857</v>
      </c>
      <c r="CI19" s="15" t="n">
        <v>3807</v>
      </c>
      <c r="CJ19" s="16" t="n">
        <f aca="false">CI19/31</f>
        <v>122.806451612903</v>
      </c>
      <c r="CK19" s="15" t="n">
        <v>3707</v>
      </c>
      <c r="CL19" s="16" t="n">
        <f aca="false">CK19/30</f>
        <v>123.566666666667</v>
      </c>
      <c r="CM19" s="15" t="n">
        <v>3977</v>
      </c>
      <c r="CN19" s="16" t="n">
        <f aca="false">CM19/31</f>
        <v>128.290322580645</v>
      </c>
      <c r="CO19" s="15" t="n">
        <v>2894</v>
      </c>
      <c r="CP19" s="16" t="n">
        <f aca="false">CO19/30</f>
        <v>96.4666666666667</v>
      </c>
      <c r="CQ19" s="15" t="n">
        <v>3601</v>
      </c>
      <c r="CR19" s="16" t="n">
        <f aca="false">CQ19/31</f>
        <v>116.161290322581</v>
      </c>
      <c r="CS19" s="15" t="n">
        <v>4001</v>
      </c>
      <c r="CT19" s="16" t="n">
        <f aca="false">CS19/31</f>
        <v>129.064516129032</v>
      </c>
      <c r="CU19" s="15" t="n">
        <v>4409</v>
      </c>
      <c r="CV19" s="16" t="n">
        <f aca="false">CU19/30</f>
        <v>146.966666666667</v>
      </c>
      <c r="CW19" s="15" t="n">
        <v>3172</v>
      </c>
      <c r="CX19" s="16" t="n">
        <f aca="false">CW19/31</f>
        <v>102.322580645161</v>
      </c>
      <c r="CY19" s="15" t="n">
        <v>2005</v>
      </c>
      <c r="CZ19" s="16" t="n">
        <f aca="false">CY19/30</f>
        <v>66.8333333333333</v>
      </c>
      <c r="DA19" s="15" t="n">
        <v>3190</v>
      </c>
      <c r="DB19" s="16" t="n">
        <f aca="false">DA19/31</f>
        <v>102.903225806452</v>
      </c>
      <c r="DC19" s="17" t="n">
        <f aca="false">SUM(CE19:DA19)</f>
        <v>41901.0476190476</v>
      </c>
      <c r="DD19" s="18" t="n">
        <f aca="false">IFERROR(STDEV(CF19,CH19,CJ19,CL19,CN19,CP19,CR19,CT19,CV19,CX19,CZ19,DB19),0)</f>
        <v>23.8478523975309</v>
      </c>
      <c r="DE19" s="15" t="n">
        <v>3055</v>
      </c>
      <c r="DF19" s="16" t="n">
        <f aca="false">DE19/31</f>
        <v>98.5483870967742</v>
      </c>
      <c r="DG19" s="15" t="n">
        <v>3692</v>
      </c>
      <c r="DH19" s="16" t="n">
        <f aca="false">DG19/28</f>
        <v>131.857142857143</v>
      </c>
      <c r="DI19" s="15" t="n">
        <v>3702</v>
      </c>
      <c r="DJ19" s="16" t="n">
        <f aca="false">DI19/31</f>
        <v>119.41935483871</v>
      </c>
      <c r="DK19" s="15" t="n">
        <v>2713</v>
      </c>
      <c r="DL19" s="16" t="n">
        <f aca="false">DK19/30</f>
        <v>90.4333333333333</v>
      </c>
      <c r="DM19" s="15" t="n">
        <v>2909</v>
      </c>
      <c r="DN19" s="16" t="n">
        <f aca="false">DM19/31</f>
        <v>93.8387096774194</v>
      </c>
      <c r="DO19" s="15" t="n">
        <v>2751</v>
      </c>
      <c r="DP19" s="16" t="n">
        <f aca="false">DO19/30</f>
        <v>91.7</v>
      </c>
      <c r="DQ19" s="15" t="n">
        <v>3356</v>
      </c>
      <c r="DR19" s="16" t="n">
        <f aca="false">DQ19/31</f>
        <v>108.258064516129</v>
      </c>
      <c r="DS19" s="15" t="n">
        <v>2644</v>
      </c>
      <c r="DT19" s="16" t="n">
        <f aca="false">DS19/31</f>
        <v>85.2903225806452</v>
      </c>
      <c r="DU19" s="15" t="n">
        <v>3202</v>
      </c>
      <c r="DV19" s="16" t="n">
        <f aca="false">DU19/30</f>
        <v>106.733333333333</v>
      </c>
      <c r="DW19" s="15" t="n">
        <v>2062</v>
      </c>
      <c r="DX19" s="16" t="n">
        <f aca="false">DW19/31</f>
        <v>66.5161290322581</v>
      </c>
      <c r="DY19" s="15" t="n">
        <v>2780</v>
      </c>
      <c r="DZ19" s="16" t="n">
        <f aca="false">DY19/30</f>
        <v>92.6666666666667</v>
      </c>
      <c r="EA19" s="15" t="n">
        <v>3919</v>
      </c>
      <c r="EB19" s="16" t="n">
        <f aca="false">EA19/31</f>
        <v>126.41935483871</v>
      </c>
      <c r="EC19" s="17" t="n">
        <f aca="false">SUM(DE19:EA19)</f>
        <v>37870.2614439324</v>
      </c>
      <c r="ED19" s="18" t="n">
        <f aca="false">IFERROR(STDEV(DF19,DH19,DJ19,DL19,DN19,DP19,DR19,DT19,DV19,DX19,DZ19,EB19),0)</f>
        <v>18.5470809136277</v>
      </c>
      <c r="EE19" s="19" t="n">
        <f aca="false">STDEV(F19:AB19,AF19:BB19,BF19:CB19,CF19:DB19,DF19:EB19)</f>
        <v>1438.9173419747</v>
      </c>
    </row>
    <row r="20" customFormat="false" ht="15" hidden="false" customHeight="true" outlineLevel="0" collapsed="false">
      <c r="A20" s="11" t="n">
        <v>15</v>
      </c>
      <c r="B20" s="12" t="s">
        <v>64</v>
      </c>
      <c r="C20" s="13" t="s">
        <v>65</v>
      </c>
      <c r="D20" s="14" t="s">
        <v>36</v>
      </c>
      <c r="E20" s="15" t="n">
        <v>2730</v>
      </c>
      <c r="F20" s="16" t="n">
        <f aca="false">E20/31</f>
        <v>88.0645161290323</v>
      </c>
      <c r="G20" s="15" t="n">
        <v>3618</v>
      </c>
      <c r="H20" s="16" t="n">
        <f aca="false">G20/28</f>
        <v>129.214285714286</v>
      </c>
      <c r="I20" s="15" t="n">
        <v>3510</v>
      </c>
      <c r="J20" s="16" t="n">
        <f aca="false">I20/31</f>
        <v>113.225806451613</v>
      </c>
      <c r="K20" s="15" t="n">
        <v>4016</v>
      </c>
      <c r="L20" s="16" t="n">
        <f aca="false">K20/30</f>
        <v>133.866666666667</v>
      </c>
      <c r="M20" s="15" t="n">
        <v>4018</v>
      </c>
      <c r="N20" s="16" t="n">
        <f aca="false">M20/31</f>
        <v>129.612903225806</v>
      </c>
      <c r="O20" s="15" t="n">
        <v>4035</v>
      </c>
      <c r="P20" s="16" t="n">
        <f aca="false">O20/30</f>
        <v>134.5</v>
      </c>
      <c r="Q20" s="15" t="n">
        <v>2834</v>
      </c>
      <c r="R20" s="16" t="n">
        <f aca="false">Q20/31</f>
        <v>91.4193548387097</v>
      </c>
      <c r="S20" s="15" t="n">
        <v>2675</v>
      </c>
      <c r="T20" s="16" t="n">
        <f aca="false">S20/31</f>
        <v>86.2903225806452</v>
      </c>
      <c r="U20" s="15" t="n">
        <v>3683</v>
      </c>
      <c r="V20" s="16" t="n">
        <f aca="false">U20/30</f>
        <v>122.766666666667</v>
      </c>
      <c r="W20" s="15" t="n">
        <v>3785</v>
      </c>
      <c r="X20" s="16" t="n">
        <f aca="false">W20/31</f>
        <v>122.096774193548</v>
      </c>
      <c r="Y20" s="15" t="n">
        <v>4068</v>
      </c>
      <c r="Z20" s="16" t="n">
        <f aca="false">Y20/30</f>
        <v>135.6</v>
      </c>
      <c r="AA20" s="15" t="n">
        <v>1971</v>
      </c>
      <c r="AB20" s="16" t="n">
        <f aca="false">AA20/31</f>
        <v>63.5806451612903</v>
      </c>
      <c r="AC20" s="17" t="n">
        <f aca="false">SUM(E20:AA20)</f>
        <v>42229.657296467</v>
      </c>
      <c r="AD20" s="18" t="n">
        <f aca="false">IFERROR(STDEV(F20,H20,J20,L20,N20,P20,R20,T20,V20,X20,Z20,AB20),0)</f>
        <v>24.0566089676361</v>
      </c>
      <c r="AE20" s="15" t="n">
        <v>1633</v>
      </c>
      <c r="AF20" s="16" t="n">
        <f aca="false">AE20/31</f>
        <v>52.6774193548387</v>
      </c>
      <c r="AG20" s="15" t="n">
        <v>2756</v>
      </c>
      <c r="AH20" s="16" t="n">
        <f aca="false">AG20/28</f>
        <v>98.4285714285714</v>
      </c>
      <c r="AI20" s="15" t="n">
        <v>3334</v>
      </c>
      <c r="AJ20" s="16" t="n">
        <f aca="false">AI20/31</f>
        <v>107.548387096774</v>
      </c>
      <c r="AK20" s="15" t="n">
        <v>3487</v>
      </c>
      <c r="AL20" s="16" t="n">
        <f aca="false">AK20/30</f>
        <v>116.233333333333</v>
      </c>
      <c r="AM20" s="15" t="n">
        <v>2987</v>
      </c>
      <c r="AN20" s="16" t="n">
        <f aca="false">AM20/31</f>
        <v>96.3548387096774</v>
      </c>
      <c r="AO20" s="15" t="n">
        <v>2362</v>
      </c>
      <c r="AP20" s="16" t="n">
        <f aca="false">AO20/30</f>
        <v>78.7333333333333</v>
      </c>
      <c r="AQ20" s="15" t="n">
        <v>1693</v>
      </c>
      <c r="AR20" s="16" t="n">
        <f aca="false">AQ20/31</f>
        <v>54.6129032258065</v>
      </c>
      <c r="AS20" s="15" t="n">
        <v>2761</v>
      </c>
      <c r="AT20" s="16" t="n">
        <f aca="false">AS20/31</f>
        <v>89.0645161290323</v>
      </c>
      <c r="AU20" s="15" t="n">
        <v>3238</v>
      </c>
      <c r="AV20" s="16" t="n">
        <f aca="false">AU20/30</f>
        <v>107.933333333333</v>
      </c>
      <c r="AW20" s="15" t="n">
        <v>2382</v>
      </c>
      <c r="AX20" s="16" t="n">
        <f aca="false">AW20/31</f>
        <v>76.8387096774194</v>
      </c>
      <c r="AY20" s="15" t="n">
        <v>2881</v>
      </c>
      <c r="AZ20" s="16" t="n">
        <f aca="false">AY20/30</f>
        <v>96.0333333333333</v>
      </c>
      <c r="BA20" s="15" t="n">
        <v>3299</v>
      </c>
      <c r="BB20" s="16" t="n">
        <f aca="false">BA20/31</f>
        <v>106.41935483871</v>
      </c>
      <c r="BC20" s="17" t="n">
        <f aca="false">SUM(AE20:BA20)</f>
        <v>33787.4586789555</v>
      </c>
      <c r="BD20" s="18" t="n">
        <f aca="false">IFERROR(STDEV(AF20,AH20,AJ20,AL20,AN20,AP20,AR20,AT20,AV20,AX20,AZ20,BB20),0)</f>
        <v>20.629522308292</v>
      </c>
      <c r="BE20" s="15" t="n">
        <v>2244</v>
      </c>
      <c r="BF20" s="16" t="n">
        <f aca="false">BE20/31</f>
        <v>72.3870967741936</v>
      </c>
      <c r="BG20" s="15" t="n">
        <v>4359</v>
      </c>
      <c r="BH20" s="16" t="n">
        <f aca="false">BG20/28</f>
        <v>155.678571428571</v>
      </c>
      <c r="BI20" s="15" t="n">
        <v>2942</v>
      </c>
      <c r="BJ20" s="16" t="n">
        <f aca="false">BI20/31</f>
        <v>94.9032258064516</v>
      </c>
      <c r="BK20" s="15" t="n">
        <v>3171</v>
      </c>
      <c r="BL20" s="16" t="n">
        <f aca="false">BK20/30</f>
        <v>105.7</v>
      </c>
      <c r="BM20" s="15" t="n">
        <v>2525</v>
      </c>
      <c r="BN20" s="16" t="n">
        <f aca="false">BM20/31</f>
        <v>81.4516129032258</v>
      </c>
      <c r="BO20" s="15" t="n">
        <v>3612</v>
      </c>
      <c r="BP20" s="16" t="n">
        <f aca="false">BO20/30</f>
        <v>120.4</v>
      </c>
      <c r="BQ20" s="15" t="n">
        <v>3710</v>
      </c>
      <c r="BR20" s="16" t="n">
        <f aca="false">BQ20/31</f>
        <v>119.677419354839</v>
      </c>
      <c r="BS20" s="15" t="n">
        <v>4349</v>
      </c>
      <c r="BT20" s="16" t="n">
        <f aca="false">BS20/31</f>
        <v>140.290322580645</v>
      </c>
      <c r="BU20" s="15" t="n">
        <v>2594</v>
      </c>
      <c r="BV20" s="16" t="n">
        <f aca="false">BU20/30</f>
        <v>86.4666666666667</v>
      </c>
      <c r="BW20" s="15" t="n">
        <v>2337</v>
      </c>
      <c r="BX20" s="16" t="n">
        <f aca="false">BW20/31</f>
        <v>75.3870967741936</v>
      </c>
      <c r="BY20" s="15" t="n">
        <v>4570</v>
      </c>
      <c r="BZ20" s="16" t="n">
        <f aca="false">BY20/30</f>
        <v>152.333333333333</v>
      </c>
      <c r="CA20" s="15" t="n">
        <v>3862</v>
      </c>
      <c r="CB20" s="16" t="n">
        <f aca="false">CA20/31</f>
        <v>124.58064516129</v>
      </c>
      <c r="CC20" s="17" t="n">
        <f aca="false">SUM(BE20:CA20)</f>
        <v>41479.6753456221</v>
      </c>
      <c r="CD20" s="18" t="n">
        <f aca="false">IFERROR(STDEV(BF20,BH20,BJ20,BL20,BN20,BP20,BR20,BT20,BV20,BX20,BZ20,CB20),0)</f>
        <v>29.281438715784</v>
      </c>
      <c r="CE20" s="15" t="n">
        <v>2285</v>
      </c>
      <c r="CF20" s="16" t="n">
        <f aca="false">CE20/31</f>
        <v>73.7096774193548</v>
      </c>
      <c r="CG20" s="15" t="n">
        <v>3835</v>
      </c>
      <c r="CH20" s="16" t="n">
        <f aca="false">CG20/28</f>
        <v>136.964285714286</v>
      </c>
      <c r="CI20" s="15" t="n">
        <v>2060</v>
      </c>
      <c r="CJ20" s="16" t="n">
        <f aca="false">CI20/31</f>
        <v>66.4516129032258</v>
      </c>
      <c r="CK20" s="15" t="n">
        <v>2793</v>
      </c>
      <c r="CL20" s="16" t="n">
        <f aca="false">CK20/30</f>
        <v>93.1</v>
      </c>
      <c r="CM20" s="15" t="n">
        <v>2316</v>
      </c>
      <c r="CN20" s="16" t="n">
        <f aca="false">CM20/31</f>
        <v>74.7096774193548</v>
      </c>
      <c r="CO20" s="15" t="n">
        <v>2319</v>
      </c>
      <c r="CP20" s="16" t="n">
        <f aca="false">CO20/30</f>
        <v>77.3</v>
      </c>
      <c r="CQ20" s="15" t="n">
        <v>1751</v>
      </c>
      <c r="CR20" s="16" t="n">
        <f aca="false">CQ20/31</f>
        <v>56.4838709677419</v>
      </c>
      <c r="CS20" s="15" t="n">
        <v>3586</v>
      </c>
      <c r="CT20" s="16" t="n">
        <f aca="false">CS20/31</f>
        <v>115.677419354839</v>
      </c>
      <c r="CU20" s="15" t="n">
        <v>3808</v>
      </c>
      <c r="CV20" s="16" t="n">
        <f aca="false">CU20/30</f>
        <v>126.933333333333</v>
      </c>
      <c r="CW20" s="15" t="n">
        <v>3293</v>
      </c>
      <c r="CX20" s="16" t="n">
        <f aca="false">CW20/31</f>
        <v>106.225806451613</v>
      </c>
      <c r="CY20" s="15" t="n">
        <v>2094</v>
      </c>
      <c r="CZ20" s="16" t="n">
        <f aca="false">CY20/30</f>
        <v>69.8</v>
      </c>
      <c r="DA20" s="15" t="n">
        <v>2749</v>
      </c>
      <c r="DB20" s="16" t="n">
        <f aca="false">DA20/31</f>
        <v>88.6774193548387</v>
      </c>
      <c r="DC20" s="17" t="n">
        <f aca="false">SUM(CE20:DA20)</f>
        <v>33886.3556835637</v>
      </c>
      <c r="DD20" s="18" t="n">
        <f aca="false">IFERROR(STDEV(CF20,CH20,CJ20,CL20,CN20,CP20,CR20,CT20,CV20,CX20,CZ20,DB20),0)</f>
        <v>25.6674607296497</v>
      </c>
      <c r="DE20" s="15" t="n">
        <v>2946</v>
      </c>
      <c r="DF20" s="16" t="n">
        <f aca="false">DE20/31</f>
        <v>95.0322580645161</v>
      </c>
      <c r="DG20" s="15" t="n">
        <v>3597</v>
      </c>
      <c r="DH20" s="16" t="n">
        <f aca="false">DG20/28</f>
        <v>128.464285714286</v>
      </c>
      <c r="DI20" s="15" t="n">
        <v>3735</v>
      </c>
      <c r="DJ20" s="16" t="n">
        <f aca="false">DI20/31</f>
        <v>120.483870967742</v>
      </c>
      <c r="DK20" s="15" t="n">
        <v>3158</v>
      </c>
      <c r="DL20" s="16" t="n">
        <f aca="false">DK20/30</f>
        <v>105.266666666667</v>
      </c>
      <c r="DM20" s="15" t="n">
        <v>2689</v>
      </c>
      <c r="DN20" s="16" t="n">
        <f aca="false">DM20/31</f>
        <v>86.741935483871</v>
      </c>
      <c r="DO20" s="15" t="n">
        <v>4290</v>
      </c>
      <c r="DP20" s="16" t="n">
        <f aca="false">DO20/30</f>
        <v>143</v>
      </c>
      <c r="DQ20" s="15" t="n">
        <v>2553</v>
      </c>
      <c r="DR20" s="16" t="n">
        <f aca="false">DQ20/31</f>
        <v>82.3548387096774</v>
      </c>
      <c r="DS20" s="15" t="n">
        <v>3051</v>
      </c>
      <c r="DT20" s="16" t="n">
        <f aca="false">DS20/31</f>
        <v>98.4193548387097</v>
      </c>
      <c r="DU20" s="15" t="n">
        <v>3316</v>
      </c>
      <c r="DV20" s="16" t="n">
        <f aca="false">DU20/30</f>
        <v>110.533333333333</v>
      </c>
      <c r="DW20" s="15" t="n">
        <v>2655</v>
      </c>
      <c r="DX20" s="16" t="n">
        <f aca="false">DW20/31</f>
        <v>85.6451612903226</v>
      </c>
      <c r="DY20" s="15" t="n">
        <v>3555</v>
      </c>
      <c r="DZ20" s="16" t="n">
        <f aca="false">DY20/30</f>
        <v>118.5</v>
      </c>
      <c r="EA20" s="15" t="n">
        <v>3563</v>
      </c>
      <c r="EB20" s="16" t="n">
        <f aca="false">EA20/31</f>
        <v>114.935483870968</v>
      </c>
      <c r="EC20" s="17" t="n">
        <f aca="false">SUM(DE20:EA20)</f>
        <v>40282.4417050691</v>
      </c>
      <c r="ED20" s="18" t="n">
        <f aca="false">IFERROR(STDEV(DF20,DH20,DJ20,DL20,DN20,DP20,DR20,DT20,DV20,DX20,DZ20,EB20),0)</f>
        <v>18.6778629908307</v>
      </c>
      <c r="EE20" s="19" t="n">
        <f aca="false">STDEV(F20:AB20,AF20:BB20,BF20:CB20,CF20:DB20,DF20:EB20)</f>
        <v>1613.51485124706</v>
      </c>
    </row>
    <row r="21" customFormat="false" ht="15" hidden="false" customHeight="true" outlineLevel="0" collapsed="false">
      <c r="A21" s="11" t="n">
        <v>16</v>
      </c>
      <c r="B21" s="12" t="s">
        <v>66</v>
      </c>
      <c r="C21" s="13" t="s">
        <v>67</v>
      </c>
      <c r="D21" s="14" t="s">
        <v>36</v>
      </c>
      <c r="E21" s="15" t="n">
        <v>2349</v>
      </c>
      <c r="F21" s="16" t="n">
        <f aca="false">E21/31</f>
        <v>75.7741935483871</v>
      </c>
      <c r="G21" s="15" t="n">
        <v>1409</v>
      </c>
      <c r="H21" s="16" t="n">
        <f aca="false">G21/28</f>
        <v>50.3214285714286</v>
      </c>
      <c r="I21" s="15" t="n">
        <v>2330</v>
      </c>
      <c r="J21" s="16" t="n">
        <f aca="false">I21/31</f>
        <v>75.1612903225806</v>
      </c>
      <c r="K21" s="15" t="n">
        <v>1898</v>
      </c>
      <c r="L21" s="16" t="n">
        <f aca="false">K21/30</f>
        <v>63.2666666666667</v>
      </c>
      <c r="M21" s="15" t="n">
        <v>1381</v>
      </c>
      <c r="N21" s="16" t="n">
        <f aca="false">M21/31</f>
        <v>44.5483870967742</v>
      </c>
      <c r="O21" s="15" t="n">
        <v>1774</v>
      </c>
      <c r="P21" s="16" t="n">
        <f aca="false">O21/30</f>
        <v>59.1333333333333</v>
      </c>
      <c r="Q21" s="15" t="n">
        <v>1936</v>
      </c>
      <c r="R21" s="16" t="n">
        <f aca="false">Q21/31</f>
        <v>62.4516129032258</v>
      </c>
      <c r="S21" s="15" t="n">
        <v>2015</v>
      </c>
      <c r="T21" s="16" t="n">
        <f aca="false">S21/31</f>
        <v>65</v>
      </c>
      <c r="U21" s="15" t="n">
        <v>1077</v>
      </c>
      <c r="V21" s="16" t="n">
        <f aca="false">U21/30</f>
        <v>35.9</v>
      </c>
      <c r="W21" s="15" t="n">
        <v>1829</v>
      </c>
      <c r="X21" s="16" t="n">
        <f aca="false">W21/31</f>
        <v>59</v>
      </c>
      <c r="Y21" s="15" t="n">
        <v>1681</v>
      </c>
      <c r="Z21" s="16" t="n">
        <f aca="false">Y21/30</f>
        <v>56.0333333333333</v>
      </c>
      <c r="AA21" s="15" t="n">
        <v>2230</v>
      </c>
      <c r="AB21" s="16" t="n">
        <f aca="false">AA21/31</f>
        <v>71.9354838709677</v>
      </c>
      <c r="AC21" s="17" t="n">
        <f aca="false">SUM(E21:AA21)</f>
        <v>22555.5902457757</v>
      </c>
      <c r="AD21" s="18" t="n">
        <f aca="false">IFERROR(STDEV(F21,H21,J21,L21,N21,P21,R21,T21,V21,X21,Z21,AB21),0)</f>
        <v>12.0354352473643</v>
      </c>
      <c r="AE21" s="15" t="n">
        <v>1365</v>
      </c>
      <c r="AF21" s="16" t="n">
        <f aca="false">AE21/31</f>
        <v>44.0322580645161</v>
      </c>
      <c r="AG21" s="15" t="n">
        <v>2040</v>
      </c>
      <c r="AH21" s="16" t="n">
        <f aca="false">AG21/28</f>
        <v>72.8571428571429</v>
      </c>
      <c r="AI21" s="15" t="n">
        <v>1788</v>
      </c>
      <c r="AJ21" s="16" t="n">
        <f aca="false">AI21/31</f>
        <v>57.6774193548387</v>
      </c>
      <c r="AK21" s="15" t="n">
        <v>1452</v>
      </c>
      <c r="AL21" s="16" t="n">
        <f aca="false">AK21/30</f>
        <v>48.4</v>
      </c>
      <c r="AM21" s="15" t="n">
        <v>1827</v>
      </c>
      <c r="AN21" s="16" t="n">
        <f aca="false">AM21/31</f>
        <v>58.9354838709677</v>
      </c>
      <c r="AO21" s="15" t="n">
        <v>1806</v>
      </c>
      <c r="AP21" s="16" t="n">
        <f aca="false">AO21/30</f>
        <v>60.2</v>
      </c>
      <c r="AQ21" s="15" t="n">
        <v>1881</v>
      </c>
      <c r="AR21" s="16" t="n">
        <f aca="false">AQ21/31</f>
        <v>60.6774193548387</v>
      </c>
      <c r="AS21" s="15" t="n">
        <v>1938</v>
      </c>
      <c r="AT21" s="16" t="n">
        <f aca="false">AS21/31</f>
        <v>62.5161290322581</v>
      </c>
      <c r="AU21" s="15" t="n">
        <v>1856</v>
      </c>
      <c r="AV21" s="16" t="n">
        <f aca="false">AU21/30</f>
        <v>61.8666666666667</v>
      </c>
      <c r="AW21" s="15" t="n">
        <v>2092</v>
      </c>
      <c r="AX21" s="16" t="n">
        <f aca="false">AW21/31</f>
        <v>67.4838709677419</v>
      </c>
      <c r="AY21" s="15" t="n">
        <v>1816</v>
      </c>
      <c r="AZ21" s="16" t="n">
        <f aca="false">AY21/30</f>
        <v>60.5333333333333</v>
      </c>
      <c r="BA21" s="15" t="n">
        <v>2178</v>
      </c>
      <c r="BB21" s="16" t="n">
        <f aca="false">BA21/31</f>
        <v>70.258064516129</v>
      </c>
      <c r="BC21" s="17" t="n">
        <f aca="false">SUM(AE21:BA21)</f>
        <v>22694.1797235023</v>
      </c>
      <c r="BD21" s="18" t="n">
        <f aca="false">IFERROR(STDEV(AF21,AH21,AJ21,AL21,AN21,AP21,AR21,AT21,AV21,AX21,AZ21,BB21),0)</f>
        <v>8.15047826625344</v>
      </c>
      <c r="BE21" s="15" t="n">
        <v>1737</v>
      </c>
      <c r="BF21" s="16" t="n">
        <f aca="false">BE21/31</f>
        <v>56.0322580645161</v>
      </c>
      <c r="BG21" s="15" t="n">
        <v>1317</v>
      </c>
      <c r="BH21" s="16" t="n">
        <f aca="false">BG21/28</f>
        <v>47.0357142857143</v>
      </c>
      <c r="BI21" s="15" t="n">
        <v>1481</v>
      </c>
      <c r="BJ21" s="16" t="n">
        <f aca="false">BI21/31</f>
        <v>47.7741935483871</v>
      </c>
      <c r="BK21" s="15" t="n">
        <v>1654</v>
      </c>
      <c r="BL21" s="16" t="n">
        <f aca="false">BK21/30</f>
        <v>55.1333333333333</v>
      </c>
      <c r="BM21" s="15" t="n">
        <v>1844</v>
      </c>
      <c r="BN21" s="16" t="n">
        <f aca="false">BM21/31</f>
        <v>59.4838709677419</v>
      </c>
      <c r="BO21" s="15" t="n">
        <v>1045</v>
      </c>
      <c r="BP21" s="16" t="n">
        <f aca="false">BO21/30</f>
        <v>34.8333333333333</v>
      </c>
      <c r="BQ21" s="15" t="n">
        <v>1300</v>
      </c>
      <c r="BR21" s="16" t="n">
        <f aca="false">BQ21/31</f>
        <v>41.9354838709677</v>
      </c>
      <c r="BS21" s="15" t="n">
        <v>1863</v>
      </c>
      <c r="BT21" s="16" t="n">
        <f aca="false">BS21/31</f>
        <v>60.0967741935484</v>
      </c>
      <c r="BU21" s="15" t="n">
        <v>1151</v>
      </c>
      <c r="BV21" s="16" t="n">
        <f aca="false">BU21/30</f>
        <v>38.3666666666667</v>
      </c>
      <c r="BW21" s="15" t="n">
        <v>1097</v>
      </c>
      <c r="BX21" s="16" t="n">
        <f aca="false">BW21/31</f>
        <v>35.3870967741936</v>
      </c>
      <c r="BY21" s="15" t="n">
        <v>1604</v>
      </c>
      <c r="BZ21" s="16" t="n">
        <f aca="false">BY21/30</f>
        <v>53.4666666666667</v>
      </c>
      <c r="CA21" s="15" t="n">
        <v>2141</v>
      </c>
      <c r="CB21" s="16" t="n">
        <f aca="false">CA21/31</f>
        <v>69.0645161290323</v>
      </c>
      <c r="CC21" s="17" t="n">
        <f aca="false">SUM(BE21:CA21)</f>
        <v>18763.5453917051</v>
      </c>
      <c r="CD21" s="18" t="n">
        <f aca="false">IFERROR(STDEV(BF21,BH21,BJ21,BL21,BN21,BP21,BR21,BT21,BV21,BX21,BZ21,CB21),0)</f>
        <v>10.8192472301694</v>
      </c>
      <c r="CE21" s="15" t="n">
        <v>1396</v>
      </c>
      <c r="CF21" s="16" t="n">
        <f aca="false">CE21/31</f>
        <v>45.0322580645161</v>
      </c>
      <c r="CG21" s="15" t="n">
        <v>1813</v>
      </c>
      <c r="CH21" s="16" t="n">
        <f aca="false">CG21/28</f>
        <v>64.75</v>
      </c>
      <c r="CI21" s="15" t="n">
        <v>1723</v>
      </c>
      <c r="CJ21" s="16" t="n">
        <f aca="false">CI21/31</f>
        <v>55.5806451612903</v>
      </c>
      <c r="CK21" s="15" t="n">
        <v>1098</v>
      </c>
      <c r="CL21" s="16" t="n">
        <f aca="false">CK21/30</f>
        <v>36.6</v>
      </c>
      <c r="CM21" s="15" t="n">
        <v>1716</v>
      </c>
      <c r="CN21" s="16" t="n">
        <f aca="false">CM21/31</f>
        <v>55.3548387096774</v>
      </c>
      <c r="CO21" s="15" t="n">
        <v>1343</v>
      </c>
      <c r="CP21" s="16" t="n">
        <f aca="false">CO21/30</f>
        <v>44.7666666666667</v>
      </c>
      <c r="CQ21" s="15" t="n">
        <v>1697</v>
      </c>
      <c r="CR21" s="16" t="n">
        <f aca="false">CQ21/31</f>
        <v>54.741935483871</v>
      </c>
      <c r="CS21" s="15" t="n">
        <v>1631</v>
      </c>
      <c r="CT21" s="16" t="n">
        <f aca="false">CS21/31</f>
        <v>52.6129032258065</v>
      </c>
      <c r="CU21" s="15" t="n">
        <v>1187</v>
      </c>
      <c r="CV21" s="16" t="n">
        <f aca="false">CU21/30</f>
        <v>39.5666666666667</v>
      </c>
      <c r="CW21" s="15" t="n">
        <v>943</v>
      </c>
      <c r="CX21" s="16" t="n">
        <f aca="false">CW21/31</f>
        <v>30.4193548387097</v>
      </c>
      <c r="CY21" s="15" t="n">
        <v>1867</v>
      </c>
      <c r="CZ21" s="16" t="n">
        <f aca="false">CY21/30</f>
        <v>62.2333333333333</v>
      </c>
      <c r="DA21" s="15" t="n">
        <v>971</v>
      </c>
      <c r="DB21" s="16" t="n">
        <f aca="false">DA21/31</f>
        <v>31.3225806451613</v>
      </c>
      <c r="DC21" s="17" t="n">
        <f aca="false">SUM(CE21:DA21)</f>
        <v>17926.6586021505</v>
      </c>
      <c r="DD21" s="18" t="n">
        <f aca="false">IFERROR(STDEV(CF21,CH21,CJ21,CL21,CN21,CP21,CR21,CT21,CV21,CX21,CZ21,DB21),0)</f>
        <v>11.5532037736489</v>
      </c>
      <c r="DE21" s="15" t="n">
        <v>2259</v>
      </c>
      <c r="DF21" s="16" t="n">
        <f aca="false">DE21/31</f>
        <v>72.8709677419355</v>
      </c>
      <c r="DG21" s="15" t="n">
        <v>2119</v>
      </c>
      <c r="DH21" s="16" t="n">
        <f aca="false">DG21/28</f>
        <v>75.6785714285714</v>
      </c>
      <c r="DI21" s="15" t="n">
        <v>1940</v>
      </c>
      <c r="DJ21" s="16" t="n">
        <f aca="false">DI21/31</f>
        <v>62.5806451612903</v>
      </c>
      <c r="DK21" s="15" t="n">
        <v>2276</v>
      </c>
      <c r="DL21" s="16" t="n">
        <f aca="false">DK21/30</f>
        <v>75.8666666666667</v>
      </c>
      <c r="DM21" s="15" t="n">
        <v>2260</v>
      </c>
      <c r="DN21" s="16" t="n">
        <f aca="false">DM21/31</f>
        <v>72.9032258064516</v>
      </c>
      <c r="DO21" s="15" t="n">
        <v>2046</v>
      </c>
      <c r="DP21" s="16" t="n">
        <f aca="false">DO21/30</f>
        <v>68.2</v>
      </c>
      <c r="DQ21" s="15" t="n">
        <v>1468</v>
      </c>
      <c r="DR21" s="16" t="n">
        <f aca="false">DQ21/31</f>
        <v>47.3548387096774</v>
      </c>
      <c r="DS21" s="15" t="n">
        <v>2027</v>
      </c>
      <c r="DT21" s="16" t="n">
        <f aca="false">DS21/31</f>
        <v>65.3870967741936</v>
      </c>
      <c r="DU21" s="15" t="n">
        <v>1005</v>
      </c>
      <c r="DV21" s="16" t="n">
        <f aca="false">DU21/30</f>
        <v>33.5</v>
      </c>
      <c r="DW21" s="15" t="n">
        <v>1693</v>
      </c>
      <c r="DX21" s="16" t="n">
        <f aca="false">DW21/31</f>
        <v>54.6129032258065</v>
      </c>
      <c r="DY21" s="15" t="n">
        <v>1585</v>
      </c>
      <c r="DZ21" s="16" t="n">
        <f aca="false">DY21/30</f>
        <v>52.8333333333333</v>
      </c>
      <c r="EA21" s="15" t="n">
        <v>1872</v>
      </c>
      <c r="EB21" s="16" t="n">
        <f aca="false">EA21/31</f>
        <v>60.3870967741936</v>
      </c>
      <c r="EC21" s="17" t="n">
        <f aca="false">SUM(DE21:EA21)</f>
        <v>23231.7882488479</v>
      </c>
      <c r="ED21" s="18" t="n">
        <f aca="false">IFERROR(STDEV(DF21,DH21,DJ21,DL21,DN21,DP21,DR21,DT21,DV21,DX21,DZ21,EB21),0)</f>
        <v>12.9135142120839</v>
      </c>
      <c r="EE21" s="19" t="n">
        <f aca="false">STDEV(F21:AB21,AF21:BB21,BF21:CB21,CF21:DB21,DF21:EB21)</f>
        <v>859.463991897048</v>
      </c>
    </row>
    <row r="22" customFormat="false" ht="15" hidden="false" customHeight="true" outlineLevel="0" collapsed="false">
      <c r="A22" s="11" t="n">
        <v>17</v>
      </c>
      <c r="B22" s="12" t="s">
        <v>68</v>
      </c>
      <c r="C22" s="13" t="s">
        <v>69</v>
      </c>
      <c r="D22" s="14" t="s">
        <v>36</v>
      </c>
      <c r="E22" s="15" t="n">
        <v>821</v>
      </c>
      <c r="F22" s="16" t="n">
        <f aca="false">E22/31</f>
        <v>26.4838709677419</v>
      </c>
      <c r="G22" s="15" t="n">
        <v>770</v>
      </c>
      <c r="H22" s="16" t="n">
        <f aca="false">G22/28</f>
        <v>27.5</v>
      </c>
      <c r="I22" s="15" t="n">
        <v>907</v>
      </c>
      <c r="J22" s="16" t="n">
        <f aca="false">I22/31</f>
        <v>29.258064516129</v>
      </c>
      <c r="K22" s="15" t="n">
        <v>975</v>
      </c>
      <c r="L22" s="16" t="n">
        <f aca="false">K22/30</f>
        <v>32.5</v>
      </c>
      <c r="M22" s="15" t="n">
        <v>495</v>
      </c>
      <c r="N22" s="16" t="n">
        <f aca="false">M22/31</f>
        <v>15.9677419354839</v>
      </c>
      <c r="O22" s="15" t="n">
        <v>568</v>
      </c>
      <c r="P22" s="16" t="n">
        <f aca="false">O22/30</f>
        <v>18.9333333333333</v>
      </c>
      <c r="Q22" s="15" t="n">
        <v>447</v>
      </c>
      <c r="R22" s="16" t="n">
        <f aca="false">Q22/31</f>
        <v>14.4193548387097</v>
      </c>
      <c r="S22" s="15" t="n">
        <v>943</v>
      </c>
      <c r="T22" s="16" t="n">
        <f aca="false">S22/31</f>
        <v>30.4193548387097</v>
      </c>
      <c r="U22" s="15" t="n">
        <v>757</v>
      </c>
      <c r="V22" s="16" t="n">
        <f aca="false">U22/30</f>
        <v>25.2333333333333</v>
      </c>
      <c r="W22" s="15" t="n">
        <v>961</v>
      </c>
      <c r="X22" s="16" t="n">
        <f aca="false">W22/31</f>
        <v>31</v>
      </c>
      <c r="Y22" s="15" t="n">
        <v>561</v>
      </c>
      <c r="Z22" s="16" t="n">
        <f aca="false">Y22/30</f>
        <v>18.7</v>
      </c>
      <c r="AA22" s="15" t="n">
        <v>469</v>
      </c>
      <c r="AB22" s="16" t="n">
        <f aca="false">AA22/31</f>
        <v>15.1290322580645</v>
      </c>
      <c r="AC22" s="17" t="n">
        <f aca="false">SUM(E22:AA22)</f>
        <v>8944.41505376344</v>
      </c>
      <c r="AD22" s="18" t="n">
        <f aca="false">IFERROR(STDEV(F22,H22,J22,L22,N22,P22,R22,T22,V22,X22,Z22,AB22),0)</f>
        <v>6.73055833213624</v>
      </c>
      <c r="AE22" s="15" t="n">
        <v>766</v>
      </c>
      <c r="AF22" s="16" t="n">
        <f aca="false">AE22/31</f>
        <v>24.7096774193548</v>
      </c>
      <c r="AG22" s="15" t="n">
        <v>808</v>
      </c>
      <c r="AH22" s="16" t="n">
        <f aca="false">AG22/28</f>
        <v>28.8571428571429</v>
      </c>
      <c r="AI22" s="15" t="n">
        <v>512</v>
      </c>
      <c r="AJ22" s="16" t="n">
        <f aca="false">AI22/31</f>
        <v>16.5161290322581</v>
      </c>
      <c r="AK22" s="15" t="n">
        <v>564</v>
      </c>
      <c r="AL22" s="16" t="n">
        <f aca="false">AK22/30</f>
        <v>18.8</v>
      </c>
      <c r="AM22" s="15" t="n">
        <v>433</v>
      </c>
      <c r="AN22" s="16" t="n">
        <f aca="false">AM22/31</f>
        <v>13.9677419354839</v>
      </c>
      <c r="AO22" s="15" t="n">
        <v>826</v>
      </c>
      <c r="AP22" s="16" t="n">
        <f aca="false">AO22/30</f>
        <v>27.5333333333333</v>
      </c>
      <c r="AQ22" s="15" t="n">
        <v>513</v>
      </c>
      <c r="AR22" s="16" t="n">
        <f aca="false">AQ22/31</f>
        <v>16.5483870967742</v>
      </c>
      <c r="AS22" s="15" t="n">
        <v>605</v>
      </c>
      <c r="AT22" s="16" t="n">
        <f aca="false">AS22/31</f>
        <v>19.5161290322581</v>
      </c>
      <c r="AU22" s="15" t="n">
        <v>412</v>
      </c>
      <c r="AV22" s="16" t="n">
        <f aca="false">AU22/30</f>
        <v>13.7333333333333</v>
      </c>
      <c r="AW22" s="15" t="n">
        <v>797</v>
      </c>
      <c r="AX22" s="16" t="n">
        <f aca="false">AW22/31</f>
        <v>25.7096774193548</v>
      </c>
      <c r="AY22" s="15" t="n">
        <v>431</v>
      </c>
      <c r="AZ22" s="16" t="n">
        <f aca="false">AY22/30</f>
        <v>14.3666666666667</v>
      </c>
      <c r="BA22" s="15" t="n">
        <v>586</v>
      </c>
      <c r="BB22" s="16" t="n">
        <f aca="false">BA22/31</f>
        <v>18.9032258064516</v>
      </c>
      <c r="BC22" s="17" t="n">
        <f aca="false">SUM(AE22:BA22)</f>
        <v>7473.25821812596</v>
      </c>
      <c r="BD22" s="18" t="n">
        <f aca="false">IFERROR(STDEV(AF22,AH22,AJ22,AL22,AN22,AP22,AR22,AT22,AV22,AX22,AZ22,BB22),0)</f>
        <v>5.42925322605014</v>
      </c>
      <c r="BE22" s="15" t="n">
        <v>809</v>
      </c>
      <c r="BF22" s="16" t="n">
        <f aca="false">BE22/31</f>
        <v>26.0967741935484</v>
      </c>
      <c r="BG22" s="15" t="n">
        <v>850</v>
      </c>
      <c r="BH22" s="16" t="n">
        <f aca="false">BG22/28</f>
        <v>30.3571428571429</v>
      </c>
      <c r="BI22" s="15" t="n">
        <v>966</v>
      </c>
      <c r="BJ22" s="16" t="n">
        <f aca="false">BI22/31</f>
        <v>31.1612903225806</v>
      </c>
      <c r="BK22" s="15" t="n">
        <v>666</v>
      </c>
      <c r="BL22" s="16" t="n">
        <f aca="false">BK22/30</f>
        <v>22.2</v>
      </c>
      <c r="BM22" s="15" t="n">
        <v>850</v>
      </c>
      <c r="BN22" s="16" t="n">
        <f aca="false">BM22/31</f>
        <v>27.4193548387097</v>
      </c>
      <c r="BO22" s="15" t="n">
        <v>515</v>
      </c>
      <c r="BP22" s="16" t="n">
        <f aca="false">BO22/30</f>
        <v>17.1666666666667</v>
      </c>
      <c r="BQ22" s="15" t="n">
        <v>663</v>
      </c>
      <c r="BR22" s="16" t="n">
        <f aca="false">BQ22/31</f>
        <v>21.3870967741935</v>
      </c>
      <c r="BS22" s="15" t="n">
        <v>483</v>
      </c>
      <c r="BT22" s="16" t="n">
        <f aca="false">BS22/31</f>
        <v>15.5806451612903</v>
      </c>
      <c r="BU22" s="15" t="n">
        <v>706</v>
      </c>
      <c r="BV22" s="16" t="n">
        <f aca="false">BU22/30</f>
        <v>23.5333333333333</v>
      </c>
      <c r="BW22" s="15" t="n">
        <v>659</v>
      </c>
      <c r="BX22" s="16" t="n">
        <f aca="false">BW22/31</f>
        <v>21.258064516129</v>
      </c>
      <c r="BY22" s="15" t="n">
        <v>969</v>
      </c>
      <c r="BZ22" s="16" t="n">
        <f aca="false">BY22/30</f>
        <v>32.3</v>
      </c>
      <c r="CA22" s="15" t="n">
        <v>446</v>
      </c>
      <c r="CB22" s="16" t="n">
        <f aca="false">CA22/31</f>
        <v>14.3870967741935</v>
      </c>
      <c r="CC22" s="17" t="n">
        <f aca="false">SUM(BE22:CA22)</f>
        <v>8850.4603686636</v>
      </c>
      <c r="CD22" s="18" t="n">
        <f aca="false">IFERROR(STDEV(BF22,BH22,BJ22,BL22,BN22,BP22,BR22,BT22,BV22,BX22,BZ22,CB22),0)</f>
        <v>6.0471973190474</v>
      </c>
      <c r="CE22" s="15" t="n">
        <v>562</v>
      </c>
      <c r="CF22" s="16" t="n">
        <f aca="false">CE22/31</f>
        <v>18.1290322580645</v>
      </c>
      <c r="CG22" s="15" t="n">
        <v>599</v>
      </c>
      <c r="CH22" s="16" t="n">
        <f aca="false">CG22/28</f>
        <v>21.3928571428571</v>
      </c>
      <c r="CI22" s="15" t="n">
        <v>853</v>
      </c>
      <c r="CJ22" s="16" t="n">
        <f aca="false">CI22/31</f>
        <v>27.5161290322581</v>
      </c>
      <c r="CK22" s="15" t="n">
        <v>806</v>
      </c>
      <c r="CL22" s="16" t="n">
        <f aca="false">CK22/30</f>
        <v>26.8666666666667</v>
      </c>
      <c r="CM22" s="15" t="n">
        <v>426</v>
      </c>
      <c r="CN22" s="16" t="n">
        <f aca="false">CM22/31</f>
        <v>13.741935483871</v>
      </c>
      <c r="CO22" s="15" t="n">
        <v>721</v>
      </c>
      <c r="CP22" s="16" t="n">
        <f aca="false">CO22/30</f>
        <v>24.0333333333333</v>
      </c>
      <c r="CQ22" s="15" t="n">
        <v>650</v>
      </c>
      <c r="CR22" s="16" t="n">
        <f aca="false">CQ22/31</f>
        <v>20.9677419354839</v>
      </c>
      <c r="CS22" s="15" t="n">
        <v>867</v>
      </c>
      <c r="CT22" s="16" t="n">
        <f aca="false">CS22/31</f>
        <v>27.9677419354839</v>
      </c>
      <c r="CU22" s="15" t="n">
        <v>556</v>
      </c>
      <c r="CV22" s="16" t="n">
        <f aca="false">CU22/30</f>
        <v>18.5333333333333</v>
      </c>
      <c r="CW22" s="15" t="n">
        <v>576</v>
      </c>
      <c r="CX22" s="16" t="n">
        <f aca="false">CW22/31</f>
        <v>18.5806451612903</v>
      </c>
      <c r="CY22" s="15" t="n">
        <v>472</v>
      </c>
      <c r="CZ22" s="16" t="n">
        <f aca="false">CY22/30</f>
        <v>15.7333333333333</v>
      </c>
      <c r="DA22" s="15" t="n">
        <v>438</v>
      </c>
      <c r="DB22" s="16" t="n">
        <f aca="false">DA22/31</f>
        <v>14.1290322580645</v>
      </c>
      <c r="DC22" s="17" t="n">
        <f aca="false">SUM(CE22:DA22)</f>
        <v>7759.46274961598</v>
      </c>
      <c r="DD22" s="18" t="n">
        <f aca="false">IFERROR(STDEV(CF22,CH22,CJ22,CL22,CN22,CP22,CR22,CT22,CV22,CX22,CZ22,DB22),0)</f>
        <v>5.05399859632072</v>
      </c>
      <c r="DE22" s="15" t="n">
        <v>847</v>
      </c>
      <c r="DF22" s="16" t="n">
        <f aca="false">DE22/31</f>
        <v>27.3225806451613</v>
      </c>
      <c r="DG22" s="15" t="n">
        <v>639</v>
      </c>
      <c r="DH22" s="16" t="n">
        <f aca="false">DG22/28</f>
        <v>22.8214285714286</v>
      </c>
      <c r="DI22" s="15" t="n">
        <v>749</v>
      </c>
      <c r="DJ22" s="16" t="n">
        <f aca="false">DI22/31</f>
        <v>24.1612903225806</v>
      </c>
      <c r="DK22" s="15" t="n">
        <v>738</v>
      </c>
      <c r="DL22" s="16" t="n">
        <f aca="false">DK22/30</f>
        <v>24.6</v>
      </c>
      <c r="DM22" s="15" t="n">
        <v>714</v>
      </c>
      <c r="DN22" s="16" t="n">
        <f aca="false">DM22/31</f>
        <v>23.0322580645161</v>
      </c>
      <c r="DO22" s="15" t="n">
        <v>409</v>
      </c>
      <c r="DP22" s="16" t="n">
        <f aca="false">DO22/30</f>
        <v>13.6333333333333</v>
      </c>
      <c r="DQ22" s="15" t="n">
        <v>815</v>
      </c>
      <c r="DR22" s="16" t="n">
        <f aca="false">DQ22/31</f>
        <v>26.2903225806452</v>
      </c>
      <c r="DS22" s="15" t="n">
        <v>527</v>
      </c>
      <c r="DT22" s="16" t="n">
        <f aca="false">DS22/31</f>
        <v>17</v>
      </c>
      <c r="DU22" s="15" t="n">
        <v>464</v>
      </c>
      <c r="DV22" s="16" t="n">
        <f aca="false">DU22/30</f>
        <v>15.4666666666667</v>
      </c>
      <c r="DW22" s="15" t="n">
        <v>697</v>
      </c>
      <c r="DX22" s="16" t="n">
        <f aca="false">DW22/31</f>
        <v>22.4838709677419</v>
      </c>
      <c r="DY22" s="15" t="n">
        <v>434</v>
      </c>
      <c r="DZ22" s="16" t="n">
        <f aca="false">DY22/30</f>
        <v>14.4666666666667</v>
      </c>
      <c r="EA22" s="15" t="n">
        <v>803</v>
      </c>
      <c r="EB22" s="16" t="n">
        <f aca="false">EA22/31</f>
        <v>25.9032258064516</v>
      </c>
      <c r="EC22" s="17" t="n">
        <f aca="false">SUM(DE22:EA22)</f>
        <v>8067.27841781874</v>
      </c>
      <c r="ED22" s="18" t="n">
        <f aca="false">IFERROR(STDEV(DF22,DH22,DJ22,DL22,DN22,DP22,DR22,DT22,DV22,DX22,DZ22,EB22),0)</f>
        <v>4.9169467078868</v>
      </c>
      <c r="EE22" s="19" t="n">
        <f aca="false">STDEV(F22:AB22,AF22:BB22,BF22:CB22,CF22:DB22,DF22:EB22)</f>
        <v>339.84822221772</v>
      </c>
    </row>
    <row r="23" customFormat="false" ht="15" hidden="false" customHeight="true" outlineLevel="0" collapsed="false">
      <c r="A23" s="11" t="n">
        <v>18</v>
      </c>
      <c r="B23" s="12" t="s">
        <v>70</v>
      </c>
      <c r="C23" s="13" t="s">
        <v>71</v>
      </c>
      <c r="D23" s="14" t="s">
        <v>36</v>
      </c>
      <c r="E23" s="15" t="n">
        <v>1938</v>
      </c>
      <c r="F23" s="16" t="n">
        <f aca="false">E23/31</f>
        <v>62.5161290322581</v>
      </c>
      <c r="G23" s="15" t="n">
        <v>1956</v>
      </c>
      <c r="H23" s="16" t="n">
        <f aca="false">G23/28</f>
        <v>69.8571428571429</v>
      </c>
      <c r="I23" s="15" t="n">
        <v>3279</v>
      </c>
      <c r="J23" s="16" t="n">
        <f aca="false">I23/31</f>
        <v>105.774193548387</v>
      </c>
      <c r="K23" s="15" t="n">
        <v>2184</v>
      </c>
      <c r="L23" s="16" t="n">
        <f aca="false">K23/30</f>
        <v>72.8</v>
      </c>
      <c r="M23" s="15" t="n">
        <v>1817</v>
      </c>
      <c r="N23" s="16" t="n">
        <f aca="false">M23/31</f>
        <v>58.6129032258065</v>
      </c>
      <c r="O23" s="15" t="n">
        <v>3342</v>
      </c>
      <c r="P23" s="16" t="n">
        <f aca="false">O23/30</f>
        <v>111.4</v>
      </c>
      <c r="Q23" s="15" t="n">
        <v>1524</v>
      </c>
      <c r="R23" s="16" t="n">
        <f aca="false">Q23/31</f>
        <v>49.1612903225807</v>
      </c>
      <c r="S23" s="15" t="n">
        <v>3257</v>
      </c>
      <c r="T23" s="16" t="n">
        <f aca="false">S23/31</f>
        <v>105.064516129032</v>
      </c>
      <c r="U23" s="15" t="n">
        <v>1811</v>
      </c>
      <c r="V23" s="16" t="n">
        <f aca="false">U23/30</f>
        <v>60.3666666666667</v>
      </c>
      <c r="W23" s="15" t="n">
        <v>1782</v>
      </c>
      <c r="X23" s="16" t="n">
        <f aca="false">W23/31</f>
        <v>57.4838709677419</v>
      </c>
      <c r="Y23" s="15" t="n">
        <v>2026</v>
      </c>
      <c r="Z23" s="16" t="n">
        <f aca="false">Y23/30</f>
        <v>67.5333333333333</v>
      </c>
      <c r="AA23" s="15" t="n">
        <v>1872</v>
      </c>
      <c r="AB23" s="16" t="n">
        <f aca="false">AA23/31</f>
        <v>60.3870967741936</v>
      </c>
      <c r="AC23" s="17" t="n">
        <f aca="false">SUM(E23:AA23)</f>
        <v>27608.570046083</v>
      </c>
      <c r="AD23" s="18" t="n">
        <f aca="false">IFERROR(STDEV(F23,H23,J23,L23,N23,P23,R23,T23,V23,X23,Z23,AB23),0)</f>
        <v>21.4459491044029</v>
      </c>
      <c r="AE23" s="15" t="n">
        <v>3285</v>
      </c>
      <c r="AF23" s="16" t="n">
        <f aca="false">AE23/31</f>
        <v>105.967741935484</v>
      </c>
      <c r="AG23" s="15" t="n">
        <v>1806</v>
      </c>
      <c r="AH23" s="16" t="n">
        <f aca="false">AG23/28</f>
        <v>64.5</v>
      </c>
      <c r="AI23" s="15" t="n">
        <v>1780</v>
      </c>
      <c r="AJ23" s="16" t="n">
        <f aca="false">AI23/31</f>
        <v>57.4193548387097</v>
      </c>
      <c r="AK23" s="15" t="n">
        <v>3585</v>
      </c>
      <c r="AL23" s="16" t="n">
        <f aca="false">AK23/30</f>
        <v>119.5</v>
      </c>
      <c r="AM23" s="15" t="n">
        <v>2300</v>
      </c>
      <c r="AN23" s="16" t="n">
        <f aca="false">AM23/31</f>
        <v>74.1935483870968</v>
      </c>
      <c r="AO23" s="15" t="n">
        <v>2500</v>
      </c>
      <c r="AP23" s="16" t="n">
        <f aca="false">AO23/30</f>
        <v>83.3333333333333</v>
      </c>
      <c r="AQ23" s="15" t="n">
        <v>2151</v>
      </c>
      <c r="AR23" s="16" t="n">
        <f aca="false">AQ23/31</f>
        <v>69.3870967741936</v>
      </c>
      <c r="AS23" s="15" t="n">
        <v>1868</v>
      </c>
      <c r="AT23" s="16" t="n">
        <f aca="false">AS23/31</f>
        <v>60.258064516129</v>
      </c>
      <c r="AU23" s="15" t="n">
        <v>3472</v>
      </c>
      <c r="AV23" s="16" t="n">
        <f aca="false">AU23/30</f>
        <v>115.733333333333</v>
      </c>
      <c r="AW23" s="15" t="n">
        <v>2970</v>
      </c>
      <c r="AX23" s="16" t="n">
        <f aca="false">AW23/31</f>
        <v>95.8064516129032</v>
      </c>
      <c r="AY23" s="15" t="n">
        <v>3482</v>
      </c>
      <c r="AZ23" s="16" t="n">
        <f aca="false">AY23/30</f>
        <v>116.066666666667</v>
      </c>
      <c r="BA23" s="15" t="n">
        <v>2854</v>
      </c>
      <c r="BB23" s="16" t="n">
        <f aca="false">BA23/31</f>
        <v>92.0645161290323</v>
      </c>
      <c r="BC23" s="17" t="n">
        <f aca="false">SUM(AE23:BA23)</f>
        <v>33015.1655913979</v>
      </c>
      <c r="BD23" s="18" t="n">
        <f aca="false">IFERROR(STDEV(AF23,AH23,AJ23,AL23,AN23,AP23,AR23,AT23,AV23,AX23,AZ23,BB23),0)</f>
        <v>22.8931155470678</v>
      </c>
      <c r="BE23" s="15" t="n">
        <v>2777</v>
      </c>
      <c r="BF23" s="16" t="n">
        <f aca="false">BE23/31</f>
        <v>89.5806451612903</v>
      </c>
      <c r="BG23" s="15" t="n">
        <v>2296</v>
      </c>
      <c r="BH23" s="16" t="n">
        <f aca="false">BG23/28</f>
        <v>82</v>
      </c>
      <c r="BI23" s="15" t="n">
        <v>1561</v>
      </c>
      <c r="BJ23" s="16" t="n">
        <f aca="false">BI23/31</f>
        <v>50.3548387096774</v>
      </c>
      <c r="BK23" s="15" t="n">
        <v>2279</v>
      </c>
      <c r="BL23" s="16" t="n">
        <f aca="false">BK23/30</f>
        <v>75.9666666666667</v>
      </c>
      <c r="BM23" s="15" t="n">
        <v>3081</v>
      </c>
      <c r="BN23" s="16" t="n">
        <f aca="false">BM23/31</f>
        <v>99.3870967741936</v>
      </c>
      <c r="BO23" s="15" t="n">
        <v>1442</v>
      </c>
      <c r="BP23" s="16" t="n">
        <f aca="false">BO23/30</f>
        <v>48.0666666666667</v>
      </c>
      <c r="BQ23" s="15" t="n">
        <v>2786</v>
      </c>
      <c r="BR23" s="16" t="n">
        <f aca="false">BQ23/31</f>
        <v>89.8709677419355</v>
      </c>
      <c r="BS23" s="15" t="n">
        <v>2939</v>
      </c>
      <c r="BT23" s="16" t="n">
        <f aca="false">BS23/31</f>
        <v>94.8064516129032</v>
      </c>
      <c r="BU23" s="15" t="n">
        <v>2311</v>
      </c>
      <c r="BV23" s="16" t="n">
        <f aca="false">BU23/30</f>
        <v>77.0333333333333</v>
      </c>
      <c r="BW23" s="15" t="n">
        <v>2195</v>
      </c>
      <c r="BX23" s="16" t="n">
        <f aca="false">BW23/31</f>
        <v>70.8064516129032</v>
      </c>
      <c r="BY23" s="15" t="n">
        <v>3115</v>
      </c>
      <c r="BZ23" s="16" t="n">
        <f aca="false">BY23/30</f>
        <v>103.833333333333</v>
      </c>
      <c r="CA23" s="15" t="n">
        <v>1474</v>
      </c>
      <c r="CB23" s="16" t="n">
        <f aca="false">CA23/31</f>
        <v>47.5483870967742</v>
      </c>
      <c r="CC23" s="17" t="n">
        <f aca="false">SUM(BE23:CA23)</f>
        <v>29137.7064516129</v>
      </c>
      <c r="CD23" s="18" t="n">
        <f aca="false">IFERROR(STDEV(BF23,BH23,BJ23,BL23,BN23,BP23,BR23,BT23,BV23,BX23,BZ23,CB23),0)</f>
        <v>19.8605176219793</v>
      </c>
      <c r="CE23" s="15" t="n">
        <v>2990</v>
      </c>
      <c r="CF23" s="16" t="n">
        <f aca="false">CE23/31</f>
        <v>96.4516129032258</v>
      </c>
      <c r="CG23" s="15" t="n">
        <v>2802</v>
      </c>
      <c r="CH23" s="16" t="n">
        <f aca="false">CG23/28</f>
        <v>100.071428571429</v>
      </c>
      <c r="CI23" s="15" t="n">
        <v>3494</v>
      </c>
      <c r="CJ23" s="16" t="n">
        <f aca="false">CI23/31</f>
        <v>112.709677419355</v>
      </c>
      <c r="CK23" s="15" t="n">
        <v>3018</v>
      </c>
      <c r="CL23" s="16" t="n">
        <f aca="false">CK23/30</f>
        <v>100.6</v>
      </c>
      <c r="CM23" s="15" t="n">
        <v>4038</v>
      </c>
      <c r="CN23" s="16" t="n">
        <f aca="false">CM23/31</f>
        <v>130.258064516129</v>
      </c>
      <c r="CO23" s="15" t="n">
        <v>2004</v>
      </c>
      <c r="CP23" s="16" t="n">
        <f aca="false">CO23/30</f>
        <v>66.8</v>
      </c>
      <c r="CQ23" s="15" t="n">
        <v>2021</v>
      </c>
      <c r="CR23" s="16" t="n">
        <f aca="false">CQ23/31</f>
        <v>65.1935483870968</v>
      </c>
      <c r="CS23" s="15" t="n">
        <v>3305</v>
      </c>
      <c r="CT23" s="16" t="n">
        <f aca="false">CS23/31</f>
        <v>106.612903225806</v>
      </c>
      <c r="CU23" s="15" t="n">
        <v>1985</v>
      </c>
      <c r="CV23" s="16" t="n">
        <f aca="false">CU23/30</f>
        <v>66.1666666666667</v>
      </c>
      <c r="CW23" s="15" t="n">
        <v>2494</v>
      </c>
      <c r="CX23" s="16" t="n">
        <f aca="false">CW23/31</f>
        <v>80.4516129032258</v>
      </c>
      <c r="CY23" s="15" t="n">
        <v>3365</v>
      </c>
      <c r="CZ23" s="16" t="n">
        <f aca="false">CY23/30</f>
        <v>112.166666666667</v>
      </c>
      <c r="DA23" s="15" t="n">
        <v>3159</v>
      </c>
      <c r="DB23" s="16" t="n">
        <f aca="false">DA23/31</f>
        <v>101.903225806452</v>
      </c>
      <c r="DC23" s="17" t="n">
        <f aca="false">SUM(CE23:DA23)</f>
        <v>35712.4821812596</v>
      </c>
      <c r="DD23" s="18" t="n">
        <f aca="false">IFERROR(STDEV(CF23,CH23,CJ23,CL23,CN23,CP23,CR23,CT23,CV23,CX23,CZ23,DB23),0)</f>
        <v>20.9323772848531</v>
      </c>
      <c r="DE23" s="15" t="n">
        <v>2416</v>
      </c>
      <c r="DF23" s="16" t="n">
        <f aca="false">DE23/31</f>
        <v>77.9354838709677</v>
      </c>
      <c r="DG23" s="15" t="n">
        <v>3920</v>
      </c>
      <c r="DH23" s="16" t="n">
        <f aca="false">DG23/28</f>
        <v>140</v>
      </c>
      <c r="DI23" s="15" t="n">
        <v>2877</v>
      </c>
      <c r="DJ23" s="16" t="n">
        <f aca="false">DI23/31</f>
        <v>92.8064516129032</v>
      </c>
      <c r="DK23" s="15" t="n">
        <v>2704</v>
      </c>
      <c r="DL23" s="16" t="n">
        <f aca="false">DK23/30</f>
        <v>90.1333333333333</v>
      </c>
      <c r="DM23" s="15" t="n">
        <v>3045</v>
      </c>
      <c r="DN23" s="16" t="n">
        <f aca="false">DM23/31</f>
        <v>98.2258064516129</v>
      </c>
      <c r="DO23" s="15" t="n">
        <v>1908</v>
      </c>
      <c r="DP23" s="16" t="n">
        <f aca="false">DO23/30</f>
        <v>63.6</v>
      </c>
      <c r="DQ23" s="15" t="n">
        <v>3262</v>
      </c>
      <c r="DR23" s="16" t="n">
        <f aca="false">DQ23/31</f>
        <v>105.225806451613</v>
      </c>
      <c r="DS23" s="15" t="n">
        <v>3601</v>
      </c>
      <c r="DT23" s="16" t="n">
        <f aca="false">DS23/31</f>
        <v>116.161290322581</v>
      </c>
      <c r="DU23" s="15" t="n">
        <v>3147</v>
      </c>
      <c r="DV23" s="16" t="n">
        <f aca="false">DU23/30</f>
        <v>104.9</v>
      </c>
      <c r="DW23" s="15" t="n">
        <v>3413</v>
      </c>
      <c r="DX23" s="16" t="n">
        <f aca="false">DW23/31</f>
        <v>110.096774193548</v>
      </c>
      <c r="DY23" s="15" t="n">
        <v>3305</v>
      </c>
      <c r="DZ23" s="16" t="n">
        <f aca="false">DY23/30</f>
        <v>110.166666666667</v>
      </c>
      <c r="EA23" s="15" t="n">
        <v>2168</v>
      </c>
      <c r="EB23" s="16" t="n">
        <f aca="false">EA23/31</f>
        <v>69.9354838709677</v>
      </c>
      <c r="EC23" s="17" t="n">
        <f aca="false">SUM(DE23:EA23)</f>
        <v>36875.2516129032</v>
      </c>
      <c r="ED23" s="18" t="n">
        <f aca="false">IFERROR(STDEV(DF23,DH23,DJ23,DL23,DN23,DP23,DR23,DT23,DV23,DX23,DZ23,EB23),0)</f>
        <v>21.2124282912666</v>
      </c>
      <c r="EE23" s="19" t="n">
        <f aca="false">STDEV(F23:AB23,AF23:BB23,BF23:CB23,CF23:DB23,DF23:EB23)</f>
        <v>1360.54736120253</v>
      </c>
    </row>
    <row r="24" customFormat="false" ht="15" hidden="false" customHeight="true" outlineLevel="0" collapsed="false">
      <c r="A24" s="11" t="n">
        <v>19</v>
      </c>
      <c r="B24" s="12" t="s">
        <v>72</v>
      </c>
      <c r="C24" s="13" t="s">
        <v>73</v>
      </c>
      <c r="D24" s="14" t="s">
        <v>36</v>
      </c>
      <c r="E24" s="15" t="n">
        <v>385</v>
      </c>
      <c r="F24" s="16" t="n">
        <f aca="false">E24/31</f>
        <v>12.4193548387097</v>
      </c>
      <c r="G24" s="15" t="n">
        <v>313</v>
      </c>
      <c r="H24" s="16" t="n">
        <f aca="false">G24/28</f>
        <v>11.1785714285714</v>
      </c>
      <c r="I24" s="15" t="n">
        <v>348</v>
      </c>
      <c r="J24" s="16" t="n">
        <f aca="false">I24/31</f>
        <v>11.2258064516129</v>
      </c>
      <c r="K24" s="15" t="n">
        <v>385</v>
      </c>
      <c r="L24" s="16" t="n">
        <f aca="false">K24/30</f>
        <v>12.8333333333333</v>
      </c>
      <c r="M24" s="15" t="n">
        <v>373</v>
      </c>
      <c r="N24" s="16" t="n">
        <f aca="false">M24/31</f>
        <v>12.0322580645161</v>
      </c>
      <c r="O24" s="15" t="n">
        <v>270</v>
      </c>
      <c r="P24" s="16" t="n">
        <f aca="false">O24/30</f>
        <v>9</v>
      </c>
      <c r="Q24" s="15" t="n">
        <v>377</v>
      </c>
      <c r="R24" s="16" t="n">
        <f aca="false">Q24/31</f>
        <v>12.1612903225806</v>
      </c>
      <c r="S24" s="15" t="n">
        <v>453</v>
      </c>
      <c r="T24" s="16" t="n">
        <f aca="false">S24/31</f>
        <v>14.6129032258065</v>
      </c>
      <c r="U24" s="15" t="n">
        <v>360</v>
      </c>
      <c r="V24" s="16" t="n">
        <f aca="false">U24/30</f>
        <v>12</v>
      </c>
      <c r="W24" s="15" t="n">
        <v>289</v>
      </c>
      <c r="X24" s="16" t="n">
        <f aca="false">W24/31</f>
        <v>9.32258064516129</v>
      </c>
      <c r="Y24" s="15" t="n">
        <v>535</v>
      </c>
      <c r="Z24" s="16" t="n">
        <f aca="false">Y24/30</f>
        <v>17.8333333333333</v>
      </c>
      <c r="AA24" s="15" t="n">
        <v>262</v>
      </c>
      <c r="AB24" s="16" t="n">
        <f aca="false">AA24/31</f>
        <v>8.45161290322581</v>
      </c>
      <c r="AC24" s="17" t="n">
        <f aca="false">SUM(E24:AA24)</f>
        <v>4484.61943164363</v>
      </c>
      <c r="AD24" s="18" t="n">
        <f aca="false">IFERROR(STDEV(F24,H24,J24,L24,N24,P24,R24,T24,V24,X24,Z24,AB24),0)</f>
        <v>2.55332638432276</v>
      </c>
      <c r="AE24" s="15" t="n">
        <v>490</v>
      </c>
      <c r="AF24" s="16" t="n">
        <f aca="false">AE24/31</f>
        <v>15.8064516129032</v>
      </c>
      <c r="AG24" s="15" t="n">
        <v>261</v>
      </c>
      <c r="AH24" s="16" t="n">
        <f aca="false">AG24/28</f>
        <v>9.32142857142857</v>
      </c>
      <c r="AI24" s="15" t="n">
        <v>262</v>
      </c>
      <c r="AJ24" s="16" t="n">
        <f aca="false">AI24/31</f>
        <v>8.45161290322581</v>
      </c>
      <c r="AK24" s="15" t="n">
        <v>461</v>
      </c>
      <c r="AL24" s="16" t="n">
        <f aca="false">AK24/30</f>
        <v>15.3666666666667</v>
      </c>
      <c r="AM24" s="15" t="n">
        <v>484</v>
      </c>
      <c r="AN24" s="16" t="n">
        <f aca="false">AM24/31</f>
        <v>15.6129032258065</v>
      </c>
      <c r="AO24" s="15" t="n">
        <v>405</v>
      </c>
      <c r="AP24" s="16" t="n">
        <f aca="false">AO24/30</f>
        <v>13.5</v>
      </c>
      <c r="AQ24" s="15" t="n">
        <v>414</v>
      </c>
      <c r="AR24" s="16" t="n">
        <f aca="false">AQ24/31</f>
        <v>13.3548387096774</v>
      </c>
      <c r="AS24" s="15" t="n">
        <v>406</v>
      </c>
      <c r="AT24" s="16" t="n">
        <f aca="false">AS24/31</f>
        <v>13.0967741935484</v>
      </c>
      <c r="AU24" s="15" t="n">
        <v>334</v>
      </c>
      <c r="AV24" s="16" t="n">
        <f aca="false">AU24/30</f>
        <v>11.1333333333333</v>
      </c>
      <c r="AW24" s="15" t="n">
        <v>270</v>
      </c>
      <c r="AX24" s="16" t="n">
        <f aca="false">AW24/31</f>
        <v>8.70967741935484</v>
      </c>
      <c r="AY24" s="15" t="n">
        <v>342</v>
      </c>
      <c r="AZ24" s="16" t="n">
        <f aca="false">AY24/30</f>
        <v>11.4</v>
      </c>
      <c r="BA24" s="15" t="n">
        <v>438</v>
      </c>
      <c r="BB24" s="16" t="n">
        <f aca="false">BA24/31</f>
        <v>14.1290322580645</v>
      </c>
      <c r="BC24" s="17" t="n">
        <f aca="false">SUM(AE24:BA24)</f>
        <v>4702.75368663595</v>
      </c>
      <c r="BD24" s="18" t="n">
        <f aca="false">IFERROR(STDEV(AF24,AH24,AJ24,AL24,AN24,AP24,AR24,AT24,AV24,AX24,AZ24,BB24),0)</f>
        <v>2.6546208856493</v>
      </c>
      <c r="BE24" s="15" t="n">
        <v>402</v>
      </c>
      <c r="BF24" s="16" t="n">
        <f aca="false">BE24/31</f>
        <v>12.9677419354839</v>
      </c>
      <c r="BG24" s="15" t="n">
        <v>434</v>
      </c>
      <c r="BH24" s="16" t="n">
        <f aca="false">BG24/28</f>
        <v>15.5</v>
      </c>
      <c r="BI24" s="15" t="n">
        <v>395</v>
      </c>
      <c r="BJ24" s="16" t="n">
        <f aca="false">BI24/31</f>
        <v>12.741935483871</v>
      </c>
      <c r="BK24" s="15" t="n">
        <v>461</v>
      </c>
      <c r="BL24" s="16" t="n">
        <f aca="false">BK24/30</f>
        <v>15.3666666666667</v>
      </c>
      <c r="BM24" s="15" t="n">
        <v>362</v>
      </c>
      <c r="BN24" s="16" t="n">
        <f aca="false">BM24/31</f>
        <v>11.6774193548387</v>
      </c>
      <c r="BO24" s="15" t="n">
        <v>296</v>
      </c>
      <c r="BP24" s="16" t="n">
        <f aca="false">BO24/30</f>
        <v>9.86666666666667</v>
      </c>
      <c r="BQ24" s="15" t="n">
        <v>356</v>
      </c>
      <c r="BR24" s="16" t="n">
        <f aca="false">BQ24/31</f>
        <v>11.4838709677419</v>
      </c>
      <c r="BS24" s="15" t="n">
        <v>258</v>
      </c>
      <c r="BT24" s="16" t="n">
        <f aca="false">BS24/31</f>
        <v>8.32258064516129</v>
      </c>
      <c r="BU24" s="15" t="n">
        <v>377</v>
      </c>
      <c r="BV24" s="16" t="n">
        <f aca="false">BU24/30</f>
        <v>12.5666666666667</v>
      </c>
      <c r="BW24" s="15" t="n">
        <v>261</v>
      </c>
      <c r="BX24" s="16" t="n">
        <f aca="false">BW24/31</f>
        <v>8.41935483870968</v>
      </c>
      <c r="BY24" s="15" t="n">
        <v>230</v>
      </c>
      <c r="BZ24" s="16" t="n">
        <f aca="false">BY24/30</f>
        <v>7.66666666666667</v>
      </c>
      <c r="CA24" s="15" t="n">
        <v>428</v>
      </c>
      <c r="CB24" s="16" t="n">
        <f aca="false">CA24/31</f>
        <v>13.8064516129032</v>
      </c>
      <c r="CC24" s="17" t="n">
        <f aca="false">SUM(BE24:CA24)</f>
        <v>4386.57956989247</v>
      </c>
      <c r="CD24" s="18" t="n">
        <f aca="false">IFERROR(STDEV(BF24,BH24,BJ24,BL24,BN24,BP24,BR24,BT24,BV24,BX24,BZ24,CB24),0)</f>
        <v>2.65623078034793</v>
      </c>
      <c r="CE24" s="15" t="n">
        <v>281</v>
      </c>
      <c r="CF24" s="16" t="n">
        <f aca="false">CE24/31</f>
        <v>9.06451612903226</v>
      </c>
      <c r="CG24" s="15" t="n">
        <v>380</v>
      </c>
      <c r="CH24" s="16" t="n">
        <f aca="false">CG24/28</f>
        <v>13.5714285714286</v>
      </c>
      <c r="CI24" s="15" t="n">
        <v>333</v>
      </c>
      <c r="CJ24" s="16" t="n">
        <f aca="false">CI24/31</f>
        <v>10.741935483871</v>
      </c>
      <c r="CK24" s="15" t="n">
        <v>392</v>
      </c>
      <c r="CL24" s="16" t="n">
        <f aca="false">CK24/30</f>
        <v>13.0666666666667</v>
      </c>
      <c r="CM24" s="15" t="n">
        <v>401</v>
      </c>
      <c r="CN24" s="16" t="n">
        <f aca="false">CM24/31</f>
        <v>12.9354838709677</v>
      </c>
      <c r="CO24" s="15" t="n">
        <v>434</v>
      </c>
      <c r="CP24" s="16" t="n">
        <f aca="false">CO24/30</f>
        <v>14.4666666666667</v>
      </c>
      <c r="CQ24" s="15" t="n">
        <v>394</v>
      </c>
      <c r="CR24" s="16" t="n">
        <f aca="false">CQ24/31</f>
        <v>12.7096774193548</v>
      </c>
      <c r="CS24" s="15" t="n">
        <v>343</v>
      </c>
      <c r="CT24" s="16" t="n">
        <f aca="false">CS24/31</f>
        <v>11.0645161290323</v>
      </c>
      <c r="CU24" s="15" t="n">
        <v>350</v>
      </c>
      <c r="CV24" s="16" t="n">
        <f aca="false">CU24/30</f>
        <v>11.6666666666667</v>
      </c>
      <c r="CW24" s="15" t="n">
        <v>195</v>
      </c>
      <c r="CX24" s="16" t="n">
        <f aca="false">CW24/31</f>
        <v>6.29032258064516</v>
      </c>
      <c r="CY24" s="15" t="n">
        <v>422</v>
      </c>
      <c r="CZ24" s="16" t="n">
        <f aca="false">CY24/30</f>
        <v>14.0666666666667</v>
      </c>
      <c r="DA24" s="15" t="n">
        <v>397</v>
      </c>
      <c r="DB24" s="16" t="n">
        <f aca="false">DA24/31</f>
        <v>12.8064516129032</v>
      </c>
      <c r="DC24" s="17" t="n">
        <f aca="false">SUM(CE24:DA24)</f>
        <v>4451.644546851</v>
      </c>
      <c r="DD24" s="18" t="n">
        <f aca="false">IFERROR(STDEV(CF24,CH24,CJ24,CL24,CN24,CP24,CR24,CT24,CV24,CX24,CZ24,DB24),0)</f>
        <v>2.32727613366057</v>
      </c>
      <c r="DE24" s="15" t="n">
        <v>359</v>
      </c>
      <c r="DF24" s="16" t="n">
        <f aca="false">DE24/31</f>
        <v>11.5806451612903</v>
      </c>
      <c r="DG24" s="15" t="n">
        <v>328</v>
      </c>
      <c r="DH24" s="16" t="n">
        <f aca="false">DG24/28</f>
        <v>11.7142857142857</v>
      </c>
      <c r="DI24" s="15" t="n">
        <v>512</v>
      </c>
      <c r="DJ24" s="16" t="n">
        <f aca="false">DI24/31</f>
        <v>16.5161290322581</v>
      </c>
      <c r="DK24" s="15" t="n">
        <v>373</v>
      </c>
      <c r="DL24" s="16" t="n">
        <f aca="false">DK24/30</f>
        <v>12.4333333333333</v>
      </c>
      <c r="DM24" s="15" t="n">
        <v>384</v>
      </c>
      <c r="DN24" s="16" t="n">
        <f aca="false">DM24/31</f>
        <v>12.3870967741935</v>
      </c>
      <c r="DO24" s="15" t="n">
        <v>267</v>
      </c>
      <c r="DP24" s="16" t="n">
        <f aca="false">DO24/30</f>
        <v>8.9</v>
      </c>
      <c r="DQ24" s="15" t="n">
        <v>571</v>
      </c>
      <c r="DR24" s="16" t="n">
        <f aca="false">DQ24/31</f>
        <v>18.4193548387097</v>
      </c>
      <c r="DS24" s="15" t="n">
        <v>464</v>
      </c>
      <c r="DT24" s="16" t="n">
        <f aca="false">DS24/31</f>
        <v>14.9677419354839</v>
      </c>
      <c r="DU24" s="15" t="n">
        <v>406</v>
      </c>
      <c r="DV24" s="16" t="n">
        <f aca="false">DU24/30</f>
        <v>13.5333333333333</v>
      </c>
      <c r="DW24" s="15" t="n">
        <v>315</v>
      </c>
      <c r="DX24" s="16" t="n">
        <f aca="false">DW24/31</f>
        <v>10.1612903225806</v>
      </c>
      <c r="DY24" s="15" t="n">
        <v>488</v>
      </c>
      <c r="DZ24" s="16" t="n">
        <f aca="false">DY24/30</f>
        <v>16.2666666666667</v>
      </c>
      <c r="EA24" s="15" t="n">
        <v>275</v>
      </c>
      <c r="EB24" s="16" t="n">
        <f aca="false">EA24/31</f>
        <v>8.87096774193548</v>
      </c>
      <c r="EC24" s="17" t="n">
        <f aca="false">SUM(DE24:EA24)</f>
        <v>4888.87987711214</v>
      </c>
      <c r="ED24" s="18" t="n">
        <f aca="false">IFERROR(STDEV(DF24,DH24,DJ24,DL24,DN24,DP24,DR24,DT24,DV24,DX24,DZ24,EB24),0)</f>
        <v>3.05757675600934</v>
      </c>
      <c r="EE24" s="19" t="n">
        <f aca="false">STDEV(F24:AB24,AF24:BB24,BF24:CB24,CF24:DB24,DF24:EB24)</f>
        <v>187.670946756767</v>
      </c>
    </row>
    <row r="25" customFormat="false" ht="15" hidden="false" customHeight="true" outlineLevel="0" collapsed="false">
      <c r="A25" s="11" t="n">
        <v>20</v>
      </c>
      <c r="B25" s="12" t="s">
        <v>74</v>
      </c>
      <c r="C25" s="13" t="s">
        <v>75</v>
      </c>
      <c r="D25" s="14" t="s">
        <v>36</v>
      </c>
      <c r="E25" s="15" t="n">
        <v>198</v>
      </c>
      <c r="F25" s="16" t="n">
        <f aca="false">E25/31</f>
        <v>6.38709677419355</v>
      </c>
      <c r="G25" s="15" t="n">
        <v>128</v>
      </c>
      <c r="H25" s="16" t="n">
        <f aca="false">G25/28</f>
        <v>4.57142857142857</v>
      </c>
      <c r="I25" s="15" t="n">
        <v>155</v>
      </c>
      <c r="J25" s="16" t="n">
        <f aca="false">I25/31</f>
        <v>5</v>
      </c>
      <c r="K25" s="15" t="n">
        <v>145</v>
      </c>
      <c r="L25" s="16" t="n">
        <f aca="false">K25/30</f>
        <v>4.83333333333333</v>
      </c>
      <c r="M25" s="15" t="n">
        <v>149</v>
      </c>
      <c r="N25" s="16" t="n">
        <f aca="false">M25/31</f>
        <v>4.80645161290323</v>
      </c>
      <c r="O25" s="15" t="n">
        <v>195</v>
      </c>
      <c r="P25" s="16" t="n">
        <f aca="false">O25/30</f>
        <v>6.5</v>
      </c>
      <c r="Q25" s="15" t="n">
        <v>202</v>
      </c>
      <c r="R25" s="16" t="n">
        <f aca="false">Q25/31</f>
        <v>6.51612903225807</v>
      </c>
      <c r="S25" s="15" t="n">
        <v>175</v>
      </c>
      <c r="T25" s="16" t="n">
        <f aca="false">S25/31</f>
        <v>5.64516129032258</v>
      </c>
      <c r="U25" s="15" t="n">
        <v>111</v>
      </c>
      <c r="V25" s="16" t="n">
        <f aca="false">U25/30</f>
        <v>3.7</v>
      </c>
      <c r="W25" s="15" t="n">
        <v>106</v>
      </c>
      <c r="X25" s="16" t="n">
        <f aca="false">W25/31</f>
        <v>3.41935483870968</v>
      </c>
      <c r="Y25" s="15" t="n">
        <v>120</v>
      </c>
      <c r="Z25" s="16" t="n">
        <f aca="false">Y25/30</f>
        <v>4</v>
      </c>
      <c r="AA25" s="15" t="n">
        <v>181</v>
      </c>
      <c r="AB25" s="16" t="n">
        <f aca="false">AA25/31</f>
        <v>5.83870967741936</v>
      </c>
      <c r="AC25" s="17" t="n">
        <f aca="false">SUM(E25:AA25)</f>
        <v>1920.37895545315</v>
      </c>
      <c r="AD25" s="18" t="n">
        <f aca="false">IFERROR(STDEV(F25,H25,J25,L25,N25,P25,R25,T25,V25,X25,Z25,AB25),0)</f>
        <v>1.08318318929714</v>
      </c>
      <c r="AE25" s="15" t="n">
        <v>226</v>
      </c>
      <c r="AF25" s="16" t="n">
        <f aca="false">AE25/31</f>
        <v>7.29032258064516</v>
      </c>
      <c r="AG25" s="15" t="n">
        <v>162</v>
      </c>
      <c r="AH25" s="16" t="n">
        <f aca="false">AG25/28</f>
        <v>5.78571428571429</v>
      </c>
      <c r="AI25" s="15" t="n">
        <v>224</v>
      </c>
      <c r="AJ25" s="16" t="n">
        <f aca="false">AI25/31</f>
        <v>7.2258064516129</v>
      </c>
      <c r="AK25" s="15" t="n">
        <v>196</v>
      </c>
      <c r="AL25" s="16" t="n">
        <f aca="false">AK25/30</f>
        <v>6.53333333333333</v>
      </c>
      <c r="AM25" s="15" t="n">
        <v>190</v>
      </c>
      <c r="AN25" s="16" t="n">
        <f aca="false">AM25/31</f>
        <v>6.12903225806452</v>
      </c>
      <c r="AO25" s="15" t="n">
        <v>163</v>
      </c>
      <c r="AP25" s="16" t="n">
        <f aca="false">AO25/30</f>
        <v>5.43333333333333</v>
      </c>
      <c r="AQ25" s="15" t="n">
        <v>239</v>
      </c>
      <c r="AR25" s="16" t="n">
        <f aca="false">AQ25/31</f>
        <v>7.70967741935484</v>
      </c>
      <c r="AS25" s="15" t="n">
        <v>137</v>
      </c>
      <c r="AT25" s="16" t="n">
        <f aca="false">AS25/31</f>
        <v>4.41935483870968</v>
      </c>
      <c r="AU25" s="15" t="n">
        <v>188</v>
      </c>
      <c r="AV25" s="16" t="n">
        <f aca="false">AU25/30</f>
        <v>6.26666666666667</v>
      </c>
      <c r="AW25" s="15" t="n">
        <v>164</v>
      </c>
      <c r="AX25" s="16" t="n">
        <f aca="false">AW25/31</f>
        <v>5.29032258064516</v>
      </c>
      <c r="AY25" s="15" t="n">
        <v>227</v>
      </c>
      <c r="AZ25" s="16" t="n">
        <f aca="false">AY25/30</f>
        <v>7.56666666666667</v>
      </c>
      <c r="BA25" s="15" t="n">
        <v>197</v>
      </c>
      <c r="BB25" s="16" t="n">
        <f aca="false">BA25/31</f>
        <v>6.35483870967742</v>
      </c>
      <c r="BC25" s="17" t="n">
        <f aca="false">SUM(AE25:BA25)</f>
        <v>2382.65023041475</v>
      </c>
      <c r="BD25" s="18" t="n">
        <f aca="false">IFERROR(STDEV(AF25,AH25,AJ25,AL25,AN25,AP25,AR25,AT25,AV25,AX25,AZ25,BB25),0)</f>
        <v>1.00342532827477</v>
      </c>
      <c r="BE25" s="15" t="n">
        <v>244</v>
      </c>
      <c r="BF25" s="16" t="n">
        <f aca="false">BE25/31</f>
        <v>7.87096774193548</v>
      </c>
      <c r="BG25" s="15" t="n">
        <v>137</v>
      </c>
      <c r="BH25" s="16" t="n">
        <f aca="false">BG25/28</f>
        <v>4.89285714285714</v>
      </c>
      <c r="BI25" s="15" t="n">
        <v>197</v>
      </c>
      <c r="BJ25" s="16" t="n">
        <f aca="false">BI25/31</f>
        <v>6.35483870967742</v>
      </c>
      <c r="BK25" s="15" t="n">
        <v>232</v>
      </c>
      <c r="BL25" s="16" t="n">
        <f aca="false">BK25/30</f>
        <v>7.73333333333333</v>
      </c>
      <c r="BM25" s="15" t="n">
        <v>130</v>
      </c>
      <c r="BN25" s="16" t="n">
        <f aca="false">BM25/31</f>
        <v>4.19354838709677</v>
      </c>
      <c r="BO25" s="15" t="n">
        <v>181</v>
      </c>
      <c r="BP25" s="16" t="n">
        <f aca="false">BO25/30</f>
        <v>6.03333333333333</v>
      </c>
      <c r="BQ25" s="15" t="n">
        <v>165</v>
      </c>
      <c r="BR25" s="16" t="n">
        <f aca="false">BQ25/31</f>
        <v>5.32258064516129</v>
      </c>
      <c r="BS25" s="15" t="n">
        <v>152</v>
      </c>
      <c r="BT25" s="16" t="n">
        <f aca="false">BS25/31</f>
        <v>4.90322580645161</v>
      </c>
      <c r="BU25" s="15" t="n">
        <v>173</v>
      </c>
      <c r="BV25" s="16" t="n">
        <f aca="false">BU25/30</f>
        <v>5.76666666666667</v>
      </c>
      <c r="BW25" s="15" t="n">
        <v>185</v>
      </c>
      <c r="BX25" s="16" t="n">
        <f aca="false">BW25/31</f>
        <v>5.96774193548387</v>
      </c>
      <c r="BY25" s="15" t="n">
        <v>130</v>
      </c>
      <c r="BZ25" s="16" t="n">
        <f aca="false">BY25/30</f>
        <v>4.33333333333333</v>
      </c>
      <c r="CA25" s="15" t="n">
        <v>257</v>
      </c>
      <c r="CB25" s="16" t="n">
        <f aca="false">CA25/31</f>
        <v>8.29032258064516</v>
      </c>
      <c r="CC25" s="17" t="n">
        <f aca="false">SUM(BE25:CA25)</f>
        <v>2246.37242703533</v>
      </c>
      <c r="CD25" s="18" t="n">
        <f aca="false">IFERROR(STDEV(BF25,BH25,BJ25,BL25,BN25,BP25,BR25,BT25,BV25,BX25,BZ25,CB25),0)</f>
        <v>1.37682744291489</v>
      </c>
      <c r="CE25" s="15" t="n">
        <v>125</v>
      </c>
      <c r="CF25" s="16" t="n">
        <f aca="false">CE25/31</f>
        <v>4.03225806451613</v>
      </c>
      <c r="CG25" s="15" t="n">
        <v>152</v>
      </c>
      <c r="CH25" s="16" t="n">
        <f aca="false">CG25/28</f>
        <v>5.42857142857143</v>
      </c>
      <c r="CI25" s="15" t="n">
        <v>196</v>
      </c>
      <c r="CJ25" s="16" t="n">
        <f aca="false">CI25/31</f>
        <v>6.32258064516129</v>
      </c>
      <c r="CK25" s="15" t="n">
        <v>169</v>
      </c>
      <c r="CL25" s="16" t="n">
        <f aca="false">CK25/30</f>
        <v>5.63333333333333</v>
      </c>
      <c r="CM25" s="15" t="n">
        <v>214</v>
      </c>
      <c r="CN25" s="16" t="n">
        <f aca="false">CM25/31</f>
        <v>6.90322580645161</v>
      </c>
      <c r="CO25" s="15" t="n">
        <v>210</v>
      </c>
      <c r="CP25" s="16" t="n">
        <f aca="false">CO25/30</f>
        <v>7</v>
      </c>
      <c r="CQ25" s="15" t="n">
        <v>111</v>
      </c>
      <c r="CR25" s="16" t="n">
        <f aca="false">CQ25/31</f>
        <v>3.58064516129032</v>
      </c>
      <c r="CS25" s="15" t="n">
        <v>217</v>
      </c>
      <c r="CT25" s="16" t="n">
        <f aca="false">CS25/31</f>
        <v>7</v>
      </c>
      <c r="CU25" s="15" t="n">
        <v>107</v>
      </c>
      <c r="CV25" s="16" t="n">
        <f aca="false">CU25/30</f>
        <v>3.56666666666667</v>
      </c>
      <c r="CW25" s="15" t="n">
        <v>104</v>
      </c>
      <c r="CX25" s="16" t="n">
        <f aca="false">CW25/31</f>
        <v>3.35483870967742</v>
      </c>
      <c r="CY25" s="15" t="n">
        <v>225</v>
      </c>
      <c r="CZ25" s="16" t="n">
        <f aca="false">CY25/30</f>
        <v>7.5</v>
      </c>
      <c r="DA25" s="15" t="n">
        <v>217</v>
      </c>
      <c r="DB25" s="16" t="n">
        <f aca="false">DA25/31</f>
        <v>7</v>
      </c>
      <c r="DC25" s="17" t="n">
        <f aca="false">SUM(CE25:DA25)</f>
        <v>2107.32211981567</v>
      </c>
      <c r="DD25" s="18" t="n">
        <f aca="false">IFERROR(STDEV(CF25,CH25,CJ25,CL25,CN25,CP25,CR25,CT25,CV25,CX25,CZ25,DB25),0)</f>
        <v>1.57971743134067</v>
      </c>
      <c r="DE25" s="15" t="n">
        <v>211</v>
      </c>
      <c r="DF25" s="16" t="n">
        <f aca="false">DE25/31</f>
        <v>6.80645161290323</v>
      </c>
      <c r="DG25" s="15" t="n">
        <v>210</v>
      </c>
      <c r="DH25" s="16" t="n">
        <f aca="false">DG25/28</f>
        <v>7.5</v>
      </c>
      <c r="DI25" s="15" t="n">
        <v>232</v>
      </c>
      <c r="DJ25" s="16" t="n">
        <f aca="false">DI25/31</f>
        <v>7.48387096774194</v>
      </c>
      <c r="DK25" s="15" t="n">
        <v>185</v>
      </c>
      <c r="DL25" s="16" t="n">
        <f aca="false">DK25/30</f>
        <v>6.16666666666667</v>
      </c>
      <c r="DM25" s="15" t="n">
        <v>137</v>
      </c>
      <c r="DN25" s="16" t="n">
        <f aca="false">DM25/31</f>
        <v>4.41935483870968</v>
      </c>
      <c r="DO25" s="15" t="n">
        <v>122</v>
      </c>
      <c r="DP25" s="16" t="n">
        <f aca="false">DO25/30</f>
        <v>4.06666666666667</v>
      </c>
      <c r="DQ25" s="15" t="n">
        <v>171</v>
      </c>
      <c r="DR25" s="16" t="n">
        <f aca="false">DQ25/31</f>
        <v>5.51612903225807</v>
      </c>
      <c r="DS25" s="15" t="n">
        <v>246</v>
      </c>
      <c r="DT25" s="16" t="n">
        <f aca="false">DS25/31</f>
        <v>7.93548387096774</v>
      </c>
      <c r="DU25" s="15" t="n">
        <v>217</v>
      </c>
      <c r="DV25" s="16" t="n">
        <f aca="false">DU25/30</f>
        <v>7.23333333333333</v>
      </c>
      <c r="DW25" s="15" t="n">
        <v>251</v>
      </c>
      <c r="DX25" s="16" t="n">
        <f aca="false">DW25/31</f>
        <v>8.09677419354839</v>
      </c>
      <c r="DY25" s="15" t="n">
        <v>265</v>
      </c>
      <c r="DZ25" s="16" t="n">
        <f aca="false">DY25/30</f>
        <v>8.83333333333333</v>
      </c>
      <c r="EA25" s="15" t="n">
        <v>133</v>
      </c>
      <c r="EB25" s="16" t="n">
        <f aca="false">EA25/31</f>
        <v>4.29032258064516</v>
      </c>
      <c r="EC25" s="17" t="n">
        <f aca="false">SUM(DE25:EA25)</f>
        <v>2454.05806451613</v>
      </c>
      <c r="ED25" s="18" t="n">
        <f aca="false">IFERROR(STDEV(DF25,DH25,DJ25,DL25,DN25,DP25,DR25,DT25,DV25,DX25,DZ25,EB25),0)</f>
        <v>1.61966065715026</v>
      </c>
      <c r="EE25" s="19" t="n">
        <f aca="false">STDEV(F25:AB25,AF25:BB25,BF25:CB25,CF25:DB25,DF25:EB25)</f>
        <v>91.2672565062982</v>
      </c>
    </row>
    <row r="26" customFormat="false" ht="15" hidden="false" customHeight="true" outlineLevel="0" collapsed="false">
      <c r="A26" s="11" t="n">
        <v>21</v>
      </c>
      <c r="B26" s="12" t="s">
        <v>76</v>
      </c>
      <c r="C26" s="13" t="s">
        <v>77</v>
      </c>
      <c r="D26" s="14" t="s">
        <v>36</v>
      </c>
      <c r="E26" s="15" t="n">
        <v>451</v>
      </c>
      <c r="F26" s="16" t="n">
        <f aca="false">E26/31</f>
        <v>14.5483870967742</v>
      </c>
      <c r="G26" s="15" t="n">
        <v>281</v>
      </c>
      <c r="H26" s="16" t="n">
        <f aca="false">G26/28</f>
        <v>10.0357142857143</v>
      </c>
      <c r="I26" s="15" t="n">
        <v>379</v>
      </c>
      <c r="J26" s="16" t="n">
        <f aca="false">I26/31</f>
        <v>12.2258064516129</v>
      </c>
      <c r="K26" s="15" t="n">
        <v>360</v>
      </c>
      <c r="L26" s="16" t="n">
        <f aca="false">K26/30</f>
        <v>12</v>
      </c>
      <c r="M26" s="15" t="n">
        <v>324</v>
      </c>
      <c r="N26" s="16" t="n">
        <f aca="false">M26/31</f>
        <v>10.4516129032258</v>
      </c>
      <c r="O26" s="15" t="n">
        <v>300</v>
      </c>
      <c r="P26" s="16" t="n">
        <f aca="false">O26/30</f>
        <v>10</v>
      </c>
      <c r="Q26" s="15" t="n">
        <v>308</v>
      </c>
      <c r="R26" s="16" t="n">
        <f aca="false">Q26/31</f>
        <v>9.93548387096774</v>
      </c>
      <c r="S26" s="15" t="n">
        <v>306</v>
      </c>
      <c r="T26" s="16" t="n">
        <f aca="false">S26/31</f>
        <v>9.87096774193548</v>
      </c>
      <c r="U26" s="15" t="n">
        <v>260</v>
      </c>
      <c r="V26" s="16" t="n">
        <f aca="false">U26/30</f>
        <v>8.66666666666667</v>
      </c>
      <c r="W26" s="15" t="n">
        <v>357</v>
      </c>
      <c r="X26" s="16" t="n">
        <f aca="false">W26/31</f>
        <v>11.5161290322581</v>
      </c>
      <c r="Y26" s="15" t="n">
        <v>244</v>
      </c>
      <c r="Z26" s="16" t="n">
        <f aca="false">Y26/30</f>
        <v>8.13333333333333</v>
      </c>
      <c r="AA26" s="15" t="n">
        <v>357</v>
      </c>
      <c r="AB26" s="16" t="n">
        <f aca="false">AA26/31</f>
        <v>11.5161290322581</v>
      </c>
      <c r="AC26" s="17" t="n">
        <f aca="false">SUM(E26:AA26)</f>
        <v>4044.38410138249</v>
      </c>
      <c r="AD26" s="18" t="n">
        <f aca="false">IFERROR(STDEV(F26,H26,J26,L26,N26,P26,R26,T26,V26,X26,Z26,AB26),0)</f>
        <v>1.73536536652651</v>
      </c>
      <c r="AE26" s="15" t="n">
        <v>425</v>
      </c>
      <c r="AF26" s="16" t="n">
        <f aca="false">AE26/31</f>
        <v>13.7096774193548</v>
      </c>
      <c r="AG26" s="15" t="n">
        <v>282</v>
      </c>
      <c r="AH26" s="16" t="n">
        <f aca="false">AG26/28</f>
        <v>10.0714285714286</v>
      </c>
      <c r="AI26" s="15" t="n">
        <v>379</v>
      </c>
      <c r="AJ26" s="16" t="n">
        <f aca="false">AI26/31</f>
        <v>12.2258064516129</v>
      </c>
      <c r="AK26" s="15" t="n">
        <v>402</v>
      </c>
      <c r="AL26" s="16" t="n">
        <f aca="false">AK26/30</f>
        <v>13.4</v>
      </c>
      <c r="AM26" s="15" t="n">
        <v>401</v>
      </c>
      <c r="AN26" s="16" t="n">
        <f aca="false">AM26/31</f>
        <v>12.9354838709677</v>
      </c>
      <c r="AO26" s="15" t="n">
        <v>253</v>
      </c>
      <c r="AP26" s="16" t="n">
        <f aca="false">AO26/30</f>
        <v>8.43333333333333</v>
      </c>
      <c r="AQ26" s="15" t="n">
        <v>230</v>
      </c>
      <c r="AR26" s="16" t="n">
        <f aca="false">AQ26/31</f>
        <v>7.41935483870968</v>
      </c>
      <c r="AS26" s="15" t="n">
        <v>243</v>
      </c>
      <c r="AT26" s="16" t="n">
        <f aca="false">AS26/31</f>
        <v>7.83870967741936</v>
      </c>
      <c r="AU26" s="15" t="n">
        <v>347</v>
      </c>
      <c r="AV26" s="16" t="n">
        <f aca="false">AU26/30</f>
        <v>11.5666666666667</v>
      </c>
      <c r="AW26" s="15" t="n">
        <v>387</v>
      </c>
      <c r="AX26" s="16" t="n">
        <f aca="false">AW26/31</f>
        <v>12.4838709677419</v>
      </c>
      <c r="AY26" s="15" t="n">
        <v>361</v>
      </c>
      <c r="AZ26" s="16" t="n">
        <f aca="false">AY26/30</f>
        <v>12.0333333333333</v>
      </c>
      <c r="BA26" s="15" t="n">
        <v>238</v>
      </c>
      <c r="BB26" s="16" t="n">
        <f aca="false">BA26/31</f>
        <v>7.67741935483871</v>
      </c>
      <c r="BC26" s="17" t="n">
        <f aca="false">SUM(AE26:BA26)</f>
        <v>4070.11766513057</v>
      </c>
      <c r="BD26" s="18" t="n">
        <f aca="false">IFERROR(STDEV(AF26,AH26,AJ26,AL26,AN26,AP26,AR26,AT26,AV26,AX26,AZ26,BB26),0)</f>
        <v>2.39015055285024</v>
      </c>
      <c r="BE26" s="15" t="n">
        <v>362</v>
      </c>
      <c r="BF26" s="16" t="n">
        <f aca="false">BE26/31</f>
        <v>11.6774193548387</v>
      </c>
      <c r="BG26" s="15" t="n">
        <v>295</v>
      </c>
      <c r="BH26" s="16" t="n">
        <f aca="false">BG26/28</f>
        <v>10.5357142857143</v>
      </c>
      <c r="BI26" s="15" t="n">
        <v>357</v>
      </c>
      <c r="BJ26" s="16" t="n">
        <f aca="false">BI26/31</f>
        <v>11.5161290322581</v>
      </c>
      <c r="BK26" s="15" t="n">
        <v>358</v>
      </c>
      <c r="BL26" s="16" t="n">
        <f aca="false">BK26/30</f>
        <v>11.9333333333333</v>
      </c>
      <c r="BM26" s="15" t="n">
        <v>285</v>
      </c>
      <c r="BN26" s="16" t="n">
        <f aca="false">BM26/31</f>
        <v>9.19354838709677</v>
      </c>
      <c r="BO26" s="15" t="n">
        <v>397</v>
      </c>
      <c r="BP26" s="16" t="n">
        <f aca="false">BO26/30</f>
        <v>13.2333333333333</v>
      </c>
      <c r="BQ26" s="15" t="n">
        <v>312</v>
      </c>
      <c r="BR26" s="16" t="n">
        <f aca="false">BQ26/31</f>
        <v>10.0645161290323</v>
      </c>
      <c r="BS26" s="15" t="n">
        <v>329</v>
      </c>
      <c r="BT26" s="16" t="n">
        <f aca="false">BS26/31</f>
        <v>10.6129032258065</v>
      </c>
      <c r="BU26" s="15" t="n">
        <v>326</v>
      </c>
      <c r="BV26" s="16" t="n">
        <f aca="false">BU26/30</f>
        <v>10.8666666666667</v>
      </c>
      <c r="BW26" s="15" t="n">
        <v>383</v>
      </c>
      <c r="BX26" s="16" t="n">
        <f aca="false">BW26/31</f>
        <v>12.3548387096774</v>
      </c>
      <c r="BY26" s="15" t="n">
        <v>327</v>
      </c>
      <c r="BZ26" s="16" t="n">
        <f aca="false">BY26/30</f>
        <v>10.9</v>
      </c>
      <c r="CA26" s="15" t="n">
        <v>214</v>
      </c>
      <c r="CB26" s="16" t="n">
        <f aca="false">CA26/31</f>
        <v>6.90322580645161</v>
      </c>
      <c r="CC26" s="17" t="n">
        <f aca="false">SUM(BE26:CA26)</f>
        <v>4067.88840245776</v>
      </c>
      <c r="CD26" s="18" t="n">
        <f aca="false">IFERROR(STDEV(BF26,BH26,BJ26,BL26,BN26,BP26,BR26,BT26,BV26,BX26,BZ26,CB26),0)</f>
        <v>1.63285843561853</v>
      </c>
      <c r="CE26" s="15" t="n">
        <v>234</v>
      </c>
      <c r="CF26" s="16" t="n">
        <f aca="false">CE26/31</f>
        <v>7.54838709677419</v>
      </c>
      <c r="CG26" s="15" t="n">
        <v>341</v>
      </c>
      <c r="CH26" s="16" t="n">
        <f aca="false">CG26/28</f>
        <v>12.1785714285714</v>
      </c>
      <c r="CI26" s="15" t="n">
        <v>301</v>
      </c>
      <c r="CJ26" s="16" t="n">
        <f aca="false">CI26/31</f>
        <v>9.70967741935484</v>
      </c>
      <c r="CK26" s="15" t="n">
        <v>293</v>
      </c>
      <c r="CL26" s="16" t="n">
        <f aca="false">CK26/30</f>
        <v>9.76666666666667</v>
      </c>
      <c r="CM26" s="15" t="n">
        <v>231</v>
      </c>
      <c r="CN26" s="16" t="n">
        <f aca="false">CM26/31</f>
        <v>7.45161290322581</v>
      </c>
      <c r="CO26" s="15" t="n">
        <v>360</v>
      </c>
      <c r="CP26" s="16" t="n">
        <f aca="false">CO26/30</f>
        <v>12</v>
      </c>
      <c r="CQ26" s="15" t="n">
        <v>304</v>
      </c>
      <c r="CR26" s="16" t="n">
        <f aca="false">CQ26/31</f>
        <v>9.80645161290323</v>
      </c>
      <c r="CS26" s="15" t="n">
        <v>344</v>
      </c>
      <c r="CT26" s="16" t="n">
        <f aca="false">CS26/31</f>
        <v>11.0967741935484</v>
      </c>
      <c r="CU26" s="15" t="n">
        <v>231</v>
      </c>
      <c r="CV26" s="16" t="n">
        <f aca="false">CU26/30</f>
        <v>7.7</v>
      </c>
      <c r="CW26" s="15" t="n">
        <v>453</v>
      </c>
      <c r="CX26" s="16" t="n">
        <f aca="false">CW26/31</f>
        <v>14.6129032258065</v>
      </c>
      <c r="CY26" s="15" t="n">
        <v>237</v>
      </c>
      <c r="CZ26" s="16" t="n">
        <f aca="false">CY26/30</f>
        <v>7.9</v>
      </c>
      <c r="DA26" s="15" t="n">
        <v>462</v>
      </c>
      <c r="DB26" s="16" t="n">
        <f aca="false">DA26/31</f>
        <v>14.9032258064516</v>
      </c>
      <c r="DC26" s="17" t="n">
        <f aca="false">SUM(CE26:DA26)</f>
        <v>3900.77104454685</v>
      </c>
      <c r="DD26" s="18" t="n">
        <f aca="false">IFERROR(STDEV(CF26,CH26,CJ26,CL26,CN26,CP26,CR26,CT26,CV26,CX26,CZ26,DB26),0)</f>
        <v>2.62556882521084</v>
      </c>
      <c r="DE26" s="15" t="n">
        <v>330</v>
      </c>
      <c r="DF26" s="16" t="n">
        <f aca="false">DE26/31</f>
        <v>10.6451612903226</v>
      </c>
      <c r="DG26" s="15" t="n">
        <v>281</v>
      </c>
      <c r="DH26" s="16" t="n">
        <f aca="false">DG26/28</f>
        <v>10.0357142857143</v>
      </c>
      <c r="DI26" s="15" t="n">
        <v>258</v>
      </c>
      <c r="DJ26" s="16" t="n">
        <f aca="false">DI26/31</f>
        <v>8.32258064516129</v>
      </c>
      <c r="DK26" s="15" t="n">
        <v>249</v>
      </c>
      <c r="DL26" s="16" t="n">
        <f aca="false">DK26/30</f>
        <v>8.3</v>
      </c>
      <c r="DM26" s="15" t="n">
        <v>268</v>
      </c>
      <c r="DN26" s="16" t="n">
        <f aca="false">DM26/31</f>
        <v>8.64516129032258</v>
      </c>
      <c r="DO26" s="15" t="n">
        <v>317</v>
      </c>
      <c r="DP26" s="16" t="n">
        <f aca="false">DO26/30</f>
        <v>10.5666666666667</v>
      </c>
      <c r="DQ26" s="15" t="n">
        <v>338</v>
      </c>
      <c r="DR26" s="16" t="n">
        <f aca="false">DQ26/31</f>
        <v>10.9032258064516</v>
      </c>
      <c r="DS26" s="15" t="n">
        <v>247</v>
      </c>
      <c r="DT26" s="16" t="n">
        <f aca="false">DS26/31</f>
        <v>7.96774193548387</v>
      </c>
      <c r="DU26" s="15" t="n">
        <v>321</v>
      </c>
      <c r="DV26" s="16" t="n">
        <f aca="false">DU26/30</f>
        <v>10.7</v>
      </c>
      <c r="DW26" s="15" t="n">
        <v>288</v>
      </c>
      <c r="DX26" s="16" t="n">
        <f aca="false">DW26/31</f>
        <v>9.29032258064516</v>
      </c>
      <c r="DY26" s="15" t="n">
        <v>220</v>
      </c>
      <c r="DZ26" s="16" t="n">
        <f aca="false">DY26/30</f>
        <v>7.33333333333333</v>
      </c>
      <c r="EA26" s="15" t="n">
        <v>252</v>
      </c>
      <c r="EB26" s="16" t="n">
        <f aca="false">EA26/31</f>
        <v>8.12903225806452</v>
      </c>
      <c r="EC26" s="17" t="n">
        <f aca="false">SUM(DE26:EA26)</f>
        <v>3471.7099078341</v>
      </c>
      <c r="ED26" s="18" t="n">
        <f aca="false">IFERROR(STDEV(DF26,DH26,DJ26,DL26,DN26,DP26,DR26,DT26,DV26,DX26,DZ26,EB26),0)</f>
        <v>1.2733404500979</v>
      </c>
      <c r="EE26" s="19" t="n">
        <f aca="false">STDEV(F26:AB26,AF26:BB26,BF26:CB26,CF26:DB26,DF26:EB26)</f>
        <v>156.936648218492</v>
      </c>
    </row>
    <row r="27" customFormat="false" ht="15" hidden="false" customHeight="true" outlineLevel="0" collapsed="false">
      <c r="A27" s="11" t="n">
        <v>22</v>
      </c>
      <c r="B27" s="12" t="s">
        <v>78</v>
      </c>
      <c r="C27" s="13" t="s">
        <v>79</v>
      </c>
      <c r="D27" s="14" t="s">
        <v>36</v>
      </c>
      <c r="E27" s="15" t="n">
        <v>760</v>
      </c>
      <c r="F27" s="16" t="n">
        <f aca="false">E27/31</f>
        <v>24.5161290322581</v>
      </c>
      <c r="G27" s="15" t="n">
        <v>685</v>
      </c>
      <c r="H27" s="16" t="n">
        <f aca="false">G27/28</f>
        <v>24.4642857142857</v>
      </c>
      <c r="I27" s="15" t="n">
        <v>721</v>
      </c>
      <c r="J27" s="16" t="n">
        <f aca="false">I27/31</f>
        <v>23.258064516129</v>
      </c>
      <c r="K27" s="15" t="n">
        <v>1392</v>
      </c>
      <c r="L27" s="16" t="n">
        <f aca="false">K27/30</f>
        <v>46.4</v>
      </c>
      <c r="M27" s="15" t="n">
        <v>923</v>
      </c>
      <c r="N27" s="16" t="n">
        <f aca="false">M27/31</f>
        <v>29.7741935483871</v>
      </c>
      <c r="O27" s="15" t="n">
        <v>1236</v>
      </c>
      <c r="P27" s="16" t="n">
        <f aca="false">O27/30</f>
        <v>41.2</v>
      </c>
      <c r="Q27" s="15" t="n">
        <v>1059</v>
      </c>
      <c r="R27" s="16" t="n">
        <f aca="false">Q27/31</f>
        <v>34.1612903225807</v>
      </c>
      <c r="S27" s="15" t="n">
        <v>779</v>
      </c>
      <c r="T27" s="16" t="n">
        <f aca="false">S27/31</f>
        <v>25.1290322580645</v>
      </c>
      <c r="U27" s="15" t="n">
        <v>842</v>
      </c>
      <c r="V27" s="16" t="n">
        <f aca="false">U27/30</f>
        <v>28.0666666666667</v>
      </c>
      <c r="W27" s="15" t="n">
        <v>1003</v>
      </c>
      <c r="X27" s="16" t="n">
        <f aca="false">W27/31</f>
        <v>32.3548387096774</v>
      </c>
      <c r="Y27" s="15" t="n">
        <v>1004</v>
      </c>
      <c r="Z27" s="16" t="n">
        <f aca="false">Y27/30</f>
        <v>33.4666666666667</v>
      </c>
      <c r="AA27" s="15" t="n">
        <v>1074</v>
      </c>
      <c r="AB27" s="16" t="n">
        <f aca="false">AA27/31</f>
        <v>34.6451612903226</v>
      </c>
      <c r="AC27" s="17" t="n">
        <f aca="false">SUM(E27:AA27)</f>
        <v>11820.7911674347</v>
      </c>
      <c r="AD27" s="18" t="n">
        <f aca="false">IFERROR(STDEV(F27,H27,J27,L27,N27,P27,R27,T27,V27,X27,Z27,AB27),0)</f>
        <v>7.13000829395952</v>
      </c>
      <c r="AE27" s="15" t="n">
        <v>905</v>
      </c>
      <c r="AF27" s="16" t="n">
        <f aca="false">AE27/31</f>
        <v>29.1935483870968</v>
      </c>
      <c r="AG27" s="15" t="n">
        <v>1118</v>
      </c>
      <c r="AH27" s="16" t="n">
        <f aca="false">AG27/28</f>
        <v>39.9285714285714</v>
      </c>
      <c r="AI27" s="15" t="n">
        <v>1029</v>
      </c>
      <c r="AJ27" s="16" t="n">
        <f aca="false">AI27/31</f>
        <v>33.1935483870968</v>
      </c>
      <c r="AK27" s="15" t="n">
        <v>1154</v>
      </c>
      <c r="AL27" s="16" t="n">
        <f aca="false">AK27/30</f>
        <v>38.4666666666667</v>
      </c>
      <c r="AM27" s="15" t="n">
        <v>1084</v>
      </c>
      <c r="AN27" s="16" t="n">
        <f aca="false">AM27/31</f>
        <v>34.9677419354839</v>
      </c>
      <c r="AO27" s="15" t="n">
        <v>1342</v>
      </c>
      <c r="AP27" s="16" t="n">
        <f aca="false">AO27/30</f>
        <v>44.7333333333333</v>
      </c>
      <c r="AQ27" s="15" t="n">
        <v>1533</v>
      </c>
      <c r="AR27" s="16" t="n">
        <f aca="false">AQ27/31</f>
        <v>49.4516129032258</v>
      </c>
      <c r="AS27" s="15" t="n">
        <v>1392</v>
      </c>
      <c r="AT27" s="16" t="n">
        <f aca="false">AS27/31</f>
        <v>44.9032258064516</v>
      </c>
      <c r="AU27" s="15" t="n">
        <v>813</v>
      </c>
      <c r="AV27" s="16" t="n">
        <f aca="false">AU27/30</f>
        <v>27.1</v>
      </c>
      <c r="AW27" s="15" t="n">
        <v>841</v>
      </c>
      <c r="AX27" s="16" t="n">
        <f aca="false">AW27/31</f>
        <v>27.1290322580645</v>
      </c>
      <c r="AY27" s="15" t="n">
        <v>1423</v>
      </c>
      <c r="AZ27" s="16" t="n">
        <f aca="false">AY27/30</f>
        <v>47.4333333333333</v>
      </c>
      <c r="BA27" s="15" t="n">
        <v>1030</v>
      </c>
      <c r="BB27" s="16" t="n">
        <f aca="false">BA27/31</f>
        <v>33.2258064516129</v>
      </c>
      <c r="BC27" s="17" t="n">
        <f aca="false">SUM(AE27:BA27)</f>
        <v>14080.5006144393</v>
      </c>
      <c r="BD27" s="18" t="n">
        <f aca="false">IFERROR(STDEV(AF27,AH27,AJ27,AL27,AN27,AP27,AR27,AT27,AV27,AX27,AZ27,BB27),0)</f>
        <v>7.88213105265334</v>
      </c>
      <c r="BE27" s="15" t="n">
        <v>1346</v>
      </c>
      <c r="BF27" s="16" t="n">
        <f aca="false">BE27/31</f>
        <v>43.4193548387097</v>
      </c>
      <c r="BG27" s="15" t="n">
        <v>1285</v>
      </c>
      <c r="BH27" s="16" t="n">
        <f aca="false">BG27/28</f>
        <v>45.8928571428571</v>
      </c>
      <c r="BI27" s="15" t="n">
        <v>1513</v>
      </c>
      <c r="BJ27" s="16" t="n">
        <f aca="false">BI27/31</f>
        <v>48.8064516129032</v>
      </c>
      <c r="BK27" s="15" t="n">
        <v>1483</v>
      </c>
      <c r="BL27" s="16" t="n">
        <f aca="false">BK27/30</f>
        <v>49.4333333333333</v>
      </c>
      <c r="BM27" s="15" t="n">
        <v>990</v>
      </c>
      <c r="BN27" s="16" t="n">
        <f aca="false">BM27/31</f>
        <v>31.9354838709677</v>
      </c>
      <c r="BO27" s="15" t="n">
        <v>1218</v>
      </c>
      <c r="BP27" s="16" t="n">
        <f aca="false">BO27/30</f>
        <v>40.6</v>
      </c>
      <c r="BQ27" s="15" t="n">
        <v>814</v>
      </c>
      <c r="BR27" s="16" t="n">
        <f aca="false">BQ27/31</f>
        <v>26.258064516129</v>
      </c>
      <c r="BS27" s="15" t="n">
        <v>1005</v>
      </c>
      <c r="BT27" s="16" t="n">
        <f aca="false">BS27/31</f>
        <v>32.4193548387097</v>
      </c>
      <c r="BU27" s="15" t="n">
        <v>1569</v>
      </c>
      <c r="BV27" s="16" t="n">
        <f aca="false">BU27/30</f>
        <v>52.3</v>
      </c>
      <c r="BW27" s="15" t="n">
        <v>1323</v>
      </c>
      <c r="BX27" s="16" t="n">
        <f aca="false">BW27/31</f>
        <v>42.6774193548387</v>
      </c>
      <c r="BY27" s="15" t="n">
        <v>1043</v>
      </c>
      <c r="BZ27" s="16" t="n">
        <f aca="false">BY27/30</f>
        <v>34.7666666666667</v>
      </c>
      <c r="CA27" s="15" t="n">
        <v>1229</v>
      </c>
      <c r="CB27" s="16" t="n">
        <f aca="false">CA27/31</f>
        <v>39.6451612903226</v>
      </c>
      <c r="CC27" s="17" t="n">
        <f aca="false">SUM(BE27:CA27)</f>
        <v>15266.5089861751</v>
      </c>
      <c r="CD27" s="18" t="n">
        <f aca="false">IFERROR(STDEV(BF27,BH27,BJ27,BL27,BN27,BP27,BR27,BT27,BV27,BX27,BZ27,CB27),0)</f>
        <v>8.00621311112919</v>
      </c>
      <c r="CE27" s="15" t="n">
        <v>1261</v>
      </c>
      <c r="CF27" s="16" t="n">
        <f aca="false">CE27/31</f>
        <v>40.6774193548387</v>
      </c>
      <c r="CG27" s="15" t="n">
        <v>792</v>
      </c>
      <c r="CH27" s="16" t="n">
        <f aca="false">CG27/28</f>
        <v>28.2857142857143</v>
      </c>
      <c r="CI27" s="15" t="n">
        <v>842</v>
      </c>
      <c r="CJ27" s="16" t="n">
        <f aca="false">CI27/31</f>
        <v>27.1612903225806</v>
      </c>
      <c r="CK27" s="15" t="n">
        <v>1152</v>
      </c>
      <c r="CL27" s="16" t="n">
        <f aca="false">CK27/30</f>
        <v>38.4</v>
      </c>
      <c r="CM27" s="15" t="n">
        <v>1168</v>
      </c>
      <c r="CN27" s="16" t="n">
        <f aca="false">CM27/31</f>
        <v>37.6774193548387</v>
      </c>
      <c r="CO27" s="15" t="n">
        <v>1061</v>
      </c>
      <c r="CP27" s="16" t="n">
        <f aca="false">CO27/30</f>
        <v>35.3666666666667</v>
      </c>
      <c r="CQ27" s="15" t="n">
        <v>1180</v>
      </c>
      <c r="CR27" s="16" t="n">
        <f aca="false">CQ27/31</f>
        <v>38.0645161290323</v>
      </c>
      <c r="CS27" s="15" t="n">
        <v>1112</v>
      </c>
      <c r="CT27" s="16" t="n">
        <f aca="false">CS27/31</f>
        <v>35.8709677419355</v>
      </c>
      <c r="CU27" s="15" t="n">
        <v>1072</v>
      </c>
      <c r="CV27" s="16" t="n">
        <f aca="false">CU27/30</f>
        <v>35.7333333333333</v>
      </c>
      <c r="CW27" s="15" t="n">
        <v>954</v>
      </c>
      <c r="CX27" s="16" t="n">
        <f aca="false">CW27/31</f>
        <v>30.7741935483871</v>
      </c>
      <c r="CY27" s="15" t="n">
        <v>1043</v>
      </c>
      <c r="CZ27" s="16" t="n">
        <f aca="false">CY27/30</f>
        <v>34.7666666666667</v>
      </c>
      <c r="DA27" s="15" t="n">
        <v>877</v>
      </c>
      <c r="DB27" s="16" t="n">
        <f aca="false">DA27/31</f>
        <v>28.2903225806452</v>
      </c>
      <c r="DC27" s="17" t="n">
        <f aca="false">SUM(CE27:DA27)</f>
        <v>12896.778187404</v>
      </c>
      <c r="DD27" s="18" t="n">
        <f aca="false">IFERROR(STDEV(CF27,CH27,CJ27,CL27,CN27,CP27,CR27,CT27,CV27,CX27,CZ27,DB27),0)</f>
        <v>4.51859554459496</v>
      </c>
      <c r="DE27" s="15" t="n">
        <v>909</v>
      </c>
      <c r="DF27" s="16" t="n">
        <f aca="false">DE27/31</f>
        <v>29.3225806451613</v>
      </c>
      <c r="DG27" s="15" t="n">
        <v>910</v>
      </c>
      <c r="DH27" s="16" t="n">
        <f aca="false">DG27/28</f>
        <v>32.5</v>
      </c>
      <c r="DI27" s="15" t="n">
        <v>761</v>
      </c>
      <c r="DJ27" s="16" t="n">
        <f aca="false">DI27/31</f>
        <v>24.5483870967742</v>
      </c>
      <c r="DK27" s="15" t="n">
        <v>789</v>
      </c>
      <c r="DL27" s="16" t="n">
        <f aca="false">DK27/30</f>
        <v>26.3</v>
      </c>
      <c r="DM27" s="15" t="n">
        <v>1389</v>
      </c>
      <c r="DN27" s="16" t="n">
        <f aca="false">DM27/31</f>
        <v>44.8064516129032</v>
      </c>
      <c r="DO27" s="15" t="n">
        <v>1011</v>
      </c>
      <c r="DP27" s="16" t="n">
        <f aca="false">DO27/30</f>
        <v>33.7</v>
      </c>
      <c r="DQ27" s="15" t="n">
        <v>799</v>
      </c>
      <c r="DR27" s="16" t="n">
        <f aca="false">DQ27/31</f>
        <v>25.7741935483871</v>
      </c>
      <c r="DS27" s="15" t="n">
        <v>726</v>
      </c>
      <c r="DT27" s="16" t="n">
        <f aca="false">DS27/31</f>
        <v>23.4193548387097</v>
      </c>
      <c r="DU27" s="15" t="n">
        <v>677</v>
      </c>
      <c r="DV27" s="16" t="n">
        <f aca="false">DU27/30</f>
        <v>22.5666666666667</v>
      </c>
      <c r="DW27" s="15" t="n">
        <v>1304</v>
      </c>
      <c r="DX27" s="16" t="n">
        <f aca="false">DW27/31</f>
        <v>42.0645161290323</v>
      </c>
      <c r="DY27" s="15" t="n">
        <v>696</v>
      </c>
      <c r="DZ27" s="16" t="n">
        <f aca="false">DY27/30</f>
        <v>23.2</v>
      </c>
      <c r="EA27" s="15" t="n">
        <v>1244</v>
      </c>
      <c r="EB27" s="16" t="n">
        <f aca="false">EA27/31</f>
        <v>40.1290322580645</v>
      </c>
      <c r="EC27" s="17" t="n">
        <f aca="false">SUM(DE27:EA27)</f>
        <v>11543.2021505376</v>
      </c>
      <c r="ED27" s="18" t="n">
        <f aca="false">IFERROR(STDEV(DF27,DH27,DJ27,DL27,DN27,DP27,DR27,DT27,DV27,DX27,DZ27,EB27),0)</f>
        <v>7.90892797178608</v>
      </c>
      <c r="EE27" s="19" t="n">
        <f aca="false">STDEV(F27:AB27,AF27:BB27,BF27:CB27,CF27:DB27,DF27:EB27)</f>
        <v>542.347423845129</v>
      </c>
    </row>
    <row r="28" customFormat="false" ht="15" hidden="false" customHeight="true" outlineLevel="0" collapsed="false">
      <c r="A28" s="11" t="n">
        <v>23</v>
      </c>
      <c r="B28" s="12" t="s">
        <v>80</v>
      </c>
      <c r="C28" s="13" t="s">
        <v>81</v>
      </c>
      <c r="D28" s="14" t="s">
        <v>36</v>
      </c>
      <c r="E28" s="15" t="n">
        <v>4814</v>
      </c>
      <c r="F28" s="16" t="n">
        <f aca="false">E28/31</f>
        <v>155.290322580645</v>
      </c>
      <c r="G28" s="15" t="n">
        <v>4961</v>
      </c>
      <c r="H28" s="16" t="n">
        <f aca="false">G28/28</f>
        <v>177.178571428571</v>
      </c>
      <c r="I28" s="15" t="n">
        <v>2392</v>
      </c>
      <c r="J28" s="16" t="n">
        <f aca="false">I28/31</f>
        <v>77.1612903225806</v>
      </c>
      <c r="K28" s="15" t="n">
        <v>3300</v>
      </c>
      <c r="L28" s="16" t="n">
        <f aca="false">K28/30</f>
        <v>110</v>
      </c>
      <c r="M28" s="15" t="n">
        <v>4605</v>
      </c>
      <c r="N28" s="16" t="n">
        <f aca="false">M28/31</f>
        <v>148.548387096774</v>
      </c>
      <c r="O28" s="15" t="n">
        <v>2676</v>
      </c>
      <c r="P28" s="16" t="n">
        <f aca="false">O28/30</f>
        <v>89.2</v>
      </c>
      <c r="Q28" s="15" t="n">
        <v>3422</v>
      </c>
      <c r="R28" s="16" t="n">
        <f aca="false">Q28/31</f>
        <v>110.387096774194</v>
      </c>
      <c r="S28" s="15" t="n">
        <v>2770</v>
      </c>
      <c r="T28" s="16" t="n">
        <f aca="false">S28/31</f>
        <v>89.3548387096774</v>
      </c>
      <c r="U28" s="15" t="n">
        <v>4802</v>
      </c>
      <c r="V28" s="16" t="n">
        <f aca="false">U28/30</f>
        <v>160.066666666667</v>
      </c>
      <c r="W28" s="15" t="n">
        <v>4619</v>
      </c>
      <c r="X28" s="16" t="n">
        <f aca="false">W28/31</f>
        <v>149</v>
      </c>
      <c r="Y28" s="15" t="n">
        <v>4735</v>
      </c>
      <c r="Z28" s="16" t="n">
        <f aca="false">Y28/30</f>
        <v>157.833333333333</v>
      </c>
      <c r="AA28" s="15" t="n">
        <v>2780</v>
      </c>
      <c r="AB28" s="16" t="n">
        <f aca="false">AA28/31</f>
        <v>89.6774193548387</v>
      </c>
      <c r="AC28" s="17" t="n">
        <f aca="false">SUM(E28:AA28)</f>
        <v>47300.0205069124</v>
      </c>
      <c r="AD28" s="18" t="n">
        <f aca="false">IFERROR(STDEV(F28,H28,J28,L28,N28,P28,R28,T28,V28,X28,Z28,AB28),0)</f>
        <v>35.1486164147455</v>
      </c>
      <c r="AE28" s="15" t="n">
        <v>4133</v>
      </c>
      <c r="AF28" s="16" t="n">
        <f aca="false">AE28/31</f>
        <v>133.322580645161</v>
      </c>
      <c r="AG28" s="15" t="n">
        <v>4039</v>
      </c>
      <c r="AH28" s="16" t="n">
        <f aca="false">AG28/28</f>
        <v>144.25</v>
      </c>
      <c r="AI28" s="15" t="n">
        <v>4963</v>
      </c>
      <c r="AJ28" s="16" t="n">
        <f aca="false">AI28/31</f>
        <v>160.096774193548</v>
      </c>
      <c r="AK28" s="15" t="n">
        <v>3436</v>
      </c>
      <c r="AL28" s="16" t="n">
        <f aca="false">AK28/30</f>
        <v>114.533333333333</v>
      </c>
      <c r="AM28" s="15" t="n">
        <v>4155</v>
      </c>
      <c r="AN28" s="16" t="n">
        <f aca="false">AM28/31</f>
        <v>134.032258064516</v>
      </c>
      <c r="AO28" s="15" t="n">
        <v>3601</v>
      </c>
      <c r="AP28" s="16" t="n">
        <f aca="false">AO28/30</f>
        <v>120.033333333333</v>
      </c>
      <c r="AQ28" s="15" t="n">
        <v>5214</v>
      </c>
      <c r="AR28" s="16" t="n">
        <f aca="false">AQ28/31</f>
        <v>168.193548387097</v>
      </c>
      <c r="AS28" s="15" t="n">
        <v>4172</v>
      </c>
      <c r="AT28" s="16" t="n">
        <f aca="false">AS28/31</f>
        <v>134.58064516129</v>
      </c>
      <c r="AU28" s="15" t="n">
        <v>4468</v>
      </c>
      <c r="AV28" s="16" t="n">
        <f aca="false">AU28/30</f>
        <v>148.933333333333</v>
      </c>
      <c r="AW28" s="15" t="n">
        <v>3687</v>
      </c>
      <c r="AX28" s="16" t="n">
        <f aca="false">AW28/31</f>
        <v>118.935483870968</v>
      </c>
      <c r="AY28" s="15" t="n">
        <v>5423</v>
      </c>
      <c r="AZ28" s="16" t="n">
        <f aca="false">AY28/30</f>
        <v>180.766666666667</v>
      </c>
      <c r="BA28" s="15" t="n">
        <v>4242</v>
      </c>
      <c r="BB28" s="16" t="n">
        <f aca="false">BA28/31</f>
        <v>136.838709677419</v>
      </c>
      <c r="BC28" s="17" t="n">
        <f aca="false">SUM(AE28:BA28)</f>
        <v>53090.6779569892</v>
      </c>
      <c r="BD28" s="18" t="n">
        <f aca="false">IFERROR(STDEV(AF28,AH28,AJ28,AL28,AN28,AP28,AR28,AT28,AV28,AX28,AZ28,BB28),0)</f>
        <v>20.3413622275534</v>
      </c>
      <c r="BE28" s="15" t="n">
        <v>5094</v>
      </c>
      <c r="BF28" s="16" t="n">
        <f aca="false">BE28/31</f>
        <v>164.322580645161</v>
      </c>
      <c r="BG28" s="15" t="n">
        <v>3593</v>
      </c>
      <c r="BH28" s="16" t="n">
        <f aca="false">BG28/28</f>
        <v>128.321428571429</v>
      </c>
      <c r="BI28" s="15" t="n">
        <v>5454</v>
      </c>
      <c r="BJ28" s="16" t="n">
        <f aca="false">BI28/31</f>
        <v>175.935483870968</v>
      </c>
      <c r="BK28" s="15" t="n">
        <v>5574</v>
      </c>
      <c r="BL28" s="16" t="n">
        <f aca="false">BK28/30</f>
        <v>185.8</v>
      </c>
      <c r="BM28" s="15" t="n">
        <v>3894</v>
      </c>
      <c r="BN28" s="16" t="n">
        <f aca="false">BM28/31</f>
        <v>125.612903225806</v>
      </c>
      <c r="BO28" s="15" t="n">
        <v>3316</v>
      </c>
      <c r="BP28" s="16" t="n">
        <f aca="false">BO28/30</f>
        <v>110.533333333333</v>
      </c>
      <c r="BQ28" s="15" t="n">
        <v>3638</v>
      </c>
      <c r="BR28" s="16" t="n">
        <f aca="false">BQ28/31</f>
        <v>117.354838709677</v>
      </c>
      <c r="BS28" s="15" t="n">
        <v>4105</v>
      </c>
      <c r="BT28" s="16" t="n">
        <f aca="false">BS28/31</f>
        <v>132.41935483871</v>
      </c>
      <c r="BU28" s="15" t="n">
        <v>5516</v>
      </c>
      <c r="BV28" s="16" t="n">
        <f aca="false">BU28/30</f>
        <v>183.866666666667</v>
      </c>
      <c r="BW28" s="15" t="n">
        <v>5036</v>
      </c>
      <c r="BX28" s="16" t="n">
        <f aca="false">BW28/31</f>
        <v>162.451612903226</v>
      </c>
      <c r="BY28" s="15" t="n">
        <v>4985</v>
      </c>
      <c r="BZ28" s="16" t="n">
        <f aca="false">BY28/30</f>
        <v>166.166666666667</v>
      </c>
      <c r="CA28" s="15" t="n">
        <v>2855</v>
      </c>
      <c r="CB28" s="16" t="n">
        <f aca="false">CA28/31</f>
        <v>92.0967741935484</v>
      </c>
      <c r="CC28" s="17" t="n">
        <f aca="false">SUM(BE28:CA28)</f>
        <v>54712.7848694316</v>
      </c>
      <c r="CD28" s="18" t="n">
        <f aca="false">IFERROR(STDEV(BF28,BH28,BJ28,BL28,BN28,BP28,BR28,BT28,BV28,BX28,BZ28,CB28),0)</f>
        <v>31.3622370154376</v>
      </c>
      <c r="CE28" s="15" t="n">
        <v>2817</v>
      </c>
      <c r="CF28" s="16" t="n">
        <f aca="false">CE28/31</f>
        <v>90.8709677419355</v>
      </c>
      <c r="CG28" s="15" t="n">
        <v>3919</v>
      </c>
      <c r="CH28" s="16" t="n">
        <f aca="false">CG28/28</f>
        <v>139.964285714286</v>
      </c>
      <c r="CI28" s="15" t="n">
        <v>4575</v>
      </c>
      <c r="CJ28" s="16" t="n">
        <f aca="false">CI28/31</f>
        <v>147.58064516129</v>
      </c>
      <c r="CK28" s="15" t="n">
        <v>3675</v>
      </c>
      <c r="CL28" s="16" t="n">
        <f aca="false">CK28/30</f>
        <v>122.5</v>
      </c>
      <c r="CM28" s="15" t="n">
        <v>2402</v>
      </c>
      <c r="CN28" s="16" t="n">
        <f aca="false">CM28/31</f>
        <v>77.4838709677419</v>
      </c>
      <c r="CO28" s="15" t="n">
        <v>4496</v>
      </c>
      <c r="CP28" s="16" t="n">
        <f aca="false">CO28/30</f>
        <v>149.866666666667</v>
      </c>
      <c r="CQ28" s="15" t="n">
        <v>4510</v>
      </c>
      <c r="CR28" s="16" t="n">
        <f aca="false">CQ28/31</f>
        <v>145.483870967742</v>
      </c>
      <c r="CS28" s="15" t="n">
        <v>2916</v>
      </c>
      <c r="CT28" s="16" t="n">
        <f aca="false">CS28/31</f>
        <v>94.0645161290323</v>
      </c>
      <c r="CU28" s="15" t="n">
        <v>4262</v>
      </c>
      <c r="CV28" s="16" t="n">
        <f aca="false">CU28/30</f>
        <v>142.066666666667</v>
      </c>
      <c r="CW28" s="15" t="n">
        <v>2881</v>
      </c>
      <c r="CX28" s="16" t="n">
        <f aca="false">CW28/31</f>
        <v>92.9354838709677</v>
      </c>
      <c r="CY28" s="15" t="n">
        <v>4663</v>
      </c>
      <c r="CZ28" s="16" t="n">
        <f aca="false">CY28/30</f>
        <v>155.433333333333</v>
      </c>
      <c r="DA28" s="15" t="n">
        <v>2528</v>
      </c>
      <c r="DB28" s="16" t="n">
        <f aca="false">DA28/31</f>
        <v>81.5483870967742</v>
      </c>
      <c r="DC28" s="17" t="n">
        <f aca="false">SUM(CE28:DA28)</f>
        <v>45002.2503072197</v>
      </c>
      <c r="DD28" s="18" t="n">
        <f aca="false">IFERROR(STDEV(CF28,CH28,CJ28,CL28,CN28,CP28,CR28,CT28,CV28,CX28,CZ28,DB28),0)</f>
        <v>30.1348504087302</v>
      </c>
      <c r="DE28" s="15" t="n">
        <v>3907</v>
      </c>
      <c r="DF28" s="16" t="n">
        <f aca="false">DE28/31</f>
        <v>126.032258064516</v>
      </c>
      <c r="DG28" s="15" t="n">
        <v>5582</v>
      </c>
      <c r="DH28" s="16" t="n">
        <f aca="false">DG28/28</f>
        <v>199.357142857143</v>
      </c>
      <c r="DI28" s="15" t="n">
        <v>3198</v>
      </c>
      <c r="DJ28" s="16" t="n">
        <f aca="false">DI28/31</f>
        <v>103.161290322581</v>
      </c>
      <c r="DK28" s="15" t="n">
        <v>3952</v>
      </c>
      <c r="DL28" s="16" t="n">
        <f aca="false">DK28/30</f>
        <v>131.733333333333</v>
      </c>
      <c r="DM28" s="15" t="n">
        <v>3618</v>
      </c>
      <c r="DN28" s="16" t="n">
        <f aca="false">DM28/31</f>
        <v>116.709677419355</v>
      </c>
      <c r="DO28" s="15" t="n">
        <v>2556</v>
      </c>
      <c r="DP28" s="16" t="n">
        <f aca="false">DO28/30</f>
        <v>85.2</v>
      </c>
      <c r="DQ28" s="15" t="n">
        <v>2643</v>
      </c>
      <c r="DR28" s="16" t="n">
        <f aca="false">DQ28/31</f>
        <v>85.258064516129</v>
      </c>
      <c r="DS28" s="15" t="n">
        <v>4120</v>
      </c>
      <c r="DT28" s="16" t="n">
        <f aca="false">DS28/31</f>
        <v>132.903225806452</v>
      </c>
      <c r="DU28" s="15" t="n">
        <v>3244</v>
      </c>
      <c r="DV28" s="16" t="n">
        <f aca="false">DU28/30</f>
        <v>108.133333333333</v>
      </c>
      <c r="DW28" s="15" t="n">
        <v>5740</v>
      </c>
      <c r="DX28" s="16" t="n">
        <f aca="false">DW28/31</f>
        <v>185.161290322581</v>
      </c>
      <c r="DY28" s="15" t="n">
        <v>3701</v>
      </c>
      <c r="DZ28" s="16" t="n">
        <f aca="false">DY28/30</f>
        <v>123.366666666667</v>
      </c>
      <c r="EA28" s="15" t="n">
        <v>2561</v>
      </c>
      <c r="EB28" s="16" t="n">
        <f aca="false">EA28/31</f>
        <v>82.6129032258065</v>
      </c>
      <c r="EC28" s="17" t="n">
        <f aca="false">SUM(DE28:EA28)</f>
        <v>46219.0162826421</v>
      </c>
      <c r="ED28" s="18" t="n">
        <f aca="false">IFERROR(STDEV(DF28,DH28,DJ28,DL28,DN28,DP28,DR28,DT28,DV28,DX28,DZ28,EB28),0)</f>
        <v>36.9466290020864</v>
      </c>
      <c r="EE28" s="19" t="n">
        <f aca="false">STDEV(F28:AB28,AF28:BB28,BF28:CB28,CF28:DB28,DF28:EB28)</f>
        <v>2032.91209452832</v>
      </c>
    </row>
    <row r="29" customFormat="false" ht="15" hidden="false" customHeight="true" outlineLevel="0" collapsed="false">
      <c r="A29" s="11" t="n">
        <v>24</v>
      </c>
      <c r="B29" s="12" t="s">
        <v>82</v>
      </c>
      <c r="C29" s="13" t="s">
        <v>83</v>
      </c>
      <c r="D29" s="14" t="s">
        <v>36</v>
      </c>
      <c r="E29" s="15" t="n">
        <v>3344</v>
      </c>
      <c r="F29" s="16" t="n">
        <f aca="false">E29/31</f>
        <v>107.870967741935</v>
      </c>
      <c r="G29" s="15" t="n">
        <v>3162</v>
      </c>
      <c r="H29" s="16" t="n">
        <f aca="false">G29/28</f>
        <v>112.928571428571</v>
      </c>
      <c r="I29" s="15" t="n">
        <v>2785</v>
      </c>
      <c r="J29" s="16" t="n">
        <f aca="false">I29/31</f>
        <v>89.8387096774194</v>
      </c>
      <c r="K29" s="15" t="n">
        <v>3067</v>
      </c>
      <c r="L29" s="16" t="n">
        <f aca="false">K29/30</f>
        <v>102.233333333333</v>
      </c>
      <c r="M29" s="15" t="n">
        <v>1766</v>
      </c>
      <c r="N29" s="16" t="n">
        <f aca="false">M29/31</f>
        <v>56.9677419354839</v>
      </c>
      <c r="O29" s="15" t="n">
        <v>2063</v>
      </c>
      <c r="P29" s="16" t="n">
        <f aca="false">O29/30</f>
        <v>68.7666666666667</v>
      </c>
      <c r="Q29" s="15" t="n">
        <v>3143</v>
      </c>
      <c r="R29" s="16" t="n">
        <f aca="false">Q29/31</f>
        <v>101.387096774194</v>
      </c>
      <c r="S29" s="15" t="n">
        <v>2877</v>
      </c>
      <c r="T29" s="16" t="n">
        <f aca="false">S29/31</f>
        <v>92.8064516129032</v>
      </c>
      <c r="U29" s="15" t="n">
        <v>1768</v>
      </c>
      <c r="V29" s="16" t="n">
        <f aca="false">U29/30</f>
        <v>58.9333333333333</v>
      </c>
      <c r="W29" s="15" t="n">
        <v>2896</v>
      </c>
      <c r="X29" s="16" t="n">
        <f aca="false">W29/31</f>
        <v>93.4193548387097</v>
      </c>
      <c r="Y29" s="15" t="n">
        <v>2385</v>
      </c>
      <c r="Z29" s="16" t="n">
        <f aca="false">Y29/30</f>
        <v>79.5</v>
      </c>
      <c r="AA29" s="15" t="n">
        <v>1503</v>
      </c>
      <c r="AB29" s="16" t="n">
        <f aca="false">AA29/31</f>
        <v>48.4838709677419</v>
      </c>
      <c r="AC29" s="17" t="n">
        <f aca="false">SUM(E29:AA29)</f>
        <v>31723.6522273426</v>
      </c>
      <c r="AD29" s="18" t="n">
        <f aca="false">IFERROR(STDEV(F29,H29,J29,L29,N29,P29,R29,T29,V29,X29,Z29,AB29),0)</f>
        <v>21.5583808178664</v>
      </c>
      <c r="AE29" s="15" t="n">
        <v>1817</v>
      </c>
      <c r="AF29" s="16" t="n">
        <f aca="false">AE29/31</f>
        <v>58.6129032258065</v>
      </c>
      <c r="AG29" s="15" t="n">
        <v>2205</v>
      </c>
      <c r="AH29" s="16" t="n">
        <f aca="false">AG29/28</f>
        <v>78.75</v>
      </c>
      <c r="AI29" s="15" t="n">
        <v>3474</v>
      </c>
      <c r="AJ29" s="16" t="n">
        <f aca="false">AI29/31</f>
        <v>112.064516129032</v>
      </c>
      <c r="AK29" s="15" t="n">
        <v>2846</v>
      </c>
      <c r="AL29" s="16" t="n">
        <f aca="false">AK29/30</f>
        <v>94.8666666666667</v>
      </c>
      <c r="AM29" s="15" t="n">
        <v>3237</v>
      </c>
      <c r="AN29" s="16" t="n">
        <f aca="false">AM29/31</f>
        <v>104.41935483871</v>
      </c>
      <c r="AO29" s="15" t="n">
        <v>2800</v>
      </c>
      <c r="AP29" s="16" t="n">
        <f aca="false">AO29/30</f>
        <v>93.3333333333333</v>
      </c>
      <c r="AQ29" s="15" t="n">
        <v>1887</v>
      </c>
      <c r="AR29" s="16" t="n">
        <f aca="false">AQ29/31</f>
        <v>60.8709677419355</v>
      </c>
      <c r="AS29" s="15" t="n">
        <v>2275</v>
      </c>
      <c r="AT29" s="16" t="n">
        <f aca="false">AS29/31</f>
        <v>73.3870967741936</v>
      </c>
      <c r="AU29" s="15" t="n">
        <v>2304</v>
      </c>
      <c r="AV29" s="16" t="n">
        <f aca="false">AU29/30</f>
        <v>76.8</v>
      </c>
      <c r="AW29" s="15" t="n">
        <v>1748</v>
      </c>
      <c r="AX29" s="16" t="n">
        <f aca="false">AW29/31</f>
        <v>56.3870967741936</v>
      </c>
      <c r="AY29" s="15" t="n">
        <v>2564</v>
      </c>
      <c r="AZ29" s="16" t="n">
        <f aca="false">AY29/30</f>
        <v>85.4666666666667</v>
      </c>
      <c r="BA29" s="15" t="n">
        <v>3384</v>
      </c>
      <c r="BB29" s="16" t="n">
        <f aca="false">BA29/31</f>
        <v>109.161290322581</v>
      </c>
      <c r="BC29" s="17" t="n">
        <f aca="false">SUM(AE29:BA29)</f>
        <v>31435.9586021505</v>
      </c>
      <c r="BD29" s="18" t="n">
        <f aca="false">IFERROR(STDEV(AF29,AH29,AJ29,AL29,AN29,AP29,AR29,AT29,AV29,AX29,AZ29,BB29),0)</f>
        <v>19.4882602594399</v>
      </c>
      <c r="BE29" s="15" t="n">
        <v>2890</v>
      </c>
      <c r="BF29" s="16" t="n">
        <f aca="false">BE29/31</f>
        <v>93.2258064516129</v>
      </c>
      <c r="BG29" s="15" t="n">
        <v>2061</v>
      </c>
      <c r="BH29" s="16" t="n">
        <f aca="false">BG29/28</f>
        <v>73.6071428571429</v>
      </c>
      <c r="BI29" s="15" t="n">
        <v>3963</v>
      </c>
      <c r="BJ29" s="16" t="n">
        <f aca="false">BI29/31</f>
        <v>127.838709677419</v>
      </c>
      <c r="BK29" s="15" t="n">
        <v>3224</v>
      </c>
      <c r="BL29" s="16" t="n">
        <f aca="false">BK29/30</f>
        <v>107.466666666667</v>
      </c>
      <c r="BM29" s="15" t="n">
        <v>1835</v>
      </c>
      <c r="BN29" s="16" t="n">
        <f aca="false">BM29/31</f>
        <v>59.1935483870968</v>
      </c>
      <c r="BO29" s="15" t="n">
        <v>3030</v>
      </c>
      <c r="BP29" s="16" t="n">
        <f aca="false">BO29/30</f>
        <v>101</v>
      </c>
      <c r="BQ29" s="15" t="n">
        <v>2375</v>
      </c>
      <c r="BR29" s="16" t="n">
        <f aca="false">BQ29/31</f>
        <v>76.6129032258065</v>
      </c>
      <c r="BS29" s="15" t="n">
        <v>2139</v>
      </c>
      <c r="BT29" s="16" t="n">
        <f aca="false">BS29/31</f>
        <v>69</v>
      </c>
      <c r="BU29" s="15" t="n">
        <v>2823</v>
      </c>
      <c r="BV29" s="16" t="n">
        <f aca="false">BU29/30</f>
        <v>94.1</v>
      </c>
      <c r="BW29" s="15" t="n">
        <v>3268</v>
      </c>
      <c r="BX29" s="16" t="n">
        <f aca="false">BW29/31</f>
        <v>105.41935483871</v>
      </c>
      <c r="BY29" s="15" t="n">
        <v>2372</v>
      </c>
      <c r="BZ29" s="16" t="n">
        <f aca="false">BY29/30</f>
        <v>79.0666666666667</v>
      </c>
      <c r="CA29" s="15" t="n">
        <v>2793</v>
      </c>
      <c r="CB29" s="16" t="n">
        <f aca="false">CA29/31</f>
        <v>90.0967741935484</v>
      </c>
      <c r="CC29" s="17" t="n">
        <f aca="false">SUM(BE29:CA29)</f>
        <v>33759.5307987711</v>
      </c>
      <c r="CD29" s="18" t="n">
        <f aca="false">IFERROR(STDEV(BF29,BH29,BJ29,BL29,BN29,BP29,BR29,BT29,BV29,BX29,BZ29,CB29),0)</f>
        <v>19.2575880740812</v>
      </c>
      <c r="CE29" s="15" t="n">
        <v>2507</v>
      </c>
      <c r="CF29" s="16" t="n">
        <f aca="false">CE29/31</f>
        <v>80.8709677419355</v>
      </c>
      <c r="CG29" s="15" t="n">
        <v>1481</v>
      </c>
      <c r="CH29" s="16" t="n">
        <f aca="false">CG29/28</f>
        <v>52.8928571428571</v>
      </c>
      <c r="CI29" s="15" t="n">
        <v>3056</v>
      </c>
      <c r="CJ29" s="16" t="n">
        <f aca="false">CI29/31</f>
        <v>98.5806451612903</v>
      </c>
      <c r="CK29" s="15" t="n">
        <v>1449</v>
      </c>
      <c r="CL29" s="16" t="n">
        <f aca="false">CK29/30</f>
        <v>48.3</v>
      </c>
      <c r="CM29" s="15" t="n">
        <v>2261</v>
      </c>
      <c r="CN29" s="16" t="n">
        <f aca="false">CM29/31</f>
        <v>72.9354838709677</v>
      </c>
      <c r="CO29" s="15" t="n">
        <v>2228</v>
      </c>
      <c r="CP29" s="16" t="n">
        <f aca="false">CO29/30</f>
        <v>74.2666666666667</v>
      </c>
      <c r="CQ29" s="15" t="n">
        <v>3081</v>
      </c>
      <c r="CR29" s="16" t="n">
        <f aca="false">CQ29/31</f>
        <v>99.3870967741936</v>
      </c>
      <c r="CS29" s="15" t="n">
        <v>2311</v>
      </c>
      <c r="CT29" s="16" t="n">
        <f aca="false">CS29/31</f>
        <v>74.5483870967742</v>
      </c>
      <c r="CU29" s="15" t="n">
        <v>2021</v>
      </c>
      <c r="CV29" s="16" t="n">
        <f aca="false">CU29/30</f>
        <v>67.3666666666667</v>
      </c>
      <c r="CW29" s="15" t="n">
        <v>2162</v>
      </c>
      <c r="CX29" s="16" t="n">
        <f aca="false">CW29/31</f>
        <v>69.741935483871</v>
      </c>
      <c r="CY29" s="15" t="n">
        <v>2456</v>
      </c>
      <c r="CZ29" s="16" t="n">
        <f aca="false">CY29/30</f>
        <v>81.8666666666667</v>
      </c>
      <c r="DA29" s="15" t="n">
        <v>3068</v>
      </c>
      <c r="DB29" s="16" t="n">
        <f aca="false">DA29/31</f>
        <v>98.9677419354839</v>
      </c>
      <c r="DC29" s="17" t="n">
        <f aca="false">SUM(CE29:DA29)</f>
        <v>28901.7573732719</v>
      </c>
      <c r="DD29" s="18" t="n">
        <f aca="false">IFERROR(STDEV(CF29,CH29,CJ29,CL29,CN29,CP29,CR29,CT29,CV29,CX29,CZ29,DB29),0)</f>
        <v>16.6977427407637</v>
      </c>
      <c r="DE29" s="15" t="n">
        <v>1790</v>
      </c>
      <c r="DF29" s="16" t="n">
        <f aca="false">DE29/31</f>
        <v>57.741935483871</v>
      </c>
      <c r="DG29" s="15" t="n">
        <v>1367</v>
      </c>
      <c r="DH29" s="16" t="n">
        <f aca="false">DG29/28</f>
        <v>48.8214285714286</v>
      </c>
      <c r="DI29" s="15" t="n">
        <v>2744</v>
      </c>
      <c r="DJ29" s="16" t="n">
        <f aca="false">DI29/31</f>
        <v>88.5161290322581</v>
      </c>
      <c r="DK29" s="15" t="n">
        <v>1953</v>
      </c>
      <c r="DL29" s="16" t="n">
        <f aca="false">DK29/30</f>
        <v>65.1</v>
      </c>
      <c r="DM29" s="15" t="n">
        <v>2645</v>
      </c>
      <c r="DN29" s="16" t="n">
        <f aca="false">DM29/31</f>
        <v>85.3225806451613</v>
      </c>
      <c r="DO29" s="15" t="n">
        <v>2458</v>
      </c>
      <c r="DP29" s="16" t="n">
        <f aca="false">DO29/30</f>
        <v>81.9333333333333</v>
      </c>
      <c r="DQ29" s="15" t="n">
        <v>2714</v>
      </c>
      <c r="DR29" s="16" t="n">
        <f aca="false">DQ29/31</f>
        <v>87.5483870967742</v>
      </c>
      <c r="DS29" s="15" t="n">
        <v>2649</v>
      </c>
      <c r="DT29" s="16" t="n">
        <f aca="false">DS29/31</f>
        <v>85.4516129032258</v>
      </c>
      <c r="DU29" s="15" t="n">
        <v>1931</v>
      </c>
      <c r="DV29" s="16" t="n">
        <f aca="false">DU29/30</f>
        <v>64.3666666666667</v>
      </c>
      <c r="DW29" s="15" t="n">
        <v>1417</v>
      </c>
      <c r="DX29" s="16" t="n">
        <f aca="false">DW29/31</f>
        <v>45.7096774193548</v>
      </c>
      <c r="DY29" s="15" t="n">
        <v>2311</v>
      </c>
      <c r="DZ29" s="16" t="n">
        <f aca="false">DY29/30</f>
        <v>77.0333333333333</v>
      </c>
      <c r="EA29" s="15" t="n">
        <v>2788</v>
      </c>
      <c r="EB29" s="16" t="n">
        <f aca="false">EA29/31</f>
        <v>89.9354838709677</v>
      </c>
      <c r="EC29" s="17" t="n">
        <f aca="false">SUM(DE29:EA29)</f>
        <v>27554.5450844854</v>
      </c>
      <c r="ED29" s="18" t="n">
        <f aca="false">IFERROR(STDEV(DF29,DH29,DJ29,DL29,DN29,DP29,DR29,DT29,DV29,DX29,DZ29,EB29),0)</f>
        <v>16.0711843983622</v>
      </c>
      <c r="EE29" s="19" t="n">
        <f aca="false">STDEV(F29:AB29,AF29:BB29,BF29:CB29,CF29:DB29,DF29:EB29)</f>
        <v>1271.97697769583</v>
      </c>
    </row>
    <row r="30" customFormat="false" ht="15" hidden="false" customHeight="true" outlineLevel="0" collapsed="false">
      <c r="A30" s="11" t="n">
        <v>25</v>
      </c>
      <c r="B30" s="12" t="s">
        <v>84</v>
      </c>
      <c r="C30" s="13" t="s">
        <v>85</v>
      </c>
      <c r="D30" s="14" t="s">
        <v>36</v>
      </c>
      <c r="E30" s="15" t="n">
        <v>779</v>
      </c>
      <c r="F30" s="16" t="n">
        <f aca="false">E30/31</f>
        <v>25.1290322580645</v>
      </c>
      <c r="G30" s="15" t="n">
        <v>1287</v>
      </c>
      <c r="H30" s="16" t="n">
        <f aca="false">G30/28</f>
        <v>45.9642857142857</v>
      </c>
      <c r="I30" s="15" t="n">
        <v>1023</v>
      </c>
      <c r="J30" s="16" t="n">
        <f aca="false">I30/31</f>
        <v>33</v>
      </c>
      <c r="K30" s="15" t="n">
        <v>1217</v>
      </c>
      <c r="L30" s="16" t="n">
        <f aca="false">K30/30</f>
        <v>40.5666666666667</v>
      </c>
      <c r="M30" s="15" t="n">
        <v>1163</v>
      </c>
      <c r="N30" s="16" t="n">
        <f aca="false">M30/31</f>
        <v>37.5161290322581</v>
      </c>
      <c r="O30" s="15" t="n">
        <v>1315</v>
      </c>
      <c r="P30" s="16" t="n">
        <f aca="false">O30/30</f>
        <v>43.8333333333333</v>
      </c>
      <c r="Q30" s="15" t="n">
        <v>685</v>
      </c>
      <c r="R30" s="16" t="n">
        <f aca="false">Q30/31</f>
        <v>22.0967741935484</v>
      </c>
      <c r="S30" s="15" t="n">
        <v>1285</v>
      </c>
      <c r="T30" s="16" t="n">
        <f aca="false">S30/31</f>
        <v>41.4516129032258</v>
      </c>
      <c r="U30" s="15" t="n">
        <v>1017</v>
      </c>
      <c r="V30" s="16" t="n">
        <f aca="false">U30/30</f>
        <v>33.9</v>
      </c>
      <c r="W30" s="15" t="n">
        <v>878</v>
      </c>
      <c r="X30" s="16" t="n">
        <f aca="false">W30/31</f>
        <v>28.3225806451613</v>
      </c>
      <c r="Y30" s="15" t="n">
        <v>668</v>
      </c>
      <c r="Z30" s="16" t="n">
        <f aca="false">Y30/30</f>
        <v>22.2666666666667</v>
      </c>
      <c r="AA30" s="15" t="n">
        <v>799</v>
      </c>
      <c r="AB30" s="16" t="n">
        <f aca="false">AA30/31</f>
        <v>25.7741935483871</v>
      </c>
      <c r="AC30" s="17" t="n">
        <f aca="false">SUM(E30:AA30)</f>
        <v>12490.0470814132</v>
      </c>
      <c r="AD30" s="18" t="n">
        <f aca="false">IFERROR(STDEV(F30,H30,J30,L30,N30,P30,R30,T30,V30,X30,Z30,AB30),0)</f>
        <v>8.55056637075483</v>
      </c>
      <c r="AE30" s="15" t="n">
        <v>465</v>
      </c>
      <c r="AF30" s="16" t="n">
        <f aca="false">AE30/31</f>
        <v>15</v>
      </c>
      <c r="AG30" s="15" t="n">
        <v>989</v>
      </c>
      <c r="AH30" s="16" t="n">
        <f aca="false">AG30/28</f>
        <v>35.3214285714286</v>
      </c>
      <c r="AI30" s="15" t="n">
        <v>744</v>
      </c>
      <c r="AJ30" s="16" t="n">
        <f aca="false">AI30/31</f>
        <v>24</v>
      </c>
      <c r="AK30" s="15" t="n">
        <v>1022</v>
      </c>
      <c r="AL30" s="16" t="n">
        <f aca="false">AK30/30</f>
        <v>34.0666666666667</v>
      </c>
      <c r="AM30" s="15" t="n">
        <v>760</v>
      </c>
      <c r="AN30" s="16" t="n">
        <f aca="false">AM30/31</f>
        <v>24.5161290322581</v>
      </c>
      <c r="AO30" s="15" t="n">
        <v>590</v>
      </c>
      <c r="AP30" s="16" t="n">
        <f aca="false">AO30/30</f>
        <v>19.6666666666667</v>
      </c>
      <c r="AQ30" s="15" t="n">
        <v>883</v>
      </c>
      <c r="AR30" s="16" t="n">
        <f aca="false">AQ30/31</f>
        <v>28.4838709677419</v>
      </c>
      <c r="AS30" s="15" t="n">
        <v>553</v>
      </c>
      <c r="AT30" s="16" t="n">
        <f aca="false">AS30/31</f>
        <v>17.8387096774194</v>
      </c>
      <c r="AU30" s="15" t="n">
        <v>650</v>
      </c>
      <c r="AV30" s="16" t="n">
        <f aca="false">AU30/30</f>
        <v>21.6666666666667</v>
      </c>
      <c r="AW30" s="15" t="n">
        <v>900</v>
      </c>
      <c r="AX30" s="16" t="n">
        <f aca="false">AW30/31</f>
        <v>29.0322580645161</v>
      </c>
      <c r="AY30" s="15" t="n">
        <v>949</v>
      </c>
      <c r="AZ30" s="16" t="n">
        <f aca="false">AY30/30</f>
        <v>31.6333333333333</v>
      </c>
      <c r="BA30" s="15" t="n">
        <v>636</v>
      </c>
      <c r="BB30" s="16" t="n">
        <f aca="false">BA30/31</f>
        <v>20.5161290322581</v>
      </c>
      <c r="BC30" s="17" t="n">
        <f aca="false">SUM(AE30:BA30)</f>
        <v>9422.2257296467</v>
      </c>
      <c r="BD30" s="18" t="n">
        <f aca="false">IFERROR(STDEV(AF30,AH30,AJ30,AL30,AN30,AP30,AR30,AT30,AV30,AX30,AZ30,BB30),0)</f>
        <v>6.55785393550239</v>
      </c>
      <c r="BE30" s="15" t="n">
        <v>493</v>
      </c>
      <c r="BF30" s="16" t="n">
        <f aca="false">BE30/31</f>
        <v>15.9032258064516</v>
      </c>
      <c r="BG30" s="15" t="n">
        <v>630</v>
      </c>
      <c r="BH30" s="16" t="n">
        <f aca="false">BG30/28</f>
        <v>22.5</v>
      </c>
      <c r="BI30" s="15" t="n">
        <v>924</v>
      </c>
      <c r="BJ30" s="16" t="n">
        <f aca="false">BI30/31</f>
        <v>29.8064516129032</v>
      </c>
      <c r="BK30" s="15" t="n">
        <v>842</v>
      </c>
      <c r="BL30" s="16" t="n">
        <f aca="false">BK30/30</f>
        <v>28.0666666666667</v>
      </c>
      <c r="BM30" s="15" t="n">
        <v>927</v>
      </c>
      <c r="BN30" s="16" t="n">
        <f aca="false">BM30/31</f>
        <v>29.9032258064516</v>
      </c>
      <c r="BO30" s="15" t="n">
        <v>641</v>
      </c>
      <c r="BP30" s="16" t="n">
        <f aca="false">BO30/30</f>
        <v>21.3666666666667</v>
      </c>
      <c r="BQ30" s="15" t="n">
        <v>972</v>
      </c>
      <c r="BR30" s="16" t="n">
        <f aca="false">BQ30/31</f>
        <v>31.3548387096774</v>
      </c>
      <c r="BS30" s="15" t="n">
        <v>702</v>
      </c>
      <c r="BT30" s="16" t="n">
        <f aca="false">BS30/31</f>
        <v>22.6451612903226</v>
      </c>
      <c r="BU30" s="15" t="n">
        <v>703</v>
      </c>
      <c r="BV30" s="16" t="n">
        <f aca="false">BU30/30</f>
        <v>23.4333333333333</v>
      </c>
      <c r="BW30" s="15" t="n">
        <v>944</v>
      </c>
      <c r="BX30" s="16" t="n">
        <f aca="false">BW30/31</f>
        <v>30.4516129032258</v>
      </c>
      <c r="BY30" s="15" t="n">
        <v>715</v>
      </c>
      <c r="BZ30" s="16" t="n">
        <f aca="false">BY30/30</f>
        <v>23.8333333333333</v>
      </c>
      <c r="CA30" s="15" t="n">
        <v>874</v>
      </c>
      <c r="CB30" s="16" t="n">
        <f aca="false">CA30/31</f>
        <v>28.1935483870968</v>
      </c>
      <c r="CC30" s="17" t="n">
        <f aca="false">SUM(BE30:CA30)</f>
        <v>9646.26451612903</v>
      </c>
      <c r="CD30" s="18" t="n">
        <f aca="false">IFERROR(STDEV(BF30,BH30,BJ30,BL30,BN30,BP30,BR30,BT30,BV30,BX30,BZ30,CB30),0)</f>
        <v>4.7076230248378</v>
      </c>
      <c r="CE30" s="15" t="n">
        <v>1129</v>
      </c>
      <c r="CF30" s="16" t="n">
        <f aca="false">CE30/31</f>
        <v>36.4193548387097</v>
      </c>
      <c r="CG30" s="15" t="n">
        <v>633</v>
      </c>
      <c r="CH30" s="16" t="n">
        <f aca="false">CG30/28</f>
        <v>22.6071428571429</v>
      </c>
      <c r="CI30" s="15" t="n">
        <v>1034</v>
      </c>
      <c r="CJ30" s="16" t="n">
        <f aca="false">CI30/31</f>
        <v>33.3548387096774</v>
      </c>
      <c r="CK30" s="15" t="n">
        <v>1202</v>
      </c>
      <c r="CL30" s="16" t="n">
        <f aca="false">CK30/30</f>
        <v>40.0666666666667</v>
      </c>
      <c r="CM30" s="15" t="n">
        <v>990</v>
      </c>
      <c r="CN30" s="16" t="n">
        <f aca="false">CM30/31</f>
        <v>31.9354838709677</v>
      </c>
      <c r="CO30" s="15" t="n">
        <v>819</v>
      </c>
      <c r="CP30" s="16" t="n">
        <f aca="false">CO30/30</f>
        <v>27.3</v>
      </c>
      <c r="CQ30" s="15" t="n">
        <v>634</v>
      </c>
      <c r="CR30" s="16" t="n">
        <f aca="false">CQ30/31</f>
        <v>20.4516129032258</v>
      </c>
      <c r="CS30" s="15" t="n">
        <v>1078</v>
      </c>
      <c r="CT30" s="16" t="n">
        <f aca="false">CS30/31</f>
        <v>34.7741935483871</v>
      </c>
      <c r="CU30" s="15" t="n">
        <v>807</v>
      </c>
      <c r="CV30" s="16" t="n">
        <f aca="false">CU30/30</f>
        <v>26.9</v>
      </c>
      <c r="CW30" s="15" t="n">
        <v>1034</v>
      </c>
      <c r="CX30" s="16" t="n">
        <f aca="false">CW30/31</f>
        <v>33.3548387096774</v>
      </c>
      <c r="CY30" s="15" t="n">
        <v>899</v>
      </c>
      <c r="CZ30" s="16" t="n">
        <f aca="false">CY30/30</f>
        <v>29.9666666666667</v>
      </c>
      <c r="DA30" s="15" t="n">
        <v>1100</v>
      </c>
      <c r="DB30" s="16" t="n">
        <f aca="false">DA30/31</f>
        <v>35.4838709677419</v>
      </c>
      <c r="DC30" s="17" t="n">
        <f aca="false">SUM(CE30:DA30)</f>
        <v>11696.1307987711</v>
      </c>
      <c r="DD30" s="18" t="n">
        <f aca="false">IFERROR(STDEV(CF30,CH30,CJ30,CL30,CN30,CP30,CR30,CT30,CV30,CX30,CZ30,DB30),0)</f>
        <v>5.80856704369912</v>
      </c>
      <c r="DE30" s="15" t="n">
        <v>886</v>
      </c>
      <c r="DF30" s="16" t="n">
        <f aca="false">DE30/31</f>
        <v>28.5806451612903</v>
      </c>
      <c r="DG30" s="15" t="n">
        <v>637</v>
      </c>
      <c r="DH30" s="16" t="n">
        <f aca="false">DG30/28</f>
        <v>22.75</v>
      </c>
      <c r="DI30" s="15" t="n">
        <v>1303</v>
      </c>
      <c r="DJ30" s="16" t="n">
        <f aca="false">DI30/31</f>
        <v>42.0322580645161</v>
      </c>
      <c r="DK30" s="15" t="n">
        <v>887</v>
      </c>
      <c r="DL30" s="16" t="n">
        <f aca="false">DK30/30</f>
        <v>29.5666666666667</v>
      </c>
      <c r="DM30" s="15" t="n">
        <v>1406</v>
      </c>
      <c r="DN30" s="16" t="n">
        <f aca="false">DM30/31</f>
        <v>45.3548387096774</v>
      </c>
      <c r="DO30" s="15" t="n">
        <v>824</v>
      </c>
      <c r="DP30" s="16" t="n">
        <f aca="false">DO30/30</f>
        <v>27.4666666666667</v>
      </c>
      <c r="DQ30" s="15" t="n">
        <v>1391</v>
      </c>
      <c r="DR30" s="16" t="n">
        <f aca="false">DQ30/31</f>
        <v>44.8709677419355</v>
      </c>
      <c r="DS30" s="15" t="n">
        <v>1365</v>
      </c>
      <c r="DT30" s="16" t="n">
        <f aca="false">DS30/31</f>
        <v>44.0322580645161</v>
      </c>
      <c r="DU30" s="15" t="n">
        <v>663</v>
      </c>
      <c r="DV30" s="16" t="n">
        <f aca="false">DU30/30</f>
        <v>22.1</v>
      </c>
      <c r="DW30" s="15" t="n">
        <v>1116</v>
      </c>
      <c r="DX30" s="16" t="n">
        <f aca="false">DW30/31</f>
        <v>36</v>
      </c>
      <c r="DY30" s="15" t="n">
        <v>895</v>
      </c>
      <c r="DZ30" s="16" t="n">
        <f aca="false">DY30/30</f>
        <v>29.8333333333333</v>
      </c>
      <c r="EA30" s="15" t="n">
        <v>1247</v>
      </c>
      <c r="EB30" s="16" t="n">
        <f aca="false">EA30/31</f>
        <v>40.2258064516129</v>
      </c>
      <c r="EC30" s="17" t="n">
        <f aca="false">SUM(DE30:EA30)</f>
        <v>12992.5876344086</v>
      </c>
      <c r="ED30" s="18" t="n">
        <f aca="false">IFERROR(STDEV(DF30,DH30,DJ30,DL30,DN30,DP30,DR30,DT30,DV30,DX30,DZ30,EB30),0)</f>
        <v>8.68826522257002</v>
      </c>
      <c r="EE30" s="19" t="n">
        <f aca="false">STDEV(F30:AB30,AF30:BB30,BF30:CB30,CF30:DB30,DF30:EB30)</f>
        <v>477.008518398653</v>
      </c>
    </row>
    <row r="31" customFormat="false" ht="15" hidden="false" customHeight="true" outlineLevel="0" collapsed="false">
      <c r="A31" s="11" t="n">
        <v>26</v>
      </c>
      <c r="B31" s="12" t="s">
        <v>86</v>
      </c>
      <c r="C31" s="13" t="s">
        <v>87</v>
      </c>
      <c r="D31" s="14" t="s">
        <v>36</v>
      </c>
      <c r="E31" s="15" t="n">
        <v>4649</v>
      </c>
      <c r="F31" s="16" t="n">
        <f aca="false">E31/31</f>
        <v>149.967741935484</v>
      </c>
      <c r="G31" s="15" t="n">
        <v>5538</v>
      </c>
      <c r="H31" s="16" t="n">
        <f aca="false">G31/28</f>
        <v>197.785714285714</v>
      </c>
      <c r="I31" s="15" t="n">
        <v>2904</v>
      </c>
      <c r="J31" s="16" t="n">
        <f aca="false">I31/31</f>
        <v>93.6774193548387</v>
      </c>
      <c r="K31" s="15" t="n">
        <v>4416</v>
      </c>
      <c r="L31" s="16" t="n">
        <f aca="false">K31/30</f>
        <v>147.2</v>
      </c>
      <c r="M31" s="15" t="n">
        <v>4981</v>
      </c>
      <c r="N31" s="16" t="n">
        <f aca="false">M31/31</f>
        <v>160.677419354839</v>
      </c>
      <c r="O31" s="15" t="n">
        <v>2553</v>
      </c>
      <c r="P31" s="16" t="n">
        <f aca="false">O31/30</f>
        <v>85.1</v>
      </c>
      <c r="Q31" s="15" t="n">
        <v>2658</v>
      </c>
      <c r="R31" s="16" t="n">
        <f aca="false">Q31/31</f>
        <v>85.741935483871</v>
      </c>
      <c r="S31" s="15" t="n">
        <v>4972</v>
      </c>
      <c r="T31" s="16" t="n">
        <f aca="false">S31/31</f>
        <v>160.387096774194</v>
      </c>
      <c r="U31" s="15" t="n">
        <v>3631</v>
      </c>
      <c r="V31" s="16" t="n">
        <f aca="false">U31/30</f>
        <v>121.033333333333</v>
      </c>
      <c r="W31" s="15" t="n">
        <v>3685</v>
      </c>
      <c r="X31" s="16" t="n">
        <f aca="false">W31/31</f>
        <v>118.870967741935</v>
      </c>
      <c r="Y31" s="15" t="n">
        <v>4284</v>
      </c>
      <c r="Z31" s="16" t="n">
        <f aca="false">Y31/30</f>
        <v>142.8</v>
      </c>
      <c r="AA31" s="15" t="n">
        <v>4407</v>
      </c>
      <c r="AB31" s="16" t="n">
        <f aca="false">AA31/31</f>
        <v>142.161290322581</v>
      </c>
      <c r="AC31" s="17" t="n">
        <f aca="false">SUM(E31:AA31)</f>
        <v>50141.2416282642</v>
      </c>
      <c r="AD31" s="18" t="n">
        <f aca="false">IFERROR(STDEV(F31,H31,J31,L31,N31,P31,R31,T31,V31,X31,Z31,AB31),0)</f>
        <v>34.1017963559202</v>
      </c>
      <c r="AE31" s="15" t="n">
        <v>4663</v>
      </c>
      <c r="AF31" s="16" t="n">
        <f aca="false">AE31/31</f>
        <v>150.41935483871</v>
      </c>
      <c r="AG31" s="15" t="n">
        <v>5544</v>
      </c>
      <c r="AH31" s="16" t="n">
        <f aca="false">AG31/28</f>
        <v>198</v>
      </c>
      <c r="AI31" s="15" t="n">
        <v>3661</v>
      </c>
      <c r="AJ31" s="16" t="n">
        <f aca="false">AI31/31</f>
        <v>118.096774193548</v>
      </c>
      <c r="AK31" s="15" t="n">
        <v>4938</v>
      </c>
      <c r="AL31" s="16" t="n">
        <f aca="false">AK31/30</f>
        <v>164.6</v>
      </c>
      <c r="AM31" s="15" t="n">
        <v>4320</v>
      </c>
      <c r="AN31" s="16" t="n">
        <f aca="false">AM31/31</f>
        <v>139.354838709677</v>
      </c>
      <c r="AO31" s="15" t="n">
        <v>4175</v>
      </c>
      <c r="AP31" s="16" t="n">
        <f aca="false">AO31/30</f>
        <v>139.166666666667</v>
      </c>
      <c r="AQ31" s="15" t="n">
        <v>3746</v>
      </c>
      <c r="AR31" s="16" t="n">
        <f aca="false">AQ31/31</f>
        <v>120.838709677419</v>
      </c>
      <c r="AS31" s="15" t="n">
        <v>4567</v>
      </c>
      <c r="AT31" s="16" t="n">
        <f aca="false">AS31/31</f>
        <v>147.322580645161</v>
      </c>
      <c r="AU31" s="15" t="n">
        <v>3262</v>
      </c>
      <c r="AV31" s="16" t="n">
        <f aca="false">AU31/30</f>
        <v>108.733333333333</v>
      </c>
      <c r="AW31" s="15" t="n">
        <v>2818</v>
      </c>
      <c r="AX31" s="16" t="n">
        <f aca="false">AW31/31</f>
        <v>90.9032258064516</v>
      </c>
      <c r="AY31" s="15" t="n">
        <v>4848</v>
      </c>
      <c r="AZ31" s="16" t="n">
        <f aca="false">AY31/30</f>
        <v>161.6</v>
      </c>
      <c r="BA31" s="15" t="n">
        <v>4076</v>
      </c>
      <c r="BB31" s="16" t="n">
        <f aca="false">BA31/31</f>
        <v>131.483870967742</v>
      </c>
      <c r="BC31" s="17" t="n">
        <f aca="false">SUM(AE31:BA31)</f>
        <v>52157.035483871</v>
      </c>
      <c r="BD31" s="18" t="n">
        <f aca="false">IFERROR(STDEV(AF31,AH31,AJ31,AL31,AN31,AP31,AR31,AT31,AV31,AX31,AZ31,BB31),0)</f>
        <v>28.443008539583</v>
      </c>
      <c r="BE31" s="15" t="n">
        <v>4085</v>
      </c>
      <c r="BF31" s="16" t="n">
        <f aca="false">BE31/31</f>
        <v>131.774193548387</v>
      </c>
      <c r="BG31" s="15" t="n">
        <v>4713</v>
      </c>
      <c r="BH31" s="16" t="n">
        <f aca="false">BG31/28</f>
        <v>168.321428571429</v>
      </c>
      <c r="BI31" s="15" t="n">
        <v>3635</v>
      </c>
      <c r="BJ31" s="16" t="n">
        <f aca="false">BI31/31</f>
        <v>117.258064516129</v>
      </c>
      <c r="BK31" s="15" t="n">
        <v>3630</v>
      </c>
      <c r="BL31" s="16" t="n">
        <f aca="false">BK31/30</f>
        <v>121</v>
      </c>
      <c r="BM31" s="15" t="n">
        <v>4298</v>
      </c>
      <c r="BN31" s="16" t="n">
        <f aca="false">BM31/31</f>
        <v>138.645161290323</v>
      </c>
      <c r="BO31" s="15" t="n">
        <v>6275</v>
      </c>
      <c r="BP31" s="16" t="n">
        <f aca="false">BO31/30</f>
        <v>209.166666666667</v>
      </c>
      <c r="BQ31" s="15" t="n">
        <v>3721</v>
      </c>
      <c r="BR31" s="16" t="n">
        <f aca="false">BQ31/31</f>
        <v>120.032258064516</v>
      </c>
      <c r="BS31" s="15" t="n">
        <v>5987</v>
      </c>
      <c r="BT31" s="16" t="n">
        <f aca="false">BS31/31</f>
        <v>193.129032258065</v>
      </c>
      <c r="BU31" s="15" t="n">
        <v>4459</v>
      </c>
      <c r="BV31" s="16" t="n">
        <f aca="false">BU31/30</f>
        <v>148.633333333333</v>
      </c>
      <c r="BW31" s="15" t="n">
        <v>3135</v>
      </c>
      <c r="BX31" s="16" t="n">
        <f aca="false">BW31/31</f>
        <v>101.129032258065</v>
      </c>
      <c r="BY31" s="15" t="n">
        <v>5759</v>
      </c>
      <c r="BZ31" s="16" t="n">
        <f aca="false">BY31/30</f>
        <v>191.966666666667</v>
      </c>
      <c r="CA31" s="15" t="n">
        <v>4319</v>
      </c>
      <c r="CB31" s="16" t="n">
        <f aca="false">CA31/31</f>
        <v>139.322580645161</v>
      </c>
      <c r="CC31" s="17" t="n">
        <f aca="false">SUM(BE31:CA31)</f>
        <v>55657.0558371736</v>
      </c>
      <c r="CD31" s="18" t="n">
        <f aca="false">IFERROR(STDEV(BF31,BH31,BJ31,BL31,BN31,BP31,BR31,BT31,BV31,BX31,BZ31,CB31),0)</f>
        <v>34.6437173614176</v>
      </c>
      <c r="CE31" s="15" t="n">
        <v>4333</v>
      </c>
      <c r="CF31" s="16" t="n">
        <f aca="false">CE31/31</f>
        <v>139.774193548387</v>
      </c>
      <c r="CG31" s="15" t="n">
        <v>3141</v>
      </c>
      <c r="CH31" s="16" t="n">
        <f aca="false">CG31/28</f>
        <v>112.178571428571</v>
      </c>
      <c r="CI31" s="15" t="n">
        <v>2202</v>
      </c>
      <c r="CJ31" s="16" t="n">
        <f aca="false">CI31/31</f>
        <v>71.0322580645161</v>
      </c>
      <c r="CK31" s="15" t="n">
        <v>3764</v>
      </c>
      <c r="CL31" s="16" t="n">
        <f aca="false">CK31/30</f>
        <v>125.466666666667</v>
      </c>
      <c r="CM31" s="15" t="n">
        <v>4194</v>
      </c>
      <c r="CN31" s="16" t="n">
        <f aca="false">CM31/31</f>
        <v>135.290322580645</v>
      </c>
      <c r="CO31" s="15" t="n">
        <v>2811</v>
      </c>
      <c r="CP31" s="16" t="n">
        <f aca="false">CO31/30</f>
        <v>93.7</v>
      </c>
      <c r="CQ31" s="15" t="n">
        <v>2885</v>
      </c>
      <c r="CR31" s="16" t="n">
        <f aca="false">CQ31/31</f>
        <v>93.0645161290323</v>
      </c>
      <c r="CS31" s="15" t="n">
        <v>2142</v>
      </c>
      <c r="CT31" s="16" t="n">
        <f aca="false">CS31/31</f>
        <v>69.0967741935484</v>
      </c>
      <c r="CU31" s="15" t="n">
        <v>3396</v>
      </c>
      <c r="CV31" s="16" t="n">
        <f aca="false">CU31/30</f>
        <v>113.2</v>
      </c>
      <c r="CW31" s="15" t="n">
        <v>4314</v>
      </c>
      <c r="CX31" s="16" t="n">
        <f aca="false">CW31/31</f>
        <v>139.161290322581</v>
      </c>
      <c r="CY31" s="15" t="n">
        <v>4209</v>
      </c>
      <c r="CZ31" s="16" t="n">
        <f aca="false">CY31/30</f>
        <v>140.3</v>
      </c>
      <c r="DA31" s="15" t="n">
        <v>3842</v>
      </c>
      <c r="DB31" s="16" t="n">
        <f aca="false">DA31/31</f>
        <v>123.935483870968</v>
      </c>
      <c r="DC31" s="17" t="n">
        <f aca="false">SUM(CE31:DA31)</f>
        <v>42465.264592934</v>
      </c>
      <c r="DD31" s="18" t="n">
        <f aca="false">IFERROR(STDEV(CF31,CH31,CJ31,CL31,CN31,CP31,CR31,CT31,CV31,CX31,CZ31,DB31),0)</f>
        <v>25.8981065349947</v>
      </c>
      <c r="DE31" s="15" t="n">
        <v>5658</v>
      </c>
      <c r="DF31" s="16" t="n">
        <f aca="false">DE31/31</f>
        <v>182.516129032258</v>
      </c>
      <c r="DG31" s="15" t="n">
        <v>4681</v>
      </c>
      <c r="DH31" s="16" t="n">
        <f aca="false">DG31/28</f>
        <v>167.178571428571</v>
      </c>
      <c r="DI31" s="15" t="n">
        <v>5207</v>
      </c>
      <c r="DJ31" s="16" t="n">
        <f aca="false">DI31/31</f>
        <v>167.967741935484</v>
      </c>
      <c r="DK31" s="15" t="n">
        <v>4246</v>
      </c>
      <c r="DL31" s="16" t="n">
        <f aca="false">DK31/30</f>
        <v>141.533333333333</v>
      </c>
      <c r="DM31" s="15" t="n">
        <v>2939</v>
      </c>
      <c r="DN31" s="16" t="n">
        <f aca="false">DM31/31</f>
        <v>94.8064516129032</v>
      </c>
      <c r="DO31" s="15" t="n">
        <v>3208</v>
      </c>
      <c r="DP31" s="16" t="n">
        <f aca="false">DO31/30</f>
        <v>106.933333333333</v>
      </c>
      <c r="DQ31" s="15" t="n">
        <v>2998</v>
      </c>
      <c r="DR31" s="16" t="n">
        <f aca="false">DQ31/31</f>
        <v>96.7096774193548</v>
      </c>
      <c r="DS31" s="15" t="n">
        <v>5196</v>
      </c>
      <c r="DT31" s="16" t="n">
        <f aca="false">DS31/31</f>
        <v>167.612903225806</v>
      </c>
      <c r="DU31" s="15" t="n">
        <v>2619</v>
      </c>
      <c r="DV31" s="16" t="n">
        <f aca="false">DU31/30</f>
        <v>87.3</v>
      </c>
      <c r="DW31" s="15" t="n">
        <v>4399</v>
      </c>
      <c r="DX31" s="16" t="n">
        <f aca="false">DW31/31</f>
        <v>141.903225806452</v>
      </c>
      <c r="DY31" s="15" t="n">
        <v>3774</v>
      </c>
      <c r="DZ31" s="16" t="n">
        <f aca="false">DY31/30</f>
        <v>125.8</v>
      </c>
      <c r="EA31" s="15" t="n">
        <v>5241</v>
      </c>
      <c r="EB31" s="16" t="n">
        <f aca="false">EA31/31</f>
        <v>169.064516129032</v>
      </c>
      <c r="EC31" s="17" t="n">
        <f aca="false">SUM(DE31:EA31)</f>
        <v>51646.2613671275</v>
      </c>
      <c r="ED31" s="18" t="n">
        <f aca="false">IFERROR(STDEV(DF31,DH31,DJ31,DL31,DN31,DP31,DR31,DT31,DV31,DX31,DZ31,EB31),0)</f>
        <v>34.1814906052184</v>
      </c>
      <c r="EE31" s="19" t="n">
        <f aca="false">STDEV(F31:AB31,AF31:BB31,BF31:CB31,CF31:DB31,DF31:EB31)</f>
        <v>2063.74421882528</v>
      </c>
    </row>
    <row r="32" customFormat="false" ht="15" hidden="false" customHeight="true" outlineLevel="0" collapsed="false">
      <c r="A32" s="11" t="n">
        <v>27</v>
      </c>
      <c r="B32" s="12" t="s">
        <v>88</v>
      </c>
      <c r="C32" s="13" t="s">
        <v>89</v>
      </c>
      <c r="D32" s="14" t="s">
        <v>36</v>
      </c>
      <c r="E32" s="15" t="n">
        <v>3495</v>
      </c>
      <c r="F32" s="16" t="n">
        <f aca="false">E32/31</f>
        <v>112.741935483871</v>
      </c>
      <c r="G32" s="15" t="n">
        <v>3657</v>
      </c>
      <c r="H32" s="16" t="n">
        <f aca="false">G32/28</f>
        <v>130.607142857143</v>
      </c>
      <c r="I32" s="15" t="n">
        <v>2245</v>
      </c>
      <c r="J32" s="16" t="n">
        <f aca="false">I32/31</f>
        <v>72.4193548387097</v>
      </c>
      <c r="K32" s="15" t="n">
        <v>2844</v>
      </c>
      <c r="L32" s="16" t="n">
        <f aca="false">K32/30</f>
        <v>94.8</v>
      </c>
      <c r="M32" s="15" t="n">
        <v>4697</v>
      </c>
      <c r="N32" s="16" t="n">
        <f aca="false">M32/31</f>
        <v>151.516129032258</v>
      </c>
      <c r="O32" s="15" t="n">
        <v>3944</v>
      </c>
      <c r="P32" s="16" t="n">
        <f aca="false">O32/30</f>
        <v>131.466666666667</v>
      </c>
      <c r="Q32" s="15" t="n">
        <v>3425</v>
      </c>
      <c r="R32" s="16" t="n">
        <f aca="false">Q32/31</f>
        <v>110.483870967742</v>
      </c>
      <c r="S32" s="15" t="n">
        <v>4079</v>
      </c>
      <c r="T32" s="16" t="n">
        <f aca="false">S32/31</f>
        <v>131.58064516129</v>
      </c>
      <c r="U32" s="15" t="n">
        <v>4224</v>
      </c>
      <c r="V32" s="16" t="n">
        <f aca="false">U32/30</f>
        <v>140.8</v>
      </c>
      <c r="W32" s="15" t="n">
        <v>2212</v>
      </c>
      <c r="X32" s="16" t="n">
        <f aca="false">W32/31</f>
        <v>71.3548387096774</v>
      </c>
      <c r="Y32" s="15" t="n">
        <v>4624</v>
      </c>
      <c r="Z32" s="16" t="n">
        <f aca="false">Y32/30</f>
        <v>154.133333333333</v>
      </c>
      <c r="AA32" s="15" t="n">
        <v>3738</v>
      </c>
      <c r="AB32" s="16" t="n">
        <f aca="false">AA32/31</f>
        <v>120.58064516129</v>
      </c>
      <c r="AC32" s="17" t="n">
        <f aca="false">SUM(E32:AA32)</f>
        <v>44485.9039170507</v>
      </c>
      <c r="AD32" s="18" t="n">
        <f aca="false">IFERROR(STDEV(F32,H32,J32,L32,N32,P32,R32,T32,V32,X32,Z32,AB32),0)</f>
        <v>27.5555885965792</v>
      </c>
      <c r="AE32" s="15" t="n">
        <v>3366</v>
      </c>
      <c r="AF32" s="16" t="n">
        <f aca="false">AE32/31</f>
        <v>108.58064516129</v>
      </c>
      <c r="AG32" s="15" t="n">
        <v>4011</v>
      </c>
      <c r="AH32" s="16" t="n">
        <f aca="false">AG32/28</f>
        <v>143.25</v>
      </c>
      <c r="AI32" s="15" t="n">
        <v>3070</v>
      </c>
      <c r="AJ32" s="16" t="n">
        <f aca="false">AI32/31</f>
        <v>99.0322580645161</v>
      </c>
      <c r="AK32" s="15" t="n">
        <v>4566</v>
      </c>
      <c r="AL32" s="16" t="n">
        <f aca="false">AK32/30</f>
        <v>152.2</v>
      </c>
      <c r="AM32" s="15" t="n">
        <v>4292</v>
      </c>
      <c r="AN32" s="16" t="n">
        <f aca="false">AM32/31</f>
        <v>138.451612903226</v>
      </c>
      <c r="AO32" s="15" t="n">
        <v>3898</v>
      </c>
      <c r="AP32" s="16" t="n">
        <f aca="false">AO32/30</f>
        <v>129.933333333333</v>
      </c>
      <c r="AQ32" s="15" t="n">
        <v>2614</v>
      </c>
      <c r="AR32" s="16" t="n">
        <f aca="false">AQ32/31</f>
        <v>84.3225806451613</v>
      </c>
      <c r="AS32" s="15" t="n">
        <v>4814</v>
      </c>
      <c r="AT32" s="16" t="n">
        <f aca="false">AS32/31</f>
        <v>155.290322580645</v>
      </c>
      <c r="AU32" s="15" t="n">
        <v>3317</v>
      </c>
      <c r="AV32" s="16" t="n">
        <f aca="false">AU32/30</f>
        <v>110.566666666667</v>
      </c>
      <c r="AW32" s="15" t="n">
        <v>4658</v>
      </c>
      <c r="AX32" s="16" t="n">
        <f aca="false">AW32/31</f>
        <v>150.258064516129</v>
      </c>
      <c r="AY32" s="15" t="n">
        <v>2259</v>
      </c>
      <c r="AZ32" s="16" t="n">
        <f aca="false">AY32/30</f>
        <v>75.3</v>
      </c>
      <c r="BA32" s="15" t="n">
        <v>2452</v>
      </c>
      <c r="BB32" s="16" t="n">
        <f aca="false">BA32/31</f>
        <v>79.0967741935484</v>
      </c>
      <c r="BC32" s="17" t="n">
        <f aca="false">SUM(AE32:BA32)</f>
        <v>44664.185483871</v>
      </c>
      <c r="BD32" s="18" t="n">
        <f aca="false">IFERROR(STDEV(AF32,AH32,AJ32,AL32,AN32,AP32,AR32,AT32,AV32,AX32,AZ32,BB32),0)</f>
        <v>29.7945836648973</v>
      </c>
      <c r="BE32" s="15" t="n">
        <v>2638</v>
      </c>
      <c r="BF32" s="16" t="n">
        <f aca="false">BE32/31</f>
        <v>85.0967741935484</v>
      </c>
      <c r="BG32" s="15" t="n">
        <v>2672</v>
      </c>
      <c r="BH32" s="16" t="n">
        <f aca="false">BG32/28</f>
        <v>95.4285714285714</v>
      </c>
      <c r="BI32" s="15" t="n">
        <v>3134</v>
      </c>
      <c r="BJ32" s="16" t="n">
        <f aca="false">BI32/31</f>
        <v>101.096774193548</v>
      </c>
      <c r="BK32" s="15" t="n">
        <v>4264</v>
      </c>
      <c r="BL32" s="16" t="n">
        <f aca="false">BK32/30</f>
        <v>142.133333333333</v>
      </c>
      <c r="BM32" s="15" t="n">
        <v>3202</v>
      </c>
      <c r="BN32" s="16" t="n">
        <f aca="false">BM32/31</f>
        <v>103.290322580645</v>
      </c>
      <c r="BO32" s="15" t="n">
        <v>4940</v>
      </c>
      <c r="BP32" s="16" t="n">
        <f aca="false">BO32/30</f>
        <v>164.666666666667</v>
      </c>
      <c r="BQ32" s="15" t="n">
        <v>4806</v>
      </c>
      <c r="BR32" s="16" t="n">
        <f aca="false">BQ32/31</f>
        <v>155.032258064516</v>
      </c>
      <c r="BS32" s="15" t="n">
        <v>4663</v>
      </c>
      <c r="BT32" s="16" t="n">
        <f aca="false">BS32/31</f>
        <v>150.41935483871</v>
      </c>
      <c r="BU32" s="15" t="n">
        <v>2923</v>
      </c>
      <c r="BV32" s="16" t="n">
        <f aca="false">BU32/30</f>
        <v>97.4333333333333</v>
      </c>
      <c r="BW32" s="15" t="n">
        <v>4047</v>
      </c>
      <c r="BX32" s="16" t="n">
        <f aca="false">BW32/31</f>
        <v>130.548387096774</v>
      </c>
      <c r="BY32" s="15" t="n">
        <v>3801</v>
      </c>
      <c r="BZ32" s="16" t="n">
        <f aca="false">BY32/30</f>
        <v>126.7</v>
      </c>
      <c r="CA32" s="15" t="n">
        <v>2557</v>
      </c>
      <c r="CB32" s="16" t="n">
        <f aca="false">CA32/31</f>
        <v>82.4838709677419</v>
      </c>
      <c r="CC32" s="17" t="n">
        <f aca="false">SUM(BE32:CA32)</f>
        <v>44998.8457757297</v>
      </c>
      <c r="CD32" s="18" t="n">
        <f aca="false">IFERROR(STDEV(BF32,BH32,BJ32,BL32,BN32,BP32,BR32,BT32,BV32,BX32,BZ32,CB32),0)</f>
        <v>28.8669688430075</v>
      </c>
      <c r="CE32" s="15" t="n">
        <v>2803</v>
      </c>
      <c r="CF32" s="16" t="n">
        <f aca="false">CE32/31</f>
        <v>90.4193548387097</v>
      </c>
      <c r="CG32" s="15" t="n">
        <v>3417</v>
      </c>
      <c r="CH32" s="16" t="n">
        <f aca="false">CG32/28</f>
        <v>122.035714285714</v>
      </c>
      <c r="CI32" s="15" t="n">
        <v>3335</v>
      </c>
      <c r="CJ32" s="16" t="n">
        <f aca="false">CI32/31</f>
        <v>107.58064516129</v>
      </c>
      <c r="CK32" s="15" t="n">
        <v>2446</v>
      </c>
      <c r="CL32" s="16" t="n">
        <f aca="false">CK32/30</f>
        <v>81.5333333333333</v>
      </c>
      <c r="CM32" s="15" t="n">
        <v>4504</v>
      </c>
      <c r="CN32" s="16" t="n">
        <f aca="false">CM32/31</f>
        <v>145.290322580645</v>
      </c>
      <c r="CO32" s="15" t="n">
        <v>2407</v>
      </c>
      <c r="CP32" s="16" t="n">
        <f aca="false">CO32/30</f>
        <v>80.2333333333333</v>
      </c>
      <c r="CQ32" s="15" t="n">
        <v>3751</v>
      </c>
      <c r="CR32" s="16" t="n">
        <f aca="false">CQ32/31</f>
        <v>121</v>
      </c>
      <c r="CS32" s="15" t="n">
        <v>3916</v>
      </c>
      <c r="CT32" s="16" t="n">
        <f aca="false">CS32/31</f>
        <v>126.322580645161</v>
      </c>
      <c r="CU32" s="15" t="n">
        <v>3608</v>
      </c>
      <c r="CV32" s="16" t="n">
        <f aca="false">CU32/30</f>
        <v>120.266666666667</v>
      </c>
      <c r="CW32" s="15" t="n">
        <v>4240</v>
      </c>
      <c r="CX32" s="16" t="n">
        <f aca="false">CW32/31</f>
        <v>136.774193548387</v>
      </c>
      <c r="CY32" s="15" t="n">
        <v>3497</v>
      </c>
      <c r="CZ32" s="16" t="n">
        <f aca="false">CY32/30</f>
        <v>116.566666666667</v>
      </c>
      <c r="DA32" s="15" t="n">
        <v>4194</v>
      </c>
      <c r="DB32" s="16" t="n">
        <f aca="false">DA32/31</f>
        <v>135.290322580645</v>
      </c>
      <c r="DC32" s="17" t="n">
        <f aca="false">SUM(CE32:DA32)</f>
        <v>43366.0228110599</v>
      </c>
      <c r="DD32" s="18" t="n">
        <f aca="false">IFERROR(STDEV(CF32,CH32,CJ32,CL32,CN32,CP32,CR32,CT32,CV32,CX32,CZ32,DB32),0)</f>
        <v>21.3930527404822</v>
      </c>
      <c r="DE32" s="15" t="n">
        <v>1930</v>
      </c>
      <c r="DF32" s="16" t="n">
        <f aca="false">DE32/31</f>
        <v>62.258064516129</v>
      </c>
      <c r="DG32" s="15" t="n">
        <v>1972</v>
      </c>
      <c r="DH32" s="16" t="n">
        <f aca="false">DG32/28</f>
        <v>70.4285714285714</v>
      </c>
      <c r="DI32" s="15" t="n">
        <v>3450</v>
      </c>
      <c r="DJ32" s="16" t="n">
        <f aca="false">DI32/31</f>
        <v>111.290322580645</v>
      </c>
      <c r="DK32" s="15" t="n">
        <v>3289</v>
      </c>
      <c r="DL32" s="16" t="n">
        <f aca="false">DK32/30</f>
        <v>109.633333333333</v>
      </c>
      <c r="DM32" s="15" t="n">
        <v>3474</v>
      </c>
      <c r="DN32" s="16" t="n">
        <f aca="false">DM32/31</f>
        <v>112.064516129032</v>
      </c>
      <c r="DO32" s="15" t="n">
        <v>3761</v>
      </c>
      <c r="DP32" s="16" t="n">
        <f aca="false">DO32/30</f>
        <v>125.366666666667</v>
      </c>
      <c r="DQ32" s="15" t="n">
        <v>2892</v>
      </c>
      <c r="DR32" s="16" t="n">
        <f aca="false">DQ32/31</f>
        <v>93.2903225806452</v>
      </c>
      <c r="DS32" s="15" t="n">
        <v>3444</v>
      </c>
      <c r="DT32" s="16" t="n">
        <f aca="false">DS32/31</f>
        <v>111.096774193548</v>
      </c>
      <c r="DU32" s="15" t="n">
        <v>3094</v>
      </c>
      <c r="DV32" s="16" t="n">
        <f aca="false">DU32/30</f>
        <v>103.133333333333</v>
      </c>
      <c r="DW32" s="15" t="n">
        <v>3414</v>
      </c>
      <c r="DX32" s="16" t="n">
        <f aca="false">DW32/31</f>
        <v>110.129032258065</v>
      </c>
      <c r="DY32" s="15" t="n">
        <v>2578</v>
      </c>
      <c r="DZ32" s="16" t="n">
        <f aca="false">DY32/30</f>
        <v>85.9333333333333</v>
      </c>
      <c r="EA32" s="15" t="n">
        <v>4231</v>
      </c>
      <c r="EB32" s="16" t="n">
        <f aca="false">EA32/31</f>
        <v>136.483870967742</v>
      </c>
      <c r="EC32" s="17" t="n">
        <f aca="false">SUM(DE32:EA32)</f>
        <v>38623.6242703533</v>
      </c>
      <c r="ED32" s="18" t="n">
        <f aca="false">IFERROR(STDEV(DF32,DH32,DJ32,DL32,DN32,DP32,DR32,DT32,DV32,DX32,DZ32,EB32),0)</f>
        <v>21.3990018008847</v>
      </c>
      <c r="EE32" s="19" t="n">
        <f aca="false">STDEV(F32:AB32,AF32:BB32,BF32:CB32,CF32:DB32,DF32:EB32)</f>
        <v>1809.3898893992</v>
      </c>
    </row>
    <row r="33" customFormat="false" ht="15" hidden="false" customHeight="true" outlineLevel="0" collapsed="false">
      <c r="A33" s="11" t="n">
        <v>28</v>
      </c>
      <c r="B33" s="12" t="s">
        <v>90</v>
      </c>
      <c r="C33" s="13" t="s">
        <v>91</v>
      </c>
      <c r="D33" s="14" t="s">
        <v>36</v>
      </c>
      <c r="E33" s="15" t="n">
        <v>1542</v>
      </c>
      <c r="F33" s="16" t="n">
        <f aca="false">E33/31</f>
        <v>49.741935483871</v>
      </c>
      <c r="G33" s="15" t="n">
        <v>1945</v>
      </c>
      <c r="H33" s="16" t="n">
        <f aca="false">G33/28</f>
        <v>69.4642857142857</v>
      </c>
      <c r="I33" s="15" t="n">
        <v>1795</v>
      </c>
      <c r="J33" s="16" t="n">
        <f aca="false">I33/31</f>
        <v>57.9032258064516</v>
      </c>
      <c r="K33" s="15" t="n">
        <v>1310</v>
      </c>
      <c r="L33" s="16" t="n">
        <f aca="false">K33/30</f>
        <v>43.6666666666667</v>
      </c>
      <c r="M33" s="15" t="n">
        <v>1029</v>
      </c>
      <c r="N33" s="16" t="n">
        <f aca="false">M33/31</f>
        <v>33.1935483870968</v>
      </c>
      <c r="O33" s="15" t="n">
        <v>1013</v>
      </c>
      <c r="P33" s="16" t="n">
        <f aca="false">O33/30</f>
        <v>33.7666666666667</v>
      </c>
      <c r="Q33" s="15" t="n">
        <v>1488</v>
      </c>
      <c r="R33" s="16" t="n">
        <f aca="false">Q33/31</f>
        <v>48</v>
      </c>
      <c r="S33" s="15" t="n">
        <v>1544</v>
      </c>
      <c r="T33" s="16" t="n">
        <f aca="false">S33/31</f>
        <v>49.8064516129032</v>
      </c>
      <c r="U33" s="15" t="n">
        <v>1193</v>
      </c>
      <c r="V33" s="16" t="n">
        <f aca="false">U33/30</f>
        <v>39.7666666666667</v>
      </c>
      <c r="W33" s="15" t="n">
        <v>1697</v>
      </c>
      <c r="X33" s="16" t="n">
        <f aca="false">W33/31</f>
        <v>54.741935483871</v>
      </c>
      <c r="Y33" s="15" t="n">
        <v>1329</v>
      </c>
      <c r="Z33" s="16" t="n">
        <f aca="false">Y33/30</f>
        <v>44.3</v>
      </c>
      <c r="AA33" s="15" t="n">
        <v>1837</v>
      </c>
      <c r="AB33" s="16" t="n">
        <f aca="false">AA33/31</f>
        <v>59.258064516129</v>
      </c>
      <c r="AC33" s="17" t="n">
        <f aca="false">SUM(E33:AA33)</f>
        <v>18246.3513824885</v>
      </c>
      <c r="AD33" s="18" t="n">
        <f aca="false">IFERROR(STDEV(F33,H33,J33,L33,N33,P33,R33,T33,V33,X33,Z33,AB33),0)</f>
        <v>10.6793504896899</v>
      </c>
      <c r="AE33" s="15" t="n">
        <v>1966</v>
      </c>
      <c r="AF33" s="16" t="n">
        <f aca="false">AE33/31</f>
        <v>63.4193548387097</v>
      </c>
      <c r="AG33" s="15" t="n">
        <v>2134</v>
      </c>
      <c r="AH33" s="16" t="n">
        <f aca="false">AG33/28</f>
        <v>76.2142857142857</v>
      </c>
      <c r="AI33" s="15" t="n">
        <v>2285</v>
      </c>
      <c r="AJ33" s="16" t="n">
        <f aca="false">AI33/31</f>
        <v>73.7096774193548</v>
      </c>
      <c r="AK33" s="15" t="n">
        <v>1167</v>
      </c>
      <c r="AL33" s="16" t="n">
        <f aca="false">AK33/30</f>
        <v>38.9</v>
      </c>
      <c r="AM33" s="15" t="n">
        <v>1484</v>
      </c>
      <c r="AN33" s="16" t="n">
        <f aca="false">AM33/31</f>
        <v>47.8709677419355</v>
      </c>
      <c r="AO33" s="15" t="n">
        <v>1737</v>
      </c>
      <c r="AP33" s="16" t="n">
        <f aca="false">AO33/30</f>
        <v>57.9</v>
      </c>
      <c r="AQ33" s="15" t="n">
        <v>1416</v>
      </c>
      <c r="AR33" s="16" t="n">
        <f aca="false">AQ33/31</f>
        <v>45.6774193548387</v>
      </c>
      <c r="AS33" s="15" t="n">
        <v>1611</v>
      </c>
      <c r="AT33" s="16" t="n">
        <f aca="false">AS33/31</f>
        <v>51.9677419354839</v>
      </c>
      <c r="AU33" s="15" t="n">
        <v>1348</v>
      </c>
      <c r="AV33" s="16" t="n">
        <f aca="false">AU33/30</f>
        <v>44.9333333333333</v>
      </c>
      <c r="AW33" s="15" t="n">
        <v>1322</v>
      </c>
      <c r="AX33" s="16" t="n">
        <f aca="false">AW33/31</f>
        <v>42.6451612903226</v>
      </c>
      <c r="AY33" s="15" t="n">
        <v>1122</v>
      </c>
      <c r="AZ33" s="16" t="n">
        <f aca="false">AY33/30</f>
        <v>37.4</v>
      </c>
      <c r="BA33" s="15" t="n">
        <v>1378</v>
      </c>
      <c r="BB33" s="16" t="n">
        <f aca="false">BA33/31</f>
        <v>44.4516129032258</v>
      </c>
      <c r="BC33" s="17" t="n">
        <f aca="false">SUM(AE33:BA33)</f>
        <v>19550.6379416283</v>
      </c>
      <c r="BD33" s="18" t="n">
        <f aca="false">IFERROR(STDEV(AF33,AH33,AJ33,AL33,AN33,AP33,AR33,AT33,AV33,AX33,AZ33,BB33),0)</f>
        <v>12.9999243725941</v>
      </c>
      <c r="BE33" s="15" t="n">
        <v>1379</v>
      </c>
      <c r="BF33" s="16" t="n">
        <f aca="false">BE33/31</f>
        <v>44.4838709677419</v>
      </c>
      <c r="BG33" s="15" t="n">
        <v>1660</v>
      </c>
      <c r="BH33" s="16" t="n">
        <f aca="false">BG33/28</f>
        <v>59.2857142857143</v>
      </c>
      <c r="BI33" s="15" t="n">
        <v>1214</v>
      </c>
      <c r="BJ33" s="16" t="n">
        <f aca="false">BI33/31</f>
        <v>39.1612903225807</v>
      </c>
      <c r="BK33" s="15" t="n">
        <v>1964</v>
      </c>
      <c r="BL33" s="16" t="n">
        <f aca="false">BK33/30</f>
        <v>65.4666666666667</v>
      </c>
      <c r="BM33" s="15" t="n">
        <v>1106</v>
      </c>
      <c r="BN33" s="16" t="n">
        <f aca="false">BM33/31</f>
        <v>35.6774193548387</v>
      </c>
      <c r="BO33" s="15" t="n">
        <v>1310</v>
      </c>
      <c r="BP33" s="16" t="n">
        <f aca="false">BO33/30</f>
        <v>43.6666666666667</v>
      </c>
      <c r="BQ33" s="15" t="n">
        <v>1615</v>
      </c>
      <c r="BR33" s="16" t="n">
        <f aca="false">BQ33/31</f>
        <v>52.0967741935484</v>
      </c>
      <c r="BS33" s="15" t="n">
        <v>1292</v>
      </c>
      <c r="BT33" s="16" t="n">
        <f aca="false">BS33/31</f>
        <v>41.6774193548387</v>
      </c>
      <c r="BU33" s="15" t="n">
        <v>1840</v>
      </c>
      <c r="BV33" s="16" t="n">
        <f aca="false">BU33/30</f>
        <v>61.3333333333333</v>
      </c>
      <c r="BW33" s="15" t="n">
        <v>1518</v>
      </c>
      <c r="BX33" s="16" t="n">
        <f aca="false">BW33/31</f>
        <v>48.9677419354839</v>
      </c>
      <c r="BY33" s="15" t="n">
        <v>1538</v>
      </c>
      <c r="BZ33" s="16" t="n">
        <f aca="false">BY33/30</f>
        <v>51.2666666666667</v>
      </c>
      <c r="CA33" s="15" t="n">
        <v>1519</v>
      </c>
      <c r="CB33" s="16" t="n">
        <f aca="false">CA33/31</f>
        <v>49</v>
      </c>
      <c r="CC33" s="17" t="n">
        <f aca="false">SUM(BE33:CA33)</f>
        <v>18498.0835637481</v>
      </c>
      <c r="CD33" s="18" t="n">
        <f aca="false">IFERROR(STDEV(BF33,BH33,BJ33,BL33,BN33,BP33,BR33,BT33,BV33,BX33,BZ33,CB33),0)</f>
        <v>9.14106002057628</v>
      </c>
      <c r="CE33" s="15" t="n">
        <v>1497</v>
      </c>
      <c r="CF33" s="16" t="n">
        <f aca="false">CE33/31</f>
        <v>48.2903225806452</v>
      </c>
      <c r="CG33" s="15" t="n">
        <v>1094</v>
      </c>
      <c r="CH33" s="16" t="n">
        <f aca="false">CG33/28</f>
        <v>39.0714285714286</v>
      </c>
      <c r="CI33" s="15" t="n">
        <v>2398</v>
      </c>
      <c r="CJ33" s="16" t="n">
        <f aca="false">CI33/31</f>
        <v>77.3548387096774</v>
      </c>
      <c r="CK33" s="15" t="n">
        <v>1776</v>
      </c>
      <c r="CL33" s="16" t="n">
        <f aca="false">CK33/30</f>
        <v>59.2</v>
      </c>
      <c r="CM33" s="15" t="n">
        <v>2428</v>
      </c>
      <c r="CN33" s="16" t="n">
        <f aca="false">CM33/31</f>
        <v>78.3225806451613</v>
      </c>
      <c r="CO33" s="15" t="n">
        <v>1365</v>
      </c>
      <c r="CP33" s="16" t="n">
        <f aca="false">CO33/30</f>
        <v>45.5</v>
      </c>
      <c r="CQ33" s="15" t="n">
        <v>1560</v>
      </c>
      <c r="CR33" s="16" t="n">
        <f aca="false">CQ33/31</f>
        <v>50.3225806451613</v>
      </c>
      <c r="CS33" s="15" t="n">
        <v>1132</v>
      </c>
      <c r="CT33" s="16" t="n">
        <f aca="false">CS33/31</f>
        <v>36.5161290322581</v>
      </c>
      <c r="CU33" s="15" t="n">
        <v>1761</v>
      </c>
      <c r="CV33" s="16" t="n">
        <f aca="false">CU33/30</f>
        <v>58.7</v>
      </c>
      <c r="CW33" s="15" t="n">
        <v>2309</v>
      </c>
      <c r="CX33" s="16" t="n">
        <f aca="false">CW33/31</f>
        <v>74.4838709677419</v>
      </c>
      <c r="CY33" s="15" t="n">
        <v>1986</v>
      </c>
      <c r="CZ33" s="16" t="n">
        <f aca="false">CY33/30</f>
        <v>66.2</v>
      </c>
      <c r="DA33" s="15" t="n">
        <v>1726</v>
      </c>
      <c r="DB33" s="16" t="n">
        <f aca="false">DA33/31</f>
        <v>55.6774193548387</v>
      </c>
      <c r="DC33" s="17" t="n">
        <f aca="false">SUM(CE33:DA33)</f>
        <v>21665.9617511521</v>
      </c>
      <c r="DD33" s="18" t="n">
        <f aca="false">IFERROR(STDEV(CF33,CH33,CJ33,CL33,CN33,CP33,CR33,CT33,CV33,CX33,CZ33,DB33),0)</f>
        <v>14.3331970068035</v>
      </c>
      <c r="DE33" s="15" t="n">
        <v>1379</v>
      </c>
      <c r="DF33" s="16" t="n">
        <f aca="false">DE33/31</f>
        <v>44.4838709677419</v>
      </c>
      <c r="DG33" s="15" t="n">
        <v>1711</v>
      </c>
      <c r="DH33" s="16" t="n">
        <f aca="false">DG33/28</f>
        <v>61.1071428571429</v>
      </c>
      <c r="DI33" s="15" t="n">
        <v>1265</v>
      </c>
      <c r="DJ33" s="16" t="n">
        <f aca="false">DI33/31</f>
        <v>40.8064516129032</v>
      </c>
      <c r="DK33" s="15" t="n">
        <v>1749</v>
      </c>
      <c r="DL33" s="16" t="n">
        <f aca="false">DK33/30</f>
        <v>58.3</v>
      </c>
      <c r="DM33" s="15" t="n">
        <v>1583</v>
      </c>
      <c r="DN33" s="16" t="n">
        <f aca="false">DM33/31</f>
        <v>51.0645161290323</v>
      </c>
      <c r="DO33" s="15" t="n">
        <v>1622</v>
      </c>
      <c r="DP33" s="16" t="n">
        <f aca="false">DO33/30</f>
        <v>54.0666666666667</v>
      </c>
      <c r="DQ33" s="15" t="n">
        <v>1196</v>
      </c>
      <c r="DR33" s="16" t="n">
        <f aca="false">DQ33/31</f>
        <v>38.5806451612903</v>
      </c>
      <c r="DS33" s="15" t="n">
        <v>1233</v>
      </c>
      <c r="DT33" s="16" t="n">
        <f aca="false">DS33/31</f>
        <v>39.7741935483871</v>
      </c>
      <c r="DU33" s="15" t="n">
        <v>1415</v>
      </c>
      <c r="DV33" s="16" t="n">
        <f aca="false">DU33/30</f>
        <v>47.1666666666667</v>
      </c>
      <c r="DW33" s="15" t="n">
        <v>1012</v>
      </c>
      <c r="DX33" s="16" t="n">
        <f aca="false">DW33/31</f>
        <v>32.6451612903226</v>
      </c>
      <c r="DY33" s="15" t="n">
        <v>1396</v>
      </c>
      <c r="DZ33" s="16" t="n">
        <f aca="false">DY33/30</f>
        <v>46.5333333333333</v>
      </c>
      <c r="EA33" s="15" t="n">
        <v>882</v>
      </c>
      <c r="EB33" s="16" t="n">
        <f aca="false">EA33/31</f>
        <v>28.4516129032258</v>
      </c>
      <c r="EC33" s="17" t="n">
        <f aca="false">SUM(DE33:EA33)</f>
        <v>16957.5286482335</v>
      </c>
      <c r="ED33" s="18" t="n">
        <f aca="false">IFERROR(STDEV(DF33,DH33,DJ33,DL33,DN33,DP33,DR33,DT33,DV33,DX33,DZ33,EB33),0)</f>
        <v>9.88331378811349</v>
      </c>
      <c r="EE33" s="19" t="n">
        <f aca="false">STDEV(F33:AB33,AF33:BB33,BF33:CB33,CF33:DB33,DF33:EB33)</f>
        <v>785.287494852192</v>
      </c>
    </row>
    <row r="34" customFormat="false" ht="15" hidden="false" customHeight="true" outlineLevel="0" collapsed="false">
      <c r="A34" s="11" t="n">
        <v>29</v>
      </c>
      <c r="B34" s="12" t="s">
        <v>92</v>
      </c>
      <c r="C34" s="13" t="s">
        <v>93</v>
      </c>
      <c r="D34" s="14" t="s">
        <v>36</v>
      </c>
      <c r="E34" s="15" t="n">
        <v>1203</v>
      </c>
      <c r="F34" s="16" t="n">
        <f aca="false">E34/31</f>
        <v>38.8064516129032</v>
      </c>
      <c r="G34" s="15" t="n">
        <v>1453</v>
      </c>
      <c r="H34" s="16" t="n">
        <f aca="false">G34/28</f>
        <v>51.8928571428571</v>
      </c>
      <c r="I34" s="15" t="n">
        <v>988</v>
      </c>
      <c r="J34" s="16" t="n">
        <f aca="false">I34/31</f>
        <v>31.8709677419355</v>
      </c>
      <c r="K34" s="15" t="n">
        <v>1668</v>
      </c>
      <c r="L34" s="16" t="n">
        <f aca="false">K34/30</f>
        <v>55.6</v>
      </c>
      <c r="M34" s="15" t="n">
        <v>1372</v>
      </c>
      <c r="N34" s="16" t="n">
        <f aca="false">M34/31</f>
        <v>44.258064516129</v>
      </c>
      <c r="O34" s="15" t="n">
        <v>833</v>
      </c>
      <c r="P34" s="16" t="n">
        <f aca="false">O34/30</f>
        <v>27.7666666666667</v>
      </c>
      <c r="Q34" s="15" t="n">
        <v>1655</v>
      </c>
      <c r="R34" s="16" t="n">
        <f aca="false">Q34/31</f>
        <v>53.3870967741936</v>
      </c>
      <c r="S34" s="15" t="n">
        <v>1097</v>
      </c>
      <c r="T34" s="16" t="n">
        <f aca="false">S34/31</f>
        <v>35.3870967741936</v>
      </c>
      <c r="U34" s="15" t="n">
        <v>1482</v>
      </c>
      <c r="V34" s="16" t="n">
        <f aca="false">U34/30</f>
        <v>49.4</v>
      </c>
      <c r="W34" s="15" t="n">
        <v>1045</v>
      </c>
      <c r="X34" s="16" t="n">
        <f aca="false">W34/31</f>
        <v>33.7096774193548</v>
      </c>
      <c r="Y34" s="15" t="n">
        <v>1620</v>
      </c>
      <c r="Z34" s="16" t="n">
        <f aca="false">Y34/30</f>
        <v>54</v>
      </c>
      <c r="AA34" s="15" t="n">
        <v>1444</v>
      </c>
      <c r="AB34" s="16" t="n">
        <f aca="false">AA34/31</f>
        <v>46.5806451612903</v>
      </c>
      <c r="AC34" s="17" t="n">
        <f aca="false">SUM(E34:AA34)</f>
        <v>16336.0788786482</v>
      </c>
      <c r="AD34" s="18" t="n">
        <f aca="false">IFERROR(STDEV(F34,H34,J34,L34,N34,P34,R34,T34,V34,X34,Z34,AB34),0)</f>
        <v>9.7055031386061</v>
      </c>
      <c r="AE34" s="15" t="n">
        <v>1055</v>
      </c>
      <c r="AF34" s="16" t="n">
        <f aca="false">AE34/31</f>
        <v>34.0322580645161</v>
      </c>
      <c r="AG34" s="15" t="n">
        <v>1400</v>
      </c>
      <c r="AH34" s="16" t="n">
        <f aca="false">AG34/28</f>
        <v>50</v>
      </c>
      <c r="AI34" s="15" t="n">
        <v>1390</v>
      </c>
      <c r="AJ34" s="16" t="n">
        <f aca="false">AI34/31</f>
        <v>44.8387096774194</v>
      </c>
      <c r="AK34" s="15" t="n">
        <v>884</v>
      </c>
      <c r="AL34" s="16" t="n">
        <f aca="false">AK34/30</f>
        <v>29.4666666666667</v>
      </c>
      <c r="AM34" s="15" t="n">
        <v>986</v>
      </c>
      <c r="AN34" s="16" t="n">
        <f aca="false">AM34/31</f>
        <v>31.8064516129032</v>
      </c>
      <c r="AO34" s="15" t="n">
        <v>1204</v>
      </c>
      <c r="AP34" s="16" t="n">
        <f aca="false">AO34/30</f>
        <v>40.1333333333333</v>
      </c>
      <c r="AQ34" s="15" t="n">
        <v>1361</v>
      </c>
      <c r="AR34" s="16" t="n">
        <f aca="false">AQ34/31</f>
        <v>43.9032258064516</v>
      </c>
      <c r="AS34" s="15" t="n">
        <v>1342</v>
      </c>
      <c r="AT34" s="16" t="n">
        <f aca="false">AS34/31</f>
        <v>43.2903225806452</v>
      </c>
      <c r="AU34" s="15" t="n">
        <v>1508</v>
      </c>
      <c r="AV34" s="16" t="n">
        <f aca="false">AU34/30</f>
        <v>50.2666666666667</v>
      </c>
      <c r="AW34" s="15" t="n">
        <v>1407</v>
      </c>
      <c r="AX34" s="16" t="n">
        <f aca="false">AW34/31</f>
        <v>45.3870967741936</v>
      </c>
      <c r="AY34" s="15" t="n">
        <v>1199</v>
      </c>
      <c r="AZ34" s="16" t="n">
        <f aca="false">AY34/30</f>
        <v>39.9666666666667</v>
      </c>
      <c r="BA34" s="15" t="n">
        <v>1516</v>
      </c>
      <c r="BB34" s="16" t="n">
        <f aca="false">BA34/31</f>
        <v>48.9032258064516</v>
      </c>
      <c r="BC34" s="17" t="n">
        <f aca="false">SUM(AE34:BA34)</f>
        <v>15705.0913978495</v>
      </c>
      <c r="BD34" s="18" t="n">
        <f aca="false">IFERROR(STDEV(AF34,AH34,AJ34,AL34,AN34,AP34,AR34,AT34,AV34,AX34,AZ34,BB34),0)</f>
        <v>6.98421433131126</v>
      </c>
      <c r="BE34" s="15" t="n">
        <v>828</v>
      </c>
      <c r="BF34" s="16" t="n">
        <f aca="false">BE34/31</f>
        <v>26.7096774193548</v>
      </c>
      <c r="BG34" s="15" t="n">
        <v>1579</v>
      </c>
      <c r="BH34" s="16" t="n">
        <f aca="false">BG34/28</f>
        <v>56.3928571428571</v>
      </c>
      <c r="BI34" s="15" t="n">
        <v>1351</v>
      </c>
      <c r="BJ34" s="16" t="n">
        <f aca="false">BI34/31</f>
        <v>43.5806451612903</v>
      </c>
      <c r="BK34" s="15" t="n">
        <v>952</v>
      </c>
      <c r="BL34" s="16" t="n">
        <f aca="false">BK34/30</f>
        <v>31.7333333333333</v>
      </c>
      <c r="BM34" s="15" t="n">
        <v>985</v>
      </c>
      <c r="BN34" s="16" t="n">
        <f aca="false">BM34/31</f>
        <v>31.7741935483871</v>
      </c>
      <c r="BO34" s="15" t="n">
        <v>1432</v>
      </c>
      <c r="BP34" s="16" t="n">
        <f aca="false">BO34/30</f>
        <v>47.7333333333333</v>
      </c>
      <c r="BQ34" s="15" t="n">
        <v>1163</v>
      </c>
      <c r="BR34" s="16" t="n">
        <f aca="false">BQ34/31</f>
        <v>37.5161290322581</v>
      </c>
      <c r="BS34" s="15" t="n">
        <v>1323</v>
      </c>
      <c r="BT34" s="16" t="n">
        <f aca="false">BS34/31</f>
        <v>42.6774193548387</v>
      </c>
      <c r="BU34" s="15" t="n">
        <v>952</v>
      </c>
      <c r="BV34" s="16" t="n">
        <f aca="false">BU34/30</f>
        <v>31.7333333333333</v>
      </c>
      <c r="BW34" s="15" t="n">
        <v>1420</v>
      </c>
      <c r="BX34" s="16" t="n">
        <f aca="false">BW34/31</f>
        <v>45.8064516129032</v>
      </c>
      <c r="BY34" s="15" t="n">
        <v>1015</v>
      </c>
      <c r="BZ34" s="16" t="n">
        <f aca="false">BY34/30</f>
        <v>33.8333333333333</v>
      </c>
      <c r="CA34" s="15" t="n">
        <v>1292</v>
      </c>
      <c r="CB34" s="16" t="n">
        <f aca="false">CA34/31</f>
        <v>41.6774193548387</v>
      </c>
      <c r="CC34" s="17" t="n">
        <f aca="false">SUM(BE34:CA34)</f>
        <v>14721.4907066052</v>
      </c>
      <c r="CD34" s="18" t="n">
        <f aca="false">IFERROR(STDEV(BF34,BH34,BJ34,BL34,BN34,BP34,BR34,BT34,BV34,BX34,BZ34,CB34),0)</f>
        <v>8.54782145427016</v>
      </c>
      <c r="CE34" s="15" t="n">
        <v>1722</v>
      </c>
      <c r="CF34" s="16" t="n">
        <f aca="false">CE34/31</f>
        <v>55.5483870967742</v>
      </c>
      <c r="CG34" s="15" t="n">
        <v>1328</v>
      </c>
      <c r="CH34" s="16" t="n">
        <f aca="false">CG34/28</f>
        <v>47.4285714285714</v>
      </c>
      <c r="CI34" s="15" t="n">
        <v>1540</v>
      </c>
      <c r="CJ34" s="16" t="n">
        <f aca="false">CI34/31</f>
        <v>49.6774193548387</v>
      </c>
      <c r="CK34" s="15" t="n">
        <v>1469</v>
      </c>
      <c r="CL34" s="16" t="n">
        <f aca="false">CK34/30</f>
        <v>48.9666666666667</v>
      </c>
      <c r="CM34" s="15" t="n">
        <v>1432</v>
      </c>
      <c r="CN34" s="16" t="n">
        <f aca="false">CM34/31</f>
        <v>46.1935483870968</v>
      </c>
      <c r="CO34" s="15" t="n">
        <v>773</v>
      </c>
      <c r="CP34" s="16" t="n">
        <f aca="false">CO34/30</f>
        <v>25.7666666666667</v>
      </c>
      <c r="CQ34" s="15" t="n">
        <v>1219</v>
      </c>
      <c r="CR34" s="16" t="n">
        <f aca="false">CQ34/31</f>
        <v>39.3225806451613</v>
      </c>
      <c r="CS34" s="15" t="n">
        <v>1709</v>
      </c>
      <c r="CT34" s="16" t="n">
        <f aca="false">CS34/31</f>
        <v>55.1290322580645</v>
      </c>
      <c r="CU34" s="15" t="n">
        <v>1526</v>
      </c>
      <c r="CV34" s="16" t="n">
        <f aca="false">CU34/30</f>
        <v>50.8666666666667</v>
      </c>
      <c r="CW34" s="15" t="n">
        <v>1519</v>
      </c>
      <c r="CX34" s="16" t="n">
        <f aca="false">CW34/31</f>
        <v>49</v>
      </c>
      <c r="CY34" s="15" t="n">
        <v>1322</v>
      </c>
      <c r="CZ34" s="16" t="n">
        <f aca="false">CY34/30</f>
        <v>44.0666666666667</v>
      </c>
      <c r="DA34" s="15" t="n">
        <v>1465</v>
      </c>
      <c r="DB34" s="16" t="n">
        <f aca="false">DA34/31</f>
        <v>47.258064516129</v>
      </c>
      <c r="DC34" s="17" t="n">
        <f aca="false">SUM(CE34:DA34)</f>
        <v>17535.9662058372</v>
      </c>
      <c r="DD34" s="18" t="n">
        <f aca="false">IFERROR(STDEV(CF34,CH34,CJ34,CL34,CN34,CP34,CR34,CT34,CV34,CX34,CZ34,DB34),0)</f>
        <v>7.90020258486744</v>
      </c>
      <c r="DE34" s="15" t="n">
        <v>1447</v>
      </c>
      <c r="DF34" s="16" t="n">
        <f aca="false">DE34/31</f>
        <v>46.6774193548387</v>
      </c>
      <c r="DG34" s="15" t="n">
        <v>999</v>
      </c>
      <c r="DH34" s="16" t="n">
        <f aca="false">DG34/28</f>
        <v>35.6785714285714</v>
      </c>
      <c r="DI34" s="15" t="n">
        <v>1496</v>
      </c>
      <c r="DJ34" s="16" t="n">
        <f aca="false">DI34/31</f>
        <v>48.258064516129</v>
      </c>
      <c r="DK34" s="15" t="n">
        <v>1486</v>
      </c>
      <c r="DL34" s="16" t="n">
        <f aca="false">DK34/30</f>
        <v>49.5333333333333</v>
      </c>
      <c r="DM34" s="15" t="n">
        <v>1727</v>
      </c>
      <c r="DN34" s="16" t="n">
        <f aca="false">DM34/31</f>
        <v>55.7096774193548</v>
      </c>
      <c r="DO34" s="15" t="n">
        <v>974</v>
      </c>
      <c r="DP34" s="16" t="n">
        <f aca="false">DO34/30</f>
        <v>32.4666666666667</v>
      </c>
      <c r="DQ34" s="15" t="n">
        <v>1553</v>
      </c>
      <c r="DR34" s="16" t="n">
        <f aca="false">DQ34/31</f>
        <v>50.0967741935484</v>
      </c>
      <c r="DS34" s="15" t="n">
        <v>848</v>
      </c>
      <c r="DT34" s="16" t="n">
        <f aca="false">DS34/31</f>
        <v>27.3548387096774</v>
      </c>
      <c r="DU34" s="15" t="n">
        <v>1843</v>
      </c>
      <c r="DV34" s="16" t="n">
        <f aca="false">DU34/30</f>
        <v>61.4333333333333</v>
      </c>
      <c r="DW34" s="15" t="n">
        <v>933</v>
      </c>
      <c r="DX34" s="16" t="n">
        <f aca="false">DW34/31</f>
        <v>30.0967741935484</v>
      </c>
      <c r="DY34" s="15" t="n">
        <v>834</v>
      </c>
      <c r="DZ34" s="16" t="n">
        <f aca="false">DY34/30</f>
        <v>27.8</v>
      </c>
      <c r="EA34" s="15" t="n">
        <v>1154</v>
      </c>
      <c r="EB34" s="16" t="n">
        <f aca="false">EA34/31</f>
        <v>37.2258064516129</v>
      </c>
      <c r="EC34" s="17" t="n">
        <f aca="false">SUM(DE34:EA34)</f>
        <v>15759.105453149</v>
      </c>
      <c r="ED34" s="18" t="n">
        <f aca="false">IFERROR(STDEV(DF34,DH34,DJ34,DL34,DN34,DP34,DR34,DT34,DV34,DX34,DZ34,EB34),0)</f>
        <v>11.5214167758708</v>
      </c>
      <c r="EE34" s="19" t="n">
        <f aca="false">STDEV(F34:AB34,AF34:BB34,BF34:CB34,CF34:DB34,DF34:EB34)</f>
        <v>657.205753092676</v>
      </c>
    </row>
    <row r="35" customFormat="false" ht="15" hidden="false" customHeight="true" outlineLevel="0" collapsed="false">
      <c r="A35" s="11" t="n">
        <v>30</v>
      </c>
      <c r="B35" s="12" t="s">
        <v>94</v>
      </c>
      <c r="C35" s="13" t="s">
        <v>95</v>
      </c>
      <c r="D35" s="14" t="s">
        <v>36</v>
      </c>
      <c r="E35" s="15" t="n">
        <v>732</v>
      </c>
      <c r="F35" s="16" t="n">
        <f aca="false">E35/31</f>
        <v>23.6129032258065</v>
      </c>
      <c r="G35" s="15" t="n">
        <v>1170</v>
      </c>
      <c r="H35" s="16" t="n">
        <f aca="false">G35/28</f>
        <v>41.7857142857143</v>
      </c>
      <c r="I35" s="15" t="n">
        <v>943</v>
      </c>
      <c r="J35" s="16" t="n">
        <f aca="false">I35/31</f>
        <v>30.4193548387097</v>
      </c>
      <c r="K35" s="15" t="n">
        <v>1239</v>
      </c>
      <c r="L35" s="16" t="n">
        <f aca="false">K35/30</f>
        <v>41.3</v>
      </c>
      <c r="M35" s="15" t="n">
        <v>1357</v>
      </c>
      <c r="N35" s="16" t="n">
        <f aca="false">M35/31</f>
        <v>43.7741935483871</v>
      </c>
      <c r="O35" s="15" t="n">
        <v>1318</v>
      </c>
      <c r="P35" s="16" t="n">
        <f aca="false">O35/30</f>
        <v>43.9333333333333</v>
      </c>
      <c r="Q35" s="15" t="n">
        <v>1207</v>
      </c>
      <c r="R35" s="16" t="n">
        <f aca="false">Q35/31</f>
        <v>38.9354838709677</v>
      </c>
      <c r="S35" s="15" t="n">
        <v>660</v>
      </c>
      <c r="T35" s="16" t="n">
        <f aca="false">S35/31</f>
        <v>21.2903225806452</v>
      </c>
      <c r="U35" s="15" t="n">
        <v>721</v>
      </c>
      <c r="V35" s="16" t="n">
        <f aca="false">U35/30</f>
        <v>24.0333333333333</v>
      </c>
      <c r="W35" s="15" t="n">
        <v>778</v>
      </c>
      <c r="X35" s="16" t="n">
        <f aca="false">W35/31</f>
        <v>25.0967741935484</v>
      </c>
      <c r="Y35" s="15" t="n">
        <v>873</v>
      </c>
      <c r="Z35" s="16" t="n">
        <f aca="false">Y35/30</f>
        <v>29.1</v>
      </c>
      <c r="AA35" s="15" t="n">
        <v>1147</v>
      </c>
      <c r="AB35" s="16" t="n">
        <f aca="false">AA35/31</f>
        <v>37</v>
      </c>
      <c r="AC35" s="17" t="n">
        <f aca="false">SUM(E35:AA35)</f>
        <v>12508.2814132104</v>
      </c>
      <c r="AD35" s="18" t="n">
        <f aca="false">IFERROR(STDEV(F35,H35,J35,L35,N35,P35,R35,T35,V35,X35,Z35,AB35),0)</f>
        <v>8.64117088509481</v>
      </c>
      <c r="AE35" s="15" t="n">
        <v>1306</v>
      </c>
      <c r="AF35" s="16" t="n">
        <f aca="false">AE35/31</f>
        <v>42.1290322580645</v>
      </c>
      <c r="AG35" s="15" t="n">
        <v>1089</v>
      </c>
      <c r="AH35" s="16" t="n">
        <f aca="false">AG35/28</f>
        <v>38.8928571428571</v>
      </c>
      <c r="AI35" s="15" t="n">
        <v>946</v>
      </c>
      <c r="AJ35" s="16" t="n">
        <f aca="false">AI35/31</f>
        <v>30.5161290322581</v>
      </c>
      <c r="AK35" s="15" t="n">
        <v>1702</v>
      </c>
      <c r="AL35" s="16" t="n">
        <f aca="false">AK35/30</f>
        <v>56.7333333333333</v>
      </c>
      <c r="AM35" s="15" t="n">
        <v>1119</v>
      </c>
      <c r="AN35" s="16" t="n">
        <f aca="false">AM35/31</f>
        <v>36.0967741935484</v>
      </c>
      <c r="AO35" s="15" t="n">
        <v>1131</v>
      </c>
      <c r="AP35" s="16" t="n">
        <f aca="false">AO35/30</f>
        <v>37.7</v>
      </c>
      <c r="AQ35" s="15" t="n">
        <v>1559</v>
      </c>
      <c r="AR35" s="16" t="n">
        <f aca="false">AQ35/31</f>
        <v>50.2903225806452</v>
      </c>
      <c r="AS35" s="15" t="n">
        <v>1507</v>
      </c>
      <c r="AT35" s="16" t="n">
        <f aca="false">AS35/31</f>
        <v>48.6129032258065</v>
      </c>
      <c r="AU35" s="15" t="n">
        <v>1427</v>
      </c>
      <c r="AV35" s="16" t="n">
        <f aca="false">AU35/30</f>
        <v>47.5666666666667</v>
      </c>
      <c r="AW35" s="15" t="n">
        <v>1478</v>
      </c>
      <c r="AX35" s="16" t="n">
        <f aca="false">AW35/31</f>
        <v>47.6774193548387</v>
      </c>
      <c r="AY35" s="15" t="n">
        <v>1393</v>
      </c>
      <c r="AZ35" s="16" t="n">
        <f aca="false">AY35/30</f>
        <v>46.4333333333333</v>
      </c>
      <c r="BA35" s="15" t="n">
        <v>965</v>
      </c>
      <c r="BB35" s="16" t="n">
        <f aca="false">BA35/31</f>
        <v>31.1290322580645</v>
      </c>
      <c r="BC35" s="17" t="n">
        <f aca="false">SUM(AE35:BA35)</f>
        <v>16104.6487711214</v>
      </c>
      <c r="BD35" s="18" t="n">
        <f aca="false">IFERROR(STDEV(AF35,AH35,AJ35,AL35,AN35,AP35,AR35,AT35,AV35,AX35,AZ35,BB35),0)</f>
        <v>8.07637145431459</v>
      </c>
      <c r="BE35" s="15" t="n">
        <v>958</v>
      </c>
      <c r="BF35" s="16" t="n">
        <f aca="false">BE35/31</f>
        <v>30.9032258064516</v>
      </c>
      <c r="BG35" s="15" t="n">
        <v>1258</v>
      </c>
      <c r="BH35" s="16" t="n">
        <f aca="false">BG35/28</f>
        <v>44.9285714285714</v>
      </c>
      <c r="BI35" s="15" t="n">
        <v>938</v>
      </c>
      <c r="BJ35" s="16" t="n">
        <f aca="false">BI35/31</f>
        <v>30.258064516129</v>
      </c>
      <c r="BK35" s="15" t="n">
        <v>1657</v>
      </c>
      <c r="BL35" s="16" t="n">
        <f aca="false">BK35/30</f>
        <v>55.2333333333333</v>
      </c>
      <c r="BM35" s="15" t="n">
        <v>1008</v>
      </c>
      <c r="BN35" s="16" t="n">
        <f aca="false">BM35/31</f>
        <v>32.5161290322581</v>
      </c>
      <c r="BO35" s="15" t="n">
        <v>999</v>
      </c>
      <c r="BP35" s="16" t="n">
        <f aca="false">BO35/30</f>
        <v>33.3</v>
      </c>
      <c r="BQ35" s="15" t="n">
        <v>921</v>
      </c>
      <c r="BR35" s="16" t="n">
        <f aca="false">BQ35/31</f>
        <v>29.7096774193548</v>
      </c>
      <c r="BS35" s="15" t="n">
        <v>1399</v>
      </c>
      <c r="BT35" s="16" t="n">
        <f aca="false">BS35/31</f>
        <v>45.1290322580645</v>
      </c>
      <c r="BU35" s="15" t="n">
        <v>1026</v>
      </c>
      <c r="BV35" s="16" t="n">
        <f aca="false">BU35/30</f>
        <v>34.2</v>
      </c>
      <c r="BW35" s="15" t="n">
        <v>1057</v>
      </c>
      <c r="BX35" s="16" t="n">
        <f aca="false">BW35/31</f>
        <v>34.0967741935484</v>
      </c>
      <c r="BY35" s="15" t="n">
        <v>1619</v>
      </c>
      <c r="BZ35" s="16" t="n">
        <f aca="false">BY35/30</f>
        <v>53.9666666666667</v>
      </c>
      <c r="CA35" s="15" t="n">
        <v>1486</v>
      </c>
      <c r="CB35" s="16" t="n">
        <f aca="false">CA35/31</f>
        <v>47.9354838709677</v>
      </c>
      <c r="CC35" s="17" t="n">
        <f aca="false">SUM(BE35:CA35)</f>
        <v>14750.2414746544</v>
      </c>
      <c r="CD35" s="18" t="n">
        <f aca="false">IFERROR(STDEV(BF35,BH35,BJ35,BL35,BN35,BP35,BR35,BT35,BV35,BX35,BZ35,CB35),0)</f>
        <v>9.47976631212601</v>
      </c>
      <c r="CE35" s="15" t="n">
        <v>907</v>
      </c>
      <c r="CF35" s="16" t="n">
        <f aca="false">CE35/31</f>
        <v>29.258064516129</v>
      </c>
      <c r="CG35" s="15" t="n">
        <v>773</v>
      </c>
      <c r="CH35" s="16" t="n">
        <f aca="false">CG35/28</f>
        <v>27.6071428571429</v>
      </c>
      <c r="CI35" s="15" t="n">
        <v>1265</v>
      </c>
      <c r="CJ35" s="16" t="n">
        <f aca="false">CI35/31</f>
        <v>40.8064516129032</v>
      </c>
      <c r="CK35" s="15" t="n">
        <v>1001</v>
      </c>
      <c r="CL35" s="16" t="n">
        <f aca="false">CK35/30</f>
        <v>33.3666666666667</v>
      </c>
      <c r="CM35" s="15" t="n">
        <v>1534</v>
      </c>
      <c r="CN35" s="16" t="n">
        <f aca="false">CM35/31</f>
        <v>49.4838709677419</v>
      </c>
      <c r="CO35" s="15" t="n">
        <v>1390</v>
      </c>
      <c r="CP35" s="16" t="n">
        <f aca="false">CO35/30</f>
        <v>46.3333333333333</v>
      </c>
      <c r="CQ35" s="15" t="n">
        <v>1511</v>
      </c>
      <c r="CR35" s="16" t="n">
        <f aca="false">CQ35/31</f>
        <v>48.741935483871</v>
      </c>
      <c r="CS35" s="15" t="n">
        <v>1378</v>
      </c>
      <c r="CT35" s="16" t="n">
        <f aca="false">CS35/31</f>
        <v>44.4516129032258</v>
      </c>
      <c r="CU35" s="15" t="n">
        <v>922</v>
      </c>
      <c r="CV35" s="16" t="n">
        <f aca="false">CU35/30</f>
        <v>30.7333333333333</v>
      </c>
      <c r="CW35" s="15" t="n">
        <v>920</v>
      </c>
      <c r="CX35" s="16" t="n">
        <f aca="false">CW35/31</f>
        <v>29.6774193548387</v>
      </c>
      <c r="CY35" s="15" t="n">
        <v>1298</v>
      </c>
      <c r="CZ35" s="16" t="n">
        <f aca="false">CY35/30</f>
        <v>43.2666666666667</v>
      </c>
      <c r="DA35" s="15" t="n">
        <v>972</v>
      </c>
      <c r="DB35" s="16" t="n">
        <f aca="false">DA35/31</f>
        <v>31.3548387096774</v>
      </c>
      <c r="DC35" s="17" t="n">
        <f aca="false">SUM(CE35:DA35)</f>
        <v>14294.7264976959</v>
      </c>
      <c r="DD35" s="18" t="n">
        <f aca="false">IFERROR(STDEV(CF35,CH35,CJ35,CL35,CN35,CP35,CR35,CT35,CV35,CX35,CZ35,DB35),0)</f>
        <v>8.34488683236865</v>
      </c>
      <c r="DE35" s="15" t="n">
        <v>1257</v>
      </c>
      <c r="DF35" s="16" t="n">
        <f aca="false">DE35/31</f>
        <v>40.5483870967742</v>
      </c>
      <c r="DG35" s="15" t="n">
        <v>1061</v>
      </c>
      <c r="DH35" s="16" t="n">
        <f aca="false">DG35/28</f>
        <v>37.8928571428571</v>
      </c>
      <c r="DI35" s="15" t="n">
        <v>1295</v>
      </c>
      <c r="DJ35" s="16" t="n">
        <f aca="false">DI35/31</f>
        <v>41.7741935483871</v>
      </c>
      <c r="DK35" s="15" t="n">
        <v>1003</v>
      </c>
      <c r="DL35" s="16" t="n">
        <f aca="false">DK35/30</f>
        <v>33.4333333333333</v>
      </c>
      <c r="DM35" s="15" t="n">
        <v>1358</v>
      </c>
      <c r="DN35" s="16" t="n">
        <f aca="false">DM35/31</f>
        <v>43.8064516129032</v>
      </c>
      <c r="DO35" s="15" t="n">
        <v>1774</v>
      </c>
      <c r="DP35" s="16" t="n">
        <f aca="false">DO35/30</f>
        <v>59.1333333333333</v>
      </c>
      <c r="DQ35" s="15" t="n">
        <v>1524</v>
      </c>
      <c r="DR35" s="16" t="n">
        <f aca="false">DQ35/31</f>
        <v>49.1612903225807</v>
      </c>
      <c r="DS35" s="15" t="n">
        <v>935</v>
      </c>
      <c r="DT35" s="16" t="n">
        <f aca="false">DS35/31</f>
        <v>30.1612903225806</v>
      </c>
      <c r="DU35" s="15" t="n">
        <v>1439</v>
      </c>
      <c r="DV35" s="16" t="n">
        <f aca="false">DU35/30</f>
        <v>47.9666666666667</v>
      </c>
      <c r="DW35" s="15" t="n">
        <v>1409</v>
      </c>
      <c r="DX35" s="16" t="n">
        <f aca="false">DW35/31</f>
        <v>45.4516129032258</v>
      </c>
      <c r="DY35" s="15" t="n">
        <v>1046</v>
      </c>
      <c r="DZ35" s="16" t="n">
        <f aca="false">DY35/30</f>
        <v>34.8666666666667</v>
      </c>
      <c r="EA35" s="15" t="n">
        <v>1497</v>
      </c>
      <c r="EB35" s="16" t="n">
        <f aca="false">EA35/31</f>
        <v>48.2903225806452</v>
      </c>
      <c r="EC35" s="17" t="n">
        <f aca="false">SUM(DE35:EA35)</f>
        <v>16062.1960829493</v>
      </c>
      <c r="ED35" s="18" t="n">
        <f aca="false">IFERROR(STDEV(DF35,DH35,DJ35,DL35,DN35,DP35,DR35,DT35,DV35,DX35,DZ35,EB35),0)</f>
        <v>8.04890635546118</v>
      </c>
      <c r="EE35" s="19" t="n">
        <f aca="false">STDEV(F35:AB35,AF35:BB35,BF35:CB35,CF35:DB35,DF35:EB35)</f>
        <v>615.356041398286</v>
      </c>
    </row>
    <row r="36" customFormat="false" ht="15" hidden="false" customHeight="true" outlineLevel="0" collapsed="false">
      <c r="A36" s="11" t="n">
        <v>31</v>
      </c>
      <c r="B36" s="12" t="s">
        <v>96</v>
      </c>
      <c r="C36" s="13" t="s">
        <v>97</v>
      </c>
      <c r="D36" s="14" t="s">
        <v>36</v>
      </c>
      <c r="E36" s="15" t="n">
        <v>3338</v>
      </c>
      <c r="F36" s="16" t="n">
        <f aca="false">E36/31</f>
        <v>107.677419354839</v>
      </c>
      <c r="G36" s="15" t="n">
        <v>3617</v>
      </c>
      <c r="H36" s="16" t="n">
        <f aca="false">G36/28</f>
        <v>129.178571428571</v>
      </c>
      <c r="I36" s="15" t="n">
        <v>2091</v>
      </c>
      <c r="J36" s="16" t="n">
        <f aca="false">I36/31</f>
        <v>67.4516129032258</v>
      </c>
      <c r="K36" s="15" t="n">
        <v>3032</v>
      </c>
      <c r="L36" s="16" t="n">
        <f aca="false">K36/30</f>
        <v>101.066666666667</v>
      </c>
      <c r="M36" s="15" t="n">
        <v>3824</v>
      </c>
      <c r="N36" s="16" t="n">
        <f aca="false">M36/31</f>
        <v>123.354838709677</v>
      </c>
      <c r="O36" s="15" t="n">
        <v>2217</v>
      </c>
      <c r="P36" s="16" t="n">
        <f aca="false">O36/30</f>
        <v>73.9</v>
      </c>
      <c r="Q36" s="15" t="n">
        <v>3963</v>
      </c>
      <c r="R36" s="16" t="n">
        <f aca="false">Q36/31</f>
        <v>127.838709677419</v>
      </c>
      <c r="S36" s="15" t="n">
        <v>1968</v>
      </c>
      <c r="T36" s="16" t="n">
        <f aca="false">S36/31</f>
        <v>63.4838709677419</v>
      </c>
      <c r="U36" s="15" t="n">
        <v>3389</v>
      </c>
      <c r="V36" s="16" t="n">
        <f aca="false">U36/30</f>
        <v>112.966666666667</v>
      </c>
      <c r="W36" s="15" t="n">
        <v>4376</v>
      </c>
      <c r="X36" s="16" t="n">
        <f aca="false">W36/31</f>
        <v>141.161290322581</v>
      </c>
      <c r="Y36" s="15" t="n">
        <v>3015</v>
      </c>
      <c r="Z36" s="16" t="n">
        <f aca="false">Y36/30</f>
        <v>100.5</v>
      </c>
      <c r="AA36" s="15" t="n">
        <v>4391</v>
      </c>
      <c r="AB36" s="16" t="n">
        <f aca="false">AA36/31</f>
        <v>141.645161290323</v>
      </c>
      <c r="AC36" s="17" t="n">
        <f aca="false">SUM(E36:AA36)</f>
        <v>40369.5796466974</v>
      </c>
      <c r="AD36" s="18" t="n">
        <f aca="false">IFERROR(STDEV(F36,H36,J36,L36,N36,P36,R36,T36,V36,X36,Z36,AB36),0)</f>
        <v>27.3438149880265</v>
      </c>
      <c r="AE36" s="15" t="n">
        <v>5186</v>
      </c>
      <c r="AF36" s="16" t="n">
        <f aca="false">AE36/31</f>
        <v>167.290322580645</v>
      </c>
      <c r="AG36" s="15" t="n">
        <v>3909</v>
      </c>
      <c r="AH36" s="16" t="n">
        <f aca="false">AG36/28</f>
        <v>139.607142857143</v>
      </c>
      <c r="AI36" s="15" t="n">
        <v>3024</v>
      </c>
      <c r="AJ36" s="16" t="n">
        <f aca="false">AI36/31</f>
        <v>97.5483870967742</v>
      </c>
      <c r="AK36" s="15" t="n">
        <v>5458</v>
      </c>
      <c r="AL36" s="16" t="n">
        <f aca="false">AK36/30</f>
        <v>181.933333333333</v>
      </c>
      <c r="AM36" s="15" t="n">
        <v>3411</v>
      </c>
      <c r="AN36" s="16" t="n">
        <f aca="false">AM36/31</f>
        <v>110.032258064516</v>
      </c>
      <c r="AO36" s="15" t="n">
        <v>4446</v>
      </c>
      <c r="AP36" s="16" t="n">
        <f aca="false">AO36/30</f>
        <v>148.2</v>
      </c>
      <c r="AQ36" s="15" t="n">
        <v>5280</v>
      </c>
      <c r="AR36" s="16" t="n">
        <f aca="false">AQ36/31</f>
        <v>170.322580645161</v>
      </c>
      <c r="AS36" s="15" t="n">
        <v>2673</v>
      </c>
      <c r="AT36" s="16" t="n">
        <f aca="false">AS36/31</f>
        <v>86.2258064516129</v>
      </c>
      <c r="AU36" s="15" t="n">
        <v>4217</v>
      </c>
      <c r="AV36" s="16" t="n">
        <f aca="false">AU36/30</f>
        <v>140.566666666667</v>
      </c>
      <c r="AW36" s="15" t="n">
        <v>4093</v>
      </c>
      <c r="AX36" s="16" t="n">
        <f aca="false">AW36/31</f>
        <v>132.032258064516</v>
      </c>
      <c r="AY36" s="15" t="n">
        <v>4691</v>
      </c>
      <c r="AZ36" s="16" t="n">
        <f aca="false">AY36/30</f>
        <v>156.366666666667</v>
      </c>
      <c r="BA36" s="15" t="n">
        <v>5372</v>
      </c>
      <c r="BB36" s="16" t="n">
        <f aca="false">BA36/31</f>
        <v>173.290322580645</v>
      </c>
      <c r="BC36" s="17" t="n">
        <f aca="false">SUM(AE36:BA36)</f>
        <v>53290.125422427</v>
      </c>
      <c r="BD36" s="18" t="n">
        <f aca="false">IFERROR(STDEV(AF36,AH36,AJ36,AL36,AN36,AP36,AR36,AT36,AV36,AX36,AZ36,BB36),0)</f>
        <v>30.8605606251257</v>
      </c>
      <c r="BE36" s="15" t="n">
        <v>3556</v>
      </c>
      <c r="BF36" s="16" t="n">
        <f aca="false">BE36/31</f>
        <v>114.709677419355</v>
      </c>
      <c r="BG36" s="15" t="n">
        <v>1978</v>
      </c>
      <c r="BH36" s="16" t="n">
        <f aca="false">BG36/28</f>
        <v>70.6428571428571</v>
      </c>
      <c r="BI36" s="15" t="n">
        <v>3490</v>
      </c>
      <c r="BJ36" s="16" t="n">
        <f aca="false">BI36/31</f>
        <v>112.58064516129</v>
      </c>
      <c r="BK36" s="15" t="n">
        <v>1980</v>
      </c>
      <c r="BL36" s="16" t="n">
        <f aca="false">BK36/30</f>
        <v>66</v>
      </c>
      <c r="BM36" s="15" t="n">
        <v>3570</v>
      </c>
      <c r="BN36" s="16" t="n">
        <f aca="false">BM36/31</f>
        <v>115.161290322581</v>
      </c>
      <c r="BO36" s="15" t="n">
        <v>3736</v>
      </c>
      <c r="BP36" s="16" t="n">
        <f aca="false">BO36/30</f>
        <v>124.533333333333</v>
      </c>
      <c r="BQ36" s="15" t="n">
        <v>2453</v>
      </c>
      <c r="BR36" s="16" t="n">
        <f aca="false">BQ36/31</f>
        <v>79.1290322580645</v>
      </c>
      <c r="BS36" s="15" t="n">
        <v>2663</v>
      </c>
      <c r="BT36" s="16" t="n">
        <f aca="false">BS36/31</f>
        <v>85.9032258064516</v>
      </c>
      <c r="BU36" s="15" t="n">
        <v>3606</v>
      </c>
      <c r="BV36" s="16" t="n">
        <f aca="false">BU36/30</f>
        <v>120.2</v>
      </c>
      <c r="BW36" s="15" t="n">
        <v>3661</v>
      </c>
      <c r="BX36" s="16" t="n">
        <f aca="false">BW36/31</f>
        <v>118.096774193548</v>
      </c>
      <c r="BY36" s="15" t="n">
        <v>3584</v>
      </c>
      <c r="BZ36" s="16" t="n">
        <f aca="false">BY36/30</f>
        <v>119.466666666667</v>
      </c>
      <c r="CA36" s="15" t="n">
        <v>3478</v>
      </c>
      <c r="CB36" s="16" t="n">
        <f aca="false">CA36/31</f>
        <v>112.193548387097</v>
      </c>
      <c r="CC36" s="17" t="n">
        <f aca="false">SUM(BE36:CA36)</f>
        <v>38881.4235023042</v>
      </c>
      <c r="CD36" s="18" t="n">
        <f aca="false">IFERROR(STDEV(BF36,BH36,BJ36,BL36,BN36,BP36,BR36,BT36,BV36,BX36,BZ36,CB36),0)</f>
        <v>21.3146311342495</v>
      </c>
      <c r="CE36" s="15" t="n">
        <v>2026</v>
      </c>
      <c r="CF36" s="16" t="n">
        <f aca="false">CE36/31</f>
        <v>65.3548387096774</v>
      </c>
      <c r="CG36" s="15" t="n">
        <v>3517</v>
      </c>
      <c r="CH36" s="16" t="n">
        <f aca="false">CG36/28</f>
        <v>125.607142857143</v>
      </c>
      <c r="CI36" s="15" t="n">
        <v>2288</v>
      </c>
      <c r="CJ36" s="16" t="n">
        <f aca="false">CI36/31</f>
        <v>73.8064516129032</v>
      </c>
      <c r="CK36" s="15" t="n">
        <v>4624</v>
      </c>
      <c r="CL36" s="16" t="n">
        <f aca="false">CK36/30</f>
        <v>154.133333333333</v>
      </c>
      <c r="CM36" s="15" t="n">
        <v>2761</v>
      </c>
      <c r="CN36" s="16" t="n">
        <f aca="false">CM36/31</f>
        <v>89.0645161290323</v>
      </c>
      <c r="CO36" s="15" t="n">
        <v>4640</v>
      </c>
      <c r="CP36" s="16" t="n">
        <f aca="false">CO36/30</f>
        <v>154.666666666667</v>
      </c>
      <c r="CQ36" s="15" t="n">
        <v>3451</v>
      </c>
      <c r="CR36" s="16" t="n">
        <f aca="false">CQ36/31</f>
        <v>111.322580645161</v>
      </c>
      <c r="CS36" s="15" t="n">
        <v>3319</v>
      </c>
      <c r="CT36" s="16" t="n">
        <f aca="false">CS36/31</f>
        <v>107.064516129032</v>
      </c>
      <c r="CU36" s="15" t="n">
        <v>4506</v>
      </c>
      <c r="CV36" s="16" t="n">
        <f aca="false">CU36/30</f>
        <v>150.2</v>
      </c>
      <c r="CW36" s="15" t="n">
        <v>4272</v>
      </c>
      <c r="CX36" s="16" t="n">
        <f aca="false">CW36/31</f>
        <v>137.806451612903</v>
      </c>
      <c r="CY36" s="15" t="n">
        <v>3250</v>
      </c>
      <c r="CZ36" s="16" t="n">
        <f aca="false">CY36/30</f>
        <v>108.333333333333</v>
      </c>
      <c r="DA36" s="15" t="n">
        <v>2516</v>
      </c>
      <c r="DB36" s="16" t="n">
        <f aca="false">DA36/31</f>
        <v>81.1612903225806</v>
      </c>
      <c r="DC36" s="17" t="n">
        <f aca="false">SUM(CE36:DA36)</f>
        <v>42447.3598310292</v>
      </c>
      <c r="DD36" s="18" t="n">
        <f aca="false">IFERROR(STDEV(CF36,CH36,CJ36,CL36,CN36,CP36,CR36,CT36,CV36,CX36,CZ36,DB36),0)</f>
        <v>31.6777819724841</v>
      </c>
      <c r="DE36" s="15" t="n">
        <v>2595</v>
      </c>
      <c r="DF36" s="16" t="n">
        <f aca="false">DE36/31</f>
        <v>83.7096774193548</v>
      </c>
      <c r="DG36" s="15" t="n">
        <v>2745</v>
      </c>
      <c r="DH36" s="16" t="n">
        <f aca="false">DG36/28</f>
        <v>98.0357142857143</v>
      </c>
      <c r="DI36" s="15" t="n">
        <v>3637</v>
      </c>
      <c r="DJ36" s="16" t="n">
        <f aca="false">DI36/31</f>
        <v>117.322580645161</v>
      </c>
      <c r="DK36" s="15" t="n">
        <v>3030</v>
      </c>
      <c r="DL36" s="16" t="n">
        <f aca="false">DK36/30</f>
        <v>101</v>
      </c>
      <c r="DM36" s="15" t="n">
        <v>2816</v>
      </c>
      <c r="DN36" s="16" t="n">
        <f aca="false">DM36/31</f>
        <v>90.8387096774194</v>
      </c>
      <c r="DO36" s="15" t="n">
        <v>4472</v>
      </c>
      <c r="DP36" s="16" t="n">
        <f aca="false">DO36/30</f>
        <v>149.066666666667</v>
      </c>
      <c r="DQ36" s="15" t="n">
        <v>4635</v>
      </c>
      <c r="DR36" s="16" t="n">
        <f aca="false">DQ36/31</f>
        <v>149.516129032258</v>
      </c>
      <c r="DS36" s="15" t="n">
        <v>3964</v>
      </c>
      <c r="DT36" s="16" t="n">
        <f aca="false">DS36/31</f>
        <v>127.870967741935</v>
      </c>
      <c r="DU36" s="15" t="n">
        <v>4534</v>
      </c>
      <c r="DV36" s="16" t="n">
        <f aca="false">DU36/30</f>
        <v>151.133333333333</v>
      </c>
      <c r="DW36" s="15" t="n">
        <v>2784</v>
      </c>
      <c r="DX36" s="16" t="n">
        <f aca="false">DW36/31</f>
        <v>89.8064516129032</v>
      </c>
      <c r="DY36" s="15" t="n">
        <v>4832</v>
      </c>
      <c r="DZ36" s="16" t="n">
        <f aca="false">DY36/30</f>
        <v>161.066666666667</v>
      </c>
      <c r="EA36" s="15" t="n">
        <v>4955</v>
      </c>
      <c r="EB36" s="16" t="n">
        <f aca="false">EA36/31</f>
        <v>159.838709677419</v>
      </c>
      <c r="EC36" s="17" t="n">
        <f aca="false">SUM(DE36:EA36)</f>
        <v>46318.3668970814</v>
      </c>
      <c r="ED36" s="18" t="n">
        <f aca="false">IFERROR(STDEV(DF36,DH36,DJ36,DL36,DN36,DP36,DR36,DT36,DV36,DX36,DZ36,EB36),0)</f>
        <v>29.8822395514673</v>
      </c>
      <c r="EE36" s="19" t="n">
        <f aca="false">STDEV(F36:AB36,AF36:BB36,BF36:CB36,CF36:DB36,DF36:EB36)</f>
        <v>1859.64933170703</v>
      </c>
    </row>
    <row r="37" customFormat="false" ht="15" hidden="false" customHeight="true" outlineLevel="0" collapsed="false">
      <c r="A37" s="11" t="n">
        <v>32</v>
      </c>
      <c r="B37" s="12" t="s">
        <v>98</v>
      </c>
      <c r="C37" s="13" t="s">
        <v>99</v>
      </c>
      <c r="D37" s="14" t="s">
        <v>36</v>
      </c>
      <c r="E37" s="15" t="n">
        <v>1807</v>
      </c>
      <c r="F37" s="16" t="n">
        <f aca="false">E37/31</f>
        <v>58.2903225806452</v>
      </c>
      <c r="G37" s="15" t="n">
        <v>1450</v>
      </c>
      <c r="H37" s="16" t="n">
        <f aca="false">G37/28</f>
        <v>51.7857142857143</v>
      </c>
      <c r="I37" s="15" t="n">
        <v>959</v>
      </c>
      <c r="J37" s="16" t="n">
        <f aca="false">I37/31</f>
        <v>30.9354838709677</v>
      </c>
      <c r="K37" s="15" t="n">
        <v>1626</v>
      </c>
      <c r="L37" s="16" t="n">
        <f aca="false">K37/30</f>
        <v>54.2</v>
      </c>
      <c r="M37" s="15" t="n">
        <v>1071</v>
      </c>
      <c r="N37" s="16" t="n">
        <f aca="false">M37/31</f>
        <v>34.5483870967742</v>
      </c>
      <c r="O37" s="15" t="n">
        <v>1020</v>
      </c>
      <c r="P37" s="16" t="n">
        <f aca="false">O37/30</f>
        <v>34</v>
      </c>
      <c r="Q37" s="15" t="n">
        <v>1230</v>
      </c>
      <c r="R37" s="16" t="n">
        <f aca="false">Q37/31</f>
        <v>39.6774193548387</v>
      </c>
      <c r="S37" s="15" t="n">
        <v>1144</v>
      </c>
      <c r="T37" s="16" t="n">
        <f aca="false">S37/31</f>
        <v>36.9032258064516</v>
      </c>
      <c r="U37" s="15" t="n">
        <v>1158</v>
      </c>
      <c r="V37" s="16" t="n">
        <f aca="false">U37/30</f>
        <v>38.6</v>
      </c>
      <c r="W37" s="15" t="n">
        <v>1129</v>
      </c>
      <c r="X37" s="16" t="n">
        <f aca="false">W37/31</f>
        <v>36.4193548387097</v>
      </c>
      <c r="Y37" s="15" t="n">
        <v>1723</v>
      </c>
      <c r="Z37" s="16" t="n">
        <f aca="false">Y37/30</f>
        <v>57.4333333333333</v>
      </c>
      <c r="AA37" s="15" t="n">
        <v>1953</v>
      </c>
      <c r="AB37" s="16" t="n">
        <f aca="false">AA37/31</f>
        <v>63</v>
      </c>
      <c r="AC37" s="17" t="n">
        <f aca="false">SUM(E37:AA37)</f>
        <v>16742.7932411674</v>
      </c>
      <c r="AD37" s="18" t="n">
        <f aca="false">IFERROR(STDEV(F37,H37,J37,L37,N37,P37,R37,T37,V37,X37,Z37,AB37),0)</f>
        <v>11.3656322070503</v>
      </c>
      <c r="AE37" s="15" t="n">
        <v>1037</v>
      </c>
      <c r="AF37" s="16" t="n">
        <f aca="false">AE37/31</f>
        <v>33.4516129032258</v>
      </c>
      <c r="AG37" s="15" t="n">
        <v>1452</v>
      </c>
      <c r="AH37" s="16" t="n">
        <f aca="false">AG37/28</f>
        <v>51.8571428571429</v>
      </c>
      <c r="AI37" s="15" t="n">
        <v>751</v>
      </c>
      <c r="AJ37" s="16" t="n">
        <f aca="false">AI37/31</f>
        <v>24.2258064516129</v>
      </c>
      <c r="AK37" s="15" t="n">
        <v>1384</v>
      </c>
      <c r="AL37" s="16" t="n">
        <f aca="false">AK37/30</f>
        <v>46.1333333333333</v>
      </c>
      <c r="AM37" s="15" t="n">
        <v>1423</v>
      </c>
      <c r="AN37" s="16" t="n">
        <f aca="false">AM37/31</f>
        <v>45.9032258064516</v>
      </c>
      <c r="AO37" s="15" t="n">
        <v>801</v>
      </c>
      <c r="AP37" s="16" t="n">
        <f aca="false">AO37/30</f>
        <v>26.7</v>
      </c>
      <c r="AQ37" s="15" t="n">
        <v>856</v>
      </c>
      <c r="AR37" s="16" t="n">
        <f aca="false">AQ37/31</f>
        <v>27.6129032258065</v>
      </c>
      <c r="AS37" s="15" t="n">
        <v>1042</v>
      </c>
      <c r="AT37" s="16" t="n">
        <f aca="false">AS37/31</f>
        <v>33.6129032258065</v>
      </c>
      <c r="AU37" s="15" t="n">
        <v>1139</v>
      </c>
      <c r="AV37" s="16" t="n">
        <f aca="false">AU37/30</f>
        <v>37.9666666666667</v>
      </c>
      <c r="AW37" s="15" t="n">
        <v>1235</v>
      </c>
      <c r="AX37" s="16" t="n">
        <f aca="false">AW37/31</f>
        <v>39.8387096774194</v>
      </c>
      <c r="AY37" s="15" t="n">
        <v>1622</v>
      </c>
      <c r="AZ37" s="16" t="n">
        <f aca="false">AY37/30</f>
        <v>54.0666666666667</v>
      </c>
      <c r="BA37" s="15" t="n">
        <v>1433</v>
      </c>
      <c r="BB37" s="16" t="n">
        <f aca="false">BA37/31</f>
        <v>46.2258064516129</v>
      </c>
      <c r="BC37" s="17" t="n">
        <f aca="false">SUM(AE37:BA37)</f>
        <v>14596.3689708141</v>
      </c>
      <c r="BD37" s="18" t="n">
        <f aca="false">IFERROR(STDEV(AF37,AH37,AJ37,AL37,AN37,AP37,AR37,AT37,AV37,AX37,AZ37,BB37),0)</f>
        <v>10.0175188528588</v>
      </c>
      <c r="BE37" s="15" t="n">
        <v>1231</v>
      </c>
      <c r="BF37" s="16" t="n">
        <f aca="false">BE37/31</f>
        <v>39.7096774193548</v>
      </c>
      <c r="BG37" s="15" t="n">
        <v>1006</v>
      </c>
      <c r="BH37" s="16" t="n">
        <f aca="false">BG37/28</f>
        <v>35.9285714285714</v>
      </c>
      <c r="BI37" s="15" t="n">
        <v>1933</v>
      </c>
      <c r="BJ37" s="16" t="n">
        <f aca="false">BI37/31</f>
        <v>62.3548387096774</v>
      </c>
      <c r="BK37" s="15" t="n">
        <v>1212</v>
      </c>
      <c r="BL37" s="16" t="n">
        <f aca="false">BK37/30</f>
        <v>40.4</v>
      </c>
      <c r="BM37" s="15" t="n">
        <v>1583</v>
      </c>
      <c r="BN37" s="16" t="n">
        <f aca="false">BM37/31</f>
        <v>51.0645161290323</v>
      </c>
      <c r="BO37" s="15" t="n">
        <v>1124</v>
      </c>
      <c r="BP37" s="16" t="n">
        <f aca="false">BO37/30</f>
        <v>37.4666666666667</v>
      </c>
      <c r="BQ37" s="15" t="n">
        <v>1025</v>
      </c>
      <c r="BR37" s="16" t="n">
        <f aca="false">BQ37/31</f>
        <v>33.0645161290323</v>
      </c>
      <c r="BS37" s="15" t="n">
        <v>1048</v>
      </c>
      <c r="BT37" s="16" t="n">
        <f aca="false">BS37/31</f>
        <v>33.8064516129032</v>
      </c>
      <c r="BU37" s="15" t="n">
        <v>1737</v>
      </c>
      <c r="BV37" s="16" t="n">
        <f aca="false">BU37/30</f>
        <v>57.9</v>
      </c>
      <c r="BW37" s="15" t="n">
        <v>1573</v>
      </c>
      <c r="BX37" s="16" t="n">
        <f aca="false">BW37/31</f>
        <v>50.741935483871</v>
      </c>
      <c r="BY37" s="15" t="n">
        <v>1352</v>
      </c>
      <c r="BZ37" s="16" t="n">
        <f aca="false">BY37/30</f>
        <v>45.0666666666667</v>
      </c>
      <c r="CA37" s="15" t="n">
        <v>1507</v>
      </c>
      <c r="CB37" s="16" t="n">
        <f aca="false">CA37/31</f>
        <v>48.6129032258065</v>
      </c>
      <c r="CC37" s="17" t="n">
        <f aca="false">SUM(BE37:CA37)</f>
        <v>16818.5038402458</v>
      </c>
      <c r="CD37" s="18" t="n">
        <f aca="false">IFERROR(STDEV(BF37,BH37,BJ37,BL37,BN37,BP37,BR37,BT37,BV37,BX37,BZ37,CB37),0)</f>
        <v>9.55886176587658</v>
      </c>
      <c r="CE37" s="15" t="n">
        <v>1127</v>
      </c>
      <c r="CF37" s="16" t="n">
        <f aca="false">CE37/31</f>
        <v>36.3548387096774</v>
      </c>
      <c r="CG37" s="15" t="n">
        <v>1189</v>
      </c>
      <c r="CH37" s="16" t="n">
        <f aca="false">CG37/28</f>
        <v>42.4642857142857</v>
      </c>
      <c r="CI37" s="15" t="n">
        <v>1305</v>
      </c>
      <c r="CJ37" s="16" t="n">
        <f aca="false">CI37/31</f>
        <v>42.0967741935484</v>
      </c>
      <c r="CK37" s="15" t="n">
        <v>894</v>
      </c>
      <c r="CL37" s="16" t="n">
        <f aca="false">CK37/30</f>
        <v>29.8</v>
      </c>
      <c r="CM37" s="15" t="n">
        <v>921</v>
      </c>
      <c r="CN37" s="16" t="n">
        <f aca="false">CM37/31</f>
        <v>29.7096774193548</v>
      </c>
      <c r="CO37" s="15" t="n">
        <v>1389</v>
      </c>
      <c r="CP37" s="16" t="n">
        <f aca="false">CO37/30</f>
        <v>46.3</v>
      </c>
      <c r="CQ37" s="15" t="n">
        <v>1498</v>
      </c>
      <c r="CR37" s="16" t="n">
        <f aca="false">CQ37/31</f>
        <v>48.3225806451613</v>
      </c>
      <c r="CS37" s="15" t="n">
        <v>768</v>
      </c>
      <c r="CT37" s="16" t="n">
        <f aca="false">CS37/31</f>
        <v>24.7741935483871</v>
      </c>
      <c r="CU37" s="15" t="n">
        <v>1105</v>
      </c>
      <c r="CV37" s="16" t="n">
        <f aca="false">CU37/30</f>
        <v>36.8333333333333</v>
      </c>
      <c r="CW37" s="15" t="n">
        <v>1342</v>
      </c>
      <c r="CX37" s="16" t="n">
        <f aca="false">CW37/31</f>
        <v>43.2903225806452</v>
      </c>
      <c r="CY37" s="15" t="n">
        <v>764</v>
      </c>
      <c r="CZ37" s="16" t="n">
        <f aca="false">CY37/30</f>
        <v>25.4666666666667</v>
      </c>
      <c r="DA37" s="15" t="n">
        <v>1213</v>
      </c>
      <c r="DB37" s="16" t="n">
        <f aca="false">DA37/31</f>
        <v>39.1290322580645</v>
      </c>
      <c r="DC37" s="17" t="n">
        <f aca="false">SUM(CE37:DA37)</f>
        <v>13920.4126728111</v>
      </c>
      <c r="DD37" s="18" t="n">
        <f aca="false">IFERROR(STDEV(CF37,CH37,CJ37,CL37,CN37,CP37,CR37,CT37,CV37,CX37,CZ37,DB37),0)</f>
        <v>7.99160796317419</v>
      </c>
      <c r="DE37" s="15" t="n">
        <v>828</v>
      </c>
      <c r="DF37" s="16" t="n">
        <f aca="false">DE37/31</f>
        <v>26.7096774193548</v>
      </c>
      <c r="DG37" s="15" t="n">
        <v>1323</v>
      </c>
      <c r="DH37" s="16" t="n">
        <f aca="false">DG37/28</f>
        <v>47.25</v>
      </c>
      <c r="DI37" s="15" t="n">
        <v>1280</v>
      </c>
      <c r="DJ37" s="16" t="n">
        <f aca="false">DI37/31</f>
        <v>41.2903225806452</v>
      </c>
      <c r="DK37" s="15" t="n">
        <v>1348</v>
      </c>
      <c r="DL37" s="16" t="n">
        <f aca="false">DK37/30</f>
        <v>44.9333333333333</v>
      </c>
      <c r="DM37" s="15" t="n">
        <v>917</v>
      </c>
      <c r="DN37" s="16" t="n">
        <f aca="false">DM37/31</f>
        <v>29.5806451612903</v>
      </c>
      <c r="DO37" s="15" t="n">
        <v>1099</v>
      </c>
      <c r="DP37" s="16" t="n">
        <f aca="false">DO37/30</f>
        <v>36.6333333333333</v>
      </c>
      <c r="DQ37" s="15" t="n">
        <v>1295</v>
      </c>
      <c r="DR37" s="16" t="n">
        <f aca="false">DQ37/31</f>
        <v>41.7741935483871</v>
      </c>
      <c r="DS37" s="15" t="n">
        <v>883</v>
      </c>
      <c r="DT37" s="16" t="n">
        <f aca="false">DS37/31</f>
        <v>28.4838709677419</v>
      </c>
      <c r="DU37" s="15" t="n">
        <v>974</v>
      </c>
      <c r="DV37" s="16" t="n">
        <f aca="false">DU37/30</f>
        <v>32.4666666666667</v>
      </c>
      <c r="DW37" s="15" t="n">
        <v>1359</v>
      </c>
      <c r="DX37" s="16" t="n">
        <f aca="false">DW37/31</f>
        <v>43.8387096774194</v>
      </c>
      <c r="DY37" s="15" t="n">
        <v>857</v>
      </c>
      <c r="DZ37" s="16" t="n">
        <f aca="false">DY37/30</f>
        <v>28.5666666666667</v>
      </c>
      <c r="EA37" s="15" t="n">
        <v>1285</v>
      </c>
      <c r="EB37" s="16" t="n">
        <f aca="false">EA37/31</f>
        <v>41.4516129032258</v>
      </c>
      <c r="EC37" s="17" t="n">
        <f aca="false">SUM(DE37:EA37)</f>
        <v>13849.5274193548</v>
      </c>
      <c r="ED37" s="18" t="n">
        <f aca="false">IFERROR(STDEV(DF37,DH37,DJ37,DL37,DN37,DP37,DR37,DT37,DV37,DX37,DZ37,EB37),0)</f>
        <v>7.39143667887749</v>
      </c>
      <c r="EE37" s="19" t="n">
        <f aca="false">STDEV(F37:AB37,AF37:BB37,BF37:CB37,CF37:DB37,DF37:EB37)</f>
        <v>629.715135170397</v>
      </c>
    </row>
    <row r="38" customFormat="false" ht="15" hidden="false" customHeight="true" outlineLevel="0" collapsed="false">
      <c r="A38" s="11" t="n">
        <v>33</v>
      </c>
      <c r="B38" s="12" t="s">
        <v>100</v>
      </c>
      <c r="C38" s="13" t="s">
        <v>101</v>
      </c>
      <c r="D38" s="14" t="s">
        <v>36</v>
      </c>
      <c r="E38" s="15" t="n">
        <v>1692</v>
      </c>
      <c r="F38" s="16" t="n">
        <f aca="false">E38/31</f>
        <v>54.5806451612903</v>
      </c>
      <c r="G38" s="15" t="n">
        <v>1307</v>
      </c>
      <c r="H38" s="16" t="n">
        <f aca="false">G38/28</f>
        <v>46.6785714285714</v>
      </c>
      <c r="I38" s="15" t="n">
        <v>1372</v>
      </c>
      <c r="J38" s="16" t="n">
        <f aca="false">I38/31</f>
        <v>44.258064516129</v>
      </c>
      <c r="K38" s="15" t="n">
        <v>1310</v>
      </c>
      <c r="L38" s="16" t="n">
        <f aca="false">K38/30</f>
        <v>43.6666666666667</v>
      </c>
      <c r="M38" s="15" t="n">
        <v>877</v>
      </c>
      <c r="N38" s="16" t="n">
        <f aca="false">M38/31</f>
        <v>28.2903225806452</v>
      </c>
      <c r="O38" s="15" t="n">
        <v>1316</v>
      </c>
      <c r="P38" s="16" t="n">
        <f aca="false">O38/30</f>
        <v>43.8666666666667</v>
      </c>
      <c r="Q38" s="15" t="n">
        <v>1690</v>
      </c>
      <c r="R38" s="16" t="n">
        <f aca="false">Q38/31</f>
        <v>54.5161290322581</v>
      </c>
      <c r="S38" s="15" t="n">
        <v>1600</v>
      </c>
      <c r="T38" s="16" t="n">
        <f aca="false">S38/31</f>
        <v>51.6129032258065</v>
      </c>
      <c r="U38" s="15" t="n">
        <v>1244</v>
      </c>
      <c r="V38" s="16" t="n">
        <f aca="false">U38/30</f>
        <v>41.4666666666667</v>
      </c>
      <c r="W38" s="15" t="n">
        <v>1701</v>
      </c>
      <c r="X38" s="16" t="n">
        <f aca="false">W38/31</f>
        <v>54.8709677419355</v>
      </c>
      <c r="Y38" s="15" t="n">
        <v>1624</v>
      </c>
      <c r="Z38" s="16" t="n">
        <f aca="false">Y38/30</f>
        <v>54.1333333333333</v>
      </c>
      <c r="AA38" s="15" t="n">
        <v>1442</v>
      </c>
      <c r="AB38" s="16" t="n">
        <f aca="false">AA38/31</f>
        <v>46.5161290322581</v>
      </c>
      <c r="AC38" s="17" t="n">
        <f aca="false">SUM(E38:AA38)</f>
        <v>17692.94093702</v>
      </c>
      <c r="AD38" s="18" t="n">
        <f aca="false">IFERROR(STDEV(F38,H38,J38,L38,N38,P38,R38,T38,V38,X38,Z38,AB38),0)</f>
        <v>7.73134573036409</v>
      </c>
      <c r="AE38" s="15" t="n">
        <v>934</v>
      </c>
      <c r="AF38" s="16" t="n">
        <f aca="false">AE38/31</f>
        <v>30.1290322580645</v>
      </c>
      <c r="AG38" s="15" t="n">
        <v>1285</v>
      </c>
      <c r="AH38" s="16" t="n">
        <f aca="false">AG38/28</f>
        <v>45.8928571428571</v>
      </c>
      <c r="AI38" s="15" t="n">
        <v>956</v>
      </c>
      <c r="AJ38" s="16" t="n">
        <f aca="false">AI38/31</f>
        <v>30.8387096774194</v>
      </c>
      <c r="AK38" s="15" t="n">
        <v>2048</v>
      </c>
      <c r="AL38" s="16" t="n">
        <f aca="false">AK38/30</f>
        <v>68.2666666666667</v>
      </c>
      <c r="AM38" s="15" t="n">
        <v>1978</v>
      </c>
      <c r="AN38" s="16" t="n">
        <f aca="false">AM38/31</f>
        <v>63.8064516129032</v>
      </c>
      <c r="AO38" s="15" t="n">
        <v>962</v>
      </c>
      <c r="AP38" s="16" t="n">
        <f aca="false">AO38/30</f>
        <v>32.0666666666667</v>
      </c>
      <c r="AQ38" s="15" t="n">
        <v>1977</v>
      </c>
      <c r="AR38" s="16" t="n">
        <f aca="false">AQ38/31</f>
        <v>63.7741935483871</v>
      </c>
      <c r="AS38" s="15" t="n">
        <v>918</v>
      </c>
      <c r="AT38" s="16" t="n">
        <f aca="false">AS38/31</f>
        <v>29.6129032258065</v>
      </c>
      <c r="AU38" s="15" t="n">
        <v>1361</v>
      </c>
      <c r="AV38" s="16" t="n">
        <f aca="false">AU38/30</f>
        <v>45.3666666666667</v>
      </c>
      <c r="AW38" s="15" t="n">
        <v>1784</v>
      </c>
      <c r="AX38" s="16" t="n">
        <f aca="false">AW38/31</f>
        <v>57.5483870967742</v>
      </c>
      <c r="AY38" s="15" t="n">
        <v>1780</v>
      </c>
      <c r="AZ38" s="16" t="n">
        <f aca="false">AY38/30</f>
        <v>59.3333333333333</v>
      </c>
      <c r="BA38" s="15" t="n">
        <v>2030</v>
      </c>
      <c r="BB38" s="16" t="n">
        <f aca="false">BA38/31</f>
        <v>65.4838709677419</v>
      </c>
      <c r="BC38" s="17" t="n">
        <f aca="false">SUM(AE38:BA38)</f>
        <v>18539.6358678955</v>
      </c>
      <c r="BD38" s="18" t="n">
        <f aca="false">IFERROR(STDEV(AF38,AH38,AJ38,AL38,AN38,AP38,AR38,AT38,AV38,AX38,AZ38,BB38),0)</f>
        <v>15.4633503169114</v>
      </c>
      <c r="BE38" s="15" t="n">
        <v>1395</v>
      </c>
      <c r="BF38" s="16" t="n">
        <f aca="false">BE38/31</f>
        <v>45</v>
      </c>
      <c r="BG38" s="15" t="n">
        <v>1170</v>
      </c>
      <c r="BH38" s="16" t="n">
        <f aca="false">BG38/28</f>
        <v>41.7857142857143</v>
      </c>
      <c r="BI38" s="15" t="n">
        <v>1742</v>
      </c>
      <c r="BJ38" s="16" t="n">
        <f aca="false">BI38/31</f>
        <v>56.1935483870968</v>
      </c>
      <c r="BK38" s="15" t="n">
        <v>1132</v>
      </c>
      <c r="BL38" s="16" t="n">
        <f aca="false">BK38/30</f>
        <v>37.7333333333333</v>
      </c>
      <c r="BM38" s="15" t="n">
        <v>1619</v>
      </c>
      <c r="BN38" s="16" t="n">
        <f aca="false">BM38/31</f>
        <v>52.2258064516129</v>
      </c>
      <c r="BO38" s="15" t="n">
        <v>1656</v>
      </c>
      <c r="BP38" s="16" t="n">
        <f aca="false">BO38/30</f>
        <v>55.2</v>
      </c>
      <c r="BQ38" s="15" t="n">
        <v>1125</v>
      </c>
      <c r="BR38" s="16" t="n">
        <f aca="false">BQ38/31</f>
        <v>36.2903225806452</v>
      </c>
      <c r="BS38" s="15" t="n">
        <v>1432</v>
      </c>
      <c r="BT38" s="16" t="n">
        <f aca="false">BS38/31</f>
        <v>46.1935483870968</v>
      </c>
      <c r="BU38" s="15" t="n">
        <v>1411</v>
      </c>
      <c r="BV38" s="16" t="n">
        <f aca="false">BU38/30</f>
        <v>47.0333333333333</v>
      </c>
      <c r="BW38" s="15" t="n">
        <v>1289</v>
      </c>
      <c r="BX38" s="16" t="n">
        <f aca="false">BW38/31</f>
        <v>41.5806451612903</v>
      </c>
      <c r="BY38" s="15" t="n">
        <v>1403</v>
      </c>
      <c r="BZ38" s="16" t="n">
        <f aca="false">BY38/30</f>
        <v>46.7666666666667</v>
      </c>
      <c r="CA38" s="15" t="n">
        <v>1097</v>
      </c>
      <c r="CB38" s="16" t="n">
        <f aca="false">CA38/31</f>
        <v>35.3870967741936</v>
      </c>
      <c r="CC38" s="17" t="n">
        <f aca="false">SUM(BE38:CA38)</f>
        <v>16977.0029185868</v>
      </c>
      <c r="CD38" s="18" t="n">
        <f aca="false">IFERROR(STDEV(BF38,BH38,BJ38,BL38,BN38,BP38,BR38,BT38,BV38,BX38,BZ38,CB38),0)</f>
        <v>6.9619835181363</v>
      </c>
      <c r="CE38" s="15" t="n">
        <v>930</v>
      </c>
      <c r="CF38" s="16" t="n">
        <f aca="false">CE38/31</f>
        <v>30</v>
      </c>
      <c r="CG38" s="15" t="n">
        <v>1289</v>
      </c>
      <c r="CH38" s="16" t="n">
        <f aca="false">CG38/28</f>
        <v>46.0357142857143</v>
      </c>
      <c r="CI38" s="15" t="n">
        <v>1281</v>
      </c>
      <c r="CJ38" s="16" t="n">
        <f aca="false">CI38/31</f>
        <v>41.3225806451613</v>
      </c>
      <c r="CK38" s="15" t="n">
        <v>1480</v>
      </c>
      <c r="CL38" s="16" t="n">
        <f aca="false">CK38/30</f>
        <v>49.3333333333333</v>
      </c>
      <c r="CM38" s="15" t="n">
        <v>974</v>
      </c>
      <c r="CN38" s="16" t="n">
        <f aca="false">CM38/31</f>
        <v>31.4193548387097</v>
      </c>
      <c r="CO38" s="15" t="n">
        <v>755</v>
      </c>
      <c r="CP38" s="16" t="n">
        <f aca="false">CO38/30</f>
        <v>25.1666666666667</v>
      </c>
      <c r="CQ38" s="15" t="n">
        <v>774</v>
      </c>
      <c r="CR38" s="16" t="n">
        <f aca="false">CQ38/31</f>
        <v>24.9677419354839</v>
      </c>
      <c r="CS38" s="15" t="n">
        <v>1050</v>
      </c>
      <c r="CT38" s="16" t="n">
        <f aca="false">CS38/31</f>
        <v>33.8709677419355</v>
      </c>
      <c r="CU38" s="15" t="n">
        <v>1426</v>
      </c>
      <c r="CV38" s="16" t="n">
        <f aca="false">CU38/30</f>
        <v>47.5333333333333</v>
      </c>
      <c r="CW38" s="15" t="n">
        <v>1296</v>
      </c>
      <c r="CX38" s="16" t="n">
        <f aca="false">CW38/31</f>
        <v>41.8064516129032</v>
      </c>
      <c r="CY38" s="15" t="n">
        <v>1284</v>
      </c>
      <c r="CZ38" s="16" t="n">
        <f aca="false">CY38/30</f>
        <v>42.8</v>
      </c>
      <c r="DA38" s="15" t="n">
        <v>1576</v>
      </c>
      <c r="DB38" s="16" t="n">
        <f aca="false">DA38/31</f>
        <v>50.8387096774194</v>
      </c>
      <c r="DC38" s="17" t="n">
        <f aca="false">SUM(CE38:DA38)</f>
        <v>14529.2561443932</v>
      </c>
      <c r="DD38" s="18" t="n">
        <f aca="false">IFERROR(STDEV(CF38,CH38,CJ38,CL38,CN38,CP38,CR38,CT38,CV38,CX38,CZ38,DB38),0)</f>
        <v>9.28976776854047</v>
      </c>
      <c r="DE38" s="15" t="n">
        <v>959</v>
      </c>
      <c r="DF38" s="16" t="n">
        <f aca="false">DE38/31</f>
        <v>30.9354838709677</v>
      </c>
      <c r="DG38" s="15" t="n">
        <v>1054</v>
      </c>
      <c r="DH38" s="16" t="n">
        <f aca="false">DG38/28</f>
        <v>37.6428571428571</v>
      </c>
      <c r="DI38" s="15" t="n">
        <v>986</v>
      </c>
      <c r="DJ38" s="16" t="n">
        <f aca="false">DI38/31</f>
        <v>31.8064516129032</v>
      </c>
      <c r="DK38" s="15" t="n">
        <v>1623</v>
      </c>
      <c r="DL38" s="16" t="n">
        <f aca="false">DK38/30</f>
        <v>54.1</v>
      </c>
      <c r="DM38" s="15" t="n">
        <v>1418</v>
      </c>
      <c r="DN38" s="16" t="n">
        <f aca="false">DM38/31</f>
        <v>45.741935483871</v>
      </c>
      <c r="DO38" s="15" t="n">
        <v>830</v>
      </c>
      <c r="DP38" s="16" t="n">
        <f aca="false">DO38/30</f>
        <v>27.6666666666667</v>
      </c>
      <c r="DQ38" s="15" t="n">
        <v>1500</v>
      </c>
      <c r="DR38" s="16" t="n">
        <f aca="false">DQ38/31</f>
        <v>48.3870967741936</v>
      </c>
      <c r="DS38" s="15" t="n">
        <v>1124</v>
      </c>
      <c r="DT38" s="16" t="n">
        <f aca="false">DS38/31</f>
        <v>36.258064516129</v>
      </c>
      <c r="DU38" s="15" t="n">
        <v>1458</v>
      </c>
      <c r="DV38" s="16" t="n">
        <f aca="false">DU38/30</f>
        <v>48.6</v>
      </c>
      <c r="DW38" s="15" t="n">
        <v>1571</v>
      </c>
      <c r="DX38" s="16" t="n">
        <f aca="false">DW38/31</f>
        <v>50.6774193548387</v>
      </c>
      <c r="DY38" s="15" t="n">
        <v>736</v>
      </c>
      <c r="DZ38" s="16" t="n">
        <f aca="false">DY38/30</f>
        <v>24.5333333333333</v>
      </c>
      <c r="EA38" s="15" t="n">
        <v>919</v>
      </c>
      <c r="EB38" s="16" t="n">
        <f aca="false">EA38/31</f>
        <v>29.6451612903226</v>
      </c>
      <c r="EC38" s="17" t="n">
        <f aca="false">SUM(DE38:EA38)</f>
        <v>14614.3493087558</v>
      </c>
      <c r="ED38" s="18" t="n">
        <f aca="false">IFERROR(STDEV(DF38,DH38,DJ38,DL38,DN38,DP38,DR38,DT38,DV38,DX38,DZ38,EB38),0)</f>
        <v>10.1853447543033</v>
      </c>
      <c r="EE38" s="19" t="n">
        <f aca="false">STDEV(F38:AB38,AF38:BB38,BF38:CB38,CF38:DB38,DF38:EB38)</f>
        <v>692.804881734356</v>
      </c>
    </row>
    <row r="39" customFormat="false" ht="15" hidden="false" customHeight="true" outlineLevel="0" collapsed="false">
      <c r="A39" s="11" t="n">
        <v>34</v>
      </c>
      <c r="B39" s="12" t="s">
        <v>102</v>
      </c>
      <c r="C39" s="13" t="s">
        <v>103</v>
      </c>
      <c r="D39" s="14" t="s">
        <v>36</v>
      </c>
      <c r="E39" s="15" t="n">
        <v>2334</v>
      </c>
      <c r="F39" s="16" t="n">
        <f aca="false">E39/31</f>
        <v>75.2903225806452</v>
      </c>
      <c r="G39" s="15" t="n">
        <v>2150</v>
      </c>
      <c r="H39" s="16" t="n">
        <f aca="false">G39/28</f>
        <v>76.7857142857143</v>
      </c>
      <c r="I39" s="15" t="n">
        <v>3698</v>
      </c>
      <c r="J39" s="16" t="n">
        <f aca="false">I39/31</f>
        <v>119.290322580645</v>
      </c>
      <c r="K39" s="15" t="n">
        <v>3987</v>
      </c>
      <c r="L39" s="16" t="n">
        <f aca="false">K39/30</f>
        <v>132.9</v>
      </c>
      <c r="M39" s="15" t="n">
        <v>2191</v>
      </c>
      <c r="N39" s="16" t="n">
        <f aca="false">M39/31</f>
        <v>70.6774193548387</v>
      </c>
      <c r="O39" s="15" t="n">
        <v>4089</v>
      </c>
      <c r="P39" s="16" t="n">
        <f aca="false">O39/30</f>
        <v>136.3</v>
      </c>
      <c r="Q39" s="15" t="n">
        <v>3161</v>
      </c>
      <c r="R39" s="16" t="n">
        <f aca="false">Q39/31</f>
        <v>101.967741935484</v>
      </c>
      <c r="S39" s="15" t="n">
        <v>2701</v>
      </c>
      <c r="T39" s="16" t="n">
        <f aca="false">S39/31</f>
        <v>87.1290322580645</v>
      </c>
      <c r="U39" s="15" t="n">
        <v>2654</v>
      </c>
      <c r="V39" s="16" t="n">
        <f aca="false">U39/30</f>
        <v>88.4666666666667</v>
      </c>
      <c r="W39" s="15" t="n">
        <v>4427</v>
      </c>
      <c r="X39" s="16" t="n">
        <f aca="false">W39/31</f>
        <v>142.806451612903</v>
      </c>
      <c r="Y39" s="15" t="n">
        <v>2212</v>
      </c>
      <c r="Z39" s="16" t="n">
        <f aca="false">Y39/30</f>
        <v>73.7333333333333</v>
      </c>
      <c r="AA39" s="15" t="n">
        <v>3440</v>
      </c>
      <c r="AB39" s="16" t="n">
        <f aca="false">AA39/31</f>
        <v>110.967741935484</v>
      </c>
      <c r="AC39" s="17" t="n">
        <f aca="false">SUM(E39:AA39)</f>
        <v>38149.3470046083</v>
      </c>
      <c r="AD39" s="18" t="n">
        <f aca="false">IFERROR(STDEV(F39,H39,J39,L39,N39,P39,R39,T39,V39,X39,Z39,AB39),0)</f>
        <v>26.4652321233947</v>
      </c>
      <c r="AE39" s="15" t="n">
        <v>2671</v>
      </c>
      <c r="AF39" s="16" t="n">
        <f aca="false">AE39/31</f>
        <v>86.1612903225806</v>
      </c>
      <c r="AG39" s="15" t="n">
        <v>4025</v>
      </c>
      <c r="AH39" s="16" t="n">
        <f aca="false">AG39/28</f>
        <v>143.75</v>
      </c>
      <c r="AI39" s="15" t="n">
        <v>3808</v>
      </c>
      <c r="AJ39" s="16" t="n">
        <f aca="false">AI39/31</f>
        <v>122.838709677419</v>
      </c>
      <c r="AK39" s="15" t="n">
        <v>2747</v>
      </c>
      <c r="AL39" s="16" t="n">
        <f aca="false">AK39/30</f>
        <v>91.5666666666667</v>
      </c>
      <c r="AM39" s="15" t="n">
        <v>3465</v>
      </c>
      <c r="AN39" s="16" t="n">
        <f aca="false">AM39/31</f>
        <v>111.774193548387</v>
      </c>
      <c r="AO39" s="15" t="n">
        <v>3656</v>
      </c>
      <c r="AP39" s="16" t="n">
        <f aca="false">AO39/30</f>
        <v>121.866666666667</v>
      </c>
      <c r="AQ39" s="15" t="n">
        <v>2752</v>
      </c>
      <c r="AR39" s="16" t="n">
        <f aca="false">AQ39/31</f>
        <v>88.7741935483871</v>
      </c>
      <c r="AS39" s="15" t="n">
        <v>2703</v>
      </c>
      <c r="AT39" s="16" t="n">
        <f aca="false">AS39/31</f>
        <v>87.1935483870968</v>
      </c>
      <c r="AU39" s="15" t="n">
        <v>2296</v>
      </c>
      <c r="AV39" s="16" t="n">
        <f aca="false">AU39/30</f>
        <v>76.5333333333333</v>
      </c>
      <c r="AW39" s="15" t="n">
        <v>3625</v>
      </c>
      <c r="AX39" s="16" t="n">
        <f aca="false">AW39/31</f>
        <v>116.935483870968</v>
      </c>
      <c r="AY39" s="15" t="n">
        <v>2496</v>
      </c>
      <c r="AZ39" s="16" t="n">
        <f aca="false">AY39/30</f>
        <v>83.2</v>
      </c>
      <c r="BA39" s="15" t="n">
        <v>2700</v>
      </c>
      <c r="BB39" s="16" t="n">
        <f aca="false">BA39/31</f>
        <v>87.0967741935484</v>
      </c>
      <c r="BC39" s="17" t="n">
        <f aca="false">SUM(AE39:BA39)</f>
        <v>38074.5940860215</v>
      </c>
      <c r="BD39" s="18" t="n">
        <f aca="false">IFERROR(STDEV(AF39,AH39,AJ39,AL39,AN39,AP39,AR39,AT39,AV39,AX39,AZ39,BB39),0)</f>
        <v>21.0308314464307</v>
      </c>
      <c r="BE39" s="15" t="n">
        <v>2126</v>
      </c>
      <c r="BF39" s="16" t="n">
        <f aca="false">BE39/31</f>
        <v>68.5806451612903</v>
      </c>
      <c r="BG39" s="15" t="n">
        <v>4454</v>
      </c>
      <c r="BH39" s="16" t="n">
        <f aca="false">BG39/28</f>
        <v>159.071428571429</v>
      </c>
      <c r="BI39" s="15" t="n">
        <v>4273</v>
      </c>
      <c r="BJ39" s="16" t="n">
        <f aca="false">BI39/31</f>
        <v>137.838709677419</v>
      </c>
      <c r="BK39" s="15" t="n">
        <v>4357</v>
      </c>
      <c r="BL39" s="16" t="n">
        <f aca="false">BK39/30</f>
        <v>145.233333333333</v>
      </c>
      <c r="BM39" s="15" t="n">
        <v>3608</v>
      </c>
      <c r="BN39" s="16" t="n">
        <f aca="false">BM39/31</f>
        <v>116.387096774194</v>
      </c>
      <c r="BO39" s="15" t="n">
        <v>3087</v>
      </c>
      <c r="BP39" s="16" t="n">
        <f aca="false">BO39/30</f>
        <v>102.9</v>
      </c>
      <c r="BQ39" s="15" t="n">
        <v>3266</v>
      </c>
      <c r="BR39" s="16" t="n">
        <f aca="false">BQ39/31</f>
        <v>105.354838709677</v>
      </c>
      <c r="BS39" s="15" t="n">
        <v>4516</v>
      </c>
      <c r="BT39" s="16" t="n">
        <f aca="false">BS39/31</f>
        <v>145.677419354839</v>
      </c>
      <c r="BU39" s="15" t="n">
        <v>4436</v>
      </c>
      <c r="BV39" s="16" t="n">
        <f aca="false">BU39/30</f>
        <v>147.866666666667</v>
      </c>
      <c r="BW39" s="15" t="n">
        <v>3727</v>
      </c>
      <c r="BX39" s="16" t="n">
        <f aca="false">BW39/31</f>
        <v>120.225806451613</v>
      </c>
      <c r="BY39" s="15" t="n">
        <v>4027</v>
      </c>
      <c r="BZ39" s="16" t="n">
        <f aca="false">BY39/30</f>
        <v>134.233333333333</v>
      </c>
      <c r="CA39" s="15" t="n">
        <v>2802</v>
      </c>
      <c r="CB39" s="16" t="n">
        <f aca="false">CA39/31</f>
        <v>90.3870967741936</v>
      </c>
      <c r="CC39" s="17" t="n">
        <f aca="false">SUM(BE39:CA39)</f>
        <v>46062.3692780338</v>
      </c>
      <c r="CD39" s="18" t="n">
        <f aca="false">IFERROR(STDEV(BF39,BH39,BJ39,BL39,BN39,BP39,BR39,BT39,BV39,BX39,BZ39,CB39),0)</f>
        <v>27.0788362825567</v>
      </c>
      <c r="CE39" s="15" t="n">
        <v>3150</v>
      </c>
      <c r="CF39" s="16" t="n">
        <f aca="false">CE39/31</f>
        <v>101.612903225806</v>
      </c>
      <c r="CG39" s="15" t="n">
        <v>2429</v>
      </c>
      <c r="CH39" s="16" t="n">
        <f aca="false">CG39/28</f>
        <v>86.75</v>
      </c>
      <c r="CI39" s="15" t="n">
        <v>3042</v>
      </c>
      <c r="CJ39" s="16" t="n">
        <f aca="false">CI39/31</f>
        <v>98.1290322580645</v>
      </c>
      <c r="CK39" s="15" t="n">
        <v>4063</v>
      </c>
      <c r="CL39" s="16" t="n">
        <f aca="false">CK39/30</f>
        <v>135.433333333333</v>
      </c>
      <c r="CM39" s="15" t="n">
        <v>3304</v>
      </c>
      <c r="CN39" s="16" t="n">
        <f aca="false">CM39/31</f>
        <v>106.58064516129</v>
      </c>
      <c r="CO39" s="15" t="n">
        <v>4319</v>
      </c>
      <c r="CP39" s="16" t="n">
        <f aca="false">CO39/30</f>
        <v>143.966666666667</v>
      </c>
      <c r="CQ39" s="15" t="n">
        <v>2838</v>
      </c>
      <c r="CR39" s="16" t="n">
        <f aca="false">CQ39/31</f>
        <v>91.5483870967742</v>
      </c>
      <c r="CS39" s="15" t="n">
        <v>3936</v>
      </c>
      <c r="CT39" s="16" t="n">
        <f aca="false">CS39/31</f>
        <v>126.967741935484</v>
      </c>
      <c r="CU39" s="15" t="n">
        <v>4202</v>
      </c>
      <c r="CV39" s="16" t="n">
        <f aca="false">CU39/30</f>
        <v>140.066666666667</v>
      </c>
      <c r="CW39" s="15" t="n">
        <v>4496</v>
      </c>
      <c r="CX39" s="16" t="n">
        <f aca="false">CW39/31</f>
        <v>145.032258064516</v>
      </c>
      <c r="CY39" s="15" t="n">
        <v>3544</v>
      </c>
      <c r="CZ39" s="16" t="n">
        <f aca="false">CY39/30</f>
        <v>118.133333333333</v>
      </c>
      <c r="DA39" s="15" t="n">
        <v>4639</v>
      </c>
      <c r="DB39" s="16" t="n">
        <f aca="false">DA39/31</f>
        <v>149.645161290323</v>
      </c>
      <c r="DC39" s="17" t="n">
        <f aca="false">SUM(CE39:DA39)</f>
        <v>45256.2209677419</v>
      </c>
      <c r="DD39" s="18" t="n">
        <f aca="false">IFERROR(STDEV(CF39,CH39,CJ39,CL39,CN39,CP39,CR39,CT39,CV39,CX39,CZ39,DB39),0)</f>
        <v>22.7297527147725</v>
      </c>
      <c r="DE39" s="15" t="n">
        <v>3608</v>
      </c>
      <c r="DF39" s="16" t="n">
        <f aca="false">DE39/31</f>
        <v>116.387096774194</v>
      </c>
      <c r="DG39" s="15" t="n">
        <v>2440</v>
      </c>
      <c r="DH39" s="16" t="n">
        <f aca="false">DG39/28</f>
        <v>87.1428571428571</v>
      </c>
      <c r="DI39" s="15" t="n">
        <v>2740</v>
      </c>
      <c r="DJ39" s="16" t="n">
        <f aca="false">DI39/31</f>
        <v>88.3870967741936</v>
      </c>
      <c r="DK39" s="15" t="n">
        <v>2631</v>
      </c>
      <c r="DL39" s="16" t="n">
        <f aca="false">DK39/30</f>
        <v>87.7</v>
      </c>
      <c r="DM39" s="15" t="n">
        <v>3855</v>
      </c>
      <c r="DN39" s="16" t="n">
        <f aca="false">DM39/31</f>
        <v>124.354838709677</v>
      </c>
      <c r="DO39" s="15" t="n">
        <v>4615</v>
      </c>
      <c r="DP39" s="16" t="n">
        <f aca="false">DO39/30</f>
        <v>153.833333333333</v>
      </c>
      <c r="DQ39" s="15" t="n">
        <v>4408</v>
      </c>
      <c r="DR39" s="16" t="n">
        <f aca="false">DQ39/31</f>
        <v>142.193548387097</v>
      </c>
      <c r="DS39" s="15" t="n">
        <v>2325</v>
      </c>
      <c r="DT39" s="16" t="n">
        <f aca="false">DS39/31</f>
        <v>75</v>
      </c>
      <c r="DU39" s="15" t="n">
        <v>4070</v>
      </c>
      <c r="DV39" s="16" t="n">
        <f aca="false">DU39/30</f>
        <v>135.666666666667</v>
      </c>
      <c r="DW39" s="15" t="n">
        <v>2596</v>
      </c>
      <c r="DX39" s="16" t="n">
        <f aca="false">DW39/31</f>
        <v>83.741935483871</v>
      </c>
      <c r="DY39" s="15" t="n">
        <v>2811</v>
      </c>
      <c r="DZ39" s="16" t="n">
        <f aca="false">DY39/30</f>
        <v>93.7</v>
      </c>
      <c r="EA39" s="15" t="n">
        <v>3929</v>
      </c>
      <c r="EB39" s="16" t="n">
        <f aca="false">EA39/31</f>
        <v>126.741935483871</v>
      </c>
      <c r="EC39" s="17" t="n">
        <f aca="false">SUM(DE39:EA39)</f>
        <v>41216.1073732719</v>
      </c>
      <c r="ED39" s="18" t="n">
        <f aca="false">IFERROR(STDEV(DF39,DH39,DJ39,DL39,DN39,DP39,DR39,DT39,DV39,DX39,DZ39,EB39),0)</f>
        <v>26.6433241951612</v>
      </c>
      <c r="EE39" s="19" t="n">
        <f aca="false">STDEV(F39:AB39,AF39:BB39,BF39:CB39,CF39:DB39,DF39:EB39)</f>
        <v>1748.50956261967</v>
      </c>
    </row>
    <row r="40" customFormat="false" ht="15" hidden="false" customHeight="true" outlineLevel="0" collapsed="false">
      <c r="A40" s="11" t="n">
        <v>35</v>
      </c>
      <c r="B40" s="12" t="s">
        <v>104</v>
      </c>
      <c r="C40" s="13" t="s">
        <v>105</v>
      </c>
      <c r="D40" s="14" t="s">
        <v>57</v>
      </c>
      <c r="E40" s="15" t="n">
        <v>349</v>
      </c>
      <c r="F40" s="16" t="n">
        <f aca="false">E40/31</f>
        <v>11.258064516129</v>
      </c>
      <c r="G40" s="15" t="n">
        <v>419</v>
      </c>
      <c r="H40" s="16" t="n">
        <f aca="false">G40/28</f>
        <v>14.9642857142857</v>
      </c>
      <c r="I40" s="15" t="n">
        <v>242</v>
      </c>
      <c r="J40" s="16" t="n">
        <f aca="false">I40/31</f>
        <v>7.80645161290323</v>
      </c>
      <c r="K40" s="15" t="n">
        <v>390</v>
      </c>
      <c r="L40" s="16" t="n">
        <f aca="false">K40/30</f>
        <v>13</v>
      </c>
      <c r="M40" s="15" t="n">
        <v>380</v>
      </c>
      <c r="N40" s="16" t="n">
        <f aca="false">M40/31</f>
        <v>12.258064516129</v>
      </c>
      <c r="O40" s="15" t="n">
        <v>338</v>
      </c>
      <c r="P40" s="16" t="n">
        <f aca="false">O40/30</f>
        <v>11.2666666666667</v>
      </c>
      <c r="Q40" s="15" t="n">
        <v>317</v>
      </c>
      <c r="R40" s="16" t="n">
        <f aca="false">Q40/31</f>
        <v>10.2258064516129</v>
      </c>
      <c r="S40" s="15" t="n">
        <v>418</v>
      </c>
      <c r="T40" s="16" t="n">
        <f aca="false">S40/31</f>
        <v>13.4838709677419</v>
      </c>
      <c r="U40" s="15" t="n">
        <v>279</v>
      </c>
      <c r="V40" s="16" t="n">
        <f aca="false">U40/30</f>
        <v>9.3</v>
      </c>
      <c r="W40" s="15" t="n">
        <v>440</v>
      </c>
      <c r="X40" s="16" t="n">
        <f aca="false">W40/31</f>
        <v>14.1935483870968</v>
      </c>
      <c r="Y40" s="15" t="n">
        <v>197</v>
      </c>
      <c r="Z40" s="16" t="n">
        <f aca="false">Y40/30</f>
        <v>6.56666666666667</v>
      </c>
      <c r="AA40" s="15" t="n">
        <v>435</v>
      </c>
      <c r="AB40" s="16" t="n">
        <f aca="false">AA40/31</f>
        <v>14.0322580645161</v>
      </c>
      <c r="AC40" s="17" t="n">
        <f aca="false">SUM(E40:AA40)</f>
        <v>4328.32342549923</v>
      </c>
      <c r="AD40" s="18" t="n">
        <f aca="false">IFERROR(STDEV(F40,H40,J40,L40,N40,P40,R40,T40,V40,X40,Z40,AB40),0)</f>
        <v>2.64532686547257</v>
      </c>
      <c r="AE40" s="15" t="n">
        <v>613</v>
      </c>
      <c r="AF40" s="16" t="n">
        <f aca="false">AE40/31</f>
        <v>19.7741935483871</v>
      </c>
      <c r="AG40" s="15" t="n">
        <v>310</v>
      </c>
      <c r="AH40" s="16" t="n">
        <f aca="false">AG40/28</f>
        <v>11.0714285714286</v>
      </c>
      <c r="AI40" s="15" t="n">
        <v>626</v>
      </c>
      <c r="AJ40" s="16" t="n">
        <f aca="false">AI40/31</f>
        <v>20.1935483870968</v>
      </c>
      <c r="AK40" s="15" t="n">
        <v>440</v>
      </c>
      <c r="AL40" s="16" t="n">
        <f aca="false">AK40/30</f>
        <v>14.6666666666667</v>
      </c>
      <c r="AM40" s="15" t="n">
        <v>355</v>
      </c>
      <c r="AN40" s="16" t="n">
        <f aca="false">AM40/31</f>
        <v>11.4516129032258</v>
      </c>
      <c r="AO40" s="15" t="n">
        <v>485</v>
      </c>
      <c r="AP40" s="16" t="n">
        <f aca="false">AO40/30</f>
        <v>16.1666666666667</v>
      </c>
      <c r="AQ40" s="15" t="n">
        <v>342</v>
      </c>
      <c r="AR40" s="16" t="n">
        <f aca="false">AQ40/31</f>
        <v>11.0322580645161</v>
      </c>
      <c r="AS40" s="15" t="n">
        <v>596</v>
      </c>
      <c r="AT40" s="16" t="n">
        <f aca="false">AS40/31</f>
        <v>19.2258064516129</v>
      </c>
      <c r="AU40" s="15" t="n">
        <v>466</v>
      </c>
      <c r="AV40" s="16" t="n">
        <f aca="false">AU40/30</f>
        <v>15.5333333333333</v>
      </c>
      <c r="AW40" s="15" t="n">
        <v>546</v>
      </c>
      <c r="AX40" s="16" t="n">
        <f aca="false">AW40/31</f>
        <v>17.6129032258065</v>
      </c>
      <c r="AY40" s="15" t="n">
        <v>405</v>
      </c>
      <c r="AZ40" s="16" t="n">
        <f aca="false">AY40/30</f>
        <v>13.5</v>
      </c>
      <c r="BA40" s="15" t="n">
        <v>459</v>
      </c>
      <c r="BB40" s="16" t="n">
        <f aca="false">BA40/31</f>
        <v>14.8064516129032</v>
      </c>
      <c r="BC40" s="17" t="n">
        <f aca="false">SUM(AE40:BA40)</f>
        <v>5813.22841781874</v>
      </c>
      <c r="BD40" s="18" t="n">
        <f aca="false">IFERROR(STDEV(AF40,AH40,AJ40,AL40,AN40,AP40,AR40,AT40,AV40,AX40,AZ40,BB40),0)</f>
        <v>3.30495369206605</v>
      </c>
      <c r="BE40" s="15" t="n">
        <v>401</v>
      </c>
      <c r="BF40" s="16" t="n">
        <f aca="false">BE40/31</f>
        <v>12.9354838709677</v>
      </c>
      <c r="BG40" s="15" t="n">
        <v>366</v>
      </c>
      <c r="BH40" s="16" t="n">
        <f aca="false">BG40/28</f>
        <v>13.0714285714286</v>
      </c>
      <c r="BI40" s="15" t="n">
        <v>457</v>
      </c>
      <c r="BJ40" s="16" t="n">
        <f aca="false">BI40/31</f>
        <v>14.741935483871</v>
      </c>
      <c r="BK40" s="15" t="n">
        <v>451</v>
      </c>
      <c r="BL40" s="16" t="n">
        <f aca="false">BK40/30</f>
        <v>15.0333333333333</v>
      </c>
      <c r="BM40" s="15" t="n">
        <v>307</v>
      </c>
      <c r="BN40" s="16" t="n">
        <f aca="false">BM40/31</f>
        <v>9.90322580645161</v>
      </c>
      <c r="BO40" s="15" t="n">
        <v>626</v>
      </c>
      <c r="BP40" s="16" t="n">
        <f aca="false">BO40/30</f>
        <v>20.8666666666667</v>
      </c>
      <c r="BQ40" s="15" t="n">
        <v>441</v>
      </c>
      <c r="BR40" s="16" t="n">
        <f aca="false">BQ40/31</f>
        <v>14.2258064516129</v>
      </c>
      <c r="BS40" s="15" t="n">
        <v>575</v>
      </c>
      <c r="BT40" s="16" t="n">
        <f aca="false">BS40/31</f>
        <v>18.5483870967742</v>
      </c>
      <c r="BU40" s="15" t="n">
        <v>602</v>
      </c>
      <c r="BV40" s="16" t="n">
        <f aca="false">BU40/30</f>
        <v>20.0666666666667</v>
      </c>
      <c r="BW40" s="15" t="n">
        <v>405</v>
      </c>
      <c r="BX40" s="16" t="n">
        <f aca="false">BW40/31</f>
        <v>13.0645161290323</v>
      </c>
      <c r="BY40" s="15" t="n">
        <v>421</v>
      </c>
      <c r="BZ40" s="16" t="n">
        <f aca="false">BY40/30</f>
        <v>14.0333333333333</v>
      </c>
      <c r="CA40" s="15" t="n">
        <v>475</v>
      </c>
      <c r="CB40" s="16" t="n">
        <f aca="false">CA40/31</f>
        <v>15.3225806451613</v>
      </c>
      <c r="CC40" s="17" t="n">
        <f aca="false">SUM(BE40:CA40)</f>
        <v>5693.49078341014</v>
      </c>
      <c r="CD40" s="18" t="n">
        <f aca="false">IFERROR(STDEV(BF40,BH40,BJ40,BL40,BN40,BP40,BR40,BT40,BV40,BX40,BZ40,CB40),0)</f>
        <v>3.18827856299316</v>
      </c>
      <c r="CE40" s="15" t="n">
        <v>310</v>
      </c>
      <c r="CF40" s="16" t="n">
        <f aca="false">CE40/31</f>
        <v>10</v>
      </c>
      <c r="CG40" s="15" t="n">
        <v>286</v>
      </c>
      <c r="CH40" s="16" t="n">
        <f aca="false">CG40/28</f>
        <v>10.2142857142857</v>
      </c>
      <c r="CI40" s="15" t="n">
        <v>323</v>
      </c>
      <c r="CJ40" s="16" t="n">
        <f aca="false">CI40/31</f>
        <v>10.4193548387097</v>
      </c>
      <c r="CK40" s="15" t="n">
        <v>538</v>
      </c>
      <c r="CL40" s="16" t="n">
        <f aca="false">CK40/30</f>
        <v>17.9333333333333</v>
      </c>
      <c r="CM40" s="15" t="n">
        <v>425</v>
      </c>
      <c r="CN40" s="16" t="n">
        <f aca="false">CM40/31</f>
        <v>13.7096774193548</v>
      </c>
      <c r="CO40" s="15" t="n">
        <v>373</v>
      </c>
      <c r="CP40" s="16" t="n">
        <f aca="false">CO40/30</f>
        <v>12.4333333333333</v>
      </c>
      <c r="CQ40" s="15" t="n">
        <v>288</v>
      </c>
      <c r="CR40" s="16" t="n">
        <f aca="false">CQ40/31</f>
        <v>9.29032258064516</v>
      </c>
      <c r="CS40" s="15" t="n">
        <v>345</v>
      </c>
      <c r="CT40" s="16" t="n">
        <f aca="false">CS40/31</f>
        <v>11.1290322580645</v>
      </c>
      <c r="CU40" s="15" t="n">
        <v>361</v>
      </c>
      <c r="CV40" s="16" t="n">
        <f aca="false">CU40/30</f>
        <v>12.0333333333333</v>
      </c>
      <c r="CW40" s="15" t="n">
        <v>506</v>
      </c>
      <c r="CX40" s="16" t="n">
        <f aca="false">CW40/31</f>
        <v>16.3225806451613</v>
      </c>
      <c r="CY40" s="15" t="n">
        <v>399</v>
      </c>
      <c r="CZ40" s="16" t="n">
        <f aca="false">CY40/30</f>
        <v>13.3</v>
      </c>
      <c r="DA40" s="15" t="n">
        <v>449</v>
      </c>
      <c r="DB40" s="16" t="n">
        <f aca="false">DA40/31</f>
        <v>14.4838709677419</v>
      </c>
      <c r="DC40" s="17" t="n">
        <f aca="false">SUM(CE40:DA40)</f>
        <v>4739.78525345622</v>
      </c>
      <c r="DD40" s="18" t="n">
        <f aca="false">IFERROR(STDEV(CF40,CH40,CJ40,CL40,CN40,CP40,CR40,CT40,CV40,CX40,CZ40,DB40),0)</f>
        <v>2.66706260450001</v>
      </c>
      <c r="DE40" s="15" t="n">
        <v>430</v>
      </c>
      <c r="DF40" s="16" t="n">
        <f aca="false">DE40/31</f>
        <v>13.8709677419355</v>
      </c>
      <c r="DG40" s="15" t="n">
        <v>302</v>
      </c>
      <c r="DH40" s="16" t="n">
        <f aca="false">DG40/28</f>
        <v>10.7857142857143</v>
      </c>
      <c r="DI40" s="15" t="n">
        <v>471</v>
      </c>
      <c r="DJ40" s="16" t="n">
        <f aca="false">DI40/31</f>
        <v>15.1935483870968</v>
      </c>
      <c r="DK40" s="15" t="n">
        <v>515</v>
      </c>
      <c r="DL40" s="16" t="n">
        <f aca="false">DK40/30</f>
        <v>17.1666666666667</v>
      </c>
      <c r="DM40" s="15" t="n">
        <v>417</v>
      </c>
      <c r="DN40" s="16" t="n">
        <f aca="false">DM40/31</f>
        <v>13.4516129032258</v>
      </c>
      <c r="DO40" s="15" t="n">
        <v>372</v>
      </c>
      <c r="DP40" s="16" t="n">
        <f aca="false">DO40/30</f>
        <v>12.4</v>
      </c>
      <c r="DQ40" s="15" t="n">
        <v>275</v>
      </c>
      <c r="DR40" s="16" t="n">
        <f aca="false">DQ40/31</f>
        <v>8.87096774193548</v>
      </c>
      <c r="DS40" s="15" t="n">
        <v>463</v>
      </c>
      <c r="DT40" s="16" t="n">
        <f aca="false">DS40/31</f>
        <v>14.9354838709677</v>
      </c>
      <c r="DU40" s="15" t="n">
        <v>276</v>
      </c>
      <c r="DV40" s="16" t="n">
        <f aca="false">DU40/30</f>
        <v>9.2</v>
      </c>
      <c r="DW40" s="15" t="n">
        <v>441</v>
      </c>
      <c r="DX40" s="16" t="n">
        <f aca="false">DW40/31</f>
        <v>14.2258064516129</v>
      </c>
      <c r="DY40" s="15" t="n">
        <v>371</v>
      </c>
      <c r="DZ40" s="16" t="n">
        <f aca="false">DY40/30</f>
        <v>12.3666666666667</v>
      </c>
      <c r="EA40" s="15" t="n">
        <v>500</v>
      </c>
      <c r="EB40" s="16" t="n">
        <f aca="false">EA40/31</f>
        <v>16.1290322580645</v>
      </c>
      <c r="EC40" s="17" t="n">
        <f aca="false">SUM(DE40:EA40)</f>
        <v>4975.46743471582</v>
      </c>
      <c r="ED40" s="18" t="n">
        <f aca="false">IFERROR(STDEV(DF40,DH40,DJ40,DL40,DN40,DP40,DR40,DT40,DV40,DX40,DZ40,EB40),0)</f>
        <v>2.60709038674599</v>
      </c>
      <c r="EE40" s="19" t="n">
        <f aca="false">STDEV(F40:AB40,AF40:BB40,BF40:CB40,CF40:DB40,DF40:EB40)</f>
        <v>211.407751223935</v>
      </c>
    </row>
    <row r="41" customFormat="false" ht="15" hidden="false" customHeight="true" outlineLevel="0" collapsed="false">
      <c r="A41" s="11" t="n">
        <v>36</v>
      </c>
      <c r="B41" s="12" t="s">
        <v>106</v>
      </c>
      <c r="C41" s="13" t="s">
        <v>107</v>
      </c>
      <c r="D41" s="14" t="s">
        <v>36</v>
      </c>
      <c r="E41" s="15" t="n">
        <v>963</v>
      </c>
      <c r="F41" s="16" t="n">
        <f aca="false">E41/31</f>
        <v>31.0645161290323</v>
      </c>
      <c r="G41" s="15" t="n">
        <v>1037</v>
      </c>
      <c r="H41" s="16" t="n">
        <f aca="false">G41/28</f>
        <v>37.0357142857143</v>
      </c>
      <c r="I41" s="15" t="n">
        <v>603</v>
      </c>
      <c r="J41" s="16" t="n">
        <f aca="false">I41/31</f>
        <v>19.4516129032258</v>
      </c>
      <c r="K41" s="15" t="n">
        <v>584</v>
      </c>
      <c r="L41" s="16" t="n">
        <f aca="false">K41/30</f>
        <v>19.4666666666667</v>
      </c>
      <c r="M41" s="15" t="n">
        <v>1190</v>
      </c>
      <c r="N41" s="16" t="n">
        <f aca="false">M41/31</f>
        <v>38.3870967741936</v>
      </c>
      <c r="O41" s="15" t="n">
        <v>1263</v>
      </c>
      <c r="P41" s="16" t="n">
        <f aca="false">O41/30</f>
        <v>42.1</v>
      </c>
      <c r="Q41" s="15" t="n">
        <v>1057</v>
      </c>
      <c r="R41" s="16" t="n">
        <f aca="false">Q41/31</f>
        <v>34.0967741935484</v>
      </c>
      <c r="S41" s="15" t="n">
        <v>1128</v>
      </c>
      <c r="T41" s="16" t="n">
        <f aca="false">S41/31</f>
        <v>36.3870967741936</v>
      </c>
      <c r="U41" s="15" t="n">
        <v>866</v>
      </c>
      <c r="V41" s="16" t="n">
        <f aca="false">U41/30</f>
        <v>28.8666666666667</v>
      </c>
      <c r="W41" s="15" t="n">
        <v>1187</v>
      </c>
      <c r="X41" s="16" t="n">
        <f aca="false">W41/31</f>
        <v>38.2903225806452</v>
      </c>
      <c r="Y41" s="15" t="n">
        <v>731</v>
      </c>
      <c r="Z41" s="16" t="n">
        <f aca="false">Y41/30</f>
        <v>24.3666666666667</v>
      </c>
      <c r="AA41" s="15" t="n">
        <v>1086</v>
      </c>
      <c r="AB41" s="16" t="n">
        <f aca="false">AA41/31</f>
        <v>35.0322580645161</v>
      </c>
      <c r="AC41" s="17" t="n">
        <f aca="false">SUM(E41:AA41)</f>
        <v>12044.5131336406</v>
      </c>
      <c r="AD41" s="18" t="n">
        <f aca="false">IFERROR(STDEV(F41,H41,J41,L41,N41,P41,R41,T41,V41,X41,Z41,AB41),0)</f>
        <v>7.53206244820864</v>
      </c>
      <c r="AE41" s="15" t="n">
        <v>693</v>
      </c>
      <c r="AF41" s="16" t="n">
        <f aca="false">AE41/31</f>
        <v>22.3548387096774</v>
      </c>
      <c r="AG41" s="15" t="n">
        <v>1146</v>
      </c>
      <c r="AH41" s="16" t="n">
        <f aca="false">AG41/28</f>
        <v>40.9285714285714</v>
      </c>
      <c r="AI41" s="15" t="n">
        <v>1025</v>
      </c>
      <c r="AJ41" s="16" t="n">
        <f aca="false">AI41/31</f>
        <v>33.0645161290323</v>
      </c>
      <c r="AK41" s="15" t="n">
        <v>1248</v>
      </c>
      <c r="AL41" s="16" t="n">
        <f aca="false">AK41/30</f>
        <v>41.6</v>
      </c>
      <c r="AM41" s="15" t="n">
        <v>1293</v>
      </c>
      <c r="AN41" s="16" t="n">
        <f aca="false">AM41/31</f>
        <v>41.7096774193548</v>
      </c>
      <c r="AO41" s="15" t="n">
        <v>1247</v>
      </c>
      <c r="AP41" s="16" t="n">
        <f aca="false">AO41/30</f>
        <v>41.5666666666667</v>
      </c>
      <c r="AQ41" s="15" t="n">
        <v>1125</v>
      </c>
      <c r="AR41" s="16" t="n">
        <f aca="false">AQ41/31</f>
        <v>36.2903225806452</v>
      </c>
      <c r="AS41" s="15" t="n">
        <v>1130</v>
      </c>
      <c r="AT41" s="16" t="n">
        <f aca="false">AS41/31</f>
        <v>36.4516129032258</v>
      </c>
      <c r="AU41" s="15" t="n">
        <v>690</v>
      </c>
      <c r="AV41" s="16" t="n">
        <f aca="false">AU41/30</f>
        <v>23</v>
      </c>
      <c r="AW41" s="15" t="n">
        <v>1188</v>
      </c>
      <c r="AX41" s="16" t="n">
        <f aca="false">AW41/31</f>
        <v>38.3225806451613</v>
      </c>
      <c r="AY41" s="15" t="n">
        <v>695</v>
      </c>
      <c r="AZ41" s="16" t="n">
        <f aca="false">AY41/30</f>
        <v>23.1666666666667</v>
      </c>
      <c r="BA41" s="15" t="n">
        <v>1167</v>
      </c>
      <c r="BB41" s="16" t="n">
        <f aca="false">BA41/31</f>
        <v>37.6451612903226</v>
      </c>
      <c r="BC41" s="17" t="n">
        <f aca="false">SUM(AE41:BA41)</f>
        <v>13025.455453149</v>
      </c>
      <c r="BD41" s="18" t="n">
        <f aca="false">IFERROR(STDEV(AF41,AH41,AJ41,AL41,AN41,AP41,AR41,AT41,AV41,AX41,AZ41,BB41),0)</f>
        <v>7.59823097324076</v>
      </c>
      <c r="BE41" s="15" t="n">
        <v>792</v>
      </c>
      <c r="BF41" s="16" t="n">
        <f aca="false">BE41/31</f>
        <v>25.5483870967742</v>
      </c>
      <c r="BG41" s="15" t="n">
        <v>1334</v>
      </c>
      <c r="BH41" s="16" t="n">
        <f aca="false">BG41/28</f>
        <v>47.6428571428571</v>
      </c>
      <c r="BI41" s="15" t="n">
        <v>593</v>
      </c>
      <c r="BJ41" s="16" t="n">
        <f aca="false">BI41/31</f>
        <v>19.1290322580645</v>
      </c>
      <c r="BK41" s="15" t="n">
        <v>1207</v>
      </c>
      <c r="BL41" s="16" t="n">
        <f aca="false">BK41/30</f>
        <v>40.2333333333333</v>
      </c>
      <c r="BM41" s="15" t="n">
        <v>1100</v>
      </c>
      <c r="BN41" s="16" t="n">
        <f aca="false">BM41/31</f>
        <v>35.4838709677419</v>
      </c>
      <c r="BO41" s="15" t="n">
        <v>1202</v>
      </c>
      <c r="BP41" s="16" t="n">
        <f aca="false">BO41/30</f>
        <v>40.0666666666667</v>
      </c>
      <c r="BQ41" s="15" t="n">
        <v>1282</v>
      </c>
      <c r="BR41" s="16" t="n">
        <f aca="false">BQ41/31</f>
        <v>41.3548387096774</v>
      </c>
      <c r="BS41" s="15" t="n">
        <v>662</v>
      </c>
      <c r="BT41" s="16" t="n">
        <f aca="false">BS41/31</f>
        <v>21.3548387096774</v>
      </c>
      <c r="BU41" s="15" t="n">
        <v>654</v>
      </c>
      <c r="BV41" s="16" t="n">
        <f aca="false">BU41/30</f>
        <v>21.8</v>
      </c>
      <c r="BW41" s="15" t="n">
        <v>694</v>
      </c>
      <c r="BX41" s="16" t="n">
        <f aca="false">BW41/31</f>
        <v>22.3870967741935</v>
      </c>
      <c r="BY41" s="15" t="n">
        <v>728</v>
      </c>
      <c r="BZ41" s="16" t="n">
        <f aca="false">BY41/30</f>
        <v>24.2666666666667</v>
      </c>
      <c r="CA41" s="15" t="n">
        <v>986</v>
      </c>
      <c r="CB41" s="16" t="n">
        <f aca="false">CA41/31</f>
        <v>31.8064516129032</v>
      </c>
      <c r="CC41" s="17" t="n">
        <f aca="false">SUM(BE41:CA41)</f>
        <v>11573.2675883257</v>
      </c>
      <c r="CD41" s="18" t="n">
        <f aca="false">IFERROR(STDEV(BF41,BH41,BJ41,BL41,BN41,BP41,BR41,BT41,BV41,BX41,BZ41,CB41),0)</f>
        <v>9.72428662869642</v>
      </c>
      <c r="CE41" s="15" t="n">
        <v>1069</v>
      </c>
      <c r="CF41" s="16" t="n">
        <f aca="false">CE41/31</f>
        <v>34.4838709677419</v>
      </c>
      <c r="CG41" s="15" t="n">
        <v>695</v>
      </c>
      <c r="CH41" s="16" t="n">
        <f aca="false">CG41/28</f>
        <v>24.8214285714286</v>
      </c>
      <c r="CI41" s="15" t="n">
        <v>783</v>
      </c>
      <c r="CJ41" s="16" t="n">
        <f aca="false">CI41/31</f>
        <v>25.258064516129</v>
      </c>
      <c r="CK41" s="15" t="n">
        <v>767</v>
      </c>
      <c r="CL41" s="16" t="n">
        <f aca="false">CK41/30</f>
        <v>25.5666666666667</v>
      </c>
      <c r="CM41" s="15" t="n">
        <v>789</v>
      </c>
      <c r="CN41" s="16" t="n">
        <f aca="false">CM41/31</f>
        <v>25.4516129032258</v>
      </c>
      <c r="CO41" s="15" t="n">
        <v>898</v>
      </c>
      <c r="CP41" s="16" t="n">
        <f aca="false">CO41/30</f>
        <v>29.9333333333333</v>
      </c>
      <c r="CQ41" s="15" t="n">
        <v>1188</v>
      </c>
      <c r="CR41" s="16" t="n">
        <f aca="false">CQ41/31</f>
        <v>38.3225806451613</v>
      </c>
      <c r="CS41" s="15" t="n">
        <v>666</v>
      </c>
      <c r="CT41" s="16" t="n">
        <f aca="false">CS41/31</f>
        <v>21.4838709677419</v>
      </c>
      <c r="CU41" s="15" t="n">
        <v>979</v>
      </c>
      <c r="CV41" s="16" t="n">
        <f aca="false">CU41/30</f>
        <v>32.6333333333333</v>
      </c>
      <c r="CW41" s="15" t="n">
        <v>1091</v>
      </c>
      <c r="CX41" s="16" t="n">
        <f aca="false">CW41/31</f>
        <v>35.1935483870968</v>
      </c>
      <c r="CY41" s="15" t="n">
        <v>958</v>
      </c>
      <c r="CZ41" s="16" t="n">
        <f aca="false">CY41/30</f>
        <v>31.9333333333333</v>
      </c>
      <c r="DA41" s="15" t="n">
        <v>1098</v>
      </c>
      <c r="DB41" s="16" t="n">
        <f aca="false">DA41/31</f>
        <v>35.4193548387097</v>
      </c>
      <c r="DC41" s="17" t="n">
        <f aca="false">SUM(CE41:DA41)</f>
        <v>11306.0816436252</v>
      </c>
      <c r="DD41" s="18" t="n">
        <f aca="false">IFERROR(STDEV(CF41,CH41,CJ41,CL41,CN41,CP41,CR41,CT41,CV41,CX41,CZ41,DB41),0)</f>
        <v>5.38127077512274</v>
      </c>
      <c r="DE41" s="15" t="n">
        <v>1128</v>
      </c>
      <c r="DF41" s="16" t="n">
        <f aca="false">DE41/31</f>
        <v>36.3870967741936</v>
      </c>
      <c r="DG41" s="15" t="n">
        <v>630</v>
      </c>
      <c r="DH41" s="16" t="n">
        <f aca="false">DG41/28</f>
        <v>22.5</v>
      </c>
      <c r="DI41" s="15" t="n">
        <v>844</v>
      </c>
      <c r="DJ41" s="16" t="n">
        <f aca="false">DI41/31</f>
        <v>27.2258064516129</v>
      </c>
      <c r="DK41" s="15" t="n">
        <v>974</v>
      </c>
      <c r="DL41" s="16" t="n">
        <f aca="false">DK41/30</f>
        <v>32.4666666666667</v>
      </c>
      <c r="DM41" s="15" t="n">
        <v>603</v>
      </c>
      <c r="DN41" s="16" t="n">
        <f aca="false">DM41/31</f>
        <v>19.4516129032258</v>
      </c>
      <c r="DO41" s="15" t="n">
        <v>568</v>
      </c>
      <c r="DP41" s="16" t="n">
        <f aca="false">DO41/30</f>
        <v>18.9333333333333</v>
      </c>
      <c r="DQ41" s="15" t="n">
        <v>689</v>
      </c>
      <c r="DR41" s="16" t="n">
        <f aca="false">DQ41/31</f>
        <v>22.2258064516129</v>
      </c>
      <c r="DS41" s="15" t="n">
        <v>934</v>
      </c>
      <c r="DT41" s="16" t="n">
        <f aca="false">DS41/31</f>
        <v>30.1290322580645</v>
      </c>
      <c r="DU41" s="15" t="n">
        <v>885</v>
      </c>
      <c r="DV41" s="16" t="n">
        <f aca="false">DU41/30</f>
        <v>29.5</v>
      </c>
      <c r="DW41" s="15" t="n">
        <v>1147</v>
      </c>
      <c r="DX41" s="16" t="n">
        <f aca="false">DW41/31</f>
        <v>37</v>
      </c>
      <c r="DY41" s="15" t="n">
        <v>984</v>
      </c>
      <c r="DZ41" s="16" t="n">
        <f aca="false">DY41/30</f>
        <v>32.8</v>
      </c>
      <c r="EA41" s="15" t="n">
        <v>1202</v>
      </c>
      <c r="EB41" s="16" t="n">
        <f aca="false">EA41/31</f>
        <v>38.7741935483871</v>
      </c>
      <c r="EC41" s="17" t="n">
        <f aca="false">SUM(DE41:EA41)</f>
        <v>10896.6193548387</v>
      </c>
      <c r="ED41" s="18" t="n">
        <f aca="false">IFERROR(STDEV(DF41,DH41,DJ41,DL41,DN41,DP41,DR41,DT41,DV41,DX41,DZ41,EB41),0)</f>
        <v>6.91410177013768</v>
      </c>
      <c r="EE41" s="19" t="n">
        <f aca="false">STDEV(F41:AB41,AF41:BB41,BF41:CB41,CF41:DB41,DF41:EB41)</f>
        <v>490.295024527276</v>
      </c>
    </row>
    <row r="42" customFormat="false" ht="15" hidden="false" customHeight="true" outlineLevel="0" collapsed="false">
      <c r="A42" s="11" t="n">
        <v>37</v>
      </c>
      <c r="B42" s="12" t="s">
        <v>108</v>
      </c>
      <c r="C42" s="13" t="s">
        <v>109</v>
      </c>
      <c r="D42" s="14" t="s">
        <v>36</v>
      </c>
      <c r="E42" s="15" t="n">
        <v>1597</v>
      </c>
      <c r="F42" s="16" t="n">
        <f aca="false">E42/31</f>
        <v>51.5161290322581</v>
      </c>
      <c r="G42" s="15" t="n">
        <v>2414</v>
      </c>
      <c r="H42" s="16" t="n">
        <f aca="false">G42/28</f>
        <v>86.2142857142857</v>
      </c>
      <c r="I42" s="15" t="n">
        <v>1497</v>
      </c>
      <c r="J42" s="16" t="n">
        <f aca="false">I42/31</f>
        <v>48.2903225806452</v>
      </c>
      <c r="K42" s="15" t="n">
        <v>1816</v>
      </c>
      <c r="L42" s="16" t="n">
        <f aca="false">K42/30</f>
        <v>60.5333333333333</v>
      </c>
      <c r="M42" s="15" t="n">
        <v>3057</v>
      </c>
      <c r="N42" s="16" t="n">
        <f aca="false">M42/31</f>
        <v>98.6129032258065</v>
      </c>
      <c r="O42" s="15" t="n">
        <v>3093</v>
      </c>
      <c r="P42" s="16" t="n">
        <f aca="false">O42/30</f>
        <v>103.1</v>
      </c>
      <c r="Q42" s="15" t="n">
        <v>2315</v>
      </c>
      <c r="R42" s="16" t="n">
        <f aca="false">Q42/31</f>
        <v>74.6774193548387</v>
      </c>
      <c r="S42" s="15" t="n">
        <v>1505</v>
      </c>
      <c r="T42" s="16" t="n">
        <f aca="false">S42/31</f>
        <v>48.5483870967742</v>
      </c>
      <c r="U42" s="15" t="n">
        <v>1557</v>
      </c>
      <c r="V42" s="16" t="n">
        <f aca="false">U42/30</f>
        <v>51.9</v>
      </c>
      <c r="W42" s="15" t="n">
        <v>3165</v>
      </c>
      <c r="X42" s="16" t="n">
        <f aca="false">W42/31</f>
        <v>102.096774193548</v>
      </c>
      <c r="Y42" s="15" t="n">
        <v>3116</v>
      </c>
      <c r="Z42" s="16" t="n">
        <f aca="false">Y42/30</f>
        <v>103.866666666667</v>
      </c>
      <c r="AA42" s="15" t="n">
        <v>2481</v>
      </c>
      <c r="AB42" s="16" t="n">
        <f aca="false">AA42/31</f>
        <v>80.0322580645161</v>
      </c>
      <c r="AC42" s="17" t="n">
        <f aca="false">SUM(E42:AA42)</f>
        <v>28442.3562211982</v>
      </c>
      <c r="AD42" s="18" t="n">
        <f aca="false">IFERROR(STDEV(F42,H42,J42,L42,N42,P42,R42,T42,V42,X42,Z42,AB42),0)</f>
        <v>22.8950624616221</v>
      </c>
      <c r="AE42" s="15" t="n">
        <v>1423</v>
      </c>
      <c r="AF42" s="16" t="n">
        <f aca="false">AE42/31</f>
        <v>45.9032258064516</v>
      </c>
      <c r="AG42" s="15" t="n">
        <v>3051</v>
      </c>
      <c r="AH42" s="16" t="n">
        <f aca="false">AG42/28</f>
        <v>108.964285714286</v>
      </c>
      <c r="AI42" s="15" t="n">
        <v>1934</v>
      </c>
      <c r="AJ42" s="16" t="n">
        <f aca="false">AI42/31</f>
        <v>62.3870967741936</v>
      </c>
      <c r="AK42" s="15" t="n">
        <v>3110</v>
      </c>
      <c r="AL42" s="16" t="n">
        <f aca="false">AK42/30</f>
        <v>103.666666666667</v>
      </c>
      <c r="AM42" s="15" t="n">
        <v>2430</v>
      </c>
      <c r="AN42" s="16" t="n">
        <f aca="false">AM42/31</f>
        <v>78.3870967741936</v>
      </c>
      <c r="AO42" s="15" t="n">
        <v>2730</v>
      </c>
      <c r="AP42" s="16" t="n">
        <f aca="false">AO42/30</f>
        <v>91</v>
      </c>
      <c r="AQ42" s="15" t="n">
        <v>2658</v>
      </c>
      <c r="AR42" s="16" t="n">
        <f aca="false">AQ42/31</f>
        <v>85.741935483871</v>
      </c>
      <c r="AS42" s="15" t="n">
        <v>2087</v>
      </c>
      <c r="AT42" s="16" t="n">
        <f aca="false">AS42/31</f>
        <v>67.3225806451613</v>
      </c>
      <c r="AU42" s="15" t="n">
        <v>1503</v>
      </c>
      <c r="AV42" s="16" t="n">
        <f aca="false">AU42/30</f>
        <v>50.1</v>
      </c>
      <c r="AW42" s="15" t="n">
        <v>1658</v>
      </c>
      <c r="AX42" s="16" t="n">
        <f aca="false">AW42/31</f>
        <v>53.4838709677419</v>
      </c>
      <c r="AY42" s="15" t="n">
        <v>1800</v>
      </c>
      <c r="AZ42" s="16" t="n">
        <f aca="false">AY42/30</f>
        <v>60</v>
      </c>
      <c r="BA42" s="15" t="n">
        <v>2880</v>
      </c>
      <c r="BB42" s="16" t="n">
        <f aca="false">BA42/31</f>
        <v>92.9032258064516</v>
      </c>
      <c r="BC42" s="17" t="n">
        <f aca="false">SUM(AE42:BA42)</f>
        <v>28070.9567588326</v>
      </c>
      <c r="BD42" s="18" t="n">
        <f aca="false">IFERROR(STDEV(AF42,AH42,AJ42,AL42,AN42,AP42,AR42,AT42,AV42,AX42,AZ42,BB42),0)</f>
        <v>21.4292495895395</v>
      </c>
      <c r="BE42" s="15" t="n">
        <v>1899</v>
      </c>
      <c r="BF42" s="16" t="n">
        <f aca="false">BE42/31</f>
        <v>61.258064516129</v>
      </c>
      <c r="BG42" s="15" t="n">
        <v>2744</v>
      </c>
      <c r="BH42" s="16" t="n">
        <f aca="false">BG42/28</f>
        <v>98</v>
      </c>
      <c r="BI42" s="15" t="n">
        <v>1803</v>
      </c>
      <c r="BJ42" s="16" t="n">
        <f aca="false">BI42/31</f>
        <v>58.1612903225807</v>
      </c>
      <c r="BK42" s="15" t="n">
        <v>2509</v>
      </c>
      <c r="BL42" s="16" t="n">
        <f aca="false">BK42/30</f>
        <v>83.6333333333333</v>
      </c>
      <c r="BM42" s="15" t="n">
        <v>1483</v>
      </c>
      <c r="BN42" s="16" t="n">
        <f aca="false">BM42/31</f>
        <v>47.8387096774194</v>
      </c>
      <c r="BO42" s="15" t="n">
        <v>2897</v>
      </c>
      <c r="BP42" s="16" t="n">
        <f aca="false">BO42/30</f>
        <v>96.5666666666667</v>
      </c>
      <c r="BQ42" s="15" t="n">
        <v>2457</v>
      </c>
      <c r="BR42" s="16" t="n">
        <f aca="false">BQ42/31</f>
        <v>79.258064516129</v>
      </c>
      <c r="BS42" s="15" t="n">
        <v>2085</v>
      </c>
      <c r="BT42" s="16" t="n">
        <f aca="false">BS42/31</f>
        <v>67.258064516129</v>
      </c>
      <c r="BU42" s="15" t="n">
        <v>2874</v>
      </c>
      <c r="BV42" s="16" t="n">
        <f aca="false">BU42/30</f>
        <v>95.8</v>
      </c>
      <c r="BW42" s="15" t="n">
        <v>1339</v>
      </c>
      <c r="BX42" s="16" t="n">
        <f aca="false">BW42/31</f>
        <v>43.1935483870968</v>
      </c>
      <c r="BY42" s="15" t="n">
        <v>1978</v>
      </c>
      <c r="BZ42" s="16" t="n">
        <f aca="false">BY42/30</f>
        <v>65.9333333333333</v>
      </c>
      <c r="CA42" s="15" t="n">
        <v>2648</v>
      </c>
      <c r="CB42" s="16" t="n">
        <f aca="false">CA42/31</f>
        <v>85.4193548387097</v>
      </c>
      <c r="CC42" s="17" t="n">
        <f aca="false">SUM(BE42:CA42)</f>
        <v>27512.9010752688</v>
      </c>
      <c r="CD42" s="18" t="n">
        <f aca="false">IFERROR(STDEV(BF42,BH42,BJ42,BL42,BN42,BP42,BR42,BT42,BV42,BX42,BZ42,CB42),0)</f>
        <v>18.9876834682246</v>
      </c>
      <c r="CE42" s="15" t="n">
        <v>2398</v>
      </c>
      <c r="CF42" s="16" t="n">
        <f aca="false">CE42/31</f>
        <v>77.3548387096774</v>
      </c>
      <c r="CG42" s="15" t="n">
        <v>3340</v>
      </c>
      <c r="CH42" s="16" t="n">
        <f aca="false">CG42/28</f>
        <v>119.285714285714</v>
      </c>
      <c r="CI42" s="15" t="n">
        <v>3748</v>
      </c>
      <c r="CJ42" s="16" t="n">
        <f aca="false">CI42/31</f>
        <v>120.903225806452</v>
      </c>
      <c r="CK42" s="15" t="n">
        <v>2521</v>
      </c>
      <c r="CL42" s="16" t="n">
        <f aca="false">CK42/30</f>
        <v>84.0333333333333</v>
      </c>
      <c r="CM42" s="15" t="n">
        <v>3350</v>
      </c>
      <c r="CN42" s="16" t="n">
        <f aca="false">CM42/31</f>
        <v>108.064516129032</v>
      </c>
      <c r="CO42" s="15" t="n">
        <v>1714</v>
      </c>
      <c r="CP42" s="16" t="n">
        <f aca="false">CO42/30</f>
        <v>57.1333333333333</v>
      </c>
      <c r="CQ42" s="15" t="n">
        <v>2250</v>
      </c>
      <c r="CR42" s="16" t="n">
        <f aca="false">CQ42/31</f>
        <v>72.5806451612903</v>
      </c>
      <c r="CS42" s="15" t="n">
        <v>3831</v>
      </c>
      <c r="CT42" s="16" t="n">
        <f aca="false">CS42/31</f>
        <v>123.58064516129</v>
      </c>
      <c r="CU42" s="15" t="n">
        <v>2728</v>
      </c>
      <c r="CV42" s="16" t="n">
        <f aca="false">CU42/30</f>
        <v>90.9333333333333</v>
      </c>
      <c r="CW42" s="15" t="n">
        <v>2431</v>
      </c>
      <c r="CX42" s="16" t="n">
        <f aca="false">CW42/31</f>
        <v>78.4193548387097</v>
      </c>
      <c r="CY42" s="15" t="n">
        <v>3718</v>
      </c>
      <c r="CZ42" s="16" t="n">
        <f aca="false">CY42/30</f>
        <v>123.933333333333</v>
      </c>
      <c r="DA42" s="15" t="n">
        <v>2599</v>
      </c>
      <c r="DB42" s="16" t="n">
        <f aca="false">DA42/31</f>
        <v>83.8387096774194</v>
      </c>
      <c r="DC42" s="17" t="n">
        <f aca="false">SUM(CE42:DA42)</f>
        <v>35684.2222734255</v>
      </c>
      <c r="DD42" s="18" t="n">
        <f aca="false">IFERROR(STDEV(CF42,CH42,CJ42,CL42,CN42,CP42,CR42,CT42,CV42,CX42,CZ42,DB42),0)</f>
        <v>23.0997968053045</v>
      </c>
      <c r="DE42" s="15" t="n">
        <v>2393</v>
      </c>
      <c r="DF42" s="16" t="n">
        <f aca="false">DE42/31</f>
        <v>77.1935483870968</v>
      </c>
      <c r="DG42" s="15" t="n">
        <v>2361</v>
      </c>
      <c r="DH42" s="16" t="n">
        <f aca="false">DG42/28</f>
        <v>84.3214285714286</v>
      </c>
      <c r="DI42" s="15" t="n">
        <v>1399</v>
      </c>
      <c r="DJ42" s="16" t="n">
        <f aca="false">DI42/31</f>
        <v>45.1290322580645</v>
      </c>
      <c r="DK42" s="15" t="n">
        <v>2290</v>
      </c>
      <c r="DL42" s="16" t="n">
        <f aca="false">DK42/30</f>
        <v>76.3333333333333</v>
      </c>
      <c r="DM42" s="15" t="n">
        <v>2591</v>
      </c>
      <c r="DN42" s="16" t="n">
        <f aca="false">DM42/31</f>
        <v>83.5806451612903</v>
      </c>
      <c r="DO42" s="15" t="n">
        <v>2448</v>
      </c>
      <c r="DP42" s="16" t="n">
        <f aca="false">DO42/30</f>
        <v>81.6</v>
      </c>
      <c r="DQ42" s="15" t="n">
        <v>1392</v>
      </c>
      <c r="DR42" s="16" t="n">
        <f aca="false">DQ42/31</f>
        <v>44.9032258064516</v>
      </c>
      <c r="DS42" s="15" t="n">
        <v>1513</v>
      </c>
      <c r="DT42" s="16" t="n">
        <f aca="false">DS42/31</f>
        <v>48.8064516129032</v>
      </c>
      <c r="DU42" s="15" t="n">
        <v>2446</v>
      </c>
      <c r="DV42" s="16" t="n">
        <f aca="false">DU42/30</f>
        <v>81.5333333333333</v>
      </c>
      <c r="DW42" s="15" t="n">
        <v>2316</v>
      </c>
      <c r="DX42" s="16" t="n">
        <f aca="false">DW42/31</f>
        <v>74.7096774193548</v>
      </c>
      <c r="DY42" s="15" t="n">
        <v>2493</v>
      </c>
      <c r="DZ42" s="16" t="n">
        <f aca="false">DY42/30</f>
        <v>83.1</v>
      </c>
      <c r="EA42" s="15" t="n">
        <v>1785</v>
      </c>
      <c r="EB42" s="16" t="n">
        <f aca="false">EA42/31</f>
        <v>57.5806451612903</v>
      </c>
      <c r="EC42" s="17" t="n">
        <f aca="false">SUM(DE42:EA42)</f>
        <v>26208.2106758833</v>
      </c>
      <c r="ED42" s="18" t="n">
        <f aca="false">IFERROR(STDEV(DF42,DH42,DJ42,DL42,DN42,DP42,DR42,DT42,DV42,DX42,DZ42,EB42),0)</f>
        <v>15.9386966648765</v>
      </c>
      <c r="EE42" s="19" t="n">
        <f aca="false">STDEV(F42:AB42,AF42:BB42,BF42:CB42,CF42:DB42,DF42:EB42)</f>
        <v>1246.88423109176</v>
      </c>
    </row>
    <row r="43" customFormat="false" ht="15" hidden="false" customHeight="true" outlineLevel="0" collapsed="false">
      <c r="A43" s="11" t="n">
        <v>38</v>
      </c>
      <c r="B43" s="12" t="s">
        <v>110</v>
      </c>
      <c r="C43" s="13" t="s">
        <v>111</v>
      </c>
      <c r="D43" s="14" t="s">
        <v>36</v>
      </c>
      <c r="E43" s="15" t="n">
        <v>2896</v>
      </c>
      <c r="F43" s="16" t="n">
        <f aca="false">E43/31</f>
        <v>93.4193548387097</v>
      </c>
      <c r="G43" s="15" t="n">
        <v>2553</v>
      </c>
      <c r="H43" s="16" t="n">
        <f aca="false">G43/28</f>
        <v>91.1785714285714</v>
      </c>
      <c r="I43" s="15" t="n">
        <v>3578</v>
      </c>
      <c r="J43" s="16" t="n">
        <f aca="false">I43/31</f>
        <v>115.41935483871</v>
      </c>
      <c r="K43" s="15" t="n">
        <v>3752</v>
      </c>
      <c r="L43" s="16" t="n">
        <f aca="false">K43/30</f>
        <v>125.066666666667</v>
      </c>
      <c r="M43" s="15" t="n">
        <v>3448</v>
      </c>
      <c r="N43" s="16" t="n">
        <f aca="false">M43/31</f>
        <v>111.225806451613</v>
      </c>
      <c r="O43" s="15" t="n">
        <v>2984</v>
      </c>
      <c r="P43" s="16" t="n">
        <f aca="false">O43/30</f>
        <v>99.4666666666667</v>
      </c>
      <c r="Q43" s="15" t="n">
        <v>3169</v>
      </c>
      <c r="R43" s="16" t="n">
        <f aca="false">Q43/31</f>
        <v>102.225806451613</v>
      </c>
      <c r="S43" s="15" t="n">
        <v>4053</v>
      </c>
      <c r="T43" s="16" t="n">
        <f aca="false">S43/31</f>
        <v>130.741935483871</v>
      </c>
      <c r="U43" s="15" t="n">
        <v>4411</v>
      </c>
      <c r="V43" s="16" t="n">
        <f aca="false">U43/30</f>
        <v>147.033333333333</v>
      </c>
      <c r="W43" s="15" t="n">
        <v>3915</v>
      </c>
      <c r="X43" s="16" t="n">
        <f aca="false">W43/31</f>
        <v>126.290322580645</v>
      </c>
      <c r="Y43" s="15" t="n">
        <v>2624</v>
      </c>
      <c r="Z43" s="16" t="n">
        <f aca="false">Y43/30</f>
        <v>87.4666666666667</v>
      </c>
      <c r="AA43" s="15" t="n">
        <v>3732</v>
      </c>
      <c r="AB43" s="16" t="n">
        <f aca="false">AA43/31</f>
        <v>120.387096774194</v>
      </c>
      <c r="AC43" s="17" t="n">
        <f aca="false">SUM(E43:AA43)</f>
        <v>42344.5344854071</v>
      </c>
      <c r="AD43" s="18" t="n">
        <f aca="false">IFERROR(STDEV(F43,H43,J43,L43,N43,P43,R43,T43,V43,X43,Z43,AB43),0)</f>
        <v>18.2570891809516</v>
      </c>
      <c r="AE43" s="15" t="n">
        <v>2694</v>
      </c>
      <c r="AF43" s="16" t="n">
        <f aca="false">AE43/31</f>
        <v>86.9032258064516</v>
      </c>
      <c r="AG43" s="15" t="n">
        <v>4308</v>
      </c>
      <c r="AH43" s="16" t="n">
        <f aca="false">AG43/28</f>
        <v>153.857142857143</v>
      </c>
      <c r="AI43" s="15" t="n">
        <v>3434</v>
      </c>
      <c r="AJ43" s="16" t="n">
        <f aca="false">AI43/31</f>
        <v>110.774193548387</v>
      </c>
      <c r="AK43" s="15" t="n">
        <v>3628</v>
      </c>
      <c r="AL43" s="16" t="n">
        <f aca="false">AK43/30</f>
        <v>120.933333333333</v>
      </c>
      <c r="AM43" s="15" t="n">
        <v>3330</v>
      </c>
      <c r="AN43" s="16" t="n">
        <f aca="false">AM43/31</f>
        <v>107.41935483871</v>
      </c>
      <c r="AO43" s="15" t="n">
        <v>3636</v>
      </c>
      <c r="AP43" s="16" t="n">
        <f aca="false">AO43/30</f>
        <v>121.2</v>
      </c>
      <c r="AQ43" s="15" t="n">
        <v>2668</v>
      </c>
      <c r="AR43" s="16" t="n">
        <f aca="false">AQ43/31</f>
        <v>86.0645161290323</v>
      </c>
      <c r="AS43" s="15" t="n">
        <v>5277</v>
      </c>
      <c r="AT43" s="16" t="n">
        <f aca="false">AS43/31</f>
        <v>170.225806451613</v>
      </c>
      <c r="AU43" s="15" t="n">
        <v>5290</v>
      </c>
      <c r="AV43" s="16" t="n">
        <f aca="false">AU43/30</f>
        <v>176.333333333333</v>
      </c>
      <c r="AW43" s="15" t="n">
        <v>5523</v>
      </c>
      <c r="AX43" s="16" t="n">
        <f aca="false">AW43/31</f>
        <v>178.161290322581</v>
      </c>
      <c r="AY43" s="15" t="n">
        <v>4225</v>
      </c>
      <c r="AZ43" s="16" t="n">
        <f aca="false">AY43/30</f>
        <v>140.833333333333</v>
      </c>
      <c r="BA43" s="15" t="n">
        <v>2939</v>
      </c>
      <c r="BB43" s="16" t="n">
        <f aca="false">BA43/31</f>
        <v>94.8064516129032</v>
      </c>
      <c r="BC43" s="17" t="n">
        <f aca="false">SUM(AE43:BA43)</f>
        <v>48404.7055299539</v>
      </c>
      <c r="BD43" s="18" t="n">
        <f aca="false">IFERROR(STDEV(AF43,AH43,AJ43,AL43,AN43,AP43,AR43,AT43,AV43,AX43,AZ43,BB43),0)</f>
        <v>34.1431981935371</v>
      </c>
      <c r="BE43" s="15" t="n">
        <v>4829</v>
      </c>
      <c r="BF43" s="16" t="n">
        <f aca="false">BE43/31</f>
        <v>155.774193548387</v>
      </c>
      <c r="BG43" s="15" t="n">
        <v>3796</v>
      </c>
      <c r="BH43" s="16" t="n">
        <f aca="false">BG43/28</f>
        <v>135.571428571429</v>
      </c>
      <c r="BI43" s="15" t="n">
        <v>4489</v>
      </c>
      <c r="BJ43" s="16" t="n">
        <f aca="false">BI43/31</f>
        <v>144.806451612903</v>
      </c>
      <c r="BK43" s="15" t="n">
        <v>5309</v>
      </c>
      <c r="BL43" s="16" t="n">
        <f aca="false">BK43/30</f>
        <v>176.966666666667</v>
      </c>
      <c r="BM43" s="15" t="n">
        <v>3473</v>
      </c>
      <c r="BN43" s="16" t="n">
        <f aca="false">BM43/31</f>
        <v>112.032258064516</v>
      </c>
      <c r="BO43" s="15" t="n">
        <v>5060</v>
      </c>
      <c r="BP43" s="16" t="n">
        <f aca="false">BO43/30</f>
        <v>168.666666666667</v>
      </c>
      <c r="BQ43" s="15" t="n">
        <v>5002</v>
      </c>
      <c r="BR43" s="16" t="n">
        <f aca="false">BQ43/31</f>
        <v>161.354838709677</v>
      </c>
      <c r="BS43" s="15" t="n">
        <v>5271</v>
      </c>
      <c r="BT43" s="16" t="n">
        <f aca="false">BS43/31</f>
        <v>170.032258064516</v>
      </c>
      <c r="BU43" s="15" t="n">
        <v>3532</v>
      </c>
      <c r="BV43" s="16" t="n">
        <f aca="false">BU43/30</f>
        <v>117.733333333333</v>
      </c>
      <c r="BW43" s="15" t="n">
        <v>4278</v>
      </c>
      <c r="BX43" s="16" t="n">
        <f aca="false">BW43/31</f>
        <v>138</v>
      </c>
      <c r="BY43" s="15" t="n">
        <v>4256</v>
      </c>
      <c r="BZ43" s="16" t="n">
        <f aca="false">BY43/30</f>
        <v>141.866666666667</v>
      </c>
      <c r="CA43" s="15" t="n">
        <v>5873</v>
      </c>
      <c r="CB43" s="16" t="n">
        <f aca="false">CA43/31</f>
        <v>189.451612903226</v>
      </c>
      <c r="CC43" s="17" t="n">
        <f aca="false">SUM(BE43:CA43)</f>
        <v>56790.8047619048</v>
      </c>
      <c r="CD43" s="18" t="n">
        <f aca="false">IFERROR(STDEV(BF43,BH43,BJ43,BL43,BN43,BP43,BR43,BT43,BV43,BX43,BZ43,CB43),0)</f>
        <v>23.5702375129314</v>
      </c>
      <c r="CE43" s="15" t="n">
        <v>4889</v>
      </c>
      <c r="CF43" s="16" t="n">
        <f aca="false">CE43/31</f>
        <v>157.709677419355</v>
      </c>
      <c r="CG43" s="15" t="n">
        <v>3440</v>
      </c>
      <c r="CH43" s="16" t="n">
        <f aca="false">CG43/28</f>
        <v>122.857142857143</v>
      </c>
      <c r="CI43" s="15" t="n">
        <v>3118</v>
      </c>
      <c r="CJ43" s="16" t="n">
        <f aca="false">CI43/31</f>
        <v>100.58064516129</v>
      </c>
      <c r="CK43" s="15" t="n">
        <v>3837</v>
      </c>
      <c r="CL43" s="16" t="n">
        <f aca="false">CK43/30</f>
        <v>127.9</v>
      </c>
      <c r="CM43" s="15" t="n">
        <v>6181</v>
      </c>
      <c r="CN43" s="16" t="n">
        <f aca="false">CM43/31</f>
        <v>199.387096774194</v>
      </c>
      <c r="CO43" s="15" t="n">
        <v>3938</v>
      </c>
      <c r="CP43" s="16" t="n">
        <f aca="false">CO43/30</f>
        <v>131.266666666667</v>
      </c>
      <c r="CQ43" s="15" t="n">
        <v>4985</v>
      </c>
      <c r="CR43" s="16" t="n">
        <f aca="false">CQ43/31</f>
        <v>160.806451612903</v>
      </c>
      <c r="CS43" s="15" t="n">
        <v>5654</v>
      </c>
      <c r="CT43" s="16" t="n">
        <f aca="false">CS43/31</f>
        <v>182.387096774194</v>
      </c>
      <c r="CU43" s="15" t="n">
        <v>3928</v>
      </c>
      <c r="CV43" s="16" t="n">
        <f aca="false">CU43/30</f>
        <v>130.933333333333</v>
      </c>
      <c r="CW43" s="15" t="n">
        <v>3947</v>
      </c>
      <c r="CX43" s="16" t="n">
        <f aca="false">CW43/31</f>
        <v>127.322580645161</v>
      </c>
      <c r="CY43" s="15" t="n">
        <v>5696</v>
      </c>
      <c r="CZ43" s="16" t="n">
        <f aca="false">CY43/30</f>
        <v>189.866666666667</v>
      </c>
      <c r="DA43" s="15" t="n">
        <v>5856</v>
      </c>
      <c r="DB43" s="16" t="n">
        <f aca="false">DA43/31</f>
        <v>188.903225806452</v>
      </c>
      <c r="DC43" s="17" t="n">
        <f aca="false">SUM(CE43:DA43)</f>
        <v>57100.0173579109</v>
      </c>
      <c r="DD43" s="18" t="n">
        <f aca="false">IFERROR(STDEV(CF43,CH43,CJ43,CL43,CN43,CP43,CR43,CT43,CV43,CX43,CZ43,DB43),0)</f>
        <v>32.5159108879561</v>
      </c>
      <c r="DE43" s="15" t="n">
        <v>5518</v>
      </c>
      <c r="DF43" s="16" t="n">
        <f aca="false">DE43/31</f>
        <v>178</v>
      </c>
      <c r="DG43" s="15" t="n">
        <v>2836</v>
      </c>
      <c r="DH43" s="16" t="n">
        <f aca="false">DG43/28</f>
        <v>101.285714285714</v>
      </c>
      <c r="DI43" s="15" t="n">
        <v>3426</v>
      </c>
      <c r="DJ43" s="16" t="n">
        <f aca="false">DI43/31</f>
        <v>110.516129032258</v>
      </c>
      <c r="DK43" s="15" t="n">
        <v>5432</v>
      </c>
      <c r="DL43" s="16" t="n">
        <f aca="false">DK43/30</f>
        <v>181.066666666667</v>
      </c>
      <c r="DM43" s="15" t="n">
        <v>3043</v>
      </c>
      <c r="DN43" s="16" t="n">
        <f aca="false">DM43/31</f>
        <v>98.1612903225806</v>
      </c>
      <c r="DO43" s="15" t="n">
        <v>3406</v>
      </c>
      <c r="DP43" s="16" t="n">
        <f aca="false">DO43/30</f>
        <v>113.533333333333</v>
      </c>
      <c r="DQ43" s="15" t="n">
        <v>5487</v>
      </c>
      <c r="DR43" s="16" t="n">
        <f aca="false">DQ43/31</f>
        <v>177</v>
      </c>
      <c r="DS43" s="15" t="n">
        <v>5500</v>
      </c>
      <c r="DT43" s="16" t="n">
        <f aca="false">DS43/31</f>
        <v>177.41935483871</v>
      </c>
      <c r="DU43" s="15" t="n">
        <v>3333</v>
      </c>
      <c r="DV43" s="16" t="n">
        <f aca="false">DU43/30</f>
        <v>111.1</v>
      </c>
      <c r="DW43" s="15" t="n">
        <v>4624</v>
      </c>
      <c r="DX43" s="16" t="n">
        <f aca="false">DW43/31</f>
        <v>149.161290322581</v>
      </c>
      <c r="DY43" s="15" t="n">
        <v>3971</v>
      </c>
      <c r="DZ43" s="16" t="n">
        <f aca="false">DY43/30</f>
        <v>132.366666666667</v>
      </c>
      <c r="EA43" s="15" t="n">
        <v>4243</v>
      </c>
      <c r="EB43" s="16" t="n">
        <f aca="false">EA43/31</f>
        <v>136.870967741936</v>
      </c>
      <c r="EC43" s="17" t="n">
        <f aca="false">SUM(DE43:EA43)</f>
        <v>52348.6104454685</v>
      </c>
      <c r="ED43" s="18" t="n">
        <f aca="false">IFERROR(STDEV(DF43,DH43,DJ43,DL43,DN43,DP43,DR43,DT43,DV43,DX43,DZ43,EB43),0)</f>
        <v>32.6004801653719</v>
      </c>
      <c r="EE43" s="19" t="n">
        <f aca="false">STDEV(F43:AB43,AF43:BB43,BF43:CB43,CF43:DB43,DF43:EB43)</f>
        <v>2125.72317890708</v>
      </c>
    </row>
    <row r="44" customFormat="false" ht="15" hidden="false" customHeight="true" outlineLevel="0" collapsed="false">
      <c r="A44" s="11" t="n">
        <v>39</v>
      </c>
      <c r="B44" s="12" t="s">
        <v>112</v>
      </c>
      <c r="C44" s="13" t="s">
        <v>113</v>
      </c>
      <c r="D44" s="14" t="s">
        <v>36</v>
      </c>
      <c r="E44" s="15" t="n">
        <v>1465</v>
      </c>
      <c r="F44" s="16" t="n">
        <f aca="false">E44/31</f>
        <v>47.258064516129</v>
      </c>
      <c r="G44" s="15" t="n">
        <v>1662</v>
      </c>
      <c r="H44" s="16" t="n">
        <f aca="false">G44/28</f>
        <v>59.3571428571429</v>
      </c>
      <c r="I44" s="15" t="n">
        <v>2312</v>
      </c>
      <c r="J44" s="16" t="n">
        <f aca="false">I44/31</f>
        <v>74.5806451612903</v>
      </c>
      <c r="K44" s="15" t="n">
        <v>1687</v>
      </c>
      <c r="L44" s="16" t="n">
        <f aca="false">K44/30</f>
        <v>56.2333333333333</v>
      </c>
      <c r="M44" s="15" t="n">
        <v>1275</v>
      </c>
      <c r="N44" s="16" t="n">
        <f aca="false">M44/31</f>
        <v>41.1290322580645</v>
      </c>
      <c r="O44" s="15" t="n">
        <v>1939</v>
      </c>
      <c r="P44" s="16" t="n">
        <f aca="false">O44/30</f>
        <v>64.6333333333333</v>
      </c>
      <c r="Q44" s="15" t="n">
        <v>1981</v>
      </c>
      <c r="R44" s="16" t="n">
        <f aca="false">Q44/31</f>
        <v>63.9032258064516</v>
      </c>
      <c r="S44" s="15" t="n">
        <v>1912</v>
      </c>
      <c r="T44" s="16" t="n">
        <f aca="false">S44/31</f>
        <v>61.6774193548387</v>
      </c>
      <c r="U44" s="15" t="n">
        <v>2113</v>
      </c>
      <c r="V44" s="16" t="n">
        <f aca="false">U44/30</f>
        <v>70.4333333333333</v>
      </c>
      <c r="W44" s="15" t="n">
        <v>1919</v>
      </c>
      <c r="X44" s="16" t="n">
        <f aca="false">W44/31</f>
        <v>61.9032258064516</v>
      </c>
      <c r="Y44" s="15" t="n">
        <v>2513</v>
      </c>
      <c r="Z44" s="16" t="n">
        <f aca="false">Y44/30</f>
        <v>83.7666666666667</v>
      </c>
      <c r="AA44" s="15" t="n">
        <v>1788</v>
      </c>
      <c r="AB44" s="16" t="n">
        <f aca="false">AA44/31</f>
        <v>57.6774193548387</v>
      </c>
      <c r="AC44" s="17" t="n">
        <f aca="false">SUM(E44:AA44)</f>
        <v>23250.875422427</v>
      </c>
      <c r="AD44" s="18" t="n">
        <f aca="false">IFERROR(STDEV(F44,H44,J44,L44,N44,P44,R44,T44,V44,X44,Z44,AB44),0)</f>
        <v>11.3838918644813</v>
      </c>
      <c r="AE44" s="15" t="n">
        <v>2002</v>
      </c>
      <c r="AF44" s="16" t="n">
        <f aca="false">AE44/31</f>
        <v>64.5806451612903</v>
      </c>
      <c r="AG44" s="15" t="n">
        <v>1632</v>
      </c>
      <c r="AH44" s="16" t="n">
        <f aca="false">AG44/28</f>
        <v>58.2857142857143</v>
      </c>
      <c r="AI44" s="15" t="n">
        <v>1430</v>
      </c>
      <c r="AJ44" s="16" t="n">
        <f aca="false">AI44/31</f>
        <v>46.1290322580645</v>
      </c>
      <c r="AK44" s="15" t="n">
        <v>1981</v>
      </c>
      <c r="AL44" s="16" t="n">
        <f aca="false">AK44/30</f>
        <v>66.0333333333333</v>
      </c>
      <c r="AM44" s="15" t="n">
        <v>2154</v>
      </c>
      <c r="AN44" s="16" t="n">
        <f aca="false">AM44/31</f>
        <v>69.4838709677419</v>
      </c>
      <c r="AO44" s="15" t="n">
        <v>2122</v>
      </c>
      <c r="AP44" s="16" t="n">
        <f aca="false">AO44/30</f>
        <v>70.7333333333333</v>
      </c>
      <c r="AQ44" s="15" t="n">
        <v>1592</v>
      </c>
      <c r="AR44" s="16" t="n">
        <f aca="false">AQ44/31</f>
        <v>51.3548387096774</v>
      </c>
      <c r="AS44" s="15" t="n">
        <v>1715</v>
      </c>
      <c r="AT44" s="16" t="n">
        <f aca="false">AS44/31</f>
        <v>55.3225806451613</v>
      </c>
      <c r="AU44" s="15" t="n">
        <v>1899</v>
      </c>
      <c r="AV44" s="16" t="n">
        <f aca="false">AU44/30</f>
        <v>63.3</v>
      </c>
      <c r="AW44" s="15" t="n">
        <v>1362</v>
      </c>
      <c r="AX44" s="16" t="n">
        <f aca="false">AW44/31</f>
        <v>43.9354838709677</v>
      </c>
      <c r="AY44" s="15" t="n">
        <v>1934</v>
      </c>
      <c r="AZ44" s="16" t="n">
        <f aca="false">AY44/30</f>
        <v>64.4666666666667</v>
      </c>
      <c r="BA44" s="15" t="n">
        <v>2012</v>
      </c>
      <c r="BB44" s="16" t="n">
        <f aca="false">BA44/31</f>
        <v>64.9032258064516</v>
      </c>
      <c r="BC44" s="17" t="n">
        <f aca="false">SUM(AE44:BA44)</f>
        <v>22488.625499232</v>
      </c>
      <c r="BD44" s="18" t="n">
        <f aca="false">IFERROR(STDEV(AF44,AH44,AJ44,AL44,AN44,AP44,AR44,AT44,AV44,AX44,AZ44,BB44),0)</f>
        <v>8.87930324214568</v>
      </c>
      <c r="BE44" s="15" t="n">
        <v>2666</v>
      </c>
      <c r="BF44" s="16" t="n">
        <f aca="false">BE44/31</f>
        <v>86</v>
      </c>
      <c r="BG44" s="15" t="n">
        <v>1427</v>
      </c>
      <c r="BH44" s="16" t="n">
        <f aca="false">BG44/28</f>
        <v>50.9642857142857</v>
      </c>
      <c r="BI44" s="15" t="n">
        <v>3015</v>
      </c>
      <c r="BJ44" s="16" t="n">
        <f aca="false">BI44/31</f>
        <v>97.258064516129</v>
      </c>
      <c r="BK44" s="15" t="n">
        <v>2129</v>
      </c>
      <c r="BL44" s="16" t="n">
        <f aca="false">BK44/30</f>
        <v>70.9666666666667</v>
      </c>
      <c r="BM44" s="15" t="n">
        <v>1993</v>
      </c>
      <c r="BN44" s="16" t="n">
        <f aca="false">BM44/31</f>
        <v>64.2903225806452</v>
      </c>
      <c r="BO44" s="15" t="n">
        <v>2176</v>
      </c>
      <c r="BP44" s="16" t="n">
        <f aca="false">BO44/30</f>
        <v>72.5333333333333</v>
      </c>
      <c r="BQ44" s="15" t="n">
        <v>2893</v>
      </c>
      <c r="BR44" s="16" t="n">
        <f aca="false">BQ44/31</f>
        <v>93.3225806451613</v>
      </c>
      <c r="BS44" s="15" t="n">
        <v>2497</v>
      </c>
      <c r="BT44" s="16" t="n">
        <f aca="false">BS44/31</f>
        <v>80.5483870967742</v>
      </c>
      <c r="BU44" s="15" t="n">
        <v>2240</v>
      </c>
      <c r="BV44" s="16" t="n">
        <f aca="false">BU44/30</f>
        <v>74.6666666666667</v>
      </c>
      <c r="BW44" s="15" t="n">
        <v>2668</v>
      </c>
      <c r="BX44" s="16" t="n">
        <f aca="false">BW44/31</f>
        <v>86.0645161290323</v>
      </c>
      <c r="BY44" s="15" t="n">
        <v>1922</v>
      </c>
      <c r="BZ44" s="16" t="n">
        <f aca="false">BY44/30</f>
        <v>64.0666666666667</v>
      </c>
      <c r="CA44" s="15" t="n">
        <v>2850</v>
      </c>
      <c r="CB44" s="16" t="n">
        <f aca="false">CA44/31</f>
        <v>91.9354838709677</v>
      </c>
      <c r="CC44" s="17" t="n">
        <f aca="false">SUM(BE44:CA44)</f>
        <v>29316.6814900154</v>
      </c>
      <c r="CD44" s="18" t="n">
        <f aca="false">IFERROR(STDEV(BF44,BH44,BJ44,BL44,BN44,BP44,BR44,BT44,BV44,BX44,BZ44,CB44),0)</f>
        <v>13.9411601468092</v>
      </c>
      <c r="CE44" s="15" t="n">
        <v>2311</v>
      </c>
      <c r="CF44" s="16" t="n">
        <f aca="false">CE44/31</f>
        <v>74.5483870967742</v>
      </c>
      <c r="CG44" s="15" t="n">
        <v>2492</v>
      </c>
      <c r="CH44" s="16" t="n">
        <f aca="false">CG44/28</f>
        <v>89</v>
      </c>
      <c r="CI44" s="15" t="n">
        <v>1499</v>
      </c>
      <c r="CJ44" s="16" t="n">
        <f aca="false">CI44/31</f>
        <v>48.3548387096774</v>
      </c>
      <c r="CK44" s="15" t="n">
        <v>2727</v>
      </c>
      <c r="CL44" s="16" t="n">
        <f aca="false">CK44/30</f>
        <v>90.9</v>
      </c>
      <c r="CM44" s="15" t="n">
        <v>2527</v>
      </c>
      <c r="CN44" s="16" t="n">
        <f aca="false">CM44/31</f>
        <v>81.5161290322581</v>
      </c>
      <c r="CO44" s="15" t="n">
        <v>1984</v>
      </c>
      <c r="CP44" s="16" t="n">
        <f aca="false">CO44/30</f>
        <v>66.1333333333333</v>
      </c>
      <c r="CQ44" s="15" t="n">
        <v>2508</v>
      </c>
      <c r="CR44" s="16" t="n">
        <f aca="false">CQ44/31</f>
        <v>80.9032258064516</v>
      </c>
      <c r="CS44" s="15" t="n">
        <v>1426</v>
      </c>
      <c r="CT44" s="16" t="n">
        <f aca="false">CS44/31</f>
        <v>46</v>
      </c>
      <c r="CU44" s="15" t="n">
        <v>3113</v>
      </c>
      <c r="CV44" s="16" t="n">
        <f aca="false">CU44/30</f>
        <v>103.766666666667</v>
      </c>
      <c r="CW44" s="15" t="n">
        <v>2563</v>
      </c>
      <c r="CX44" s="16" t="n">
        <f aca="false">CW44/31</f>
        <v>82.6774193548387</v>
      </c>
      <c r="CY44" s="15" t="n">
        <v>2064</v>
      </c>
      <c r="CZ44" s="16" t="n">
        <f aca="false">CY44/30</f>
        <v>68.8</v>
      </c>
      <c r="DA44" s="15" t="n">
        <v>2698</v>
      </c>
      <c r="DB44" s="16" t="n">
        <f aca="false">DA44/31</f>
        <v>87.0322580645161</v>
      </c>
      <c r="DC44" s="17" t="n">
        <f aca="false">SUM(CE44:DA44)</f>
        <v>28744.6</v>
      </c>
      <c r="DD44" s="18" t="n">
        <f aca="false">IFERROR(STDEV(CF44,CH44,CJ44,CL44,CN44,CP44,CR44,CT44,CV44,CX44,CZ44,DB44),0)</f>
        <v>17.0386317244775</v>
      </c>
      <c r="DE44" s="15" t="n">
        <v>2423</v>
      </c>
      <c r="DF44" s="16" t="n">
        <f aca="false">DE44/31</f>
        <v>78.1612903225806</v>
      </c>
      <c r="DG44" s="15" t="n">
        <v>1667</v>
      </c>
      <c r="DH44" s="16" t="n">
        <f aca="false">DG44/28</f>
        <v>59.5357142857143</v>
      </c>
      <c r="DI44" s="15" t="n">
        <v>1074</v>
      </c>
      <c r="DJ44" s="16" t="n">
        <f aca="false">DI44/31</f>
        <v>34.6451612903226</v>
      </c>
      <c r="DK44" s="15" t="n">
        <v>1425</v>
      </c>
      <c r="DL44" s="16" t="n">
        <f aca="false">DK44/30</f>
        <v>47.5</v>
      </c>
      <c r="DM44" s="15" t="n">
        <v>1780</v>
      </c>
      <c r="DN44" s="16" t="n">
        <f aca="false">DM44/31</f>
        <v>57.4193548387097</v>
      </c>
      <c r="DO44" s="15" t="n">
        <v>1792</v>
      </c>
      <c r="DP44" s="16" t="n">
        <f aca="false">DO44/30</f>
        <v>59.7333333333333</v>
      </c>
      <c r="DQ44" s="15" t="n">
        <v>1879</v>
      </c>
      <c r="DR44" s="16" t="n">
        <f aca="false">DQ44/31</f>
        <v>60.6129032258065</v>
      </c>
      <c r="DS44" s="15" t="n">
        <v>1872</v>
      </c>
      <c r="DT44" s="16" t="n">
        <f aca="false">DS44/31</f>
        <v>60.3870967741936</v>
      </c>
      <c r="DU44" s="15" t="n">
        <v>1689</v>
      </c>
      <c r="DV44" s="16" t="n">
        <f aca="false">DU44/30</f>
        <v>56.3</v>
      </c>
      <c r="DW44" s="15" t="n">
        <v>1612</v>
      </c>
      <c r="DX44" s="16" t="n">
        <f aca="false">DW44/31</f>
        <v>52</v>
      </c>
      <c r="DY44" s="15" t="n">
        <v>2150</v>
      </c>
      <c r="DZ44" s="16" t="n">
        <f aca="false">DY44/30</f>
        <v>71.6666666666667</v>
      </c>
      <c r="EA44" s="15" t="n">
        <v>1890</v>
      </c>
      <c r="EB44" s="16" t="n">
        <f aca="false">EA44/31</f>
        <v>60.9677419354839</v>
      </c>
      <c r="EC44" s="17" t="n">
        <f aca="false">SUM(DE44:EA44)</f>
        <v>21890.9615207373</v>
      </c>
      <c r="ED44" s="18" t="n">
        <f aca="false">IFERROR(STDEV(DF44,DH44,DJ44,DL44,DN44,DP44,DR44,DT44,DV44,DX44,DZ44,EB44),0)</f>
        <v>10.9301993917376</v>
      </c>
      <c r="EE44" s="19" t="n">
        <f aca="false">STDEV(F44:AB44,AF44:BB44,BF44:CB44,CF44:DB44,DF44:EB44)</f>
        <v>1031.39621473881</v>
      </c>
    </row>
    <row r="45" customFormat="false" ht="15" hidden="false" customHeight="true" outlineLevel="0" collapsed="false">
      <c r="A45" s="11" t="n">
        <v>40</v>
      </c>
      <c r="B45" s="12" t="s">
        <v>114</v>
      </c>
      <c r="C45" s="13" t="s">
        <v>115</v>
      </c>
      <c r="D45" s="14" t="s">
        <v>36</v>
      </c>
      <c r="E45" s="15" t="n">
        <v>4849</v>
      </c>
      <c r="F45" s="16" t="n">
        <f aca="false">E45/31</f>
        <v>156.41935483871</v>
      </c>
      <c r="G45" s="15" t="n">
        <v>4246</v>
      </c>
      <c r="H45" s="16" t="n">
        <f aca="false">G45/28</f>
        <v>151.642857142857</v>
      </c>
      <c r="I45" s="15" t="n">
        <v>3004</v>
      </c>
      <c r="J45" s="16" t="n">
        <f aca="false">I45/31</f>
        <v>96.9032258064516</v>
      </c>
      <c r="K45" s="15" t="n">
        <v>3314</v>
      </c>
      <c r="L45" s="16" t="n">
        <f aca="false">K45/30</f>
        <v>110.466666666667</v>
      </c>
      <c r="M45" s="15" t="n">
        <v>4522</v>
      </c>
      <c r="N45" s="16" t="n">
        <f aca="false">M45/31</f>
        <v>145.870967741936</v>
      </c>
      <c r="O45" s="15" t="n">
        <v>6638</v>
      </c>
      <c r="P45" s="16" t="n">
        <f aca="false">O45/30</f>
        <v>221.266666666667</v>
      </c>
      <c r="Q45" s="15" t="n">
        <v>3359</v>
      </c>
      <c r="R45" s="16" t="n">
        <f aca="false">Q45/31</f>
        <v>108.354838709677</v>
      </c>
      <c r="S45" s="15" t="n">
        <v>6556</v>
      </c>
      <c r="T45" s="16" t="n">
        <f aca="false">S45/31</f>
        <v>211.483870967742</v>
      </c>
      <c r="U45" s="15" t="n">
        <v>3458</v>
      </c>
      <c r="V45" s="16" t="n">
        <f aca="false">U45/30</f>
        <v>115.266666666667</v>
      </c>
      <c r="W45" s="15" t="n">
        <v>4118</v>
      </c>
      <c r="X45" s="16" t="n">
        <f aca="false">W45/31</f>
        <v>132.838709677419</v>
      </c>
      <c r="Y45" s="15" t="n">
        <v>4674</v>
      </c>
      <c r="Z45" s="16" t="n">
        <f aca="false">Y45/30</f>
        <v>155.8</v>
      </c>
      <c r="AA45" s="15" t="n">
        <v>3711</v>
      </c>
      <c r="AB45" s="16" t="n">
        <f aca="false">AA45/31</f>
        <v>119.709677419355</v>
      </c>
      <c r="AC45" s="17" t="n">
        <f aca="false">SUM(E45:AA45)</f>
        <v>54055.3138248848</v>
      </c>
      <c r="AD45" s="18" t="n">
        <f aca="false">IFERROR(STDEV(F45,H45,J45,L45,N45,P45,R45,T45,V45,X45,Z45,AB45),0)</f>
        <v>39.3499982187719</v>
      </c>
      <c r="AE45" s="15" t="n">
        <v>4455</v>
      </c>
      <c r="AF45" s="16" t="n">
        <f aca="false">AE45/31</f>
        <v>143.709677419355</v>
      </c>
      <c r="AG45" s="15" t="n">
        <v>4431</v>
      </c>
      <c r="AH45" s="16" t="n">
        <f aca="false">AG45/28</f>
        <v>158.25</v>
      </c>
      <c r="AI45" s="15" t="n">
        <v>4294</v>
      </c>
      <c r="AJ45" s="16" t="n">
        <f aca="false">AI45/31</f>
        <v>138.516129032258</v>
      </c>
      <c r="AK45" s="15" t="n">
        <v>5228</v>
      </c>
      <c r="AL45" s="16" t="n">
        <f aca="false">AK45/30</f>
        <v>174.266666666667</v>
      </c>
      <c r="AM45" s="15" t="n">
        <v>3863</v>
      </c>
      <c r="AN45" s="16" t="n">
        <f aca="false">AM45/31</f>
        <v>124.612903225806</v>
      </c>
      <c r="AO45" s="15" t="n">
        <v>3795</v>
      </c>
      <c r="AP45" s="16" t="n">
        <f aca="false">AO45/30</f>
        <v>126.5</v>
      </c>
      <c r="AQ45" s="15" t="n">
        <v>5638</v>
      </c>
      <c r="AR45" s="16" t="n">
        <f aca="false">AQ45/31</f>
        <v>181.870967741936</v>
      </c>
      <c r="AS45" s="15" t="n">
        <v>3126</v>
      </c>
      <c r="AT45" s="16" t="n">
        <f aca="false">AS45/31</f>
        <v>100.838709677419</v>
      </c>
      <c r="AU45" s="15" t="n">
        <v>5779</v>
      </c>
      <c r="AV45" s="16" t="n">
        <f aca="false">AU45/30</f>
        <v>192.633333333333</v>
      </c>
      <c r="AW45" s="15" t="n">
        <v>5052</v>
      </c>
      <c r="AX45" s="16" t="n">
        <f aca="false">AW45/31</f>
        <v>162.967741935484</v>
      </c>
      <c r="AY45" s="15" t="n">
        <v>5157</v>
      </c>
      <c r="AZ45" s="16" t="n">
        <f aca="false">AY45/30</f>
        <v>171.9</v>
      </c>
      <c r="BA45" s="15" t="n">
        <v>3304</v>
      </c>
      <c r="BB45" s="16" t="n">
        <f aca="false">BA45/31</f>
        <v>106.58064516129</v>
      </c>
      <c r="BC45" s="17" t="n">
        <f aca="false">SUM(AE45:BA45)</f>
        <v>55798.0661290323</v>
      </c>
      <c r="BD45" s="18" t="n">
        <f aca="false">IFERROR(STDEV(AF45,AH45,AJ45,AL45,AN45,AP45,AR45,AT45,AV45,AX45,AZ45,BB45),0)</f>
        <v>29.8225754554605</v>
      </c>
      <c r="BE45" s="15" t="n">
        <v>5161</v>
      </c>
      <c r="BF45" s="16" t="n">
        <f aca="false">BE45/31</f>
        <v>166.483870967742</v>
      </c>
      <c r="BG45" s="15" t="n">
        <v>2959</v>
      </c>
      <c r="BH45" s="16" t="n">
        <f aca="false">BG45/28</f>
        <v>105.678571428571</v>
      </c>
      <c r="BI45" s="15" t="n">
        <v>2752</v>
      </c>
      <c r="BJ45" s="16" t="n">
        <f aca="false">BI45/31</f>
        <v>88.7741935483871</v>
      </c>
      <c r="BK45" s="15" t="n">
        <v>2709</v>
      </c>
      <c r="BL45" s="16" t="n">
        <f aca="false">BK45/30</f>
        <v>90.3</v>
      </c>
      <c r="BM45" s="15" t="n">
        <v>3899</v>
      </c>
      <c r="BN45" s="16" t="n">
        <f aca="false">BM45/31</f>
        <v>125.774193548387</v>
      </c>
      <c r="BO45" s="15" t="n">
        <v>5086</v>
      </c>
      <c r="BP45" s="16" t="n">
        <f aca="false">BO45/30</f>
        <v>169.533333333333</v>
      </c>
      <c r="BQ45" s="15" t="n">
        <v>2923</v>
      </c>
      <c r="BR45" s="16" t="n">
        <f aca="false">BQ45/31</f>
        <v>94.2903225806452</v>
      </c>
      <c r="BS45" s="15" t="n">
        <v>3438</v>
      </c>
      <c r="BT45" s="16" t="n">
        <f aca="false">BS45/31</f>
        <v>110.903225806452</v>
      </c>
      <c r="BU45" s="15" t="n">
        <v>2782</v>
      </c>
      <c r="BV45" s="16" t="n">
        <f aca="false">BU45/30</f>
        <v>92.7333333333333</v>
      </c>
      <c r="BW45" s="15" t="n">
        <v>4139</v>
      </c>
      <c r="BX45" s="16" t="n">
        <f aca="false">BW45/31</f>
        <v>133.516129032258</v>
      </c>
      <c r="BY45" s="15" t="n">
        <v>3519</v>
      </c>
      <c r="BZ45" s="16" t="n">
        <f aca="false">BY45/30</f>
        <v>117.3</v>
      </c>
      <c r="CA45" s="15" t="n">
        <v>2319</v>
      </c>
      <c r="CB45" s="16" t="n">
        <f aca="false">CA45/31</f>
        <v>74.8064516129032</v>
      </c>
      <c r="CC45" s="17" t="n">
        <f aca="false">SUM(BE45:CA45)</f>
        <v>42981.2871735791</v>
      </c>
      <c r="CD45" s="18" t="n">
        <f aca="false">IFERROR(STDEV(BF45,BH45,BJ45,BL45,BN45,BP45,BR45,BT45,BV45,BX45,BZ45,CB45),0)</f>
        <v>30.1847157320207</v>
      </c>
      <c r="CE45" s="15" t="n">
        <v>4519</v>
      </c>
      <c r="CF45" s="16" t="n">
        <f aca="false">CE45/31</f>
        <v>145.774193548387</v>
      </c>
      <c r="CG45" s="15" t="n">
        <v>3138</v>
      </c>
      <c r="CH45" s="16" t="n">
        <f aca="false">CG45/28</f>
        <v>112.071428571429</v>
      </c>
      <c r="CI45" s="15" t="n">
        <v>4446</v>
      </c>
      <c r="CJ45" s="16" t="n">
        <f aca="false">CI45/31</f>
        <v>143.41935483871</v>
      </c>
      <c r="CK45" s="15" t="n">
        <v>3773</v>
      </c>
      <c r="CL45" s="16" t="n">
        <f aca="false">CK45/30</f>
        <v>125.766666666667</v>
      </c>
      <c r="CM45" s="15" t="n">
        <v>4819</v>
      </c>
      <c r="CN45" s="16" t="n">
        <f aca="false">CM45/31</f>
        <v>155.451612903226</v>
      </c>
      <c r="CO45" s="15" t="n">
        <v>3166</v>
      </c>
      <c r="CP45" s="16" t="n">
        <f aca="false">CO45/30</f>
        <v>105.533333333333</v>
      </c>
      <c r="CQ45" s="15" t="n">
        <v>4977</v>
      </c>
      <c r="CR45" s="16" t="n">
        <f aca="false">CQ45/31</f>
        <v>160.548387096774</v>
      </c>
      <c r="CS45" s="15" t="n">
        <v>5164</v>
      </c>
      <c r="CT45" s="16" t="n">
        <f aca="false">CS45/31</f>
        <v>166.58064516129</v>
      </c>
      <c r="CU45" s="15" t="n">
        <v>2692</v>
      </c>
      <c r="CV45" s="16" t="n">
        <f aca="false">CU45/30</f>
        <v>89.7333333333333</v>
      </c>
      <c r="CW45" s="15" t="n">
        <v>2822</v>
      </c>
      <c r="CX45" s="16" t="n">
        <f aca="false">CW45/31</f>
        <v>91.0322580645161</v>
      </c>
      <c r="CY45" s="15" t="n">
        <v>5373</v>
      </c>
      <c r="CZ45" s="16" t="n">
        <f aca="false">CY45/30</f>
        <v>179.1</v>
      </c>
      <c r="DA45" s="15" t="n">
        <v>3104</v>
      </c>
      <c r="DB45" s="16" t="n">
        <f aca="false">DA45/31</f>
        <v>100.129032258065</v>
      </c>
      <c r="DC45" s="17" t="n">
        <f aca="false">SUM(CE45:DA45)</f>
        <v>49468.0112135177</v>
      </c>
      <c r="DD45" s="18" t="n">
        <f aca="false">IFERROR(STDEV(CF45,CH45,CJ45,CL45,CN45,CP45,CR45,CT45,CV45,CX45,CZ45,DB45),0)</f>
        <v>31.2029730504758</v>
      </c>
      <c r="DE45" s="15" t="n">
        <v>3735</v>
      </c>
      <c r="DF45" s="16" t="n">
        <f aca="false">DE45/31</f>
        <v>120.483870967742</v>
      </c>
      <c r="DG45" s="15" t="n">
        <v>4192</v>
      </c>
      <c r="DH45" s="16" t="n">
        <f aca="false">DG45/28</f>
        <v>149.714285714286</v>
      </c>
      <c r="DI45" s="15" t="n">
        <v>3514</v>
      </c>
      <c r="DJ45" s="16" t="n">
        <f aca="false">DI45/31</f>
        <v>113.354838709677</v>
      </c>
      <c r="DK45" s="15" t="n">
        <v>5598</v>
      </c>
      <c r="DL45" s="16" t="n">
        <f aca="false">DK45/30</f>
        <v>186.6</v>
      </c>
      <c r="DM45" s="15" t="n">
        <v>4436</v>
      </c>
      <c r="DN45" s="16" t="n">
        <f aca="false">DM45/31</f>
        <v>143.096774193548</v>
      </c>
      <c r="DO45" s="15" t="n">
        <v>4822</v>
      </c>
      <c r="DP45" s="16" t="n">
        <f aca="false">DO45/30</f>
        <v>160.733333333333</v>
      </c>
      <c r="DQ45" s="15" t="n">
        <v>4676</v>
      </c>
      <c r="DR45" s="16" t="n">
        <f aca="false">DQ45/31</f>
        <v>150.838709677419</v>
      </c>
      <c r="DS45" s="15" t="n">
        <v>4726</v>
      </c>
      <c r="DT45" s="16" t="n">
        <f aca="false">DS45/31</f>
        <v>152.451612903226</v>
      </c>
      <c r="DU45" s="15" t="n">
        <v>4641</v>
      </c>
      <c r="DV45" s="16" t="n">
        <f aca="false">DU45/30</f>
        <v>154.7</v>
      </c>
      <c r="DW45" s="15" t="n">
        <v>3812</v>
      </c>
      <c r="DX45" s="16" t="n">
        <f aca="false">DW45/31</f>
        <v>122.967741935484</v>
      </c>
      <c r="DY45" s="15" t="n">
        <v>5539</v>
      </c>
      <c r="DZ45" s="16" t="n">
        <f aca="false">DY45/30</f>
        <v>184.633333333333</v>
      </c>
      <c r="EA45" s="15" t="n">
        <v>4747</v>
      </c>
      <c r="EB45" s="16" t="n">
        <f aca="false">EA45/31</f>
        <v>153.129032258065</v>
      </c>
      <c r="EC45" s="17" t="n">
        <f aca="false">SUM(DE45:EA45)</f>
        <v>56077.5745007681</v>
      </c>
      <c r="ED45" s="18" t="n">
        <f aca="false">IFERROR(STDEV(DF45,DH45,DJ45,DL45,DN45,DP45,DR45,DT45,DV45,DX45,DZ45,EB45),0)</f>
        <v>22.7255147422116</v>
      </c>
      <c r="EE45" s="19" t="n">
        <f aca="false">STDEV(F45:AB45,AF45:BB45,BF45:CB45,CF45:DB45,DF45:EB45)</f>
        <v>2131.04820672559</v>
      </c>
    </row>
    <row r="46" customFormat="false" ht="15" hidden="false" customHeight="true" outlineLevel="0" collapsed="false">
      <c r="A46" s="11" t="n">
        <v>41</v>
      </c>
      <c r="B46" s="12" t="s">
        <v>116</v>
      </c>
      <c r="C46" s="13" t="s">
        <v>117</v>
      </c>
      <c r="D46" s="14" t="s">
        <v>36</v>
      </c>
      <c r="E46" s="15" t="n">
        <v>4473</v>
      </c>
      <c r="F46" s="16" t="n">
        <f aca="false">E46/31</f>
        <v>144.290322580645</v>
      </c>
      <c r="G46" s="15" t="n">
        <v>4165</v>
      </c>
      <c r="H46" s="16" t="n">
        <f aca="false">G46/28</f>
        <v>148.75</v>
      </c>
      <c r="I46" s="15" t="n">
        <v>2996</v>
      </c>
      <c r="J46" s="16" t="n">
        <f aca="false">I46/31</f>
        <v>96.6451612903226</v>
      </c>
      <c r="K46" s="15" t="n">
        <v>3903</v>
      </c>
      <c r="L46" s="16" t="n">
        <f aca="false">K46/30</f>
        <v>130.1</v>
      </c>
      <c r="M46" s="15" t="n">
        <v>2388</v>
      </c>
      <c r="N46" s="16" t="n">
        <f aca="false">M46/31</f>
        <v>77.0322580645161</v>
      </c>
      <c r="O46" s="15" t="n">
        <v>2528</v>
      </c>
      <c r="P46" s="16" t="n">
        <f aca="false">O46/30</f>
        <v>84.2666666666667</v>
      </c>
      <c r="Q46" s="15" t="n">
        <v>2482</v>
      </c>
      <c r="R46" s="16" t="n">
        <f aca="false">Q46/31</f>
        <v>80.0645161290323</v>
      </c>
      <c r="S46" s="15" t="n">
        <v>3019</v>
      </c>
      <c r="T46" s="16" t="n">
        <f aca="false">S46/31</f>
        <v>97.3870967741936</v>
      </c>
      <c r="U46" s="15" t="n">
        <v>2669</v>
      </c>
      <c r="V46" s="16" t="n">
        <f aca="false">U46/30</f>
        <v>88.9666666666667</v>
      </c>
      <c r="W46" s="15" t="n">
        <v>4129</v>
      </c>
      <c r="X46" s="16" t="n">
        <f aca="false">W46/31</f>
        <v>133.193548387097</v>
      </c>
      <c r="Y46" s="15" t="n">
        <v>3606</v>
      </c>
      <c r="Z46" s="16" t="n">
        <f aca="false">Y46/30</f>
        <v>120.2</v>
      </c>
      <c r="AA46" s="15" t="n">
        <v>3342</v>
      </c>
      <c r="AB46" s="16" t="n">
        <f aca="false">AA46/31</f>
        <v>107.806451612903</v>
      </c>
      <c r="AC46" s="17" t="n">
        <f aca="false">SUM(E46:AA46)</f>
        <v>40900.8962365591</v>
      </c>
      <c r="AD46" s="18" t="n">
        <f aca="false">IFERROR(STDEV(F46,H46,J46,L46,N46,P46,R46,T46,V46,X46,Z46,AB46),0)</f>
        <v>25.481906407914</v>
      </c>
      <c r="AE46" s="15" t="n">
        <v>2887</v>
      </c>
      <c r="AF46" s="16" t="n">
        <f aca="false">AE46/31</f>
        <v>93.1290322580645</v>
      </c>
      <c r="AG46" s="15" t="n">
        <v>3687</v>
      </c>
      <c r="AH46" s="16" t="n">
        <f aca="false">AG46/28</f>
        <v>131.678571428571</v>
      </c>
      <c r="AI46" s="15" t="n">
        <v>3043</v>
      </c>
      <c r="AJ46" s="16" t="n">
        <f aca="false">AI46/31</f>
        <v>98.1612903225806</v>
      </c>
      <c r="AK46" s="15" t="n">
        <v>4506</v>
      </c>
      <c r="AL46" s="16" t="n">
        <f aca="false">AK46/30</f>
        <v>150.2</v>
      </c>
      <c r="AM46" s="15" t="n">
        <v>4694</v>
      </c>
      <c r="AN46" s="16" t="n">
        <f aca="false">AM46/31</f>
        <v>151.41935483871</v>
      </c>
      <c r="AO46" s="15" t="n">
        <v>4538</v>
      </c>
      <c r="AP46" s="16" t="n">
        <f aca="false">AO46/30</f>
        <v>151.266666666667</v>
      </c>
      <c r="AQ46" s="15" t="n">
        <v>5691</v>
      </c>
      <c r="AR46" s="16" t="n">
        <f aca="false">AQ46/31</f>
        <v>183.58064516129</v>
      </c>
      <c r="AS46" s="15" t="n">
        <v>4244</v>
      </c>
      <c r="AT46" s="16" t="n">
        <f aca="false">AS46/31</f>
        <v>136.903225806452</v>
      </c>
      <c r="AU46" s="15" t="n">
        <v>4031</v>
      </c>
      <c r="AV46" s="16" t="n">
        <f aca="false">AU46/30</f>
        <v>134.366666666667</v>
      </c>
      <c r="AW46" s="15" t="n">
        <v>2895</v>
      </c>
      <c r="AX46" s="16" t="n">
        <f aca="false">AW46/31</f>
        <v>93.3870967741936</v>
      </c>
      <c r="AY46" s="15" t="n">
        <v>3462</v>
      </c>
      <c r="AZ46" s="16" t="n">
        <f aca="false">AY46/30</f>
        <v>115.4</v>
      </c>
      <c r="BA46" s="15" t="n">
        <v>3906</v>
      </c>
      <c r="BB46" s="16" t="n">
        <f aca="false">BA46/31</f>
        <v>126</v>
      </c>
      <c r="BC46" s="17" t="n">
        <f aca="false">SUM(AE46:BA46)</f>
        <v>49023.4925499232</v>
      </c>
      <c r="BD46" s="18" t="n">
        <f aca="false">IFERROR(STDEV(AF46,AH46,AJ46,AL46,AN46,AP46,AR46,AT46,AV46,AX46,AZ46,BB46),0)</f>
        <v>27.3027599089805</v>
      </c>
      <c r="BE46" s="15" t="n">
        <v>2280</v>
      </c>
      <c r="BF46" s="16" t="n">
        <f aca="false">BE46/31</f>
        <v>73.5483870967742</v>
      </c>
      <c r="BG46" s="15" t="n">
        <v>3147</v>
      </c>
      <c r="BH46" s="16" t="n">
        <f aca="false">BG46/28</f>
        <v>112.392857142857</v>
      </c>
      <c r="BI46" s="15" t="n">
        <v>2155</v>
      </c>
      <c r="BJ46" s="16" t="n">
        <f aca="false">BI46/31</f>
        <v>69.5161290322581</v>
      </c>
      <c r="BK46" s="15" t="n">
        <v>2516</v>
      </c>
      <c r="BL46" s="16" t="n">
        <f aca="false">BK46/30</f>
        <v>83.8666666666667</v>
      </c>
      <c r="BM46" s="15" t="n">
        <v>4442</v>
      </c>
      <c r="BN46" s="16" t="n">
        <f aca="false">BM46/31</f>
        <v>143.290322580645</v>
      </c>
      <c r="BO46" s="15" t="n">
        <v>4863</v>
      </c>
      <c r="BP46" s="16" t="n">
        <f aca="false">BO46/30</f>
        <v>162.1</v>
      </c>
      <c r="BQ46" s="15" t="n">
        <v>3562</v>
      </c>
      <c r="BR46" s="16" t="n">
        <f aca="false">BQ46/31</f>
        <v>114.903225806452</v>
      </c>
      <c r="BS46" s="15" t="n">
        <v>3533</v>
      </c>
      <c r="BT46" s="16" t="n">
        <f aca="false">BS46/31</f>
        <v>113.967741935484</v>
      </c>
      <c r="BU46" s="15" t="n">
        <v>4071</v>
      </c>
      <c r="BV46" s="16" t="n">
        <f aca="false">BU46/30</f>
        <v>135.7</v>
      </c>
      <c r="BW46" s="15" t="n">
        <v>3308</v>
      </c>
      <c r="BX46" s="16" t="n">
        <f aca="false">BW46/31</f>
        <v>106.709677419355</v>
      </c>
      <c r="BY46" s="15" t="n">
        <v>4512</v>
      </c>
      <c r="BZ46" s="16" t="n">
        <f aca="false">BY46/30</f>
        <v>150.4</v>
      </c>
      <c r="CA46" s="15" t="n">
        <v>3515</v>
      </c>
      <c r="CB46" s="16" t="n">
        <f aca="false">CA46/31</f>
        <v>113.387096774194</v>
      </c>
      <c r="CC46" s="17" t="n">
        <f aca="false">SUM(BE46:CA46)</f>
        <v>43170.3950076805</v>
      </c>
      <c r="CD46" s="18" t="n">
        <f aca="false">IFERROR(STDEV(BF46,BH46,BJ46,BL46,BN46,BP46,BR46,BT46,BV46,BX46,BZ46,CB46),0)</f>
        <v>29.44317267868</v>
      </c>
      <c r="CE46" s="15" t="n">
        <v>2170</v>
      </c>
      <c r="CF46" s="16" t="n">
        <f aca="false">CE46/31</f>
        <v>70</v>
      </c>
      <c r="CG46" s="15" t="n">
        <v>2035</v>
      </c>
      <c r="CH46" s="16" t="n">
        <f aca="false">CG46/28</f>
        <v>72.6785714285714</v>
      </c>
      <c r="CI46" s="15" t="n">
        <v>3937</v>
      </c>
      <c r="CJ46" s="16" t="n">
        <f aca="false">CI46/31</f>
        <v>127</v>
      </c>
      <c r="CK46" s="15" t="n">
        <v>2715</v>
      </c>
      <c r="CL46" s="16" t="n">
        <f aca="false">CK46/30</f>
        <v>90.5</v>
      </c>
      <c r="CM46" s="15" t="n">
        <v>2670</v>
      </c>
      <c r="CN46" s="16" t="n">
        <f aca="false">CM46/31</f>
        <v>86.1290322580645</v>
      </c>
      <c r="CO46" s="15" t="n">
        <v>3355</v>
      </c>
      <c r="CP46" s="16" t="n">
        <f aca="false">CO46/30</f>
        <v>111.833333333333</v>
      </c>
      <c r="CQ46" s="15" t="n">
        <v>2392</v>
      </c>
      <c r="CR46" s="16" t="n">
        <f aca="false">CQ46/31</f>
        <v>77.1612903225806</v>
      </c>
      <c r="CS46" s="15" t="n">
        <v>3146</v>
      </c>
      <c r="CT46" s="16" t="n">
        <f aca="false">CS46/31</f>
        <v>101.483870967742</v>
      </c>
      <c r="CU46" s="15" t="n">
        <v>3889</v>
      </c>
      <c r="CV46" s="16" t="n">
        <f aca="false">CU46/30</f>
        <v>129.633333333333</v>
      </c>
      <c r="CW46" s="15" t="n">
        <v>3950</v>
      </c>
      <c r="CX46" s="16" t="n">
        <f aca="false">CW46/31</f>
        <v>127.41935483871</v>
      </c>
      <c r="CY46" s="15" t="n">
        <v>3387</v>
      </c>
      <c r="CZ46" s="16" t="n">
        <f aca="false">CY46/30</f>
        <v>112.9</v>
      </c>
      <c r="DA46" s="15" t="n">
        <v>2249</v>
      </c>
      <c r="DB46" s="16" t="n">
        <f aca="false">DA46/31</f>
        <v>72.5483870967742</v>
      </c>
      <c r="DC46" s="17" t="n">
        <f aca="false">SUM(CE46:DA46)</f>
        <v>37001.7387864823</v>
      </c>
      <c r="DD46" s="18" t="n">
        <f aca="false">IFERROR(STDEV(CF46,CH46,CJ46,CL46,CN46,CP46,CR46,CT46,CV46,CX46,CZ46,DB46),0)</f>
        <v>23.033878736607</v>
      </c>
      <c r="DE46" s="15" t="n">
        <v>2469</v>
      </c>
      <c r="DF46" s="16" t="n">
        <f aca="false">DE46/31</f>
        <v>79.6451612903226</v>
      </c>
      <c r="DG46" s="15" t="n">
        <v>4357</v>
      </c>
      <c r="DH46" s="16" t="n">
        <f aca="false">DG46/28</f>
        <v>155.607142857143</v>
      </c>
      <c r="DI46" s="15" t="n">
        <v>4495</v>
      </c>
      <c r="DJ46" s="16" t="n">
        <f aca="false">DI46/31</f>
        <v>145</v>
      </c>
      <c r="DK46" s="15" t="n">
        <v>3191</v>
      </c>
      <c r="DL46" s="16" t="n">
        <f aca="false">DK46/30</f>
        <v>106.366666666667</v>
      </c>
      <c r="DM46" s="15" t="n">
        <v>4493</v>
      </c>
      <c r="DN46" s="16" t="n">
        <f aca="false">DM46/31</f>
        <v>144.935483870968</v>
      </c>
      <c r="DO46" s="15" t="n">
        <v>2262</v>
      </c>
      <c r="DP46" s="16" t="n">
        <f aca="false">DO46/30</f>
        <v>75.4</v>
      </c>
      <c r="DQ46" s="15" t="n">
        <v>4197</v>
      </c>
      <c r="DR46" s="16" t="n">
        <f aca="false">DQ46/31</f>
        <v>135.387096774194</v>
      </c>
      <c r="DS46" s="15" t="n">
        <v>3704</v>
      </c>
      <c r="DT46" s="16" t="n">
        <f aca="false">DS46/31</f>
        <v>119.483870967742</v>
      </c>
      <c r="DU46" s="15" t="n">
        <v>4971</v>
      </c>
      <c r="DV46" s="16" t="n">
        <f aca="false">DU46/30</f>
        <v>165.7</v>
      </c>
      <c r="DW46" s="15" t="n">
        <v>2435</v>
      </c>
      <c r="DX46" s="16" t="n">
        <f aca="false">DW46/31</f>
        <v>78.5483870967742</v>
      </c>
      <c r="DY46" s="15" t="n">
        <v>4514</v>
      </c>
      <c r="DZ46" s="16" t="n">
        <f aca="false">DY46/30</f>
        <v>150.466666666667</v>
      </c>
      <c r="EA46" s="15" t="n">
        <v>4290</v>
      </c>
      <c r="EB46" s="16" t="n">
        <f aca="false">EA46/31</f>
        <v>138.387096774194</v>
      </c>
      <c r="EC46" s="17" t="n">
        <f aca="false">SUM(DE46:EA46)</f>
        <v>46734.5404761905</v>
      </c>
      <c r="ED46" s="18" t="n">
        <f aca="false">IFERROR(STDEV(DF46,DH46,DJ46,DL46,DN46,DP46,DR46,DT46,DV46,DX46,DZ46,EB46),0)</f>
        <v>32.1598653908935</v>
      </c>
      <c r="EE46" s="19" t="n">
        <f aca="false">STDEV(F46:AB46,AF46:BB46,BF46:CB46,CF46:DB46,DF46:EB46)</f>
        <v>1827.67809809431</v>
      </c>
    </row>
    <row r="47" customFormat="false" ht="15" hidden="false" customHeight="true" outlineLevel="0" collapsed="false">
      <c r="A47" s="11" t="n">
        <v>42</v>
      </c>
      <c r="B47" s="12" t="s">
        <v>118</v>
      </c>
      <c r="C47" s="13" t="s">
        <v>119</v>
      </c>
      <c r="D47" s="14" t="s">
        <v>36</v>
      </c>
      <c r="E47" s="15" t="n">
        <v>1984</v>
      </c>
      <c r="F47" s="16" t="n">
        <f aca="false">E47/31</f>
        <v>64</v>
      </c>
      <c r="G47" s="15" t="n">
        <v>3313</v>
      </c>
      <c r="H47" s="16" t="n">
        <f aca="false">G47/28</f>
        <v>118.321428571429</v>
      </c>
      <c r="I47" s="15" t="n">
        <v>2272</v>
      </c>
      <c r="J47" s="16" t="n">
        <f aca="false">I47/31</f>
        <v>73.2903225806452</v>
      </c>
      <c r="K47" s="15" t="n">
        <v>2081</v>
      </c>
      <c r="L47" s="16" t="n">
        <f aca="false">K47/30</f>
        <v>69.3666666666667</v>
      </c>
      <c r="M47" s="15" t="n">
        <v>2968</v>
      </c>
      <c r="N47" s="16" t="n">
        <f aca="false">M47/31</f>
        <v>95.741935483871</v>
      </c>
      <c r="O47" s="15" t="n">
        <v>2252</v>
      </c>
      <c r="P47" s="16" t="n">
        <f aca="false">O47/30</f>
        <v>75.0666666666667</v>
      </c>
      <c r="Q47" s="15" t="n">
        <v>3303</v>
      </c>
      <c r="R47" s="16" t="n">
        <f aca="false">Q47/31</f>
        <v>106.548387096774</v>
      </c>
      <c r="S47" s="15" t="n">
        <v>2890</v>
      </c>
      <c r="T47" s="16" t="n">
        <f aca="false">S47/31</f>
        <v>93.2258064516129</v>
      </c>
      <c r="U47" s="15" t="n">
        <v>1869</v>
      </c>
      <c r="V47" s="16" t="n">
        <f aca="false">U47/30</f>
        <v>62.3</v>
      </c>
      <c r="W47" s="15" t="n">
        <v>2956</v>
      </c>
      <c r="X47" s="16" t="n">
        <f aca="false">W47/31</f>
        <v>95.3548387096774</v>
      </c>
      <c r="Y47" s="15" t="n">
        <v>2534</v>
      </c>
      <c r="Z47" s="16" t="n">
        <f aca="false">Y47/30</f>
        <v>84.4666666666667</v>
      </c>
      <c r="AA47" s="15" t="n">
        <v>2085</v>
      </c>
      <c r="AB47" s="16" t="n">
        <f aca="false">AA47/31</f>
        <v>67.258064516129</v>
      </c>
      <c r="AC47" s="17" t="n">
        <f aca="false">SUM(E47:AA47)</f>
        <v>31444.682718894</v>
      </c>
      <c r="AD47" s="18" t="n">
        <f aca="false">IFERROR(STDEV(F47,H47,J47,L47,N47,P47,R47,T47,V47,X47,Z47,AB47),0)</f>
        <v>18.0845677453304</v>
      </c>
      <c r="AE47" s="15" t="n">
        <v>3015</v>
      </c>
      <c r="AF47" s="16" t="n">
        <f aca="false">AE47/31</f>
        <v>97.258064516129</v>
      </c>
      <c r="AG47" s="15" t="n">
        <v>2854</v>
      </c>
      <c r="AH47" s="16" t="n">
        <f aca="false">AG47/28</f>
        <v>101.928571428571</v>
      </c>
      <c r="AI47" s="15" t="n">
        <v>1891</v>
      </c>
      <c r="AJ47" s="16" t="n">
        <f aca="false">AI47/31</f>
        <v>61</v>
      </c>
      <c r="AK47" s="15" t="n">
        <v>1836</v>
      </c>
      <c r="AL47" s="16" t="n">
        <f aca="false">AK47/30</f>
        <v>61.2</v>
      </c>
      <c r="AM47" s="15" t="n">
        <v>1975</v>
      </c>
      <c r="AN47" s="16" t="n">
        <f aca="false">AM47/31</f>
        <v>63.7096774193548</v>
      </c>
      <c r="AO47" s="15" t="n">
        <v>1975</v>
      </c>
      <c r="AP47" s="16" t="n">
        <f aca="false">AO47/30</f>
        <v>65.8333333333333</v>
      </c>
      <c r="AQ47" s="15" t="n">
        <v>1671</v>
      </c>
      <c r="AR47" s="16" t="n">
        <f aca="false">AQ47/31</f>
        <v>53.9032258064516</v>
      </c>
      <c r="AS47" s="15" t="n">
        <v>2272</v>
      </c>
      <c r="AT47" s="16" t="n">
        <f aca="false">AS47/31</f>
        <v>73.2903225806452</v>
      </c>
      <c r="AU47" s="15" t="n">
        <v>2128</v>
      </c>
      <c r="AV47" s="16" t="n">
        <f aca="false">AU47/30</f>
        <v>70.9333333333333</v>
      </c>
      <c r="AW47" s="15" t="n">
        <v>2660</v>
      </c>
      <c r="AX47" s="16" t="n">
        <f aca="false">AW47/31</f>
        <v>85.8064516129032</v>
      </c>
      <c r="AY47" s="15" t="n">
        <v>2216</v>
      </c>
      <c r="AZ47" s="16" t="n">
        <f aca="false">AY47/30</f>
        <v>73.8666666666667</v>
      </c>
      <c r="BA47" s="15" t="n">
        <v>3002</v>
      </c>
      <c r="BB47" s="16" t="n">
        <f aca="false">BA47/31</f>
        <v>96.8387096774194</v>
      </c>
      <c r="BC47" s="17" t="n">
        <f aca="false">SUM(AE47:BA47)</f>
        <v>28303.7296466974</v>
      </c>
      <c r="BD47" s="18" t="n">
        <f aca="false">IFERROR(STDEV(AF47,AH47,AJ47,AL47,AN47,AP47,AR47,AT47,AV47,AX47,AZ47,BB47),0)</f>
        <v>16.1680167208004</v>
      </c>
      <c r="BE47" s="15" t="n">
        <v>1460</v>
      </c>
      <c r="BF47" s="16" t="n">
        <f aca="false">BE47/31</f>
        <v>47.0967741935484</v>
      </c>
      <c r="BG47" s="15" t="n">
        <v>1429</v>
      </c>
      <c r="BH47" s="16" t="n">
        <f aca="false">BG47/28</f>
        <v>51.0357142857143</v>
      </c>
      <c r="BI47" s="15" t="n">
        <v>2259</v>
      </c>
      <c r="BJ47" s="16" t="n">
        <f aca="false">BI47/31</f>
        <v>72.8709677419355</v>
      </c>
      <c r="BK47" s="15" t="n">
        <v>2438</v>
      </c>
      <c r="BL47" s="16" t="n">
        <f aca="false">BK47/30</f>
        <v>81.2666666666667</v>
      </c>
      <c r="BM47" s="15" t="n">
        <v>2008</v>
      </c>
      <c r="BN47" s="16" t="n">
        <f aca="false">BM47/31</f>
        <v>64.7741935483871</v>
      </c>
      <c r="BO47" s="15" t="n">
        <v>1187</v>
      </c>
      <c r="BP47" s="16" t="n">
        <f aca="false">BO47/30</f>
        <v>39.5666666666667</v>
      </c>
      <c r="BQ47" s="15" t="n">
        <v>2406</v>
      </c>
      <c r="BR47" s="16" t="n">
        <f aca="false">BQ47/31</f>
        <v>77.6129032258065</v>
      </c>
      <c r="BS47" s="15" t="n">
        <v>2157</v>
      </c>
      <c r="BT47" s="16" t="n">
        <f aca="false">BS47/31</f>
        <v>69.5806451612903</v>
      </c>
      <c r="BU47" s="15" t="n">
        <v>2344</v>
      </c>
      <c r="BV47" s="16" t="n">
        <f aca="false">BU47/30</f>
        <v>78.1333333333333</v>
      </c>
      <c r="BW47" s="15" t="n">
        <v>2448</v>
      </c>
      <c r="BX47" s="16" t="n">
        <f aca="false">BW47/31</f>
        <v>78.9677419354839</v>
      </c>
      <c r="BY47" s="15" t="n">
        <v>2272</v>
      </c>
      <c r="BZ47" s="16" t="n">
        <f aca="false">BY47/30</f>
        <v>75.7333333333333</v>
      </c>
      <c r="CA47" s="15" t="n">
        <v>1232</v>
      </c>
      <c r="CB47" s="16" t="n">
        <f aca="false">CA47/31</f>
        <v>39.741935483871</v>
      </c>
      <c r="CC47" s="17" t="n">
        <f aca="false">SUM(BE47:CA47)</f>
        <v>24376.6389400922</v>
      </c>
      <c r="CD47" s="18" t="n">
        <f aca="false">IFERROR(STDEV(BF47,BH47,BJ47,BL47,BN47,BP47,BR47,BT47,BV47,BX47,BZ47,CB47),0)</f>
        <v>15.9223155006778</v>
      </c>
      <c r="CE47" s="15" t="n">
        <v>2711</v>
      </c>
      <c r="CF47" s="16" t="n">
        <f aca="false">CE47/31</f>
        <v>87.4516129032258</v>
      </c>
      <c r="CG47" s="15" t="n">
        <v>1677</v>
      </c>
      <c r="CH47" s="16" t="n">
        <f aca="false">CG47/28</f>
        <v>59.8928571428571</v>
      </c>
      <c r="CI47" s="15" t="n">
        <v>2451</v>
      </c>
      <c r="CJ47" s="16" t="n">
        <f aca="false">CI47/31</f>
        <v>79.0645161290323</v>
      </c>
      <c r="CK47" s="15" t="n">
        <v>2648</v>
      </c>
      <c r="CL47" s="16" t="n">
        <f aca="false">CK47/30</f>
        <v>88.2666666666667</v>
      </c>
      <c r="CM47" s="15" t="n">
        <v>2535</v>
      </c>
      <c r="CN47" s="16" t="n">
        <f aca="false">CM47/31</f>
        <v>81.7741935483871</v>
      </c>
      <c r="CO47" s="15" t="n">
        <v>2392</v>
      </c>
      <c r="CP47" s="16" t="n">
        <f aca="false">CO47/30</f>
        <v>79.7333333333333</v>
      </c>
      <c r="CQ47" s="15" t="n">
        <v>2079</v>
      </c>
      <c r="CR47" s="16" t="n">
        <f aca="false">CQ47/31</f>
        <v>67.0645161290323</v>
      </c>
      <c r="CS47" s="15" t="n">
        <v>2227</v>
      </c>
      <c r="CT47" s="16" t="n">
        <f aca="false">CS47/31</f>
        <v>71.8387096774194</v>
      </c>
      <c r="CU47" s="15" t="n">
        <v>1709</v>
      </c>
      <c r="CV47" s="16" t="n">
        <f aca="false">CU47/30</f>
        <v>56.9666666666667</v>
      </c>
      <c r="CW47" s="15" t="n">
        <v>1953</v>
      </c>
      <c r="CX47" s="16" t="n">
        <f aca="false">CW47/31</f>
        <v>63</v>
      </c>
      <c r="CY47" s="15" t="n">
        <v>2016</v>
      </c>
      <c r="CZ47" s="16" t="n">
        <f aca="false">CY47/30</f>
        <v>67.2</v>
      </c>
      <c r="DA47" s="15" t="n">
        <v>2321</v>
      </c>
      <c r="DB47" s="16" t="n">
        <f aca="false">DA47/31</f>
        <v>74.8709677419355</v>
      </c>
      <c r="DC47" s="17" t="n">
        <f aca="false">SUM(CE47:DA47)</f>
        <v>27521.2530721966</v>
      </c>
      <c r="DD47" s="18" t="n">
        <f aca="false">IFERROR(STDEV(CF47,CH47,CJ47,CL47,CN47,CP47,CR47,CT47,CV47,CX47,CZ47,DB47),0)</f>
        <v>10.459887014098</v>
      </c>
      <c r="DE47" s="15" t="n">
        <v>2767</v>
      </c>
      <c r="DF47" s="16" t="n">
        <f aca="false">DE47/31</f>
        <v>89.258064516129</v>
      </c>
      <c r="DG47" s="15" t="n">
        <v>1431</v>
      </c>
      <c r="DH47" s="16" t="n">
        <f aca="false">DG47/28</f>
        <v>51.1071428571429</v>
      </c>
      <c r="DI47" s="15" t="n">
        <v>2148</v>
      </c>
      <c r="DJ47" s="16" t="n">
        <f aca="false">DI47/31</f>
        <v>69.2903225806452</v>
      </c>
      <c r="DK47" s="15" t="n">
        <v>1745</v>
      </c>
      <c r="DL47" s="16" t="n">
        <f aca="false">DK47/30</f>
        <v>58.1666666666667</v>
      </c>
      <c r="DM47" s="15" t="n">
        <v>2862</v>
      </c>
      <c r="DN47" s="16" t="n">
        <f aca="false">DM47/31</f>
        <v>92.3225806451613</v>
      </c>
      <c r="DO47" s="15" t="n">
        <v>1900</v>
      </c>
      <c r="DP47" s="16" t="n">
        <f aca="false">DO47/30</f>
        <v>63.3333333333333</v>
      </c>
      <c r="DQ47" s="15" t="n">
        <v>2886</v>
      </c>
      <c r="DR47" s="16" t="n">
        <f aca="false">DQ47/31</f>
        <v>93.0967741935484</v>
      </c>
      <c r="DS47" s="15" t="n">
        <v>1829</v>
      </c>
      <c r="DT47" s="16" t="n">
        <f aca="false">DS47/31</f>
        <v>59</v>
      </c>
      <c r="DU47" s="15" t="n">
        <v>1277</v>
      </c>
      <c r="DV47" s="16" t="n">
        <f aca="false">DU47/30</f>
        <v>42.5666666666667</v>
      </c>
      <c r="DW47" s="15" t="n">
        <v>2587</v>
      </c>
      <c r="DX47" s="16" t="n">
        <f aca="false">DW47/31</f>
        <v>83.4516129032258</v>
      </c>
      <c r="DY47" s="15" t="n">
        <v>2517</v>
      </c>
      <c r="DZ47" s="16" t="n">
        <f aca="false">DY47/30</f>
        <v>83.9</v>
      </c>
      <c r="EA47" s="15" t="n">
        <v>2514</v>
      </c>
      <c r="EB47" s="16" t="n">
        <f aca="false">EA47/31</f>
        <v>81.0967741935484</v>
      </c>
      <c r="EC47" s="17" t="n">
        <f aca="false">SUM(DE47:EA47)</f>
        <v>27248.4931643625</v>
      </c>
      <c r="ED47" s="18" t="n">
        <f aca="false">IFERROR(STDEV(DF47,DH47,DJ47,DL47,DN47,DP47,DR47,DT47,DV47,DX47,DZ47,EB47),0)</f>
        <v>17.2060002164706</v>
      </c>
      <c r="EE47" s="19" t="n">
        <f aca="false">STDEV(F47:AB47,AF47:BB47,BF47:CB47,CF47:DB47,DF47:EB47)</f>
        <v>1136.01260235731</v>
      </c>
    </row>
    <row r="48" customFormat="false" ht="15" hidden="false" customHeight="true" outlineLevel="0" collapsed="false">
      <c r="A48" s="11" t="n">
        <v>43</v>
      </c>
      <c r="B48" s="12" t="s">
        <v>120</v>
      </c>
      <c r="C48" s="13" t="s">
        <v>121</v>
      </c>
      <c r="D48" s="14" t="s">
        <v>36</v>
      </c>
      <c r="E48" s="15" t="n">
        <v>4479</v>
      </c>
      <c r="F48" s="16" t="n">
        <f aca="false">E48/31</f>
        <v>144.483870967742</v>
      </c>
      <c r="G48" s="15" t="n">
        <v>5241</v>
      </c>
      <c r="H48" s="16" t="n">
        <f aca="false">G48/28</f>
        <v>187.178571428571</v>
      </c>
      <c r="I48" s="15" t="n">
        <v>4107</v>
      </c>
      <c r="J48" s="16" t="n">
        <f aca="false">I48/31</f>
        <v>132.483870967742</v>
      </c>
      <c r="K48" s="15" t="n">
        <v>3014</v>
      </c>
      <c r="L48" s="16" t="n">
        <f aca="false">K48/30</f>
        <v>100.466666666667</v>
      </c>
      <c r="M48" s="15" t="n">
        <v>4760</v>
      </c>
      <c r="N48" s="16" t="n">
        <f aca="false">M48/31</f>
        <v>153.548387096774</v>
      </c>
      <c r="O48" s="15" t="n">
        <v>3587</v>
      </c>
      <c r="P48" s="16" t="n">
        <f aca="false">O48/30</f>
        <v>119.566666666667</v>
      </c>
      <c r="Q48" s="15" t="n">
        <v>4372</v>
      </c>
      <c r="R48" s="16" t="n">
        <f aca="false">Q48/31</f>
        <v>141.032258064516</v>
      </c>
      <c r="S48" s="15" t="n">
        <v>3565</v>
      </c>
      <c r="T48" s="16" t="n">
        <f aca="false">S48/31</f>
        <v>115</v>
      </c>
      <c r="U48" s="15" t="n">
        <v>3775</v>
      </c>
      <c r="V48" s="16" t="n">
        <f aca="false">U48/30</f>
        <v>125.833333333333</v>
      </c>
      <c r="W48" s="15" t="n">
        <v>5850</v>
      </c>
      <c r="X48" s="16" t="n">
        <f aca="false">W48/31</f>
        <v>188.709677419355</v>
      </c>
      <c r="Y48" s="15" t="n">
        <v>4031</v>
      </c>
      <c r="Z48" s="16" t="n">
        <f aca="false">Y48/30</f>
        <v>134.366666666667</v>
      </c>
      <c r="AA48" s="15" t="n">
        <v>4922</v>
      </c>
      <c r="AB48" s="16" t="n">
        <f aca="false">AA48/31</f>
        <v>158.774193548387</v>
      </c>
      <c r="AC48" s="17" t="n">
        <f aca="false">SUM(E48:AA48)</f>
        <v>53245.669969278</v>
      </c>
      <c r="AD48" s="18" t="n">
        <f aca="false">IFERROR(STDEV(F48,H48,J48,L48,N48,P48,R48,T48,V48,X48,Z48,AB48),0)</f>
        <v>26.9876330235503</v>
      </c>
      <c r="AE48" s="15" t="n">
        <v>5443</v>
      </c>
      <c r="AF48" s="16" t="n">
        <f aca="false">AE48/31</f>
        <v>175.58064516129</v>
      </c>
      <c r="AG48" s="15" t="n">
        <v>5109</v>
      </c>
      <c r="AH48" s="16" t="n">
        <f aca="false">AG48/28</f>
        <v>182.464285714286</v>
      </c>
      <c r="AI48" s="15" t="n">
        <v>4523</v>
      </c>
      <c r="AJ48" s="16" t="n">
        <f aca="false">AI48/31</f>
        <v>145.903225806452</v>
      </c>
      <c r="AK48" s="15" t="n">
        <v>5924</v>
      </c>
      <c r="AL48" s="16" t="n">
        <f aca="false">AK48/30</f>
        <v>197.466666666667</v>
      </c>
      <c r="AM48" s="15" t="n">
        <v>3302</v>
      </c>
      <c r="AN48" s="16" t="n">
        <f aca="false">AM48/31</f>
        <v>106.516129032258</v>
      </c>
      <c r="AO48" s="15" t="n">
        <v>3513</v>
      </c>
      <c r="AP48" s="16" t="n">
        <f aca="false">AO48/30</f>
        <v>117.1</v>
      </c>
      <c r="AQ48" s="15" t="n">
        <v>6344</v>
      </c>
      <c r="AR48" s="16" t="n">
        <f aca="false">AQ48/31</f>
        <v>204.645161290323</v>
      </c>
      <c r="AS48" s="15" t="n">
        <v>5002</v>
      </c>
      <c r="AT48" s="16" t="n">
        <f aca="false">AS48/31</f>
        <v>161.354838709677</v>
      </c>
      <c r="AU48" s="15" t="n">
        <v>3615</v>
      </c>
      <c r="AV48" s="16" t="n">
        <f aca="false">AU48/30</f>
        <v>120.5</v>
      </c>
      <c r="AW48" s="15" t="n">
        <v>6649</v>
      </c>
      <c r="AX48" s="16" t="n">
        <f aca="false">AW48/31</f>
        <v>214.483870967742</v>
      </c>
      <c r="AY48" s="15" t="n">
        <v>4927</v>
      </c>
      <c r="AZ48" s="16" t="n">
        <f aca="false">AY48/30</f>
        <v>164.233333333333</v>
      </c>
      <c r="BA48" s="15" t="n">
        <v>3104</v>
      </c>
      <c r="BB48" s="16" t="n">
        <f aca="false">BA48/31</f>
        <v>100.129032258065</v>
      </c>
      <c r="BC48" s="17" t="n">
        <f aca="false">SUM(AE48:BA48)</f>
        <v>59245.248156682</v>
      </c>
      <c r="BD48" s="18" t="n">
        <f aca="false">IFERROR(STDEV(AF48,AH48,AJ48,AL48,AN48,AP48,AR48,AT48,AV48,AX48,AZ48,BB48),0)</f>
        <v>39.4322219789526</v>
      </c>
      <c r="BE48" s="15" t="n">
        <v>5027</v>
      </c>
      <c r="BF48" s="16" t="n">
        <f aca="false">BE48/31</f>
        <v>162.161290322581</v>
      </c>
      <c r="BG48" s="15" t="n">
        <v>2803</v>
      </c>
      <c r="BH48" s="16" t="n">
        <f aca="false">BG48/28</f>
        <v>100.107142857143</v>
      </c>
      <c r="BI48" s="15" t="n">
        <v>4234</v>
      </c>
      <c r="BJ48" s="16" t="n">
        <f aca="false">BI48/31</f>
        <v>136.58064516129</v>
      </c>
      <c r="BK48" s="15" t="n">
        <v>2595</v>
      </c>
      <c r="BL48" s="16" t="n">
        <f aca="false">BK48/30</f>
        <v>86.5</v>
      </c>
      <c r="BM48" s="15" t="n">
        <v>4120</v>
      </c>
      <c r="BN48" s="16" t="n">
        <f aca="false">BM48/31</f>
        <v>132.903225806452</v>
      </c>
      <c r="BO48" s="15" t="n">
        <v>2675</v>
      </c>
      <c r="BP48" s="16" t="n">
        <f aca="false">BO48/30</f>
        <v>89.1666666666667</v>
      </c>
      <c r="BQ48" s="15" t="n">
        <v>4952</v>
      </c>
      <c r="BR48" s="16" t="n">
        <f aca="false">BQ48/31</f>
        <v>159.741935483871</v>
      </c>
      <c r="BS48" s="15" t="n">
        <v>3014</v>
      </c>
      <c r="BT48" s="16" t="n">
        <f aca="false">BS48/31</f>
        <v>97.2258064516129</v>
      </c>
      <c r="BU48" s="15" t="n">
        <v>4134</v>
      </c>
      <c r="BV48" s="16" t="n">
        <f aca="false">BU48/30</f>
        <v>137.8</v>
      </c>
      <c r="BW48" s="15" t="n">
        <v>2944</v>
      </c>
      <c r="BX48" s="16" t="n">
        <f aca="false">BW48/31</f>
        <v>94.9677419354839</v>
      </c>
      <c r="BY48" s="15" t="n">
        <v>3302</v>
      </c>
      <c r="BZ48" s="16" t="n">
        <f aca="false">BY48/30</f>
        <v>110.066666666667</v>
      </c>
      <c r="CA48" s="15" t="n">
        <v>4867</v>
      </c>
      <c r="CB48" s="16" t="n">
        <f aca="false">CA48/31</f>
        <v>157</v>
      </c>
      <c r="CC48" s="17" t="n">
        <f aca="false">SUM(BE48:CA48)</f>
        <v>45974.2211213518</v>
      </c>
      <c r="CD48" s="18" t="n">
        <f aca="false">IFERROR(STDEV(BF48,BH48,BJ48,BL48,BN48,BP48,BR48,BT48,BV48,BX48,BZ48,CB48),0)</f>
        <v>28.8380705828159</v>
      </c>
      <c r="CE48" s="15" t="n">
        <v>3663</v>
      </c>
      <c r="CF48" s="16" t="n">
        <f aca="false">CE48/31</f>
        <v>118.161290322581</v>
      </c>
      <c r="CG48" s="15" t="n">
        <v>4587</v>
      </c>
      <c r="CH48" s="16" t="n">
        <f aca="false">CG48/28</f>
        <v>163.821428571429</v>
      </c>
      <c r="CI48" s="15" t="n">
        <v>4223</v>
      </c>
      <c r="CJ48" s="16" t="n">
        <f aca="false">CI48/31</f>
        <v>136.225806451613</v>
      </c>
      <c r="CK48" s="15" t="n">
        <v>5800</v>
      </c>
      <c r="CL48" s="16" t="n">
        <f aca="false">CK48/30</f>
        <v>193.333333333333</v>
      </c>
      <c r="CM48" s="15" t="n">
        <v>3938</v>
      </c>
      <c r="CN48" s="16" t="n">
        <f aca="false">CM48/31</f>
        <v>127.032258064516</v>
      </c>
      <c r="CO48" s="15" t="n">
        <v>5624</v>
      </c>
      <c r="CP48" s="16" t="n">
        <f aca="false">CO48/30</f>
        <v>187.466666666667</v>
      </c>
      <c r="CQ48" s="15" t="n">
        <v>5817</v>
      </c>
      <c r="CR48" s="16" t="n">
        <f aca="false">CQ48/31</f>
        <v>187.645161290323</v>
      </c>
      <c r="CS48" s="15" t="n">
        <v>3005</v>
      </c>
      <c r="CT48" s="16" t="n">
        <f aca="false">CS48/31</f>
        <v>96.9354838709677</v>
      </c>
      <c r="CU48" s="15" t="n">
        <v>4909</v>
      </c>
      <c r="CV48" s="16" t="n">
        <f aca="false">CU48/30</f>
        <v>163.633333333333</v>
      </c>
      <c r="CW48" s="15" t="n">
        <v>3532</v>
      </c>
      <c r="CX48" s="16" t="n">
        <f aca="false">CW48/31</f>
        <v>113.935483870968</v>
      </c>
      <c r="CY48" s="15" t="n">
        <v>3906</v>
      </c>
      <c r="CZ48" s="16" t="n">
        <f aca="false">CY48/30</f>
        <v>130.2</v>
      </c>
      <c r="DA48" s="15" t="n">
        <v>5722</v>
      </c>
      <c r="DB48" s="16" t="n">
        <f aca="false">DA48/31</f>
        <v>184.58064516129</v>
      </c>
      <c r="DC48" s="17" t="n">
        <f aca="false">SUM(CE48:DA48)</f>
        <v>56344.3902457757</v>
      </c>
      <c r="DD48" s="18" t="n">
        <f aca="false">IFERROR(STDEV(CF48,CH48,CJ48,CL48,CN48,CP48,CR48,CT48,CV48,CX48,CZ48,DB48),0)</f>
        <v>33.7236812313937</v>
      </c>
      <c r="DE48" s="15" t="n">
        <v>2643</v>
      </c>
      <c r="DF48" s="16" t="n">
        <f aca="false">DE48/31</f>
        <v>85.258064516129</v>
      </c>
      <c r="DG48" s="15" t="n">
        <v>5032</v>
      </c>
      <c r="DH48" s="16" t="n">
        <f aca="false">DG48/28</f>
        <v>179.714285714286</v>
      </c>
      <c r="DI48" s="15" t="n">
        <v>5455</v>
      </c>
      <c r="DJ48" s="16" t="n">
        <f aca="false">DI48/31</f>
        <v>175.967741935484</v>
      </c>
      <c r="DK48" s="15" t="n">
        <v>6051</v>
      </c>
      <c r="DL48" s="16" t="n">
        <f aca="false">DK48/30</f>
        <v>201.7</v>
      </c>
      <c r="DM48" s="15" t="n">
        <v>4081</v>
      </c>
      <c r="DN48" s="16" t="n">
        <f aca="false">DM48/31</f>
        <v>131.645161290323</v>
      </c>
      <c r="DO48" s="15" t="n">
        <v>3071</v>
      </c>
      <c r="DP48" s="16" t="n">
        <f aca="false">DO48/30</f>
        <v>102.366666666667</v>
      </c>
      <c r="DQ48" s="15" t="n">
        <v>2857</v>
      </c>
      <c r="DR48" s="16" t="n">
        <f aca="false">DQ48/31</f>
        <v>92.1612903225806</v>
      </c>
      <c r="DS48" s="15" t="n">
        <v>3944</v>
      </c>
      <c r="DT48" s="16" t="n">
        <f aca="false">DS48/31</f>
        <v>127.225806451613</v>
      </c>
      <c r="DU48" s="15" t="n">
        <v>5155</v>
      </c>
      <c r="DV48" s="16" t="n">
        <f aca="false">DU48/30</f>
        <v>171.833333333333</v>
      </c>
      <c r="DW48" s="15" t="n">
        <v>2967</v>
      </c>
      <c r="DX48" s="16" t="n">
        <f aca="false">DW48/31</f>
        <v>95.7096774193548</v>
      </c>
      <c r="DY48" s="15" t="n">
        <v>3702</v>
      </c>
      <c r="DZ48" s="16" t="n">
        <f aca="false">DY48/30</f>
        <v>123.4</v>
      </c>
      <c r="EA48" s="15" t="n">
        <v>5677</v>
      </c>
      <c r="EB48" s="16" t="n">
        <f aca="false">EA48/31</f>
        <v>183.129032258065</v>
      </c>
      <c r="EC48" s="17" t="n">
        <f aca="false">SUM(DE48:EA48)</f>
        <v>52121.9820276498</v>
      </c>
      <c r="ED48" s="18" t="n">
        <f aca="false">IFERROR(STDEV(DF48,DH48,DJ48,DL48,DN48,DP48,DR48,DT48,DV48,DX48,DZ48,EB48),0)</f>
        <v>41.2473510663398</v>
      </c>
      <c r="EE48" s="19" t="n">
        <f aca="false">STDEV(F48:AB48,AF48:BB48,BF48:CB48,CF48:DB48,DF48:EB48)</f>
        <v>2225.56092460559</v>
      </c>
    </row>
    <row r="49" customFormat="false" ht="15" hidden="false" customHeight="true" outlineLevel="0" collapsed="false">
      <c r="A49" s="11" t="n">
        <v>44</v>
      </c>
      <c r="B49" s="12" t="s">
        <v>122</v>
      </c>
      <c r="C49" s="13" t="s">
        <v>123</v>
      </c>
      <c r="D49" s="14" t="s">
        <v>36</v>
      </c>
      <c r="E49" s="15" t="n">
        <v>745</v>
      </c>
      <c r="F49" s="16" t="n">
        <f aca="false">E49/31</f>
        <v>24.0322580645161</v>
      </c>
      <c r="G49" s="15" t="n">
        <v>1279</v>
      </c>
      <c r="H49" s="16" t="n">
        <f aca="false">G49/28</f>
        <v>45.6785714285714</v>
      </c>
      <c r="I49" s="15" t="n">
        <v>1262</v>
      </c>
      <c r="J49" s="16" t="n">
        <f aca="false">I49/31</f>
        <v>40.7096774193548</v>
      </c>
      <c r="K49" s="15" t="n">
        <v>742</v>
      </c>
      <c r="L49" s="16" t="n">
        <f aca="false">K49/30</f>
        <v>24.7333333333333</v>
      </c>
      <c r="M49" s="15" t="n">
        <v>1464</v>
      </c>
      <c r="N49" s="16" t="n">
        <f aca="false">M49/31</f>
        <v>47.2258064516129</v>
      </c>
      <c r="O49" s="15" t="n">
        <v>750</v>
      </c>
      <c r="P49" s="16" t="n">
        <f aca="false">O49/30</f>
        <v>25</v>
      </c>
      <c r="Q49" s="15" t="n">
        <v>1075</v>
      </c>
      <c r="R49" s="16" t="n">
        <f aca="false">Q49/31</f>
        <v>34.6774193548387</v>
      </c>
      <c r="S49" s="15" t="n">
        <v>637</v>
      </c>
      <c r="T49" s="16" t="n">
        <f aca="false">S49/31</f>
        <v>20.5483870967742</v>
      </c>
      <c r="U49" s="15" t="n">
        <v>1176</v>
      </c>
      <c r="V49" s="16" t="n">
        <f aca="false">U49/30</f>
        <v>39.2</v>
      </c>
      <c r="W49" s="15" t="n">
        <v>999</v>
      </c>
      <c r="X49" s="16" t="n">
        <f aca="false">W49/31</f>
        <v>32.2258064516129</v>
      </c>
      <c r="Y49" s="15" t="n">
        <v>1237</v>
      </c>
      <c r="Z49" s="16" t="n">
        <f aca="false">Y49/30</f>
        <v>41.2333333333333</v>
      </c>
      <c r="AA49" s="15" t="n">
        <v>1157</v>
      </c>
      <c r="AB49" s="16" t="n">
        <f aca="false">AA49/31</f>
        <v>37.3225806451613</v>
      </c>
      <c r="AC49" s="17" t="n">
        <f aca="false">SUM(E49:AA49)</f>
        <v>12898.2645929339</v>
      </c>
      <c r="AD49" s="18" t="n">
        <f aca="false">IFERROR(STDEV(F49,H49,J49,L49,N49,P49,R49,T49,V49,X49,Z49,AB49),0)</f>
        <v>9.02399547475173</v>
      </c>
      <c r="AE49" s="15" t="n">
        <v>911</v>
      </c>
      <c r="AF49" s="16" t="n">
        <f aca="false">AE49/31</f>
        <v>29.3870967741935</v>
      </c>
      <c r="AG49" s="15" t="n">
        <v>1174</v>
      </c>
      <c r="AH49" s="16" t="n">
        <f aca="false">AG49/28</f>
        <v>41.9285714285714</v>
      </c>
      <c r="AI49" s="15" t="n">
        <v>1452</v>
      </c>
      <c r="AJ49" s="16" t="n">
        <f aca="false">AI49/31</f>
        <v>46.8387096774194</v>
      </c>
      <c r="AK49" s="15" t="n">
        <v>1628</v>
      </c>
      <c r="AL49" s="16" t="n">
        <f aca="false">AK49/30</f>
        <v>54.2666666666667</v>
      </c>
      <c r="AM49" s="15" t="n">
        <v>846</v>
      </c>
      <c r="AN49" s="16" t="n">
        <f aca="false">AM49/31</f>
        <v>27.2903225806452</v>
      </c>
      <c r="AO49" s="15" t="n">
        <v>860</v>
      </c>
      <c r="AP49" s="16" t="n">
        <f aca="false">AO49/30</f>
        <v>28.6666666666667</v>
      </c>
      <c r="AQ49" s="15" t="n">
        <v>1519</v>
      </c>
      <c r="AR49" s="16" t="n">
        <f aca="false">AQ49/31</f>
        <v>49</v>
      </c>
      <c r="AS49" s="15" t="n">
        <v>1354</v>
      </c>
      <c r="AT49" s="16" t="n">
        <f aca="false">AS49/31</f>
        <v>43.6774193548387</v>
      </c>
      <c r="AU49" s="15" t="n">
        <v>1146</v>
      </c>
      <c r="AV49" s="16" t="n">
        <f aca="false">AU49/30</f>
        <v>38.2</v>
      </c>
      <c r="AW49" s="15" t="n">
        <v>1732</v>
      </c>
      <c r="AX49" s="16" t="n">
        <f aca="false">AW49/31</f>
        <v>55.8709677419355</v>
      </c>
      <c r="AY49" s="15" t="n">
        <v>1076</v>
      </c>
      <c r="AZ49" s="16" t="n">
        <f aca="false">AY49/30</f>
        <v>35.8666666666667</v>
      </c>
      <c r="BA49" s="15" t="n">
        <v>900</v>
      </c>
      <c r="BB49" s="16" t="n">
        <f aca="false">BA49/31</f>
        <v>29.0322580645161</v>
      </c>
      <c r="BC49" s="17" t="n">
        <f aca="false">SUM(AE49:BA49)</f>
        <v>15048.9930875576</v>
      </c>
      <c r="BD49" s="18" t="n">
        <f aca="false">IFERROR(STDEV(AF49,AH49,AJ49,AL49,AN49,AP49,AR49,AT49,AV49,AX49,AZ49,BB49),0)</f>
        <v>10.1965500371676</v>
      </c>
      <c r="BE49" s="15" t="n">
        <v>973</v>
      </c>
      <c r="BF49" s="16" t="n">
        <f aca="false">BE49/31</f>
        <v>31.3870967741935</v>
      </c>
      <c r="BG49" s="15" t="n">
        <v>790</v>
      </c>
      <c r="BH49" s="16" t="n">
        <f aca="false">BG49/28</f>
        <v>28.2142857142857</v>
      </c>
      <c r="BI49" s="15" t="n">
        <v>1235</v>
      </c>
      <c r="BJ49" s="16" t="n">
        <f aca="false">BI49/31</f>
        <v>39.8387096774194</v>
      </c>
      <c r="BK49" s="15" t="n">
        <v>1279</v>
      </c>
      <c r="BL49" s="16" t="n">
        <f aca="false">BK49/30</f>
        <v>42.6333333333333</v>
      </c>
      <c r="BM49" s="15" t="n">
        <v>1286</v>
      </c>
      <c r="BN49" s="16" t="n">
        <f aca="false">BM49/31</f>
        <v>41.4838709677419</v>
      </c>
      <c r="BO49" s="15" t="n">
        <v>1449</v>
      </c>
      <c r="BP49" s="16" t="n">
        <f aca="false">BO49/30</f>
        <v>48.3</v>
      </c>
      <c r="BQ49" s="15" t="n">
        <v>1365</v>
      </c>
      <c r="BR49" s="16" t="n">
        <f aca="false">BQ49/31</f>
        <v>44.0322580645161</v>
      </c>
      <c r="BS49" s="15" t="n">
        <v>1514</v>
      </c>
      <c r="BT49" s="16" t="n">
        <f aca="false">BS49/31</f>
        <v>48.8387096774194</v>
      </c>
      <c r="BU49" s="15" t="n">
        <v>1334</v>
      </c>
      <c r="BV49" s="16" t="n">
        <f aca="false">BU49/30</f>
        <v>44.4666666666667</v>
      </c>
      <c r="BW49" s="15" t="n">
        <v>996</v>
      </c>
      <c r="BX49" s="16" t="n">
        <f aca="false">BW49/31</f>
        <v>32.1290322580645</v>
      </c>
      <c r="BY49" s="15" t="n">
        <v>1201</v>
      </c>
      <c r="BZ49" s="16" t="n">
        <f aca="false">BY49/30</f>
        <v>40.0333333333333</v>
      </c>
      <c r="CA49" s="15" t="n">
        <v>1193</v>
      </c>
      <c r="CB49" s="16" t="n">
        <f aca="false">CA49/31</f>
        <v>38.4838709677419</v>
      </c>
      <c r="CC49" s="17" t="n">
        <f aca="false">SUM(BE49:CA49)</f>
        <v>15056.357296467</v>
      </c>
      <c r="CD49" s="18" t="n">
        <f aca="false">IFERROR(STDEV(BF49,BH49,BJ49,BL49,BN49,BP49,BR49,BT49,BV49,BX49,BZ49,CB49),0)</f>
        <v>6.53466483433208</v>
      </c>
      <c r="CE49" s="15" t="n">
        <v>1185</v>
      </c>
      <c r="CF49" s="16" t="n">
        <f aca="false">CE49/31</f>
        <v>38.2258064516129</v>
      </c>
      <c r="CG49" s="15" t="n">
        <v>827</v>
      </c>
      <c r="CH49" s="16" t="n">
        <f aca="false">CG49/28</f>
        <v>29.5357142857143</v>
      </c>
      <c r="CI49" s="15" t="n">
        <v>637</v>
      </c>
      <c r="CJ49" s="16" t="n">
        <f aca="false">CI49/31</f>
        <v>20.5483870967742</v>
      </c>
      <c r="CK49" s="15" t="n">
        <v>1304</v>
      </c>
      <c r="CL49" s="16" t="n">
        <f aca="false">CK49/30</f>
        <v>43.4666666666667</v>
      </c>
      <c r="CM49" s="15" t="n">
        <v>1349</v>
      </c>
      <c r="CN49" s="16" t="n">
        <f aca="false">CM49/31</f>
        <v>43.5161290322581</v>
      </c>
      <c r="CO49" s="15" t="n">
        <v>985</v>
      </c>
      <c r="CP49" s="16" t="n">
        <f aca="false">CO49/30</f>
        <v>32.8333333333333</v>
      </c>
      <c r="CQ49" s="15" t="n">
        <v>683</v>
      </c>
      <c r="CR49" s="16" t="n">
        <f aca="false">CQ49/31</f>
        <v>22.0322580645161</v>
      </c>
      <c r="CS49" s="15" t="n">
        <v>989</v>
      </c>
      <c r="CT49" s="16" t="n">
        <f aca="false">CS49/31</f>
        <v>31.9032258064516</v>
      </c>
      <c r="CU49" s="15" t="n">
        <v>1064</v>
      </c>
      <c r="CV49" s="16" t="n">
        <f aca="false">CU49/30</f>
        <v>35.4666666666667</v>
      </c>
      <c r="CW49" s="15" t="n">
        <v>1012</v>
      </c>
      <c r="CX49" s="16" t="n">
        <f aca="false">CW49/31</f>
        <v>32.6451612903226</v>
      </c>
      <c r="CY49" s="15" t="n">
        <v>1367</v>
      </c>
      <c r="CZ49" s="16" t="n">
        <f aca="false">CY49/30</f>
        <v>45.5666666666667</v>
      </c>
      <c r="DA49" s="15" t="n">
        <v>1374</v>
      </c>
      <c r="DB49" s="16" t="n">
        <f aca="false">DA49/31</f>
        <v>44.3225806451613</v>
      </c>
      <c r="DC49" s="17" t="n">
        <f aca="false">SUM(CE49:DA49)</f>
        <v>13151.740015361</v>
      </c>
      <c r="DD49" s="18" t="n">
        <f aca="false">IFERROR(STDEV(CF49,CH49,CJ49,CL49,CN49,CP49,CR49,CT49,CV49,CX49,CZ49,DB49),0)</f>
        <v>8.42127563196108</v>
      </c>
      <c r="DE49" s="15" t="n">
        <v>1406</v>
      </c>
      <c r="DF49" s="16" t="n">
        <f aca="false">DE49/31</f>
        <v>45.3548387096774</v>
      </c>
      <c r="DG49" s="15" t="n">
        <v>737</v>
      </c>
      <c r="DH49" s="16" t="n">
        <f aca="false">DG49/28</f>
        <v>26.3214285714286</v>
      </c>
      <c r="DI49" s="15" t="n">
        <v>1345</v>
      </c>
      <c r="DJ49" s="16" t="n">
        <f aca="false">DI49/31</f>
        <v>43.3870967741936</v>
      </c>
      <c r="DK49" s="15" t="n">
        <v>1101</v>
      </c>
      <c r="DL49" s="16" t="n">
        <f aca="false">DK49/30</f>
        <v>36.7</v>
      </c>
      <c r="DM49" s="15" t="n">
        <v>932</v>
      </c>
      <c r="DN49" s="16" t="n">
        <f aca="false">DM49/31</f>
        <v>30.0645161290323</v>
      </c>
      <c r="DO49" s="15" t="n">
        <v>1197</v>
      </c>
      <c r="DP49" s="16" t="n">
        <f aca="false">DO49/30</f>
        <v>39.9</v>
      </c>
      <c r="DQ49" s="15" t="n">
        <v>1263</v>
      </c>
      <c r="DR49" s="16" t="n">
        <f aca="false">DQ49/31</f>
        <v>40.741935483871</v>
      </c>
      <c r="DS49" s="15" t="n">
        <v>1424</v>
      </c>
      <c r="DT49" s="16" t="n">
        <f aca="false">DS49/31</f>
        <v>45.9354838709677</v>
      </c>
      <c r="DU49" s="15" t="n">
        <v>1270</v>
      </c>
      <c r="DV49" s="16" t="n">
        <f aca="false">DU49/30</f>
        <v>42.3333333333333</v>
      </c>
      <c r="DW49" s="15" t="n">
        <v>640</v>
      </c>
      <c r="DX49" s="16" t="n">
        <f aca="false">DW49/31</f>
        <v>20.6451612903226</v>
      </c>
      <c r="DY49" s="15" t="n">
        <v>683</v>
      </c>
      <c r="DZ49" s="16" t="n">
        <f aca="false">DY49/30</f>
        <v>22.7666666666667</v>
      </c>
      <c r="EA49" s="15" t="n">
        <v>845</v>
      </c>
      <c r="EB49" s="16" t="n">
        <f aca="false">EA49/31</f>
        <v>27.258064516129</v>
      </c>
      <c r="EC49" s="17" t="n">
        <f aca="false">SUM(DE49:EA49)</f>
        <v>13237.1504608295</v>
      </c>
      <c r="ED49" s="18" t="n">
        <f aca="false">IFERROR(STDEV(DF49,DH49,DJ49,DL49,DN49,DP49,DR49,DT49,DV49,DX49,DZ49,EB49),0)</f>
        <v>9.17488252924408</v>
      </c>
      <c r="EE49" s="19" t="n">
        <f aca="false">STDEV(F49:AB49,AF49:BB49,BF49:CB49,CF49:DB49,DF49:EB49)</f>
        <v>580.002494573842</v>
      </c>
    </row>
    <row r="50" customFormat="false" ht="15" hidden="false" customHeight="true" outlineLevel="0" collapsed="false">
      <c r="A50" s="11" t="n">
        <v>45</v>
      </c>
      <c r="B50" s="12" t="s">
        <v>124</v>
      </c>
      <c r="C50" s="13" t="s">
        <v>125</v>
      </c>
      <c r="D50" s="14" t="s">
        <v>36</v>
      </c>
      <c r="E50" s="15" t="n">
        <v>1282</v>
      </c>
      <c r="F50" s="16" t="n">
        <f aca="false">E50/31</f>
        <v>41.3548387096774</v>
      </c>
      <c r="G50" s="15" t="n">
        <v>1315</v>
      </c>
      <c r="H50" s="16" t="n">
        <f aca="false">G50/28</f>
        <v>46.9642857142857</v>
      </c>
      <c r="I50" s="15" t="n">
        <v>2498</v>
      </c>
      <c r="J50" s="16" t="n">
        <f aca="false">I50/31</f>
        <v>80.5806451612903</v>
      </c>
      <c r="K50" s="15" t="n">
        <v>2039</v>
      </c>
      <c r="L50" s="16" t="n">
        <f aca="false">K50/30</f>
        <v>67.9666666666667</v>
      </c>
      <c r="M50" s="15" t="n">
        <v>2237</v>
      </c>
      <c r="N50" s="16" t="n">
        <f aca="false">M50/31</f>
        <v>72.1612903225806</v>
      </c>
      <c r="O50" s="15" t="n">
        <v>2030</v>
      </c>
      <c r="P50" s="16" t="n">
        <f aca="false">O50/30</f>
        <v>67.6666666666667</v>
      </c>
      <c r="Q50" s="15" t="n">
        <v>1891</v>
      </c>
      <c r="R50" s="16" t="n">
        <f aca="false">Q50/31</f>
        <v>61</v>
      </c>
      <c r="S50" s="15" t="n">
        <v>2356</v>
      </c>
      <c r="T50" s="16" t="n">
        <f aca="false">S50/31</f>
        <v>76</v>
      </c>
      <c r="U50" s="15" t="n">
        <v>1351</v>
      </c>
      <c r="V50" s="16" t="n">
        <f aca="false">U50/30</f>
        <v>45.0333333333333</v>
      </c>
      <c r="W50" s="15" t="n">
        <v>2088</v>
      </c>
      <c r="X50" s="16" t="n">
        <f aca="false">W50/31</f>
        <v>67.3548387096774</v>
      </c>
      <c r="Y50" s="15" t="n">
        <v>2217</v>
      </c>
      <c r="Z50" s="16" t="n">
        <f aca="false">Y50/30</f>
        <v>73.9</v>
      </c>
      <c r="AA50" s="15" t="n">
        <v>1668</v>
      </c>
      <c r="AB50" s="16" t="n">
        <f aca="false">AA50/31</f>
        <v>53.8064516129032</v>
      </c>
      <c r="AC50" s="17" t="n">
        <f aca="false">SUM(E50:AA50)</f>
        <v>23671.9825652842</v>
      </c>
      <c r="AD50" s="18" t="n">
        <f aca="false">IFERROR(STDEV(F50,H50,J50,L50,N50,P50,R50,T50,V50,X50,Z50,AB50),0)</f>
        <v>13.0829546040062</v>
      </c>
      <c r="AE50" s="15" t="n">
        <v>2142</v>
      </c>
      <c r="AF50" s="16" t="n">
        <f aca="false">AE50/31</f>
        <v>69.0967741935484</v>
      </c>
      <c r="AG50" s="15" t="n">
        <v>2549</v>
      </c>
      <c r="AH50" s="16" t="n">
        <f aca="false">AG50/28</f>
        <v>91.0357142857143</v>
      </c>
      <c r="AI50" s="15" t="n">
        <v>1926</v>
      </c>
      <c r="AJ50" s="16" t="n">
        <f aca="false">AI50/31</f>
        <v>62.1290322580645</v>
      </c>
      <c r="AK50" s="15" t="n">
        <v>3148</v>
      </c>
      <c r="AL50" s="16" t="n">
        <f aca="false">AK50/30</f>
        <v>104.933333333333</v>
      </c>
      <c r="AM50" s="15" t="n">
        <v>2599</v>
      </c>
      <c r="AN50" s="16" t="n">
        <f aca="false">AM50/31</f>
        <v>83.8387096774194</v>
      </c>
      <c r="AO50" s="15" t="n">
        <v>2305</v>
      </c>
      <c r="AP50" s="16" t="n">
        <f aca="false">AO50/30</f>
        <v>76.8333333333333</v>
      </c>
      <c r="AQ50" s="15" t="n">
        <v>2797</v>
      </c>
      <c r="AR50" s="16" t="n">
        <f aca="false">AQ50/31</f>
        <v>90.2258064516129</v>
      </c>
      <c r="AS50" s="15" t="n">
        <v>3202</v>
      </c>
      <c r="AT50" s="16" t="n">
        <f aca="false">AS50/31</f>
        <v>103.290322580645</v>
      </c>
      <c r="AU50" s="15" t="n">
        <v>2892</v>
      </c>
      <c r="AV50" s="16" t="n">
        <f aca="false">AU50/30</f>
        <v>96.4</v>
      </c>
      <c r="AW50" s="15" t="n">
        <v>1649</v>
      </c>
      <c r="AX50" s="16" t="n">
        <f aca="false">AW50/31</f>
        <v>53.1935483870968</v>
      </c>
      <c r="AY50" s="15" t="n">
        <v>2927</v>
      </c>
      <c r="AZ50" s="16" t="n">
        <f aca="false">AY50/30</f>
        <v>97.5666666666667</v>
      </c>
      <c r="BA50" s="15" t="n">
        <v>2990</v>
      </c>
      <c r="BB50" s="16" t="n">
        <f aca="false">BA50/31</f>
        <v>96.4516129032258</v>
      </c>
      <c r="BC50" s="17" t="n">
        <f aca="false">SUM(AE50:BA50)</f>
        <v>32054.5432411674</v>
      </c>
      <c r="BD50" s="18" t="n">
        <f aca="false">IFERROR(STDEV(AF50,AH50,AJ50,AL50,AN50,AP50,AR50,AT50,AV50,AX50,AZ50,BB50),0)</f>
        <v>16.7012281534964</v>
      </c>
      <c r="BE50" s="15" t="n">
        <v>2828</v>
      </c>
      <c r="BF50" s="16" t="n">
        <f aca="false">BE50/31</f>
        <v>91.2258064516129</v>
      </c>
      <c r="BG50" s="15" t="n">
        <v>1431</v>
      </c>
      <c r="BH50" s="16" t="n">
        <f aca="false">BG50/28</f>
        <v>51.1071428571429</v>
      </c>
      <c r="BI50" s="15" t="n">
        <v>1481</v>
      </c>
      <c r="BJ50" s="16" t="n">
        <f aca="false">BI50/31</f>
        <v>47.7741935483871</v>
      </c>
      <c r="BK50" s="15" t="n">
        <v>2098</v>
      </c>
      <c r="BL50" s="16" t="n">
        <f aca="false">BK50/30</f>
        <v>69.9333333333333</v>
      </c>
      <c r="BM50" s="15" t="n">
        <v>2132</v>
      </c>
      <c r="BN50" s="16" t="n">
        <f aca="false">BM50/31</f>
        <v>68.7741935483871</v>
      </c>
      <c r="BO50" s="15" t="n">
        <v>2407</v>
      </c>
      <c r="BP50" s="16" t="n">
        <f aca="false">BO50/30</f>
        <v>80.2333333333333</v>
      </c>
      <c r="BQ50" s="15" t="n">
        <v>1876</v>
      </c>
      <c r="BR50" s="16" t="n">
        <f aca="false">BQ50/31</f>
        <v>60.5161290322581</v>
      </c>
      <c r="BS50" s="15" t="n">
        <v>2642</v>
      </c>
      <c r="BT50" s="16" t="n">
        <f aca="false">BS50/31</f>
        <v>85.2258064516129</v>
      </c>
      <c r="BU50" s="15" t="n">
        <v>2640</v>
      </c>
      <c r="BV50" s="16" t="n">
        <f aca="false">BU50/30</f>
        <v>88</v>
      </c>
      <c r="BW50" s="15" t="n">
        <v>1540</v>
      </c>
      <c r="BX50" s="16" t="n">
        <f aca="false">BW50/31</f>
        <v>49.6774193548387</v>
      </c>
      <c r="BY50" s="15" t="n">
        <v>2582</v>
      </c>
      <c r="BZ50" s="16" t="n">
        <f aca="false">BY50/30</f>
        <v>86.0666666666667</v>
      </c>
      <c r="CA50" s="15" t="n">
        <v>2571</v>
      </c>
      <c r="CB50" s="16" t="n">
        <f aca="false">CA50/31</f>
        <v>82.9354838709677</v>
      </c>
      <c r="CC50" s="17" t="n">
        <f aca="false">SUM(BE50:CA50)</f>
        <v>27006.5340245776</v>
      </c>
      <c r="CD50" s="18" t="n">
        <f aca="false">IFERROR(STDEV(BF50,BH50,BJ50,BL50,BN50,BP50,BR50,BT50,BV50,BX50,BZ50,CB50),0)</f>
        <v>16.1062344959614</v>
      </c>
      <c r="CE50" s="15" t="n">
        <v>1876</v>
      </c>
      <c r="CF50" s="16" t="n">
        <f aca="false">CE50/31</f>
        <v>60.5161290322581</v>
      </c>
      <c r="CG50" s="15" t="n">
        <v>3497</v>
      </c>
      <c r="CH50" s="16" t="n">
        <f aca="false">CG50/28</f>
        <v>124.892857142857</v>
      </c>
      <c r="CI50" s="15" t="n">
        <v>2614</v>
      </c>
      <c r="CJ50" s="16" t="n">
        <f aca="false">CI50/31</f>
        <v>84.3225806451613</v>
      </c>
      <c r="CK50" s="15" t="n">
        <v>3148</v>
      </c>
      <c r="CL50" s="16" t="n">
        <f aca="false">CK50/30</f>
        <v>104.933333333333</v>
      </c>
      <c r="CM50" s="15" t="n">
        <v>3020</v>
      </c>
      <c r="CN50" s="16" t="n">
        <f aca="false">CM50/31</f>
        <v>97.4193548387097</v>
      </c>
      <c r="CO50" s="15" t="n">
        <v>1883</v>
      </c>
      <c r="CP50" s="16" t="n">
        <f aca="false">CO50/30</f>
        <v>62.7666666666667</v>
      </c>
      <c r="CQ50" s="15" t="n">
        <v>1801</v>
      </c>
      <c r="CR50" s="16" t="n">
        <f aca="false">CQ50/31</f>
        <v>58.0967741935484</v>
      </c>
      <c r="CS50" s="15" t="n">
        <v>3144</v>
      </c>
      <c r="CT50" s="16" t="n">
        <f aca="false">CS50/31</f>
        <v>101.41935483871</v>
      </c>
      <c r="CU50" s="15" t="n">
        <v>2092</v>
      </c>
      <c r="CV50" s="16" t="n">
        <f aca="false">CU50/30</f>
        <v>69.7333333333333</v>
      </c>
      <c r="CW50" s="15" t="n">
        <v>3360</v>
      </c>
      <c r="CX50" s="16" t="n">
        <f aca="false">CW50/31</f>
        <v>108.387096774194</v>
      </c>
      <c r="CY50" s="15" t="n">
        <v>3124</v>
      </c>
      <c r="CZ50" s="16" t="n">
        <f aca="false">CY50/30</f>
        <v>104.133333333333</v>
      </c>
      <c r="DA50" s="15" t="n">
        <v>1600</v>
      </c>
      <c r="DB50" s="16" t="n">
        <f aca="false">DA50/31</f>
        <v>51.6129032258065</v>
      </c>
      <c r="DC50" s="17" t="n">
        <f aca="false">SUM(CE50:DA50)</f>
        <v>32135.6208141321</v>
      </c>
      <c r="DD50" s="18" t="n">
        <f aca="false">IFERROR(STDEV(CF50,CH50,CJ50,CL50,CN50,CP50,CR50,CT50,CV50,CX50,CZ50,DB50),0)</f>
        <v>24.2820500385262</v>
      </c>
      <c r="DE50" s="15" t="n">
        <v>3109</v>
      </c>
      <c r="DF50" s="16" t="n">
        <f aca="false">DE50/31</f>
        <v>100.290322580645</v>
      </c>
      <c r="DG50" s="15" t="n">
        <v>2040</v>
      </c>
      <c r="DH50" s="16" t="n">
        <f aca="false">DG50/28</f>
        <v>72.8571428571429</v>
      </c>
      <c r="DI50" s="15" t="n">
        <v>1625</v>
      </c>
      <c r="DJ50" s="16" t="n">
        <f aca="false">DI50/31</f>
        <v>52.4193548387097</v>
      </c>
      <c r="DK50" s="15" t="n">
        <v>2919</v>
      </c>
      <c r="DL50" s="16" t="n">
        <f aca="false">DK50/30</f>
        <v>97.3</v>
      </c>
      <c r="DM50" s="15" t="n">
        <v>2649</v>
      </c>
      <c r="DN50" s="16" t="n">
        <f aca="false">DM50/31</f>
        <v>85.4516129032258</v>
      </c>
      <c r="DO50" s="15" t="n">
        <v>1651</v>
      </c>
      <c r="DP50" s="16" t="n">
        <f aca="false">DO50/30</f>
        <v>55.0333333333333</v>
      </c>
      <c r="DQ50" s="15" t="n">
        <v>2406</v>
      </c>
      <c r="DR50" s="16" t="n">
        <f aca="false">DQ50/31</f>
        <v>77.6129032258065</v>
      </c>
      <c r="DS50" s="15" t="n">
        <v>2216</v>
      </c>
      <c r="DT50" s="16" t="n">
        <f aca="false">DS50/31</f>
        <v>71.4838709677419</v>
      </c>
      <c r="DU50" s="15" t="n">
        <v>2495</v>
      </c>
      <c r="DV50" s="16" t="n">
        <f aca="false">DU50/30</f>
        <v>83.1666666666667</v>
      </c>
      <c r="DW50" s="15" t="n">
        <v>2629</v>
      </c>
      <c r="DX50" s="16" t="n">
        <f aca="false">DW50/31</f>
        <v>84.8064516129032</v>
      </c>
      <c r="DY50" s="15" t="n">
        <v>2231</v>
      </c>
      <c r="DZ50" s="16" t="n">
        <f aca="false">DY50/30</f>
        <v>74.3666666666667</v>
      </c>
      <c r="EA50" s="15" t="n">
        <v>2007</v>
      </c>
      <c r="EB50" s="16" t="n">
        <f aca="false">EA50/31</f>
        <v>64.741935483871</v>
      </c>
      <c r="EC50" s="17" t="n">
        <f aca="false">SUM(DE50:EA50)</f>
        <v>28831.7883256528</v>
      </c>
      <c r="ED50" s="18" t="n">
        <f aca="false">IFERROR(STDEV(DF50,DH50,DJ50,DL50,DN50,DP50,DR50,DT50,DV50,DX50,DZ50,EB50),0)</f>
        <v>14.8175762248346</v>
      </c>
      <c r="EE50" s="19" t="n">
        <f aca="false">STDEV(F50:AB50,AF50:BB50,BF50:CB50,CF50:DB50,DF50:EB50)</f>
        <v>1195.22758625656</v>
      </c>
    </row>
    <row r="51" customFormat="false" ht="15" hidden="false" customHeight="true" outlineLevel="0" collapsed="false">
      <c r="A51" s="11" t="n">
        <v>46</v>
      </c>
      <c r="B51" s="12" t="s">
        <v>126</v>
      </c>
      <c r="C51" s="13" t="s">
        <v>127</v>
      </c>
      <c r="D51" s="14" t="s">
        <v>36</v>
      </c>
      <c r="E51" s="15" t="n">
        <v>1497</v>
      </c>
      <c r="F51" s="16" t="n">
        <f aca="false">E51/31</f>
        <v>48.2903225806452</v>
      </c>
      <c r="G51" s="15" t="n">
        <v>2324</v>
      </c>
      <c r="H51" s="16" t="n">
        <f aca="false">G51/28</f>
        <v>83</v>
      </c>
      <c r="I51" s="15" t="n">
        <v>2585</v>
      </c>
      <c r="J51" s="16" t="n">
        <f aca="false">I51/31</f>
        <v>83.3870967741936</v>
      </c>
      <c r="K51" s="15" t="n">
        <v>1717</v>
      </c>
      <c r="L51" s="16" t="n">
        <f aca="false">K51/30</f>
        <v>57.2333333333333</v>
      </c>
      <c r="M51" s="15" t="n">
        <v>2210</v>
      </c>
      <c r="N51" s="16" t="n">
        <f aca="false">M51/31</f>
        <v>71.2903225806452</v>
      </c>
      <c r="O51" s="15" t="n">
        <v>1394</v>
      </c>
      <c r="P51" s="16" t="n">
        <f aca="false">O51/30</f>
        <v>46.4666666666667</v>
      </c>
      <c r="Q51" s="15" t="n">
        <v>2831</v>
      </c>
      <c r="R51" s="16" t="n">
        <f aca="false">Q51/31</f>
        <v>91.3225806451613</v>
      </c>
      <c r="S51" s="15" t="n">
        <v>1746</v>
      </c>
      <c r="T51" s="16" t="n">
        <f aca="false">S51/31</f>
        <v>56.3225806451613</v>
      </c>
      <c r="U51" s="15" t="n">
        <v>2145</v>
      </c>
      <c r="V51" s="16" t="n">
        <f aca="false">U51/30</f>
        <v>71.5</v>
      </c>
      <c r="W51" s="15" t="n">
        <v>1989</v>
      </c>
      <c r="X51" s="16" t="n">
        <f aca="false">W51/31</f>
        <v>64.1612903225806</v>
      </c>
      <c r="Y51" s="15" t="n">
        <v>1580</v>
      </c>
      <c r="Z51" s="16" t="n">
        <f aca="false">Y51/30</f>
        <v>52.6666666666667</v>
      </c>
      <c r="AA51" s="15" t="n">
        <v>2951</v>
      </c>
      <c r="AB51" s="16" t="n">
        <f aca="false">AA51/31</f>
        <v>95.1935483870968</v>
      </c>
      <c r="AC51" s="17" t="n">
        <f aca="false">SUM(E51:AA51)</f>
        <v>25694.6408602151</v>
      </c>
      <c r="AD51" s="18" t="n">
        <f aca="false">IFERROR(STDEV(F51,H51,J51,L51,N51,P51,R51,T51,V51,X51,Z51,AB51),0)</f>
        <v>16.8431508915969</v>
      </c>
      <c r="AE51" s="15" t="n">
        <v>2766</v>
      </c>
      <c r="AF51" s="16" t="n">
        <f aca="false">AE51/31</f>
        <v>89.2258064516129</v>
      </c>
      <c r="AG51" s="15" t="n">
        <v>2242</v>
      </c>
      <c r="AH51" s="16" t="n">
        <f aca="false">AG51/28</f>
        <v>80.0714285714286</v>
      </c>
      <c r="AI51" s="15" t="n">
        <v>2863</v>
      </c>
      <c r="AJ51" s="16" t="n">
        <f aca="false">AI51/31</f>
        <v>92.3548387096774</v>
      </c>
      <c r="AK51" s="15" t="n">
        <v>2565</v>
      </c>
      <c r="AL51" s="16" t="n">
        <f aca="false">AK51/30</f>
        <v>85.5</v>
      </c>
      <c r="AM51" s="15" t="n">
        <v>2012</v>
      </c>
      <c r="AN51" s="16" t="n">
        <f aca="false">AM51/31</f>
        <v>64.9032258064516</v>
      </c>
      <c r="AO51" s="15" t="n">
        <v>1844</v>
      </c>
      <c r="AP51" s="16" t="n">
        <f aca="false">AO51/30</f>
        <v>61.4666666666667</v>
      </c>
      <c r="AQ51" s="15" t="n">
        <v>2007</v>
      </c>
      <c r="AR51" s="16" t="n">
        <f aca="false">AQ51/31</f>
        <v>64.741935483871</v>
      </c>
      <c r="AS51" s="15" t="n">
        <v>2530</v>
      </c>
      <c r="AT51" s="16" t="n">
        <f aca="false">AS51/31</f>
        <v>81.6129032258065</v>
      </c>
      <c r="AU51" s="15" t="n">
        <v>1757</v>
      </c>
      <c r="AV51" s="16" t="n">
        <f aca="false">AU51/30</f>
        <v>58.5666666666667</v>
      </c>
      <c r="AW51" s="15" t="n">
        <v>1425</v>
      </c>
      <c r="AX51" s="16" t="n">
        <f aca="false">AW51/31</f>
        <v>45.9677419354839</v>
      </c>
      <c r="AY51" s="15" t="n">
        <v>1932</v>
      </c>
      <c r="AZ51" s="16" t="n">
        <f aca="false">AY51/30</f>
        <v>64.4</v>
      </c>
      <c r="BA51" s="15" t="n">
        <v>2155</v>
      </c>
      <c r="BB51" s="16" t="n">
        <f aca="false">BA51/31</f>
        <v>69.5161290322581</v>
      </c>
      <c r="BC51" s="17" t="n">
        <f aca="false">SUM(AE51:BA51)</f>
        <v>26886.8112135177</v>
      </c>
      <c r="BD51" s="18" t="n">
        <f aca="false">IFERROR(STDEV(AF51,AH51,AJ51,AL51,AN51,AP51,AR51,AT51,AV51,AX51,AZ51,BB51),0)</f>
        <v>14.091356094787</v>
      </c>
      <c r="BE51" s="15" t="n">
        <v>2852</v>
      </c>
      <c r="BF51" s="16" t="n">
        <f aca="false">BE51/31</f>
        <v>92</v>
      </c>
      <c r="BG51" s="15" t="n">
        <v>1605</v>
      </c>
      <c r="BH51" s="16" t="n">
        <f aca="false">BG51/28</f>
        <v>57.3214285714286</v>
      </c>
      <c r="BI51" s="15" t="n">
        <v>2684</v>
      </c>
      <c r="BJ51" s="16" t="n">
        <f aca="false">BI51/31</f>
        <v>86.5806451612903</v>
      </c>
      <c r="BK51" s="15" t="n">
        <v>2990</v>
      </c>
      <c r="BL51" s="16" t="n">
        <f aca="false">BK51/30</f>
        <v>99.6666666666667</v>
      </c>
      <c r="BM51" s="15" t="n">
        <v>2942</v>
      </c>
      <c r="BN51" s="16" t="n">
        <f aca="false">BM51/31</f>
        <v>94.9032258064516</v>
      </c>
      <c r="BO51" s="15" t="n">
        <v>1414</v>
      </c>
      <c r="BP51" s="16" t="n">
        <f aca="false">BO51/30</f>
        <v>47.1333333333333</v>
      </c>
      <c r="BQ51" s="15" t="n">
        <v>2098</v>
      </c>
      <c r="BR51" s="16" t="n">
        <f aca="false">BQ51/31</f>
        <v>67.6774193548387</v>
      </c>
      <c r="BS51" s="15" t="n">
        <v>1782</v>
      </c>
      <c r="BT51" s="16" t="n">
        <f aca="false">BS51/31</f>
        <v>57.4838709677419</v>
      </c>
      <c r="BU51" s="15" t="n">
        <v>2754</v>
      </c>
      <c r="BV51" s="16" t="n">
        <f aca="false">BU51/30</f>
        <v>91.8</v>
      </c>
      <c r="BW51" s="15" t="n">
        <v>1860</v>
      </c>
      <c r="BX51" s="16" t="n">
        <f aca="false">BW51/31</f>
        <v>60</v>
      </c>
      <c r="BY51" s="15" t="n">
        <v>2250</v>
      </c>
      <c r="BZ51" s="16" t="n">
        <f aca="false">BY51/30</f>
        <v>75</v>
      </c>
      <c r="CA51" s="15" t="n">
        <v>1309</v>
      </c>
      <c r="CB51" s="16" t="n">
        <f aca="false">CA51/31</f>
        <v>42.2258064516129</v>
      </c>
      <c r="CC51" s="17" t="n">
        <f aca="false">SUM(BE51:CA51)</f>
        <v>27369.5665898618</v>
      </c>
      <c r="CD51" s="18" t="n">
        <f aca="false">IFERROR(STDEV(BF51,BH51,BJ51,BL51,BN51,BP51,BR51,BT51,BV51,BX51,BZ51,CB51),0)</f>
        <v>19.9824790693941</v>
      </c>
      <c r="CE51" s="15" t="n">
        <v>1889</v>
      </c>
      <c r="CF51" s="16" t="n">
        <f aca="false">CE51/31</f>
        <v>60.9354838709677</v>
      </c>
      <c r="CG51" s="15" t="n">
        <v>2610</v>
      </c>
      <c r="CH51" s="16" t="n">
        <f aca="false">CG51/28</f>
        <v>93.2142857142857</v>
      </c>
      <c r="CI51" s="15" t="n">
        <v>2094</v>
      </c>
      <c r="CJ51" s="16" t="n">
        <f aca="false">CI51/31</f>
        <v>67.5483870967742</v>
      </c>
      <c r="CK51" s="15" t="n">
        <v>2728</v>
      </c>
      <c r="CL51" s="16" t="n">
        <f aca="false">CK51/30</f>
        <v>90.9333333333333</v>
      </c>
      <c r="CM51" s="15" t="n">
        <v>2412</v>
      </c>
      <c r="CN51" s="16" t="n">
        <f aca="false">CM51/31</f>
        <v>77.8064516129032</v>
      </c>
      <c r="CO51" s="15" t="n">
        <v>2666</v>
      </c>
      <c r="CP51" s="16" t="n">
        <f aca="false">CO51/30</f>
        <v>88.8666666666667</v>
      </c>
      <c r="CQ51" s="15" t="n">
        <v>2470</v>
      </c>
      <c r="CR51" s="16" t="n">
        <f aca="false">CQ51/31</f>
        <v>79.6774193548387</v>
      </c>
      <c r="CS51" s="15" t="n">
        <v>3025</v>
      </c>
      <c r="CT51" s="16" t="n">
        <f aca="false">CS51/31</f>
        <v>97.5806451612903</v>
      </c>
      <c r="CU51" s="15" t="n">
        <v>1879</v>
      </c>
      <c r="CV51" s="16" t="n">
        <f aca="false">CU51/30</f>
        <v>62.6333333333333</v>
      </c>
      <c r="CW51" s="15" t="n">
        <v>3279</v>
      </c>
      <c r="CX51" s="16" t="n">
        <f aca="false">CW51/31</f>
        <v>105.774193548387</v>
      </c>
      <c r="CY51" s="15" t="n">
        <v>3001</v>
      </c>
      <c r="CZ51" s="16" t="n">
        <f aca="false">CY51/30</f>
        <v>100.033333333333</v>
      </c>
      <c r="DA51" s="15" t="n">
        <v>1977</v>
      </c>
      <c r="DB51" s="16" t="n">
        <f aca="false">DA51/31</f>
        <v>63.7741935483871</v>
      </c>
      <c r="DC51" s="17" t="n">
        <f aca="false">SUM(CE51:DA51)</f>
        <v>30955.0035330261</v>
      </c>
      <c r="DD51" s="18" t="n">
        <f aca="false">IFERROR(STDEV(CF51,CH51,CJ51,CL51,CN51,CP51,CR51,CT51,CV51,CX51,CZ51,DB51),0)</f>
        <v>15.8595380347639</v>
      </c>
      <c r="DE51" s="15" t="n">
        <v>1413</v>
      </c>
      <c r="DF51" s="16" t="n">
        <f aca="false">DE51/31</f>
        <v>45.5806451612903</v>
      </c>
      <c r="DG51" s="15" t="n">
        <v>2167</v>
      </c>
      <c r="DH51" s="16" t="n">
        <f aca="false">DG51/28</f>
        <v>77.3928571428571</v>
      </c>
      <c r="DI51" s="15" t="n">
        <v>1837</v>
      </c>
      <c r="DJ51" s="16" t="n">
        <f aca="false">DI51/31</f>
        <v>59.258064516129</v>
      </c>
      <c r="DK51" s="15" t="n">
        <v>2049</v>
      </c>
      <c r="DL51" s="16" t="n">
        <f aca="false">DK51/30</f>
        <v>68.3</v>
      </c>
      <c r="DM51" s="15" t="n">
        <v>2970</v>
      </c>
      <c r="DN51" s="16" t="n">
        <f aca="false">DM51/31</f>
        <v>95.8064516129032</v>
      </c>
      <c r="DO51" s="15" t="n">
        <v>3040</v>
      </c>
      <c r="DP51" s="16" t="n">
        <f aca="false">DO51/30</f>
        <v>101.333333333333</v>
      </c>
      <c r="DQ51" s="15" t="n">
        <v>3178</v>
      </c>
      <c r="DR51" s="16" t="n">
        <f aca="false">DQ51/31</f>
        <v>102.516129032258</v>
      </c>
      <c r="DS51" s="15" t="n">
        <v>1404</v>
      </c>
      <c r="DT51" s="16" t="n">
        <f aca="false">DS51/31</f>
        <v>45.2903225806452</v>
      </c>
      <c r="DU51" s="15" t="n">
        <v>2629</v>
      </c>
      <c r="DV51" s="16" t="n">
        <f aca="false">DU51/30</f>
        <v>87.6333333333333</v>
      </c>
      <c r="DW51" s="15" t="n">
        <v>2988</v>
      </c>
      <c r="DX51" s="16" t="n">
        <f aca="false">DW51/31</f>
        <v>96.3870967741936</v>
      </c>
      <c r="DY51" s="15" t="n">
        <v>2760</v>
      </c>
      <c r="DZ51" s="16" t="n">
        <f aca="false">DY51/30</f>
        <v>92</v>
      </c>
      <c r="EA51" s="15" t="n">
        <v>1596</v>
      </c>
      <c r="EB51" s="16" t="n">
        <f aca="false">EA51/31</f>
        <v>51.4838709677419</v>
      </c>
      <c r="EC51" s="17" t="n">
        <f aca="false">SUM(DE51:EA51)</f>
        <v>28902.4982334869</v>
      </c>
      <c r="ED51" s="18" t="n">
        <f aca="false">IFERROR(STDEV(DF51,DH51,DJ51,DL51,DN51,DP51,DR51,DT51,DV51,DX51,DZ51,EB51),0)</f>
        <v>22.0435116890292</v>
      </c>
      <c r="EE51" s="19" t="n">
        <f aca="false">STDEV(F51:AB51,AF51:BB51,BF51:CB51,CF51:DB51,DF51:EB51)</f>
        <v>1166.38109575001</v>
      </c>
    </row>
    <row r="52" customFormat="false" ht="15" hidden="false" customHeight="true" outlineLevel="0" collapsed="false">
      <c r="A52" s="11" t="n">
        <v>47</v>
      </c>
      <c r="B52" s="12" t="s">
        <v>128</v>
      </c>
      <c r="C52" s="13" t="s">
        <v>129</v>
      </c>
      <c r="D52" s="14" t="s">
        <v>36</v>
      </c>
      <c r="E52" s="15" t="n">
        <v>3148</v>
      </c>
      <c r="F52" s="16" t="n">
        <f aca="false">E52/31</f>
        <v>101.548387096774</v>
      </c>
      <c r="G52" s="15" t="n">
        <v>2431</v>
      </c>
      <c r="H52" s="16" t="n">
        <f aca="false">G52/28</f>
        <v>86.8214285714286</v>
      </c>
      <c r="I52" s="15" t="n">
        <v>3055</v>
      </c>
      <c r="J52" s="16" t="n">
        <f aca="false">I52/31</f>
        <v>98.5483870967742</v>
      </c>
      <c r="K52" s="15" t="n">
        <v>1992</v>
      </c>
      <c r="L52" s="16" t="n">
        <f aca="false">K52/30</f>
        <v>66.4</v>
      </c>
      <c r="M52" s="15" t="n">
        <v>4297</v>
      </c>
      <c r="N52" s="16" t="n">
        <f aca="false">M52/31</f>
        <v>138.612903225806</v>
      </c>
      <c r="O52" s="15" t="n">
        <v>3596</v>
      </c>
      <c r="P52" s="16" t="n">
        <f aca="false">O52/30</f>
        <v>119.866666666667</v>
      </c>
      <c r="Q52" s="15" t="n">
        <v>2074</v>
      </c>
      <c r="R52" s="16" t="n">
        <f aca="false">Q52/31</f>
        <v>66.9032258064516</v>
      </c>
      <c r="S52" s="15" t="n">
        <v>4111</v>
      </c>
      <c r="T52" s="16" t="n">
        <f aca="false">S52/31</f>
        <v>132.612903225806</v>
      </c>
      <c r="U52" s="15" t="n">
        <v>4052</v>
      </c>
      <c r="V52" s="16" t="n">
        <f aca="false">U52/30</f>
        <v>135.066666666667</v>
      </c>
      <c r="W52" s="15" t="n">
        <v>3124</v>
      </c>
      <c r="X52" s="16" t="n">
        <f aca="false">W52/31</f>
        <v>100.774193548387</v>
      </c>
      <c r="Y52" s="15" t="n">
        <v>3569</v>
      </c>
      <c r="Z52" s="16" t="n">
        <f aca="false">Y52/30</f>
        <v>118.966666666667</v>
      </c>
      <c r="AA52" s="15" t="n">
        <v>2761</v>
      </c>
      <c r="AB52" s="16" t="n">
        <f aca="false">AA52/31</f>
        <v>89.0645161290323</v>
      </c>
      <c r="AC52" s="17" t="n">
        <f aca="false">SUM(E52:AA52)</f>
        <v>39376.1214285714</v>
      </c>
      <c r="AD52" s="18" t="n">
        <f aca="false">IFERROR(STDEV(F52,H52,J52,L52,N52,P52,R52,T52,V52,X52,Z52,AB52),0)</f>
        <v>24.8771109059859</v>
      </c>
      <c r="AE52" s="15" t="n">
        <v>5141</v>
      </c>
      <c r="AF52" s="16" t="n">
        <f aca="false">AE52/31</f>
        <v>165.838709677419</v>
      </c>
      <c r="AG52" s="15" t="n">
        <v>2489</v>
      </c>
      <c r="AH52" s="16" t="n">
        <f aca="false">AG52/28</f>
        <v>88.8928571428571</v>
      </c>
      <c r="AI52" s="15" t="n">
        <v>2521</v>
      </c>
      <c r="AJ52" s="16" t="n">
        <f aca="false">AI52/31</f>
        <v>81.3225806451613</v>
      </c>
      <c r="AK52" s="15" t="n">
        <v>2634</v>
      </c>
      <c r="AL52" s="16" t="n">
        <f aca="false">AK52/30</f>
        <v>87.8</v>
      </c>
      <c r="AM52" s="15" t="n">
        <v>4680</v>
      </c>
      <c r="AN52" s="16" t="n">
        <f aca="false">AM52/31</f>
        <v>150.967741935484</v>
      </c>
      <c r="AO52" s="15" t="n">
        <v>2459</v>
      </c>
      <c r="AP52" s="16" t="n">
        <f aca="false">AO52/30</f>
        <v>81.9666666666667</v>
      </c>
      <c r="AQ52" s="15" t="n">
        <v>3929</v>
      </c>
      <c r="AR52" s="16" t="n">
        <f aca="false">AQ52/31</f>
        <v>126.741935483871</v>
      </c>
      <c r="AS52" s="15" t="n">
        <v>3533</v>
      </c>
      <c r="AT52" s="16" t="n">
        <f aca="false">AS52/31</f>
        <v>113.967741935484</v>
      </c>
      <c r="AU52" s="15" t="n">
        <v>5110</v>
      </c>
      <c r="AV52" s="16" t="n">
        <f aca="false">AU52/30</f>
        <v>170.333333333333</v>
      </c>
      <c r="AW52" s="15" t="n">
        <v>2942</v>
      </c>
      <c r="AX52" s="16" t="n">
        <f aca="false">AW52/31</f>
        <v>94.9032258064516</v>
      </c>
      <c r="AY52" s="15" t="n">
        <v>3014</v>
      </c>
      <c r="AZ52" s="16" t="n">
        <f aca="false">AY52/30</f>
        <v>100.466666666667</v>
      </c>
      <c r="BA52" s="15" t="n">
        <v>3175</v>
      </c>
      <c r="BB52" s="16" t="n">
        <f aca="false">BA52/31</f>
        <v>102.41935483871</v>
      </c>
      <c r="BC52" s="17" t="n">
        <f aca="false">SUM(AE52:BA52)</f>
        <v>42890.2014592934</v>
      </c>
      <c r="BD52" s="18" t="n">
        <f aca="false">IFERROR(STDEV(AF52,AH52,AJ52,AL52,AN52,AP52,AR52,AT52,AV52,AX52,AZ52,BB52),0)</f>
        <v>32.308037980901</v>
      </c>
      <c r="BE52" s="15" t="n">
        <v>5514</v>
      </c>
      <c r="BF52" s="16" t="n">
        <f aca="false">BE52/31</f>
        <v>177.870967741936</v>
      </c>
      <c r="BG52" s="15" t="n">
        <v>5158</v>
      </c>
      <c r="BH52" s="16" t="n">
        <f aca="false">BG52/28</f>
        <v>184.214285714286</v>
      </c>
      <c r="BI52" s="15" t="n">
        <v>5281</v>
      </c>
      <c r="BJ52" s="16" t="n">
        <f aca="false">BI52/31</f>
        <v>170.354838709677</v>
      </c>
      <c r="BK52" s="15" t="n">
        <v>3797</v>
      </c>
      <c r="BL52" s="16" t="n">
        <f aca="false">BK52/30</f>
        <v>126.566666666667</v>
      </c>
      <c r="BM52" s="15" t="n">
        <v>3633</v>
      </c>
      <c r="BN52" s="16" t="n">
        <f aca="false">BM52/31</f>
        <v>117.193548387097</v>
      </c>
      <c r="BO52" s="15" t="n">
        <v>2932</v>
      </c>
      <c r="BP52" s="16" t="n">
        <f aca="false">BO52/30</f>
        <v>97.7333333333333</v>
      </c>
      <c r="BQ52" s="15" t="n">
        <v>3387</v>
      </c>
      <c r="BR52" s="16" t="n">
        <f aca="false">BQ52/31</f>
        <v>109.258064516129</v>
      </c>
      <c r="BS52" s="15" t="n">
        <v>5440</v>
      </c>
      <c r="BT52" s="16" t="n">
        <f aca="false">BS52/31</f>
        <v>175.483870967742</v>
      </c>
      <c r="BU52" s="15" t="n">
        <v>4745</v>
      </c>
      <c r="BV52" s="16" t="n">
        <f aca="false">BU52/30</f>
        <v>158.166666666667</v>
      </c>
      <c r="BW52" s="15" t="n">
        <v>3219</v>
      </c>
      <c r="BX52" s="16" t="n">
        <f aca="false">BW52/31</f>
        <v>103.838709677419</v>
      </c>
      <c r="BY52" s="15" t="n">
        <v>3251</v>
      </c>
      <c r="BZ52" s="16" t="n">
        <f aca="false">BY52/30</f>
        <v>108.366666666667</v>
      </c>
      <c r="CA52" s="15" t="n">
        <v>4324</v>
      </c>
      <c r="CB52" s="16" t="n">
        <f aca="false">CA52/31</f>
        <v>139.483870967742</v>
      </c>
      <c r="CC52" s="17" t="n">
        <f aca="false">SUM(BE52:CA52)</f>
        <v>52210.0476190476</v>
      </c>
      <c r="CD52" s="18" t="n">
        <f aca="false">IFERROR(STDEV(BF52,BH52,BJ52,BL52,BN52,BP52,BR52,BT52,BV52,BX52,BZ52,CB52),0)</f>
        <v>32.5148934844056</v>
      </c>
      <c r="CE52" s="15" t="n">
        <v>3210</v>
      </c>
      <c r="CF52" s="16" t="n">
        <f aca="false">CE52/31</f>
        <v>103.548387096774</v>
      </c>
      <c r="CG52" s="15" t="n">
        <v>3569</v>
      </c>
      <c r="CH52" s="16" t="n">
        <f aca="false">CG52/28</f>
        <v>127.464285714286</v>
      </c>
      <c r="CI52" s="15" t="n">
        <v>4759</v>
      </c>
      <c r="CJ52" s="16" t="n">
        <f aca="false">CI52/31</f>
        <v>153.516129032258</v>
      </c>
      <c r="CK52" s="15" t="n">
        <v>2658</v>
      </c>
      <c r="CL52" s="16" t="n">
        <f aca="false">CK52/30</f>
        <v>88.6</v>
      </c>
      <c r="CM52" s="15" t="n">
        <v>2937</v>
      </c>
      <c r="CN52" s="16" t="n">
        <f aca="false">CM52/31</f>
        <v>94.741935483871</v>
      </c>
      <c r="CO52" s="15" t="n">
        <v>2817</v>
      </c>
      <c r="CP52" s="16" t="n">
        <f aca="false">CO52/30</f>
        <v>93.9</v>
      </c>
      <c r="CQ52" s="15" t="n">
        <v>2414</v>
      </c>
      <c r="CR52" s="16" t="n">
        <f aca="false">CQ52/31</f>
        <v>77.8709677419355</v>
      </c>
      <c r="CS52" s="15" t="n">
        <v>2519</v>
      </c>
      <c r="CT52" s="16" t="n">
        <f aca="false">CS52/31</f>
        <v>81.258064516129</v>
      </c>
      <c r="CU52" s="15" t="n">
        <v>3986</v>
      </c>
      <c r="CV52" s="16" t="n">
        <f aca="false">CU52/30</f>
        <v>132.866666666667</v>
      </c>
      <c r="CW52" s="15" t="n">
        <v>4375</v>
      </c>
      <c r="CX52" s="16" t="n">
        <f aca="false">CW52/31</f>
        <v>141.129032258065</v>
      </c>
      <c r="CY52" s="15" t="n">
        <v>4016</v>
      </c>
      <c r="CZ52" s="16" t="n">
        <f aca="false">CY52/30</f>
        <v>133.866666666667</v>
      </c>
      <c r="DA52" s="15" t="n">
        <v>2193</v>
      </c>
      <c r="DB52" s="16" t="n">
        <f aca="false">DA52/31</f>
        <v>70.741935483871</v>
      </c>
      <c r="DC52" s="17" t="n">
        <f aca="false">SUM(CE52:DA52)</f>
        <v>40681.7621351767</v>
      </c>
      <c r="DD52" s="18" t="n">
        <f aca="false">IFERROR(STDEV(CF52,CH52,CJ52,CL52,CN52,CP52,CR52,CT52,CV52,CX52,CZ52,DB52),0)</f>
        <v>27.9875585134259</v>
      </c>
      <c r="DE52" s="15" t="n">
        <v>4612</v>
      </c>
      <c r="DF52" s="16" t="n">
        <f aca="false">DE52/31</f>
        <v>148.774193548387</v>
      </c>
      <c r="DG52" s="15" t="n">
        <v>3135</v>
      </c>
      <c r="DH52" s="16" t="n">
        <f aca="false">DG52/28</f>
        <v>111.964285714286</v>
      </c>
      <c r="DI52" s="15" t="n">
        <v>2446</v>
      </c>
      <c r="DJ52" s="16" t="n">
        <f aca="false">DI52/31</f>
        <v>78.9032258064516</v>
      </c>
      <c r="DK52" s="15" t="n">
        <v>2903</v>
      </c>
      <c r="DL52" s="16" t="n">
        <f aca="false">DK52/30</f>
        <v>96.7666666666667</v>
      </c>
      <c r="DM52" s="15" t="n">
        <v>3216</v>
      </c>
      <c r="DN52" s="16" t="n">
        <f aca="false">DM52/31</f>
        <v>103.741935483871</v>
      </c>
      <c r="DO52" s="15" t="n">
        <v>3675</v>
      </c>
      <c r="DP52" s="16" t="n">
        <f aca="false">DO52/30</f>
        <v>122.5</v>
      </c>
      <c r="DQ52" s="15" t="n">
        <v>4151</v>
      </c>
      <c r="DR52" s="16" t="n">
        <f aca="false">DQ52/31</f>
        <v>133.903225806452</v>
      </c>
      <c r="DS52" s="15" t="n">
        <v>2938</v>
      </c>
      <c r="DT52" s="16" t="n">
        <f aca="false">DS52/31</f>
        <v>94.7741935483871</v>
      </c>
      <c r="DU52" s="15" t="n">
        <v>5062</v>
      </c>
      <c r="DV52" s="16" t="n">
        <f aca="false">DU52/30</f>
        <v>168.733333333333</v>
      </c>
      <c r="DW52" s="15" t="n">
        <v>2272</v>
      </c>
      <c r="DX52" s="16" t="n">
        <f aca="false">DW52/31</f>
        <v>73.2903225806452</v>
      </c>
      <c r="DY52" s="15" t="n">
        <v>3357</v>
      </c>
      <c r="DZ52" s="16" t="n">
        <f aca="false">DY52/30</f>
        <v>111.9</v>
      </c>
      <c r="EA52" s="15" t="n">
        <v>3496</v>
      </c>
      <c r="EB52" s="16" t="n">
        <f aca="false">EA52/31</f>
        <v>112.774193548387</v>
      </c>
      <c r="EC52" s="17" t="n">
        <f aca="false">SUM(DE52:EA52)</f>
        <v>42508.2513824885</v>
      </c>
      <c r="ED52" s="18" t="n">
        <f aca="false">IFERROR(STDEV(DF52,DH52,DJ52,DL52,DN52,DP52,DR52,DT52,DV52,DX52,DZ52,EB52),0)</f>
        <v>27.528572559343</v>
      </c>
      <c r="EE52" s="19" t="n">
        <f aca="false">STDEV(F52:AB52,AF52:BB52,BF52:CB52,CF52:DB52,DF52:EB52)</f>
        <v>1781.58041856218</v>
      </c>
    </row>
    <row r="53" customFormat="false" ht="15" hidden="false" customHeight="true" outlineLevel="0" collapsed="false">
      <c r="A53" s="11" t="n">
        <v>48</v>
      </c>
      <c r="B53" s="12" t="s">
        <v>130</v>
      </c>
      <c r="C53" s="13" t="s">
        <v>131</v>
      </c>
      <c r="D53" s="14" t="s">
        <v>57</v>
      </c>
      <c r="E53" s="15" t="n">
        <v>2908</v>
      </c>
      <c r="F53" s="16" t="n">
        <f aca="false">E53/31</f>
        <v>93.8064516129032</v>
      </c>
      <c r="G53" s="15" t="n">
        <v>1941</v>
      </c>
      <c r="H53" s="16" t="n">
        <f aca="false">G53/28</f>
        <v>69.3214285714286</v>
      </c>
      <c r="I53" s="15" t="n">
        <v>2353</v>
      </c>
      <c r="J53" s="16" t="n">
        <f aca="false">I53/31</f>
        <v>75.9032258064516</v>
      </c>
      <c r="K53" s="15" t="n">
        <v>3017</v>
      </c>
      <c r="L53" s="16" t="n">
        <f aca="false">K53/30</f>
        <v>100.566666666667</v>
      </c>
      <c r="M53" s="15" t="n">
        <v>1727</v>
      </c>
      <c r="N53" s="16" t="n">
        <f aca="false">M53/31</f>
        <v>55.7096774193548</v>
      </c>
      <c r="O53" s="15" t="n">
        <v>1479</v>
      </c>
      <c r="P53" s="16" t="n">
        <f aca="false">O53/30</f>
        <v>49.3</v>
      </c>
      <c r="Q53" s="15" t="n">
        <v>3068</v>
      </c>
      <c r="R53" s="16" t="n">
        <f aca="false">Q53/31</f>
        <v>98.9677419354839</v>
      </c>
      <c r="S53" s="15" t="n">
        <v>3364</v>
      </c>
      <c r="T53" s="16" t="n">
        <f aca="false">S53/31</f>
        <v>108.516129032258</v>
      </c>
      <c r="U53" s="15" t="n">
        <v>1710</v>
      </c>
      <c r="V53" s="16" t="n">
        <f aca="false">U53/30</f>
        <v>57</v>
      </c>
      <c r="W53" s="15" t="n">
        <v>3055</v>
      </c>
      <c r="X53" s="16" t="n">
        <f aca="false">W53/31</f>
        <v>98.5483870967742</v>
      </c>
      <c r="Y53" s="15" t="n">
        <v>2179</v>
      </c>
      <c r="Z53" s="16" t="n">
        <f aca="false">Y53/30</f>
        <v>72.6333333333333</v>
      </c>
      <c r="AA53" s="15" t="n">
        <v>2680</v>
      </c>
      <c r="AB53" s="16" t="n">
        <f aca="false">AA53/31</f>
        <v>86.4516129032258</v>
      </c>
      <c r="AC53" s="17" t="n">
        <f aca="false">SUM(E53:AA53)</f>
        <v>30361.2730414747</v>
      </c>
      <c r="AD53" s="18" t="n">
        <f aca="false">IFERROR(STDEV(F53,H53,J53,L53,N53,P53,R53,T53,V53,X53,Z53,AB53),0)</f>
        <v>20.0341555773377</v>
      </c>
      <c r="AE53" s="15" t="n">
        <v>2149</v>
      </c>
      <c r="AF53" s="16" t="n">
        <f aca="false">AE53/31</f>
        <v>69.3225806451613</v>
      </c>
      <c r="AG53" s="15" t="n">
        <v>2053</v>
      </c>
      <c r="AH53" s="16" t="n">
        <f aca="false">AG53/28</f>
        <v>73.3214285714286</v>
      </c>
      <c r="AI53" s="15" t="n">
        <v>1554</v>
      </c>
      <c r="AJ53" s="16" t="n">
        <f aca="false">AI53/31</f>
        <v>50.1290322580645</v>
      </c>
      <c r="AK53" s="15" t="n">
        <v>2408</v>
      </c>
      <c r="AL53" s="16" t="n">
        <f aca="false">AK53/30</f>
        <v>80.2666666666667</v>
      </c>
      <c r="AM53" s="15" t="n">
        <v>1189</v>
      </c>
      <c r="AN53" s="16" t="n">
        <f aca="false">AM53/31</f>
        <v>38.3548387096774</v>
      </c>
      <c r="AO53" s="15" t="n">
        <v>1255</v>
      </c>
      <c r="AP53" s="16" t="n">
        <f aca="false">AO53/30</f>
        <v>41.8333333333333</v>
      </c>
      <c r="AQ53" s="15" t="n">
        <v>2546</v>
      </c>
      <c r="AR53" s="16" t="n">
        <f aca="false">AQ53/31</f>
        <v>82.1290322580645</v>
      </c>
      <c r="AS53" s="15" t="n">
        <v>1839</v>
      </c>
      <c r="AT53" s="16" t="n">
        <f aca="false">AS53/31</f>
        <v>59.3225806451613</v>
      </c>
      <c r="AU53" s="15" t="n">
        <v>1354</v>
      </c>
      <c r="AV53" s="16" t="n">
        <f aca="false">AU53/30</f>
        <v>45.1333333333333</v>
      </c>
      <c r="AW53" s="15" t="n">
        <v>2550</v>
      </c>
      <c r="AX53" s="16" t="n">
        <f aca="false">AW53/31</f>
        <v>82.258064516129</v>
      </c>
      <c r="AY53" s="15" t="n">
        <v>2433</v>
      </c>
      <c r="AZ53" s="16" t="n">
        <f aca="false">AY53/30</f>
        <v>81.1</v>
      </c>
      <c r="BA53" s="15" t="n">
        <v>1666</v>
      </c>
      <c r="BB53" s="16" t="n">
        <f aca="false">BA53/31</f>
        <v>53.741935483871</v>
      </c>
      <c r="BC53" s="17" t="n">
        <f aca="false">SUM(AE53:BA53)</f>
        <v>23699.170890937</v>
      </c>
      <c r="BD53" s="18" t="n">
        <f aca="false">IFERROR(STDEV(AF53,AH53,AJ53,AL53,AN53,AP53,AR53,AT53,AV53,AX53,AZ53,BB53),0)</f>
        <v>16.9182652527962</v>
      </c>
      <c r="BE53" s="15" t="n">
        <v>1314</v>
      </c>
      <c r="BF53" s="16" t="n">
        <f aca="false">BE53/31</f>
        <v>42.3870967741936</v>
      </c>
      <c r="BG53" s="15" t="n">
        <v>2008</v>
      </c>
      <c r="BH53" s="16" t="n">
        <f aca="false">BG53/28</f>
        <v>71.7142857142857</v>
      </c>
      <c r="BI53" s="15" t="n">
        <v>1522</v>
      </c>
      <c r="BJ53" s="16" t="n">
        <f aca="false">BI53/31</f>
        <v>49.0967741935484</v>
      </c>
      <c r="BK53" s="15" t="n">
        <v>2195</v>
      </c>
      <c r="BL53" s="16" t="n">
        <f aca="false">BK53/30</f>
        <v>73.1666666666667</v>
      </c>
      <c r="BM53" s="15" t="n">
        <v>2606</v>
      </c>
      <c r="BN53" s="16" t="n">
        <f aca="false">BM53/31</f>
        <v>84.0645161290323</v>
      </c>
      <c r="BO53" s="15" t="n">
        <v>1898</v>
      </c>
      <c r="BP53" s="16" t="n">
        <f aca="false">BO53/30</f>
        <v>63.2666666666667</v>
      </c>
      <c r="BQ53" s="15" t="n">
        <v>1292</v>
      </c>
      <c r="BR53" s="16" t="n">
        <f aca="false">BQ53/31</f>
        <v>41.6774193548387</v>
      </c>
      <c r="BS53" s="15" t="n">
        <v>2376</v>
      </c>
      <c r="BT53" s="16" t="n">
        <f aca="false">BS53/31</f>
        <v>76.6451612903226</v>
      </c>
      <c r="BU53" s="15" t="n">
        <v>1530</v>
      </c>
      <c r="BV53" s="16" t="n">
        <f aca="false">BU53/30</f>
        <v>51</v>
      </c>
      <c r="BW53" s="15" t="n">
        <v>1600</v>
      </c>
      <c r="BX53" s="16" t="n">
        <f aca="false">BW53/31</f>
        <v>51.6129032258065</v>
      </c>
      <c r="BY53" s="15" t="n">
        <v>1554</v>
      </c>
      <c r="BZ53" s="16" t="n">
        <f aca="false">BY53/30</f>
        <v>51.8</v>
      </c>
      <c r="CA53" s="15" t="n">
        <v>1708</v>
      </c>
      <c r="CB53" s="16" t="n">
        <f aca="false">CA53/31</f>
        <v>55.0967741935484</v>
      </c>
      <c r="CC53" s="17" t="n">
        <f aca="false">SUM(BE53:CA53)</f>
        <v>22259.4314900154</v>
      </c>
      <c r="CD53" s="18" t="n">
        <f aca="false">IFERROR(STDEV(BF53,BH53,BJ53,BL53,BN53,BP53,BR53,BT53,BV53,BX53,BZ53,CB53),0)</f>
        <v>14.0740730491338</v>
      </c>
      <c r="CE53" s="15" t="n">
        <v>2631</v>
      </c>
      <c r="CF53" s="16" t="n">
        <f aca="false">CE53/31</f>
        <v>84.8709677419355</v>
      </c>
      <c r="CG53" s="15" t="n">
        <v>1264</v>
      </c>
      <c r="CH53" s="16" t="n">
        <f aca="false">CG53/28</f>
        <v>45.1428571428571</v>
      </c>
      <c r="CI53" s="15" t="n">
        <v>2205</v>
      </c>
      <c r="CJ53" s="16" t="n">
        <f aca="false">CI53/31</f>
        <v>71.1290322580645</v>
      </c>
      <c r="CK53" s="15" t="n">
        <v>1604</v>
      </c>
      <c r="CL53" s="16" t="n">
        <f aca="false">CK53/30</f>
        <v>53.4666666666667</v>
      </c>
      <c r="CM53" s="15" t="n">
        <v>1683</v>
      </c>
      <c r="CN53" s="16" t="n">
        <f aca="false">CM53/31</f>
        <v>54.2903225806452</v>
      </c>
      <c r="CO53" s="15" t="n">
        <v>1871</v>
      </c>
      <c r="CP53" s="16" t="n">
        <f aca="false">CO53/30</f>
        <v>62.3666666666667</v>
      </c>
      <c r="CQ53" s="15" t="n">
        <v>2095</v>
      </c>
      <c r="CR53" s="16" t="n">
        <f aca="false">CQ53/31</f>
        <v>67.5806451612903</v>
      </c>
      <c r="CS53" s="15" t="n">
        <v>1306</v>
      </c>
      <c r="CT53" s="16" t="n">
        <f aca="false">CS53/31</f>
        <v>42.1290322580645</v>
      </c>
      <c r="CU53" s="15" t="n">
        <v>1658</v>
      </c>
      <c r="CV53" s="16" t="n">
        <f aca="false">CU53/30</f>
        <v>55.2666666666667</v>
      </c>
      <c r="CW53" s="15" t="n">
        <v>1429</v>
      </c>
      <c r="CX53" s="16" t="n">
        <f aca="false">CW53/31</f>
        <v>46.0967741935484</v>
      </c>
      <c r="CY53" s="15" t="n">
        <v>1529</v>
      </c>
      <c r="CZ53" s="16" t="n">
        <f aca="false">CY53/30</f>
        <v>50.9666666666667</v>
      </c>
      <c r="DA53" s="15" t="n">
        <v>2633</v>
      </c>
      <c r="DB53" s="16" t="n">
        <f aca="false">DA53/31</f>
        <v>84.9354838709677</v>
      </c>
      <c r="DC53" s="17" t="n">
        <f aca="false">SUM(CE53:DA53)</f>
        <v>22541.3062980031</v>
      </c>
      <c r="DD53" s="18" t="n">
        <f aca="false">IFERROR(STDEV(CF53,CH53,CJ53,CL53,CN53,CP53,CR53,CT53,CV53,CX53,CZ53,DB53),0)</f>
        <v>14.5842527733526</v>
      </c>
      <c r="DE53" s="15" t="n">
        <v>2234</v>
      </c>
      <c r="DF53" s="16" t="n">
        <f aca="false">DE53/31</f>
        <v>72.0645161290323</v>
      </c>
      <c r="DG53" s="15" t="n">
        <v>2418</v>
      </c>
      <c r="DH53" s="16" t="n">
        <f aca="false">DG53/28</f>
        <v>86.3571428571429</v>
      </c>
      <c r="DI53" s="15" t="n">
        <v>2718</v>
      </c>
      <c r="DJ53" s="16" t="n">
        <f aca="false">DI53/31</f>
        <v>87.6774193548387</v>
      </c>
      <c r="DK53" s="15" t="n">
        <v>2705</v>
      </c>
      <c r="DL53" s="16" t="n">
        <f aca="false">DK53/30</f>
        <v>90.1666666666667</v>
      </c>
      <c r="DM53" s="15" t="n">
        <v>3046</v>
      </c>
      <c r="DN53" s="16" t="n">
        <f aca="false">DM53/31</f>
        <v>98.258064516129</v>
      </c>
      <c r="DO53" s="15" t="n">
        <v>2683</v>
      </c>
      <c r="DP53" s="16" t="n">
        <f aca="false">DO53/30</f>
        <v>89.4333333333333</v>
      </c>
      <c r="DQ53" s="15" t="n">
        <v>1942</v>
      </c>
      <c r="DR53" s="16" t="n">
        <f aca="false">DQ53/31</f>
        <v>62.6451612903226</v>
      </c>
      <c r="DS53" s="15" t="n">
        <v>2267</v>
      </c>
      <c r="DT53" s="16" t="n">
        <f aca="false">DS53/31</f>
        <v>73.1290322580645</v>
      </c>
      <c r="DU53" s="15" t="n">
        <v>2162</v>
      </c>
      <c r="DV53" s="16" t="n">
        <f aca="false">DU53/30</f>
        <v>72.0666666666667</v>
      </c>
      <c r="DW53" s="15" t="n">
        <v>2912</v>
      </c>
      <c r="DX53" s="16" t="n">
        <f aca="false">DW53/31</f>
        <v>93.9354838709677</v>
      </c>
      <c r="DY53" s="15" t="n">
        <v>2193</v>
      </c>
      <c r="DZ53" s="16" t="n">
        <f aca="false">DY53/30</f>
        <v>73.1</v>
      </c>
      <c r="EA53" s="15" t="n">
        <v>1993</v>
      </c>
      <c r="EB53" s="16" t="n">
        <f aca="false">EA53/31</f>
        <v>64.2903225806452</v>
      </c>
      <c r="EC53" s="17" t="n">
        <f aca="false">SUM(DE53:EA53)</f>
        <v>30171.8334869432</v>
      </c>
      <c r="ED53" s="18" t="n">
        <f aca="false">IFERROR(STDEV(DF53,DH53,DJ53,DL53,DN53,DP53,DR53,DT53,DV53,DX53,DZ53,EB53),0)</f>
        <v>12.0119661610277</v>
      </c>
      <c r="EE53" s="19" t="n">
        <f aca="false">STDEV(F53:AB53,AF53:BB53,BF53:CB53,CF53:DB53,DF53:EB53)</f>
        <v>1077.0385419724</v>
      </c>
    </row>
    <row r="54" customFormat="false" ht="15" hidden="false" customHeight="true" outlineLevel="0" collapsed="false">
      <c r="A54" s="11" t="n">
        <v>49</v>
      </c>
      <c r="B54" s="12" t="s">
        <v>132</v>
      </c>
      <c r="C54" s="13" t="s">
        <v>133</v>
      </c>
      <c r="D54" s="14" t="s">
        <v>57</v>
      </c>
      <c r="E54" s="15" t="n">
        <v>895</v>
      </c>
      <c r="F54" s="16" t="n">
        <f aca="false">E54/31</f>
        <v>28.8709677419355</v>
      </c>
      <c r="G54" s="15" t="n">
        <v>1029</v>
      </c>
      <c r="H54" s="16" t="n">
        <f aca="false">G54/28</f>
        <v>36.75</v>
      </c>
      <c r="I54" s="15" t="n">
        <v>932</v>
      </c>
      <c r="J54" s="16" t="n">
        <f aca="false">I54/31</f>
        <v>30.0645161290323</v>
      </c>
      <c r="K54" s="15" t="n">
        <v>1584</v>
      </c>
      <c r="L54" s="16" t="n">
        <f aca="false">K54/30</f>
        <v>52.8</v>
      </c>
      <c r="M54" s="15" t="n">
        <v>1471</v>
      </c>
      <c r="N54" s="16" t="n">
        <f aca="false">M54/31</f>
        <v>47.4516129032258</v>
      </c>
      <c r="O54" s="15" t="n">
        <v>778</v>
      </c>
      <c r="P54" s="16" t="n">
        <f aca="false">O54/30</f>
        <v>25.9333333333333</v>
      </c>
      <c r="Q54" s="15" t="n">
        <v>1676</v>
      </c>
      <c r="R54" s="16" t="n">
        <f aca="false">Q54/31</f>
        <v>54.0645161290323</v>
      </c>
      <c r="S54" s="15" t="n">
        <v>1231</v>
      </c>
      <c r="T54" s="16" t="n">
        <f aca="false">S54/31</f>
        <v>39.7096774193548</v>
      </c>
      <c r="U54" s="15" t="n">
        <v>1460</v>
      </c>
      <c r="V54" s="16" t="n">
        <f aca="false">U54/30</f>
        <v>48.6666666666667</v>
      </c>
      <c r="W54" s="15" t="n">
        <v>1684</v>
      </c>
      <c r="X54" s="16" t="n">
        <f aca="false">W54/31</f>
        <v>54.3225806451613</v>
      </c>
      <c r="Y54" s="15" t="n">
        <v>1659</v>
      </c>
      <c r="Z54" s="16" t="n">
        <f aca="false">Y54/30</f>
        <v>55.3</v>
      </c>
      <c r="AA54" s="15" t="n">
        <v>818</v>
      </c>
      <c r="AB54" s="16" t="n">
        <f aca="false">AA54/31</f>
        <v>26.3870967741935</v>
      </c>
      <c r="AC54" s="17" t="n">
        <f aca="false">SUM(E54:AA54)</f>
        <v>15690.9338709677</v>
      </c>
      <c r="AD54" s="18" t="n">
        <f aca="false">IFERROR(STDEV(F54,H54,J54,L54,N54,P54,R54,T54,V54,X54,Z54,AB54),0)</f>
        <v>11.72991899809</v>
      </c>
      <c r="AE54" s="15" t="n">
        <v>1110</v>
      </c>
      <c r="AF54" s="16" t="n">
        <f aca="false">AE54/31</f>
        <v>35.8064516129032</v>
      </c>
      <c r="AG54" s="15" t="n">
        <v>802</v>
      </c>
      <c r="AH54" s="16" t="n">
        <f aca="false">AG54/28</f>
        <v>28.6428571428571</v>
      </c>
      <c r="AI54" s="15" t="n">
        <v>1236</v>
      </c>
      <c r="AJ54" s="16" t="n">
        <f aca="false">AI54/31</f>
        <v>39.8709677419355</v>
      </c>
      <c r="AK54" s="15" t="n">
        <v>1316</v>
      </c>
      <c r="AL54" s="16" t="n">
        <f aca="false">AK54/30</f>
        <v>43.8666666666667</v>
      </c>
      <c r="AM54" s="15" t="n">
        <v>636</v>
      </c>
      <c r="AN54" s="16" t="n">
        <f aca="false">AM54/31</f>
        <v>20.5161290322581</v>
      </c>
      <c r="AO54" s="15" t="n">
        <v>1378</v>
      </c>
      <c r="AP54" s="16" t="n">
        <f aca="false">AO54/30</f>
        <v>45.9333333333333</v>
      </c>
      <c r="AQ54" s="15" t="n">
        <v>765</v>
      </c>
      <c r="AR54" s="16" t="n">
        <f aca="false">AQ54/31</f>
        <v>24.6774193548387</v>
      </c>
      <c r="AS54" s="15" t="n">
        <v>1260</v>
      </c>
      <c r="AT54" s="16" t="n">
        <f aca="false">AS54/31</f>
        <v>40.6451612903226</v>
      </c>
      <c r="AU54" s="15" t="n">
        <v>1221</v>
      </c>
      <c r="AV54" s="16" t="n">
        <f aca="false">AU54/30</f>
        <v>40.7</v>
      </c>
      <c r="AW54" s="15" t="n">
        <v>872</v>
      </c>
      <c r="AX54" s="16" t="n">
        <f aca="false">AW54/31</f>
        <v>28.1290322580645</v>
      </c>
      <c r="AY54" s="15" t="n">
        <v>1254</v>
      </c>
      <c r="AZ54" s="16" t="n">
        <f aca="false">AY54/30</f>
        <v>41.8</v>
      </c>
      <c r="BA54" s="15" t="n">
        <v>1259</v>
      </c>
      <c r="BB54" s="16" t="n">
        <f aca="false">BA54/31</f>
        <v>40.6129032258065</v>
      </c>
      <c r="BC54" s="17" t="n">
        <f aca="false">SUM(AE54:BA54)</f>
        <v>13499.5880184332</v>
      </c>
      <c r="BD54" s="18" t="n">
        <f aca="false">IFERROR(STDEV(AF54,AH54,AJ54,AL54,AN54,AP54,AR54,AT54,AV54,AX54,AZ54,BB54),0)</f>
        <v>8.30192405785977</v>
      </c>
      <c r="BE54" s="15" t="n">
        <v>829</v>
      </c>
      <c r="BF54" s="16" t="n">
        <f aca="false">BE54/31</f>
        <v>26.741935483871</v>
      </c>
      <c r="BG54" s="15" t="n">
        <v>1201</v>
      </c>
      <c r="BH54" s="16" t="n">
        <f aca="false">BG54/28</f>
        <v>42.8928571428571</v>
      </c>
      <c r="BI54" s="15" t="n">
        <v>1392</v>
      </c>
      <c r="BJ54" s="16" t="n">
        <f aca="false">BI54/31</f>
        <v>44.9032258064516</v>
      </c>
      <c r="BK54" s="15" t="n">
        <v>1295</v>
      </c>
      <c r="BL54" s="16" t="n">
        <f aca="false">BK54/30</f>
        <v>43.1666666666667</v>
      </c>
      <c r="BM54" s="15" t="n">
        <v>1489</v>
      </c>
      <c r="BN54" s="16" t="n">
        <f aca="false">BM54/31</f>
        <v>48.0322580645161</v>
      </c>
      <c r="BO54" s="15" t="n">
        <v>696</v>
      </c>
      <c r="BP54" s="16" t="n">
        <f aca="false">BO54/30</f>
        <v>23.2</v>
      </c>
      <c r="BQ54" s="15" t="n">
        <v>1298</v>
      </c>
      <c r="BR54" s="16" t="n">
        <f aca="false">BQ54/31</f>
        <v>41.8709677419355</v>
      </c>
      <c r="BS54" s="15" t="n">
        <v>1519</v>
      </c>
      <c r="BT54" s="16" t="n">
        <f aca="false">BS54/31</f>
        <v>49</v>
      </c>
      <c r="BU54" s="15" t="n">
        <v>1175</v>
      </c>
      <c r="BV54" s="16" t="n">
        <f aca="false">BU54/30</f>
        <v>39.1666666666667</v>
      </c>
      <c r="BW54" s="15" t="n">
        <v>1175</v>
      </c>
      <c r="BX54" s="16" t="n">
        <f aca="false">BW54/31</f>
        <v>37.9032258064516</v>
      </c>
      <c r="BY54" s="15" t="n">
        <v>839</v>
      </c>
      <c r="BZ54" s="16" t="n">
        <f aca="false">BY54/30</f>
        <v>27.9666666666667</v>
      </c>
      <c r="CA54" s="15" t="n">
        <v>1555</v>
      </c>
      <c r="CB54" s="16" t="n">
        <f aca="false">CA54/31</f>
        <v>50.1612903225807</v>
      </c>
      <c r="CC54" s="17" t="n">
        <f aca="false">SUM(BE54:CA54)</f>
        <v>14887.8444700461</v>
      </c>
      <c r="CD54" s="18" t="n">
        <f aca="false">IFERROR(STDEV(BF54,BH54,BJ54,BL54,BN54,BP54,BR54,BT54,BV54,BX54,BZ54,CB54),0)</f>
        <v>9.04803992314351</v>
      </c>
      <c r="CE54" s="15" t="n">
        <v>1491</v>
      </c>
      <c r="CF54" s="16" t="n">
        <f aca="false">CE54/31</f>
        <v>48.0967741935484</v>
      </c>
      <c r="CG54" s="15" t="n">
        <v>1135</v>
      </c>
      <c r="CH54" s="16" t="n">
        <f aca="false">CG54/28</f>
        <v>40.5357142857143</v>
      </c>
      <c r="CI54" s="15" t="n">
        <v>968</v>
      </c>
      <c r="CJ54" s="16" t="n">
        <f aca="false">CI54/31</f>
        <v>31.2258064516129</v>
      </c>
      <c r="CK54" s="15" t="n">
        <v>1133</v>
      </c>
      <c r="CL54" s="16" t="n">
        <f aca="false">CK54/30</f>
        <v>37.7666666666667</v>
      </c>
      <c r="CM54" s="15" t="n">
        <v>768</v>
      </c>
      <c r="CN54" s="16" t="n">
        <f aca="false">CM54/31</f>
        <v>24.7741935483871</v>
      </c>
      <c r="CO54" s="15" t="n">
        <v>898</v>
      </c>
      <c r="CP54" s="16" t="n">
        <f aca="false">CO54/30</f>
        <v>29.9333333333333</v>
      </c>
      <c r="CQ54" s="15" t="n">
        <v>885</v>
      </c>
      <c r="CR54" s="16" t="n">
        <f aca="false">CQ54/31</f>
        <v>28.5483870967742</v>
      </c>
      <c r="CS54" s="15" t="n">
        <v>1166</v>
      </c>
      <c r="CT54" s="16" t="n">
        <f aca="false">CS54/31</f>
        <v>37.6129032258065</v>
      </c>
      <c r="CU54" s="15" t="n">
        <v>686</v>
      </c>
      <c r="CV54" s="16" t="n">
        <f aca="false">CU54/30</f>
        <v>22.8666666666667</v>
      </c>
      <c r="CW54" s="15" t="n">
        <v>1524</v>
      </c>
      <c r="CX54" s="16" t="n">
        <f aca="false">CW54/31</f>
        <v>49.1612903225807</v>
      </c>
      <c r="CY54" s="15" t="n">
        <v>869</v>
      </c>
      <c r="CZ54" s="16" t="n">
        <f aca="false">CY54/30</f>
        <v>28.9666666666667</v>
      </c>
      <c r="DA54" s="15" t="n">
        <v>804</v>
      </c>
      <c r="DB54" s="16" t="n">
        <f aca="false">DA54/31</f>
        <v>25.9354838709677</v>
      </c>
      <c r="DC54" s="17" t="n">
        <f aca="false">SUM(CE54:DA54)</f>
        <v>12706.4884024578</v>
      </c>
      <c r="DD54" s="18" t="n">
        <f aca="false">IFERROR(STDEV(CF54,CH54,CJ54,CL54,CN54,CP54,CR54,CT54,CV54,CX54,CZ54,DB54),0)</f>
        <v>8.79761660386912</v>
      </c>
      <c r="DE54" s="15" t="n">
        <v>1071</v>
      </c>
      <c r="DF54" s="16" t="n">
        <f aca="false">DE54/31</f>
        <v>34.5483870967742</v>
      </c>
      <c r="DG54" s="15" t="n">
        <v>1218</v>
      </c>
      <c r="DH54" s="16" t="n">
        <f aca="false">DG54/28</f>
        <v>43.5</v>
      </c>
      <c r="DI54" s="15" t="n">
        <v>1164</v>
      </c>
      <c r="DJ54" s="16" t="n">
        <f aca="false">DI54/31</f>
        <v>37.5483870967742</v>
      </c>
      <c r="DK54" s="15" t="n">
        <v>784</v>
      </c>
      <c r="DL54" s="16" t="n">
        <f aca="false">DK54/30</f>
        <v>26.1333333333333</v>
      </c>
      <c r="DM54" s="15" t="n">
        <v>563</v>
      </c>
      <c r="DN54" s="16" t="n">
        <f aca="false">DM54/31</f>
        <v>18.1612903225806</v>
      </c>
      <c r="DO54" s="15" t="n">
        <v>976</v>
      </c>
      <c r="DP54" s="16" t="n">
        <f aca="false">DO54/30</f>
        <v>32.5333333333333</v>
      </c>
      <c r="DQ54" s="15" t="n">
        <v>1217</v>
      </c>
      <c r="DR54" s="16" t="n">
        <f aca="false">DQ54/31</f>
        <v>39.258064516129</v>
      </c>
      <c r="DS54" s="15" t="n">
        <v>1113</v>
      </c>
      <c r="DT54" s="16" t="n">
        <f aca="false">DS54/31</f>
        <v>35.9032258064516</v>
      </c>
      <c r="DU54" s="15" t="n">
        <v>1165</v>
      </c>
      <c r="DV54" s="16" t="n">
        <f aca="false">DU54/30</f>
        <v>38.8333333333333</v>
      </c>
      <c r="DW54" s="15" t="n">
        <v>1176</v>
      </c>
      <c r="DX54" s="16" t="n">
        <f aca="false">DW54/31</f>
        <v>37.9354838709677</v>
      </c>
      <c r="DY54" s="15" t="n">
        <v>1249</v>
      </c>
      <c r="DZ54" s="16" t="n">
        <f aca="false">DY54/30</f>
        <v>41.6333333333333</v>
      </c>
      <c r="EA54" s="15" t="n">
        <v>820</v>
      </c>
      <c r="EB54" s="16" t="n">
        <f aca="false">EA54/31</f>
        <v>26.4516129032258</v>
      </c>
      <c r="EC54" s="17" t="n">
        <f aca="false">SUM(DE54:EA54)</f>
        <v>12901.988172043</v>
      </c>
      <c r="ED54" s="18" t="n">
        <f aca="false">IFERROR(STDEV(DF54,DH54,DJ54,DL54,DN54,DP54,DR54,DT54,DV54,DX54,DZ54,EB54),0)</f>
        <v>7.39633815546541</v>
      </c>
      <c r="EE54" s="19" t="n">
        <f aca="false">STDEV(F54:AB54,AF54:BB54,BF54:CB54,CF54:DB54,DF54:EB54)</f>
        <v>584.555442136627</v>
      </c>
    </row>
    <row r="55" customFormat="false" ht="15" hidden="false" customHeight="true" outlineLevel="0" collapsed="false">
      <c r="A55" s="11" t="n">
        <v>50</v>
      </c>
      <c r="B55" s="12" t="s">
        <v>134</v>
      </c>
      <c r="C55" s="13" t="s">
        <v>135</v>
      </c>
      <c r="D55" s="14" t="s">
        <v>57</v>
      </c>
      <c r="E55" s="15" t="n">
        <v>109</v>
      </c>
      <c r="F55" s="16" t="n">
        <f aca="false">E55/31</f>
        <v>3.51612903225806</v>
      </c>
      <c r="G55" s="15" t="n">
        <v>74</v>
      </c>
      <c r="H55" s="16" t="n">
        <f aca="false">G55/28</f>
        <v>2.64285714285714</v>
      </c>
      <c r="I55" s="15" t="n">
        <v>55</v>
      </c>
      <c r="J55" s="16" t="n">
        <f aca="false">I55/31</f>
        <v>1.7741935483871</v>
      </c>
      <c r="K55" s="15" t="n">
        <v>68</v>
      </c>
      <c r="L55" s="16" t="n">
        <f aca="false">K55/30</f>
        <v>2.26666666666667</v>
      </c>
      <c r="M55" s="15" t="n">
        <v>57</v>
      </c>
      <c r="N55" s="16" t="n">
        <f aca="false">M55/31</f>
        <v>1.83870967741935</v>
      </c>
      <c r="O55" s="15" t="n">
        <v>58</v>
      </c>
      <c r="P55" s="16" t="n">
        <f aca="false">O55/30</f>
        <v>1.93333333333333</v>
      </c>
      <c r="Q55" s="15" t="n">
        <v>109</v>
      </c>
      <c r="R55" s="16" t="n">
        <f aca="false">Q55/31</f>
        <v>3.51612903225806</v>
      </c>
      <c r="S55" s="15" t="n">
        <v>99</v>
      </c>
      <c r="T55" s="16" t="n">
        <f aca="false">S55/31</f>
        <v>3.19354838709677</v>
      </c>
      <c r="U55" s="15" t="n">
        <v>110</v>
      </c>
      <c r="V55" s="16" t="n">
        <f aca="false">U55/30</f>
        <v>3.66666666666667</v>
      </c>
      <c r="W55" s="15" t="n">
        <v>90</v>
      </c>
      <c r="X55" s="16" t="n">
        <f aca="false">W55/31</f>
        <v>2.90322580645161</v>
      </c>
      <c r="Y55" s="15" t="n">
        <v>60</v>
      </c>
      <c r="Z55" s="16" t="n">
        <f aca="false">Y55/30</f>
        <v>2</v>
      </c>
      <c r="AA55" s="15" t="n">
        <v>111</v>
      </c>
      <c r="AB55" s="16" t="n">
        <f aca="false">AA55/31</f>
        <v>3.58064516129032</v>
      </c>
      <c r="AC55" s="17" t="n">
        <f aca="false">SUM(E55:AA55)</f>
        <v>1029.25145929339</v>
      </c>
      <c r="AD55" s="18" t="n">
        <f aca="false">IFERROR(STDEV(F55,H55,J55,L55,N55,P55,R55,T55,V55,X55,Z55,AB55),0)</f>
        <v>0.749497057038421</v>
      </c>
      <c r="AE55" s="15" t="n">
        <v>89</v>
      </c>
      <c r="AF55" s="16" t="n">
        <f aca="false">AE55/31</f>
        <v>2.87096774193548</v>
      </c>
      <c r="AG55" s="15" t="n">
        <v>104</v>
      </c>
      <c r="AH55" s="16" t="n">
        <f aca="false">AG55/28</f>
        <v>3.71428571428571</v>
      </c>
      <c r="AI55" s="15" t="n">
        <v>95</v>
      </c>
      <c r="AJ55" s="16" t="n">
        <f aca="false">AI55/31</f>
        <v>3.06451612903226</v>
      </c>
      <c r="AK55" s="15" t="n">
        <v>60</v>
      </c>
      <c r="AL55" s="16" t="n">
        <f aca="false">AK55/30</f>
        <v>2</v>
      </c>
      <c r="AM55" s="15" t="n">
        <v>83</v>
      </c>
      <c r="AN55" s="16" t="n">
        <f aca="false">AM55/31</f>
        <v>2.67741935483871</v>
      </c>
      <c r="AO55" s="15" t="n">
        <v>57</v>
      </c>
      <c r="AP55" s="16" t="n">
        <f aca="false">AO55/30</f>
        <v>1.9</v>
      </c>
      <c r="AQ55" s="15" t="n">
        <v>65</v>
      </c>
      <c r="AR55" s="16" t="n">
        <f aca="false">AQ55/31</f>
        <v>2.09677419354839</v>
      </c>
      <c r="AS55" s="15" t="n">
        <v>89</v>
      </c>
      <c r="AT55" s="16" t="n">
        <f aca="false">AS55/31</f>
        <v>2.87096774193548</v>
      </c>
      <c r="AU55" s="15" t="n">
        <v>54</v>
      </c>
      <c r="AV55" s="16" t="n">
        <f aca="false">AU55/30</f>
        <v>1.8</v>
      </c>
      <c r="AW55" s="15" t="n">
        <v>92</v>
      </c>
      <c r="AX55" s="16" t="n">
        <f aca="false">AW55/31</f>
        <v>2.96774193548387</v>
      </c>
      <c r="AY55" s="15" t="n">
        <v>105</v>
      </c>
      <c r="AZ55" s="16" t="n">
        <f aca="false">AY55/30</f>
        <v>3.5</v>
      </c>
      <c r="BA55" s="15" t="n">
        <v>105</v>
      </c>
      <c r="BB55" s="16" t="n">
        <f aca="false">BA55/31</f>
        <v>3.38709677419355</v>
      </c>
      <c r="BC55" s="17" t="n">
        <f aca="false">SUM(AE55:BA55)</f>
        <v>1027.46267281106</v>
      </c>
      <c r="BD55" s="18" t="n">
        <f aca="false">IFERROR(STDEV(AF55,AH55,AJ55,AL55,AN55,AP55,AR55,AT55,AV55,AX55,AZ55,BB55),0)</f>
        <v>0.653064712998675</v>
      </c>
      <c r="BE55" s="15" t="n">
        <v>69</v>
      </c>
      <c r="BF55" s="16" t="n">
        <f aca="false">BE55/31</f>
        <v>2.2258064516129</v>
      </c>
      <c r="BG55" s="15" t="n">
        <v>106</v>
      </c>
      <c r="BH55" s="16" t="n">
        <f aca="false">BG55/28</f>
        <v>3.78571428571429</v>
      </c>
      <c r="BI55" s="15" t="n">
        <v>104</v>
      </c>
      <c r="BJ55" s="16" t="n">
        <f aca="false">BI55/31</f>
        <v>3.35483870967742</v>
      </c>
      <c r="BK55" s="15" t="n">
        <v>47</v>
      </c>
      <c r="BL55" s="16" t="n">
        <f aca="false">BK55/30</f>
        <v>1.56666666666667</v>
      </c>
      <c r="BM55" s="15" t="n">
        <v>82</v>
      </c>
      <c r="BN55" s="16" t="n">
        <f aca="false">BM55/31</f>
        <v>2.64516129032258</v>
      </c>
      <c r="BO55" s="15" t="n">
        <v>101</v>
      </c>
      <c r="BP55" s="16" t="n">
        <f aca="false">BO55/30</f>
        <v>3.36666666666667</v>
      </c>
      <c r="BQ55" s="15" t="n">
        <v>104</v>
      </c>
      <c r="BR55" s="16" t="n">
        <f aca="false">BQ55/31</f>
        <v>3.35483870967742</v>
      </c>
      <c r="BS55" s="15" t="n">
        <v>59</v>
      </c>
      <c r="BT55" s="16" t="n">
        <f aca="false">BS55/31</f>
        <v>1.90322580645161</v>
      </c>
      <c r="BU55" s="15" t="n">
        <v>80</v>
      </c>
      <c r="BV55" s="16" t="n">
        <f aca="false">BU55/30</f>
        <v>2.66666666666667</v>
      </c>
      <c r="BW55" s="15" t="n">
        <v>102</v>
      </c>
      <c r="BX55" s="16" t="n">
        <f aca="false">BW55/31</f>
        <v>3.29032258064516</v>
      </c>
      <c r="BY55" s="15" t="n">
        <v>54</v>
      </c>
      <c r="BZ55" s="16" t="n">
        <f aca="false">BY55/30</f>
        <v>1.8</v>
      </c>
      <c r="CA55" s="15" t="n">
        <v>91</v>
      </c>
      <c r="CB55" s="16" t="n">
        <f aca="false">CA55/31</f>
        <v>2.93548387096774</v>
      </c>
      <c r="CC55" s="17" t="n">
        <f aca="false">SUM(BE55:CA55)</f>
        <v>1028.9599078341</v>
      </c>
      <c r="CD55" s="18" t="n">
        <f aca="false">IFERROR(STDEV(BF55,BH55,BJ55,BL55,BN55,BP55,BR55,BT55,BV55,BX55,BZ55,CB55),0)</f>
        <v>0.727548887876585</v>
      </c>
      <c r="CE55" s="15" t="n">
        <v>68</v>
      </c>
      <c r="CF55" s="16" t="n">
        <f aca="false">CE55/31</f>
        <v>2.19354838709677</v>
      </c>
      <c r="CG55" s="15" t="n">
        <v>118</v>
      </c>
      <c r="CH55" s="16" t="n">
        <f aca="false">CG55/28</f>
        <v>4.21428571428571</v>
      </c>
      <c r="CI55" s="15" t="n">
        <v>63</v>
      </c>
      <c r="CJ55" s="16" t="n">
        <f aca="false">CI55/31</f>
        <v>2.03225806451613</v>
      </c>
      <c r="CK55" s="15" t="n">
        <v>112</v>
      </c>
      <c r="CL55" s="16" t="n">
        <f aca="false">CK55/30</f>
        <v>3.73333333333333</v>
      </c>
      <c r="CM55" s="15" t="n">
        <v>57</v>
      </c>
      <c r="CN55" s="16" t="n">
        <f aca="false">CM55/31</f>
        <v>1.83870967741935</v>
      </c>
      <c r="CO55" s="15" t="n">
        <v>100</v>
      </c>
      <c r="CP55" s="16" t="n">
        <f aca="false">CO55/30</f>
        <v>3.33333333333333</v>
      </c>
      <c r="CQ55" s="15" t="n">
        <v>95</v>
      </c>
      <c r="CR55" s="16" t="n">
        <f aca="false">CQ55/31</f>
        <v>3.06451612903226</v>
      </c>
      <c r="CS55" s="15" t="n">
        <v>112</v>
      </c>
      <c r="CT55" s="16" t="n">
        <f aca="false">CS55/31</f>
        <v>3.61290322580645</v>
      </c>
      <c r="CU55" s="15" t="n">
        <v>82</v>
      </c>
      <c r="CV55" s="16" t="n">
        <f aca="false">CU55/30</f>
        <v>2.73333333333333</v>
      </c>
      <c r="CW55" s="15" t="n">
        <v>69</v>
      </c>
      <c r="CX55" s="16" t="n">
        <f aca="false">CW55/31</f>
        <v>2.2258064516129</v>
      </c>
      <c r="CY55" s="15" t="n">
        <v>68</v>
      </c>
      <c r="CZ55" s="16" t="n">
        <f aca="false">CY55/30</f>
        <v>2.26666666666667</v>
      </c>
      <c r="DA55" s="15" t="n">
        <v>56</v>
      </c>
      <c r="DB55" s="16" t="n">
        <f aca="false">DA55/31</f>
        <v>1.80645161290323</v>
      </c>
      <c r="DC55" s="17" t="n">
        <f aca="false">SUM(CE55:DA55)</f>
        <v>1031.24869431644</v>
      </c>
      <c r="DD55" s="18" t="n">
        <f aca="false">IFERROR(STDEV(CF55,CH55,CJ55,CL55,CN55,CP55,CR55,CT55,CV55,CX55,CZ55,DB55),0)</f>
        <v>0.817358110252718</v>
      </c>
      <c r="DE55" s="15" t="n">
        <v>70</v>
      </c>
      <c r="DF55" s="16" t="n">
        <f aca="false">DE55/31</f>
        <v>2.25806451612903</v>
      </c>
      <c r="DG55" s="15" t="n">
        <v>60</v>
      </c>
      <c r="DH55" s="16" t="n">
        <f aca="false">DG55/28</f>
        <v>2.14285714285714</v>
      </c>
      <c r="DI55" s="15" t="n">
        <v>52</v>
      </c>
      <c r="DJ55" s="16" t="n">
        <f aca="false">DI55/31</f>
        <v>1.67741935483871</v>
      </c>
      <c r="DK55" s="15" t="n">
        <v>79</v>
      </c>
      <c r="DL55" s="16" t="n">
        <f aca="false">DK55/30</f>
        <v>2.63333333333333</v>
      </c>
      <c r="DM55" s="15" t="n">
        <v>103</v>
      </c>
      <c r="DN55" s="16" t="n">
        <f aca="false">DM55/31</f>
        <v>3.32258064516129</v>
      </c>
      <c r="DO55" s="15" t="n">
        <v>120</v>
      </c>
      <c r="DP55" s="16" t="n">
        <f aca="false">DO55/30</f>
        <v>4</v>
      </c>
      <c r="DQ55" s="15" t="n">
        <v>114</v>
      </c>
      <c r="DR55" s="16" t="n">
        <f aca="false">DQ55/31</f>
        <v>3.67741935483871</v>
      </c>
      <c r="DS55" s="15" t="n">
        <v>87</v>
      </c>
      <c r="DT55" s="16" t="n">
        <f aca="false">DS55/31</f>
        <v>2.80645161290323</v>
      </c>
      <c r="DU55" s="15" t="n">
        <v>79</v>
      </c>
      <c r="DV55" s="16" t="n">
        <f aca="false">DU55/30</f>
        <v>2.63333333333333</v>
      </c>
      <c r="DW55" s="15" t="n">
        <v>90</v>
      </c>
      <c r="DX55" s="16" t="n">
        <f aca="false">DW55/31</f>
        <v>2.90322580645161</v>
      </c>
      <c r="DY55" s="15" t="n">
        <v>59</v>
      </c>
      <c r="DZ55" s="16" t="n">
        <f aca="false">DY55/30</f>
        <v>1.96666666666667</v>
      </c>
      <c r="EA55" s="15" t="n">
        <v>86</v>
      </c>
      <c r="EB55" s="16" t="n">
        <f aca="false">EA55/31</f>
        <v>2.7741935483871</v>
      </c>
      <c r="EC55" s="17" t="n">
        <f aca="false">SUM(DE55:EA55)</f>
        <v>1029.02135176651</v>
      </c>
      <c r="ED55" s="18" t="n">
        <f aca="false">IFERROR(STDEV(DF55,DH55,DJ55,DL55,DN55,DP55,DR55,DT55,DV55,DX55,DZ55,EB55),0)</f>
        <v>0.68597028702851</v>
      </c>
      <c r="EE55" s="19" t="n">
        <f aca="false">STDEV(F55:AB55,AF55:BB55,BF55:CB55,CF55:DB55,DF55:EB55)</f>
        <v>43.1086475208258</v>
      </c>
    </row>
    <row r="56" customFormat="false" ht="15" hidden="false" customHeight="true" outlineLevel="0" collapsed="false">
      <c r="A56" s="11" t="n">
        <v>51</v>
      </c>
      <c r="B56" s="12" t="s">
        <v>136</v>
      </c>
      <c r="C56" s="13" t="s">
        <v>137</v>
      </c>
      <c r="D56" s="14" t="s">
        <v>36</v>
      </c>
      <c r="E56" s="15" t="n">
        <v>1348</v>
      </c>
      <c r="F56" s="16" t="n">
        <f aca="false">E56/31</f>
        <v>43.4838709677419</v>
      </c>
      <c r="G56" s="15" t="n">
        <v>1170</v>
      </c>
      <c r="H56" s="16" t="n">
        <f aca="false">G56/28</f>
        <v>41.7857142857143</v>
      </c>
      <c r="I56" s="15" t="n">
        <v>1201</v>
      </c>
      <c r="J56" s="16" t="n">
        <f aca="false">I56/31</f>
        <v>38.741935483871</v>
      </c>
      <c r="K56" s="15" t="n">
        <v>762</v>
      </c>
      <c r="L56" s="16" t="n">
        <f aca="false">K56/30</f>
        <v>25.4</v>
      </c>
      <c r="M56" s="15" t="n">
        <v>688</v>
      </c>
      <c r="N56" s="16" t="n">
        <f aca="false">M56/31</f>
        <v>22.1935483870968</v>
      </c>
      <c r="O56" s="15" t="n">
        <v>1333</v>
      </c>
      <c r="P56" s="16" t="n">
        <f aca="false">O56/30</f>
        <v>44.4333333333333</v>
      </c>
      <c r="Q56" s="15" t="n">
        <v>873</v>
      </c>
      <c r="R56" s="16" t="n">
        <f aca="false">Q56/31</f>
        <v>28.1612903225806</v>
      </c>
      <c r="S56" s="15" t="n">
        <v>893</v>
      </c>
      <c r="T56" s="16" t="n">
        <f aca="false">S56/31</f>
        <v>28.8064516129032</v>
      </c>
      <c r="U56" s="15" t="n">
        <v>1422</v>
      </c>
      <c r="V56" s="16" t="n">
        <f aca="false">U56/30</f>
        <v>47.4</v>
      </c>
      <c r="W56" s="15" t="n">
        <v>689</v>
      </c>
      <c r="X56" s="16" t="n">
        <f aca="false">W56/31</f>
        <v>22.2258064516129</v>
      </c>
      <c r="Y56" s="15" t="n">
        <v>769</v>
      </c>
      <c r="Z56" s="16" t="n">
        <f aca="false">Y56/30</f>
        <v>25.6333333333333</v>
      </c>
      <c r="AA56" s="15" t="n">
        <v>940</v>
      </c>
      <c r="AB56" s="16" t="n">
        <f aca="false">AA56/31</f>
        <v>30.3225806451613</v>
      </c>
      <c r="AC56" s="17" t="n">
        <f aca="false">SUM(E56:AA56)</f>
        <v>12456.2652841782</v>
      </c>
      <c r="AD56" s="18" t="n">
        <f aca="false">IFERROR(STDEV(F56,H56,J56,L56,N56,P56,R56,T56,V56,X56,Z56,AB56),0)</f>
        <v>9.29638799768586</v>
      </c>
      <c r="AE56" s="15" t="n">
        <v>1101</v>
      </c>
      <c r="AF56" s="16" t="n">
        <f aca="false">AE56/31</f>
        <v>35.5161290322581</v>
      </c>
      <c r="AG56" s="15" t="n">
        <v>964</v>
      </c>
      <c r="AH56" s="16" t="n">
        <f aca="false">AG56/28</f>
        <v>34.4285714285714</v>
      </c>
      <c r="AI56" s="15" t="n">
        <v>1225</v>
      </c>
      <c r="AJ56" s="16" t="n">
        <f aca="false">AI56/31</f>
        <v>39.5161290322581</v>
      </c>
      <c r="AK56" s="15" t="n">
        <v>626</v>
      </c>
      <c r="AL56" s="16" t="n">
        <f aca="false">AK56/30</f>
        <v>20.8666666666667</v>
      </c>
      <c r="AM56" s="15" t="n">
        <v>999</v>
      </c>
      <c r="AN56" s="16" t="n">
        <f aca="false">AM56/31</f>
        <v>32.2258064516129</v>
      </c>
      <c r="AO56" s="15" t="n">
        <v>1013</v>
      </c>
      <c r="AP56" s="16" t="n">
        <f aca="false">AO56/30</f>
        <v>33.7666666666667</v>
      </c>
      <c r="AQ56" s="15" t="n">
        <v>916</v>
      </c>
      <c r="AR56" s="16" t="n">
        <f aca="false">AQ56/31</f>
        <v>29.5483870967742</v>
      </c>
      <c r="AS56" s="15" t="n">
        <v>580</v>
      </c>
      <c r="AT56" s="16" t="n">
        <f aca="false">AS56/31</f>
        <v>18.7096774193548</v>
      </c>
      <c r="AU56" s="15" t="n">
        <v>1258</v>
      </c>
      <c r="AV56" s="16" t="n">
        <f aca="false">AU56/30</f>
        <v>41.9333333333333</v>
      </c>
      <c r="AW56" s="15" t="n">
        <v>680</v>
      </c>
      <c r="AX56" s="16" t="n">
        <f aca="false">AW56/31</f>
        <v>21.9354838709677</v>
      </c>
      <c r="AY56" s="15" t="n">
        <v>1218</v>
      </c>
      <c r="AZ56" s="16" t="n">
        <f aca="false">AY56/30</f>
        <v>40.6</v>
      </c>
      <c r="BA56" s="15" t="n">
        <v>674</v>
      </c>
      <c r="BB56" s="16" t="n">
        <f aca="false">BA56/31</f>
        <v>21.741935483871</v>
      </c>
      <c r="BC56" s="17" t="n">
        <f aca="false">SUM(AE56:BA56)</f>
        <v>11603.0468509985</v>
      </c>
      <c r="BD56" s="18" t="n">
        <f aca="false">IFERROR(STDEV(AF56,AH56,AJ56,AL56,AN56,AP56,AR56,AT56,AV56,AX56,AZ56,BB56),0)</f>
        <v>8.25242891246229</v>
      </c>
      <c r="BE56" s="15" t="n">
        <v>818</v>
      </c>
      <c r="BF56" s="16" t="n">
        <f aca="false">BE56/31</f>
        <v>26.3870967741935</v>
      </c>
      <c r="BG56" s="15" t="n">
        <v>918</v>
      </c>
      <c r="BH56" s="16" t="n">
        <f aca="false">BG56/28</f>
        <v>32.7857142857143</v>
      </c>
      <c r="BI56" s="15" t="n">
        <v>903</v>
      </c>
      <c r="BJ56" s="16" t="n">
        <f aca="false">BI56/31</f>
        <v>29.1290322580645</v>
      </c>
      <c r="BK56" s="15" t="n">
        <v>1390</v>
      </c>
      <c r="BL56" s="16" t="n">
        <f aca="false">BK56/30</f>
        <v>46.3333333333333</v>
      </c>
      <c r="BM56" s="15" t="n">
        <v>1414</v>
      </c>
      <c r="BN56" s="16" t="n">
        <f aca="false">BM56/31</f>
        <v>45.6129032258065</v>
      </c>
      <c r="BO56" s="15" t="n">
        <v>1422</v>
      </c>
      <c r="BP56" s="16" t="n">
        <f aca="false">BO56/30</f>
        <v>47.4</v>
      </c>
      <c r="BQ56" s="15" t="n">
        <v>975</v>
      </c>
      <c r="BR56" s="16" t="n">
        <f aca="false">BQ56/31</f>
        <v>31.4516129032258</v>
      </c>
      <c r="BS56" s="15" t="n">
        <v>991</v>
      </c>
      <c r="BT56" s="16" t="n">
        <f aca="false">BS56/31</f>
        <v>31.9677419354839</v>
      </c>
      <c r="BU56" s="15" t="n">
        <v>949</v>
      </c>
      <c r="BV56" s="16" t="n">
        <f aca="false">BU56/30</f>
        <v>31.6333333333333</v>
      </c>
      <c r="BW56" s="15" t="n">
        <v>768</v>
      </c>
      <c r="BX56" s="16" t="n">
        <f aca="false">BW56/31</f>
        <v>24.7741935483871</v>
      </c>
      <c r="BY56" s="15" t="n">
        <v>1270</v>
      </c>
      <c r="BZ56" s="16" t="n">
        <f aca="false">BY56/30</f>
        <v>42.3333333333333</v>
      </c>
      <c r="CA56" s="15" t="n">
        <v>1527</v>
      </c>
      <c r="CB56" s="16" t="n">
        <f aca="false">CA56/31</f>
        <v>49.258064516129</v>
      </c>
      <c r="CC56" s="17" t="n">
        <f aca="false">SUM(BE56:CA56)</f>
        <v>13734.8082949309</v>
      </c>
      <c r="CD56" s="18" t="n">
        <f aca="false">IFERROR(STDEV(BF56,BH56,BJ56,BL56,BN56,BP56,BR56,BT56,BV56,BX56,BZ56,CB56),0)</f>
        <v>8.90788787188534</v>
      </c>
      <c r="CE56" s="15" t="n">
        <v>886</v>
      </c>
      <c r="CF56" s="16" t="n">
        <f aca="false">CE56/31</f>
        <v>28.5806451612903</v>
      </c>
      <c r="CG56" s="15" t="n">
        <v>1090</v>
      </c>
      <c r="CH56" s="16" t="n">
        <f aca="false">CG56/28</f>
        <v>38.9285714285714</v>
      </c>
      <c r="CI56" s="15" t="n">
        <v>1155</v>
      </c>
      <c r="CJ56" s="16" t="n">
        <f aca="false">CI56/31</f>
        <v>37.258064516129</v>
      </c>
      <c r="CK56" s="15" t="n">
        <v>1025</v>
      </c>
      <c r="CL56" s="16" t="n">
        <f aca="false">CK56/30</f>
        <v>34.1666666666667</v>
      </c>
      <c r="CM56" s="15" t="n">
        <v>1385</v>
      </c>
      <c r="CN56" s="16" t="n">
        <f aca="false">CM56/31</f>
        <v>44.6774193548387</v>
      </c>
      <c r="CO56" s="15" t="n">
        <v>1325</v>
      </c>
      <c r="CP56" s="16" t="n">
        <f aca="false">CO56/30</f>
        <v>44.1666666666667</v>
      </c>
      <c r="CQ56" s="15" t="n">
        <v>932</v>
      </c>
      <c r="CR56" s="16" t="n">
        <f aca="false">CQ56/31</f>
        <v>30.0645161290323</v>
      </c>
      <c r="CS56" s="15" t="n">
        <v>761</v>
      </c>
      <c r="CT56" s="16" t="n">
        <f aca="false">CS56/31</f>
        <v>24.5483870967742</v>
      </c>
      <c r="CU56" s="15" t="n">
        <v>903</v>
      </c>
      <c r="CV56" s="16" t="n">
        <f aca="false">CU56/30</f>
        <v>30.1</v>
      </c>
      <c r="CW56" s="15" t="n">
        <v>1022</v>
      </c>
      <c r="CX56" s="16" t="n">
        <f aca="false">CW56/31</f>
        <v>32.9677419354839</v>
      </c>
      <c r="CY56" s="15" t="n">
        <v>816</v>
      </c>
      <c r="CZ56" s="16" t="n">
        <f aca="false">CY56/30</f>
        <v>27.2</v>
      </c>
      <c r="DA56" s="15" t="n">
        <v>1564</v>
      </c>
      <c r="DB56" s="16" t="n">
        <f aca="false">DA56/31</f>
        <v>50.4516129032258</v>
      </c>
      <c r="DC56" s="17" t="n">
        <f aca="false">SUM(CE56:DA56)</f>
        <v>13236.6586789555</v>
      </c>
      <c r="DD56" s="18" t="n">
        <f aca="false">IFERROR(STDEV(CF56,CH56,CJ56,CL56,CN56,CP56,CR56,CT56,CV56,CX56,CZ56,DB56),0)</f>
        <v>7.9808679228182</v>
      </c>
      <c r="DE56" s="15" t="n">
        <v>820</v>
      </c>
      <c r="DF56" s="16" t="n">
        <f aca="false">DE56/31</f>
        <v>26.4516129032258</v>
      </c>
      <c r="DG56" s="15" t="n">
        <v>889</v>
      </c>
      <c r="DH56" s="16" t="n">
        <f aca="false">DG56/28</f>
        <v>31.75</v>
      </c>
      <c r="DI56" s="15" t="n">
        <v>960</v>
      </c>
      <c r="DJ56" s="16" t="n">
        <f aca="false">DI56/31</f>
        <v>30.9677419354839</v>
      </c>
      <c r="DK56" s="15" t="n">
        <v>1094</v>
      </c>
      <c r="DL56" s="16" t="n">
        <f aca="false">DK56/30</f>
        <v>36.4666666666667</v>
      </c>
      <c r="DM56" s="15" t="n">
        <v>652</v>
      </c>
      <c r="DN56" s="16" t="n">
        <f aca="false">DM56/31</f>
        <v>21.0322580645161</v>
      </c>
      <c r="DO56" s="15" t="n">
        <v>1003</v>
      </c>
      <c r="DP56" s="16" t="n">
        <f aca="false">DO56/30</f>
        <v>33.4333333333333</v>
      </c>
      <c r="DQ56" s="15" t="n">
        <v>725</v>
      </c>
      <c r="DR56" s="16" t="n">
        <f aca="false">DQ56/31</f>
        <v>23.3870967741935</v>
      </c>
      <c r="DS56" s="15" t="n">
        <v>1267</v>
      </c>
      <c r="DT56" s="16" t="n">
        <f aca="false">DS56/31</f>
        <v>40.8709677419355</v>
      </c>
      <c r="DU56" s="15" t="n">
        <v>867</v>
      </c>
      <c r="DV56" s="16" t="n">
        <f aca="false">DU56/30</f>
        <v>28.9</v>
      </c>
      <c r="DW56" s="15" t="n">
        <v>927</v>
      </c>
      <c r="DX56" s="16" t="n">
        <f aca="false">DW56/31</f>
        <v>29.9032258064516</v>
      </c>
      <c r="DY56" s="15" t="n">
        <v>785</v>
      </c>
      <c r="DZ56" s="16" t="n">
        <f aca="false">DY56/30</f>
        <v>26.1666666666667</v>
      </c>
      <c r="EA56" s="15" t="n">
        <v>942</v>
      </c>
      <c r="EB56" s="16" t="n">
        <f aca="false">EA56/31</f>
        <v>30.3870967741935</v>
      </c>
      <c r="EC56" s="17" t="n">
        <f aca="false">SUM(DE56:EA56)</f>
        <v>11260.3295698925</v>
      </c>
      <c r="ED56" s="18" t="n">
        <f aca="false">IFERROR(STDEV(DF56,DH56,DJ56,DL56,DN56,DP56,DR56,DT56,DV56,DX56,DZ56,EB56),0)</f>
        <v>5.46544033762963</v>
      </c>
      <c r="EE56" s="19" t="n">
        <f aca="false">STDEV(F56:AB56,AF56:BB56,BF56:CB56,CF56:DB56,DF56:EB56)</f>
        <v>519.180847200816</v>
      </c>
    </row>
    <row r="57" customFormat="false" ht="15" hidden="false" customHeight="true" outlineLevel="0" collapsed="false">
      <c r="A57" s="11" t="n">
        <v>52</v>
      </c>
      <c r="B57" s="12" t="s">
        <v>138</v>
      </c>
      <c r="C57" s="13" t="s">
        <v>139</v>
      </c>
      <c r="D57" s="14" t="s">
        <v>36</v>
      </c>
      <c r="E57" s="15" t="n">
        <v>1877</v>
      </c>
      <c r="F57" s="16" t="n">
        <f aca="false">E57/31</f>
        <v>60.5483870967742</v>
      </c>
      <c r="G57" s="15" t="n">
        <v>1958</v>
      </c>
      <c r="H57" s="16" t="n">
        <f aca="false">G57/28</f>
        <v>69.9285714285714</v>
      </c>
      <c r="I57" s="15" t="n">
        <v>1561</v>
      </c>
      <c r="J57" s="16" t="n">
        <f aca="false">I57/31</f>
        <v>50.3548387096774</v>
      </c>
      <c r="K57" s="15" t="n">
        <v>2888</v>
      </c>
      <c r="L57" s="16" t="n">
        <f aca="false">K57/30</f>
        <v>96.2666666666667</v>
      </c>
      <c r="M57" s="15" t="n">
        <v>2725</v>
      </c>
      <c r="N57" s="16" t="n">
        <f aca="false">M57/31</f>
        <v>87.9032258064516</v>
      </c>
      <c r="O57" s="15" t="n">
        <v>1607</v>
      </c>
      <c r="P57" s="16" t="n">
        <f aca="false">O57/30</f>
        <v>53.5666666666667</v>
      </c>
      <c r="Q57" s="15" t="n">
        <v>2103</v>
      </c>
      <c r="R57" s="16" t="n">
        <f aca="false">Q57/31</f>
        <v>67.8387096774194</v>
      </c>
      <c r="S57" s="15" t="n">
        <v>2483</v>
      </c>
      <c r="T57" s="16" t="n">
        <f aca="false">S57/31</f>
        <v>80.0967741935484</v>
      </c>
      <c r="U57" s="15" t="n">
        <v>3308</v>
      </c>
      <c r="V57" s="16" t="n">
        <f aca="false">U57/30</f>
        <v>110.266666666667</v>
      </c>
      <c r="W57" s="15" t="n">
        <v>2576</v>
      </c>
      <c r="X57" s="16" t="n">
        <f aca="false">W57/31</f>
        <v>83.0967741935484</v>
      </c>
      <c r="Y57" s="15" t="n">
        <v>2506</v>
      </c>
      <c r="Z57" s="16" t="n">
        <f aca="false">Y57/30</f>
        <v>83.5333333333333</v>
      </c>
      <c r="AA57" s="15" t="n">
        <v>3059</v>
      </c>
      <c r="AB57" s="16" t="n">
        <f aca="false">AA57/31</f>
        <v>98.6774193548387</v>
      </c>
      <c r="AC57" s="17" t="n">
        <f aca="false">SUM(E57:AA57)</f>
        <v>29494.4006144393</v>
      </c>
      <c r="AD57" s="18" t="n">
        <f aca="false">IFERROR(STDEV(F57,H57,J57,L57,N57,P57,R57,T57,V57,X57,Z57,AB57),0)</f>
        <v>18.5681852563476</v>
      </c>
      <c r="AE57" s="15" t="n">
        <v>3190</v>
      </c>
      <c r="AF57" s="16" t="n">
        <f aca="false">AE57/31</f>
        <v>102.903225806452</v>
      </c>
      <c r="AG57" s="15" t="n">
        <v>2377</v>
      </c>
      <c r="AH57" s="16" t="n">
        <f aca="false">AG57/28</f>
        <v>84.8928571428571</v>
      </c>
      <c r="AI57" s="15" t="n">
        <v>2615</v>
      </c>
      <c r="AJ57" s="16" t="n">
        <f aca="false">AI57/31</f>
        <v>84.3548387096774</v>
      </c>
      <c r="AK57" s="15" t="n">
        <v>3289</v>
      </c>
      <c r="AL57" s="16" t="n">
        <f aca="false">AK57/30</f>
        <v>109.633333333333</v>
      </c>
      <c r="AM57" s="15" t="n">
        <v>2491</v>
      </c>
      <c r="AN57" s="16" t="n">
        <f aca="false">AM57/31</f>
        <v>80.3548387096774</v>
      </c>
      <c r="AO57" s="15" t="n">
        <v>3319</v>
      </c>
      <c r="AP57" s="16" t="n">
        <f aca="false">AO57/30</f>
        <v>110.633333333333</v>
      </c>
      <c r="AQ57" s="15" t="n">
        <v>2494</v>
      </c>
      <c r="AR57" s="16" t="n">
        <f aca="false">AQ57/31</f>
        <v>80.4516129032258</v>
      </c>
      <c r="AS57" s="15" t="n">
        <v>1686</v>
      </c>
      <c r="AT57" s="16" t="n">
        <f aca="false">AS57/31</f>
        <v>54.3870967741936</v>
      </c>
      <c r="AU57" s="15" t="n">
        <v>3362</v>
      </c>
      <c r="AV57" s="16" t="n">
        <f aca="false">AU57/30</f>
        <v>112.066666666667</v>
      </c>
      <c r="AW57" s="15" t="n">
        <v>2978</v>
      </c>
      <c r="AX57" s="16" t="n">
        <f aca="false">AW57/31</f>
        <v>96.0645161290323</v>
      </c>
      <c r="AY57" s="15" t="n">
        <v>2547</v>
      </c>
      <c r="AZ57" s="16" t="n">
        <f aca="false">AY57/30</f>
        <v>84.9</v>
      </c>
      <c r="BA57" s="15" t="n">
        <v>3357</v>
      </c>
      <c r="BB57" s="16" t="n">
        <f aca="false">BA57/31</f>
        <v>108.290322580645</v>
      </c>
      <c r="BC57" s="17" t="n">
        <f aca="false">SUM(AE57:BA57)</f>
        <v>34705.6423195085</v>
      </c>
      <c r="BD57" s="18" t="n">
        <f aca="false">IFERROR(STDEV(AF57,AH57,AJ57,AL57,AN57,AP57,AR57,AT57,AV57,AX57,AZ57,BB57),0)</f>
        <v>17.3274081542968</v>
      </c>
      <c r="BE57" s="15" t="n">
        <v>2451</v>
      </c>
      <c r="BF57" s="16" t="n">
        <f aca="false">BE57/31</f>
        <v>79.0645161290323</v>
      </c>
      <c r="BG57" s="15" t="n">
        <v>2257</v>
      </c>
      <c r="BH57" s="16" t="n">
        <f aca="false">BG57/28</f>
        <v>80.6071428571429</v>
      </c>
      <c r="BI57" s="15" t="n">
        <v>2167</v>
      </c>
      <c r="BJ57" s="16" t="n">
        <f aca="false">BI57/31</f>
        <v>69.9032258064516</v>
      </c>
      <c r="BK57" s="15" t="n">
        <v>1376</v>
      </c>
      <c r="BL57" s="16" t="n">
        <f aca="false">BK57/30</f>
        <v>45.8666666666667</v>
      </c>
      <c r="BM57" s="15" t="n">
        <v>2383</v>
      </c>
      <c r="BN57" s="16" t="n">
        <f aca="false">BM57/31</f>
        <v>76.8709677419355</v>
      </c>
      <c r="BO57" s="15" t="n">
        <v>1459</v>
      </c>
      <c r="BP57" s="16" t="n">
        <f aca="false">BO57/30</f>
        <v>48.6333333333333</v>
      </c>
      <c r="BQ57" s="15" t="n">
        <v>2742</v>
      </c>
      <c r="BR57" s="16" t="n">
        <f aca="false">BQ57/31</f>
        <v>88.4516129032258</v>
      </c>
      <c r="BS57" s="15" t="n">
        <v>2723</v>
      </c>
      <c r="BT57" s="16" t="n">
        <f aca="false">BS57/31</f>
        <v>87.8387096774194</v>
      </c>
      <c r="BU57" s="15" t="n">
        <v>2464</v>
      </c>
      <c r="BV57" s="16" t="n">
        <f aca="false">BU57/30</f>
        <v>82.1333333333333</v>
      </c>
      <c r="BW57" s="15" t="n">
        <v>1385</v>
      </c>
      <c r="BX57" s="16" t="n">
        <f aca="false">BW57/31</f>
        <v>44.6774193548387</v>
      </c>
      <c r="BY57" s="15" t="n">
        <v>1855</v>
      </c>
      <c r="BZ57" s="16" t="n">
        <f aca="false">BY57/30</f>
        <v>61.8333333333333</v>
      </c>
      <c r="CA57" s="15" t="n">
        <v>2748</v>
      </c>
      <c r="CB57" s="16" t="n">
        <f aca="false">CA57/31</f>
        <v>88.6451612903226</v>
      </c>
      <c r="CC57" s="17" t="n">
        <f aca="false">SUM(BE57:CA57)</f>
        <v>26775.8802611367</v>
      </c>
      <c r="CD57" s="18" t="n">
        <f aca="false">IFERROR(STDEV(BF57,BH57,BJ57,BL57,BN57,BP57,BR57,BT57,BV57,BX57,BZ57,CB57),0)</f>
        <v>16.8542827756032</v>
      </c>
      <c r="CE57" s="15" t="n">
        <v>1943</v>
      </c>
      <c r="CF57" s="16" t="n">
        <f aca="false">CE57/31</f>
        <v>62.6774193548387</v>
      </c>
      <c r="CG57" s="15" t="n">
        <v>2863</v>
      </c>
      <c r="CH57" s="16" t="n">
        <f aca="false">CG57/28</f>
        <v>102.25</v>
      </c>
      <c r="CI57" s="15" t="n">
        <v>2257</v>
      </c>
      <c r="CJ57" s="16" t="n">
        <f aca="false">CI57/31</f>
        <v>72.8064516129032</v>
      </c>
      <c r="CK57" s="15" t="n">
        <v>2596</v>
      </c>
      <c r="CL57" s="16" t="n">
        <f aca="false">CK57/30</f>
        <v>86.5333333333333</v>
      </c>
      <c r="CM57" s="15" t="n">
        <v>1652</v>
      </c>
      <c r="CN57" s="16" t="n">
        <f aca="false">CM57/31</f>
        <v>53.2903225806452</v>
      </c>
      <c r="CO57" s="15" t="n">
        <v>2722</v>
      </c>
      <c r="CP57" s="16" t="n">
        <f aca="false">CO57/30</f>
        <v>90.7333333333333</v>
      </c>
      <c r="CQ57" s="15" t="n">
        <v>2727</v>
      </c>
      <c r="CR57" s="16" t="n">
        <f aca="false">CQ57/31</f>
        <v>87.9677419354839</v>
      </c>
      <c r="CS57" s="15" t="n">
        <v>1339</v>
      </c>
      <c r="CT57" s="16" t="n">
        <f aca="false">CS57/31</f>
        <v>43.1935483870968</v>
      </c>
      <c r="CU57" s="15" t="n">
        <v>1865</v>
      </c>
      <c r="CV57" s="16" t="n">
        <f aca="false">CU57/30</f>
        <v>62.1666666666667</v>
      </c>
      <c r="CW57" s="15" t="n">
        <v>1880</v>
      </c>
      <c r="CX57" s="16" t="n">
        <f aca="false">CW57/31</f>
        <v>60.6451612903226</v>
      </c>
      <c r="CY57" s="15" t="n">
        <v>1764</v>
      </c>
      <c r="CZ57" s="16" t="n">
        <f aca="false">CY57/30</f>
        <v>58.8</v>
      </c>
      <c r="DA57" s="15" t="n">
        <v>1682</v>
      </c>
      <c r="DB57" s="16" t="n">
        <f aca="false">DA57/31</f>
        <v>54.258064516129</v>
      </c>
      <c r="DC57" s="17" t="n">
        <f aca="false">SUM(CE57:DA57)</f>
        <v>26071.0639784946</v>
      </c>
      <c r="DD57" s="18" t="n">
        <f aca="false">IFERROR(STDEV(CF57,CH57,CJ57,CL57,CN57,CP57,CR57,CT57,CV57,CX57,CZ57,DB57),0)</f>
        <v>18.2051916729835</v>
      </c>
      <c r="DE57" s="15" t="n">
        <v>2515</v>
      </c>
      <c r="DF57" s="16" t="n">
        <f aca="false">DE57/31</f>
        <v>81.1290322580645</v>
      </c>
      <c r="DG57" s="15" t="n">
        <v>3380</v>
      </c>
      <c r="DH57" s="16" t="n">
        <f aca="false">DG57/28</f>
        <v>120.714285714286</v>
      </c>
      <c r="DI57" s="15" t="n">
        <v>3199</v>
      </c>
      <c r="DJ57" s="16" t="n">
        <f aca="false">DI57/31</f>
        <v>103.193548387097</v>
      </c>
      <c r="DK57" s="15" t="n">
        <v>2858</v>
      </c>
      <c r="DL57" s="16" t="n">
        <f aca="false">DK57/30</f>
        <v>95.2666666666667</v>
      </c>
      <c r="DM57" s="15" t="n">
        <v>2649</v>
      </c>
      <c r="DN57" s="16" t="n">
        <f aca="false">DM57/31</f>
        <v>85.4516129032258</v>
      </c>
      <c r="DO57" s="15" t="n">
        <v>2435</v>
      </c>
      <c r="DP57" s="16" t="n">
        <f aca="false">DO57/30</f>
        <v>81.1666666666667</v>
      </c>
      <c r="DQ57" s="15" t="n">
        <v>2424</v>
      </c>
      <c r="DR57" s="16" t="n">
        <f aca="false">DQ57/31</f>
        <v>78.1935483870968</v>
      </c>
      <c r="DS57" s="15" t="n">
        <v>1870</v>
      </c>
      <c r="DT57" s="16" t="n">
        <f aca="false">DS57/31</f>
        <v>60.3225806451613</v>
      </c>
      <c r="DU57" s="15" t="n">
        <v>2785</v>
      </c>
      <c r="DV57" s="16" t="n">
        <f aca="false">DU57/30</f>
        <v>92.8333333333333</v>
      </c>
      <c r="DW57" s="15" t="n">
        <v>3140</v>
      </c>
      <c r="DX57" s="16" t="n">
        <f aca="false">DW57/31</f>
        <v>101.290322580645</v>
      </c>
      <c r="DY57" s="15" t="n">
        <v>3518</v>
      </c>
      <c r="DZ57" s="16" t="n">
        <f aca="false">DY57/30</f>
        <v>117.266666666667</v>
      </c>
      <c r="EA57" s="15" t="n">
        <v>3487</v>
      </c>
      <c r="EB57" s="16" t="n">
        <f aca="false">EA57/31</f>
        <v>112.483870967742</v>
      </c>
      <c r="EC57" s="17" t="n">
        <f aca="false">SUM(DE57:EA57)</f>
        <v>35276.8282642089</v>
      </c>
      <c r="ED57" s="18" t="n">
        <f aca="false">IFERROR(STDEV(DF57,DH57,DJ57,DL57,DN57,DP57,DR57,DT57,DV57,DX57,DZ57,EB57),0)</f>
        <v>17.9001782746319</v>
      </c>
      <c r="EE57" s="19" t="n">
        <f aca="false">STDEV(F57:AB57,AF57:BB57,BF57:CB57,CF57:DB57,DF57:EB57)</f>
        <v>1270.44904084621</v>
      </c>
    </row>
    <row r="58" customFormat="false" ht="15" hidden="false" customHeight="true" outlineLevel="0" collapsed="false">
      <c r="A58" s="11" t="n">
        <v>53</v>
      </c>
      <c r="B58" s="12" t="s">
        <v>140</v>
      </c>
      <c r="C58" s="13" t="s">
        <v>141</v>
      </c>
      <c r="D58" s="14" t="s">
        <v>36</v>
      </c>
      <c r="E58" s="15" t="n">
        <v>3380</v>
      </c>
      <c r="F58" s="16" t="n">
        <f aca="false">E58/31</f>
        <v>109.032258064516</v>
      </c>
      <c r="G58" s="15" t="n">
        <v>2191</v>
      </c>
      <c r="H58" s="16" t="n">
        <f aca="false">G58/28</f>
        <v>78.25</v>
      </c>
      <c r="I58" s="15" t="n">
        <v>2668</v>
      </c>
      <c r="J58" s="16" t="n">
        <f aca="false">I58/31</f>
        <v>86.0645161290323</v>
      </c>
      <c r="K58" s="15" t="n">
        <v>3310</v>
      </c>
      <c r="L58" s="16" t="n">
        <f aca="false">K58/30</f>
        <v>110.333333333333</v>
      </c>
      <c r="M58" s="15" t="n">
        <v>2817</v>
      </c>
      <c r="N58" s="16" t="n">
        <f aca="false">M58/31</f>
        <v>90.8709677419355</v>
      </c>
      <c r="O58" s="15" t="n">
        <v>2989</v>
      </c>
      <c r="P58" s="16" t="n">
        <f aca="false">O58/30</f>
        <v>99.6333333333333</v>
      </c>
      <c r="Q58" s="15" t="n">
        <v>2917</v>
      </c>
      <c r="R58" s="16" t="n">
        <f aca="false">Q58/31</f>
        <v>94.0967741935484</v>
      </c>
      <c r="S58" s="15" t="n">
        <v>3182</v>
      </c>
      <c r="T58" s="16" t="n">
        <f aca="false">S58/31</f>
        <v>102.645161290323</v>
      </c>
      <c r="U58" s="15" t="n">
        <v>3499</v>
      </c>
      <c r="V58" s="16" t="n">
        <f aca="false">U58/30</f>
        <v>116.633333333333</v>
      </c>
      <c r="W58" s="15" t="n">
        <v>2028</v>
      </c>
      <c r="X58" s="16" t="n">
        <f aca="false">W58/31</f>
        <v>65.4193548387097</v>
      </c>
      <c r="Y58" s="15" t="n">
        <v>2640</v>
      </c>
      <c r="Z58" s="16" t="n">
        <f aca="false">Y58/30</f>
        <v>88</v>
      </c>
      <c r="AA58" s="15" t="n">
        <v>2302</v>
      </c>
      <c r="AB58" s="16" t="n">
        <f aca="false">AA58/31</f>
        <v>74.258064516129</v>
      </c>
      <c r="AC58" s="17" t="n">
        <f aca="false">SUM(E58:AA58)</f>
        <v>34963.9790322581</v>
      </c>
      <c r="AD58" s="18" t="n">
        <f aca="false">IFERROR(STDEV(F58,H58,J58,L58,N58,P58,R58,T58,V58,X58,Z58,AB58),0)</f>
        <v>15.554435774497</v>
      </c>
      <c r="AE58" s="15" t="n">
        <v>2949</v>
      </c>
      <c r="AF58" s="16" t="n">
        <f aca="false">AE58/31</f>
        <v>95.1290322580645</v>
      </c>
      <c r="AG58" s="15" t="n">
        <v>3134</v>
      </c>
      <c r="AH58" s="16" t="n">
        <f aca="false">AG58/28</f>
        <v>111.928571428571</v>
      </c>
      <c r="AI58" s="15" t="n">
        <v>1712</v>
      </c>
      <c r="AJ58" s="16" t="n">
        <f aca="false">AI58/31</f>
        <v>55.2258064516129</v>
      </c>
      <c r="AK58" s="15" t="n">
        <v>3559</v>
      </c>
      <c r="AL58" s="16" t="n">
        <f aca="false">AK58/30</f>
        <v>118.633333333333</v>
      </c>
      <c r="AM58" s="15" t="n">
        <v>2348</v>
      </c>
      <c r="AN58" s="16" t="n">
        <f aca="false">AM58/31</f>
        <v>75.741935483871</v>
      </c>
      <c r="AO58" s="15" t="n">
        <v>2144</v>
      </c>
      <c r="AP58" s="16" t="n">
        <f aca="false">AO58/30</f>
        <v>71.4666666666667</v>
      </c>
      <c r="AQ58" s="15" t="n">
        <v>3247</v>
      </c>
      <c r="AR58" s="16" t="n">
        <f aca="false">AQ58/31</f>
        <v>104.741935483871</v>
      </c>
      <c r="AS58" s="15" t="n">
        <v>3627</v>
      </c>
      <c r="AT58" s="16" t="n">
        <f aca="false">AS58/31</f>
        <v>117</v>
      </c>
      <c r="AU58" s="15" t="n">
        <v>3575</v>
      </c>
      <c r="AV58" s="16" t="n">
        <f aca="false">AU58/30</f>
        <v>119.166666666667</v>
      </c>
      <c r="AW58" s="15" t="n">
        <v>1672</v>
      </c>
      <c r="AX58" s="16" t="n">
        <f aca="false">AW58/31</f>
        <v>53.9354838709677</v>
      </c>
      <c r="AY58" s="15" t="n">
        <v>3402</v>
      </c>
      <c r="AZ58" s="16" t="n">
        <f aca="false">AY58/30</f>
        <v>113.4</v>
      </c>
      <c r="BA58" s="15" t="n">
        <v>2286</v>
      </c>
      <c r="BB58" s="16" t="n">
        <f aca="false">BA58/31</f>
        <v>73.741935483871</v>
      </c>
      <c r="BC58" s="17" t="n">
        <f aca="false">SUM(AE58:BA58)</f>
        <v>34691.3694316436</v>
      </c>
      <c r="BD58" s="18" t="n">
        <f aca="false">IFERROR(STDEV(AF58,AH58,AJ58,AL58,AN58,AP58,AR58,AT58,AV58,AX58,AZ58,BB58),0)</f>
        <v>25.0763445251923</v>
      </c>
      <c r="BE58" s="15" t="n">
        <v>2251</v>
      </c>
      <c r="BF58" s="16" t="n">
        <f aca="false">BE58/31</f>
        <v>72.6129032258065</v>
      </c>
      <c r="BG58" s="15" t="n">
        <v>2713</v>
      </c>
      <c r="BH58" s="16" t="n">
        <f aca="false">BG58/28</f>
        <v>96.8928571428571</v>
      </c>
      <c r="BI58" s="15" t="n">
        <v>3160</v>
      </c>
      <c r="BJ58" s="16" t="n">
        <f aca="false">BI58/31</f>
        <v>101.935483870968</v>
      </c>
      <c r="BK58" s="15" t="n">
        <v>1853</v>
      </c>
      <c r="BL58" s="16" t="n">
        <f aca="false">BK58/30</f>
        <v>61.7666666666667</v>
      </c>
      <c r="BM58" s="15" t="n">
        <v>3537</v>
      </c>
      <c r="BN58" s="16" t="n">
        <f aca="false">BM58/31</f>
        <v>114.096774193548</v>
      </c>
      <c r="BO58" s="15" t="n">
        <v>1932</v>
      </c>
      <c r="BP58" s="16" t="n">
        <f aca="false">BO58/30</f>
        <v>64.4</v>
      </c>
      <c r="BQ58" s="15" t="n">
        <v>3767</v>
      </c>
      <c r="BR58" s="16" t="n">
        <f aca="false">BQ58/31</f>
        <v>121.516129032258</v>
      </c>
      <c r="BS58" s="15" t="n">
        <v>2607</v>
      </c>
      <c r="BT58" s="16" t="n">
        <f aca="false">BS58/31</f>
        <v>84.0967741935484</v>
      </c>
      <c r="BU58" s="15" t="n">
        <v>3443</v>
      </c>
      <c r="BV58" s="16" t="n">
        <f aca="false">BU58/30</f>
        <v>114.766666666667</v>
      </c>
      <c r="BW58" s="15" t="n">
        <v>2227</v>
      </c>
      <c r="BX58" s="16" t="n">
        <f aca="false">BW58/31</f>
        <v>71.8387096774194</v>
      </c>
      <c r="BY58" s="15" t="n">
        <v>2549</v>
      </c>
      <c r="BZ58" s="16" t="n">
        <f aca="false">BY58/30</f>
        <v>84.9666666666667</v>
      </c>
      <c r="CA58" s="15" t="n">
        <v>3049</v>
      </c>
      <c r="CB58" s="16" t="n">
        <f aca="false">CA58/31</f>
        <v>98.3548387096774</v>
      </c>
      <c r="CC58" s="17" t="n">
        <f aca="false">SUM(BE58:CA58)</f>
        <v>34076.8896313364</v>
      </c>
      <c r="CD58" s="18" t="n">
        <f aca="false">IFERROR(STDEV(BF58,BH58,BJ58,BL58,BN58,BP58,BR58,BT58,BV58,BX58,BZ58,CB58),0)</f>
        <v>20.4217196769896</v>
      </c>
      <c r="CE58" s="15" t="n">
        <v>2433</v>
      </c>
      <c r="CF58" s="16" t="n">
        <f aca="false">CE58/31</f>
        <v>78.4838709677419</v>
      </c>
      <c r="CG58" s="15" t="n">
        <v>2493</v>
      </c>
      <c r="CH58" s="16" t="n">
        <f aca="false">CG58/28</f>
        <v>89.0357142857143</v>
      </c>
      <c r="CI58" s="15" t="n">
        <v>4082</v>
      </c>
      <c r="CJ58" s="16" t="n">
        <f aca="false">CI58/31</f>
        <v>131.677419354839</v>
      </c>
      <c r="CK58" s="15" t="n">
        <v>3867</v>
      </c>
      <c r="CL58" s="16" t="n">
        <f aca="false">CK58/30</f>
        <v>128.9</v>
      </c>
      <c r="CM58" s="15" t="n">
        <v>3915</v>
      </c>
      <c r="CN58" s="16" t="n">
        <f aca="false">CM58/31</f>
        <v>126.290322580645</v>
      </c>
      <c r="CO58" s="15" t="n">
        <v>4194</v>
      </c>
      <c r="CP58" s="16" t="n">
        <f aca="false">CO58/30</f>
        <v>139.8</v>
      </c>
      <c r="CQ58" s="15" t="n">
        <v>4074</v>
      </c>
      <c r="CR58" s="16" t="n">
        <f aca="false">CQ58/31</f>
        <v>131.41935483871</v>
      </c>
      <c r="CS58" s="15" t="n">
        <v>3282</v>
      </c>
      <c r="CT58" s="16" t="n">
        <f aca="false">CS58/31</f>
        <v>105.870967741935</v>
      </c>
      <c r="CU58" s="15" t="n">
        <v>2357</v>
      </c>
      <c r="CV58" s="16" t="n">
        <f aca="false">CU58/30</f>
        <v>78.5666666666667</v>
      </c>
      <c r="CW58" s="15" t="n">
        <v>2752</v>
      </c>
      <c r="CX58" s="16" t="n">
        <f aca="false">CW58/31</f>
        <v>88.7741935483871</v>
      </c>
      <c r="CY58" s="15" t="n">
        <v>3260</v>
      </c>
      <c r="CZ58" s="16" t="n">
        <f aca="false">CY58/30</f>
        <v>108.666666666667</v>
      </c>
      <c r="DA58" s="15" t="n">
        <v>2297</v>
      </c>
      <c r="DB58" s="16" t="n">
        <f aca="false">DA58/31</f>
        <v>74.0967741935484</v>
      </c>
      <c r="DC58" s="17" t="n">
        <f aca="false">SUM(CE58:DA58)</f>
        <v>40213.4851766513</v>
      </c>
      <c r="DD58" s="18" t="n">
        <f aca="false">IFERROR(STDEV(CF58,CH58,CJ58,CL58,CN58,CP58,CR58,CT58,CV58,CX58,CZ58,DB58),0)</f>
        <v>24.3003060526216</v>
      </c>
      <c r="DE58" s="15" t="n">
        <v>3616</v>
      </c>
      <c r="DF58" s="16" t="n">
        <f aca="false">DE58/31</f>
        <v>116.645161290323</v>
      </c>
      <c r="DG58" s="15" t="n">
        <v>3679</v>
      </c>
      <c r="DH58" s="16" t="n">
        <f aca="false">DG58/28</f>
        <v>131.392857142857</v>
      </c>
      <c r="DI58" s="15" t="n">
        <v>1759</v>
      </c>
      <c r="DJ58" s="16" t="n">
        <f aca="false">DI58/31</f>
        <v>56.741935483871</v>
      </c>
      <c r="DK58" s="15" t="n">
        <v>2129</v>
      </c>
      <c r="DL58" s="16" t="n">
        <f aca="false">DK58/30</f>
        <v>70.9666666666667</v>
      </c>
      <c r="DM58" s="15" t="n">
        <v>3574</v>
      </c>
      <c r="DN58" s="16" t="n">
        <f aca="false">DM58/31</f>
        <v>115.290322580645</v>
      </c>
      <c r="DO58" s="15" t="n">
        <v>3583</v>
      </c>
      <c r="DP58" s="16" t="n">
        <f aca="false">DO58/30</f>
        <v>119.433333333333</v>
      </c>
      <c r="DQ58" s="15" t="n">
        <v>2257</v>
      </c>
      <c r="DR58" s="16" t="n">
        <f aca="false">DQ58/31</f>
        <v>72.8064516129032</v>
      </c>
      <c r="DS58" s="15" t="n">
        <v>2724</v>
      </c>
      <c r="DT58" s="16" t="n">
        <f aca="false">DS58/31</f>
        <v>87.8709677419355</v>
      </c>
      <c r="DU58" s="15" t="n">
        <v>3766</v>
      </c>
      <c r="DV58" s="16" t="n">
        <f aca="false">DU58/30</f>
        <v>125.533333333333</v>
      </c>
      <c r="DW58" s="15" t="n">
        <v>3285</v>
      </c>
      <c r="DX58" s="16" t="n">
        <f aca="false">DW58/31</f>
        <v>105.967741935484</v>
      </c>
      <c r="DY58" s="15" t="n">
        <v>2312</v>
      </c>
      <c r="DZ58" s="16" t="n">
        <f aca="false">DY58/30</f>
        <v>77.0666666666667</v>
      </c>
      <c r="EA58" s="15" t="n">
        <v>3553</v>
      </c>
      <c r="EB58" s="16" t="n">
        <f aca="false">EA58/31</f>
        <v>114.612903225806</v>
      </c>
      <c r="EC58" s="17" t="n">
        <f aca="false">SUM(DE58:EA58)</f>
        <v>37316.715437788</v>
      </c>
      <c r="ED58" s="18" t="n">
        <f aca="false">IFERROR(STDEV(DF58,DH58,DJ58,DL58,DN58,DP58,DR58,DT58,DV58,DX58,DZ58,EB58),0)</f>
        <v>25.0439205124532</v>
      </c>
      <c r="EE58" s="19" t="n">
        <f aca="false">STDEV(F58:AB58,AF58:BB58,BF58:CB58,CF58:DB58,DF58:EB58)</f>
        <v>1499.94021713566</v>
      </c>
    </row>
    <row r="59" customFormat="false" ht="15" hidden="false" customHeight="true" outlineLevel="0" collapsed="false">
      <c r="A59" s="11" t="n">
        <v>54</v>
      </c>
      <c r="B59" s="12" t="s">
        <v>142</v>
      </c>
      <c r="C59" s="13" t="s">
        <v>143</v>
      </c>
      <c r="D59" s="14" t="s">
        <v>36</v>
      </c>
      <c r="E59" s="15" t="n">
        <v>933</v>
      </c>
      <c r="F59" s="16" t="n">
        <f aca="false">E59/31</f>
        <v>30.0967741935484</v>
      </c>
      <c r="G59" s="15" t="n">
        <v>1030</v>
      </c>
      <c r="H59" s="16" t="n">
        <f aca="false">G59/28</f>
        <v>36.7857142857143</v>
      </c>
      <c r="I59" s="15" t="n">
        <v>650</v>
      </c>
      <c r="J59" s="16" t="n">
        <f aca="false">I59/31</f>
        <v>20.9677419354839</v>
      </c>
      <c r="K59" s="15" t="n">
        <v>580</v>
      </c>
      <c r="L59" s="16" t="n">
        <f aca="false">K59/30</f>
        <v>19.3333333333333</v>
      </c>
      <c r="M59" s="15" t="n">
        <v>835</v>
      </c>
      <c r="N59" s="16" t="n">
        <f aca="false">M59/31</f>
        <v>26.9354838709677</v>
      </c>
      <c r="O59" s="15" t="n">
        <v>999</v>
      </c>
      <c r="P59" s="16" t="n">
        <f aca="false">O59/30</f>
        <v>33.3</v>
      </c>
      <c r="Q59" s="15" t="n">
        <v>690</v>
      </c>
      <c r="R59" s="16" t="n">
        <f aca="false">Q59/31</f>
        <v>22.258064516129</v>
      </c>
      <c r="S59" s="15" t="n">
        <v>1205</v>
      </c>
      <c r="T59" s="16" t="n">
        <f aca="false">S59/31</f>
        <v>38.8709677419355</v>
      </c>
      <c r="U59" s="15" t="n">
        <v>994</v>
      </c>
      <c r="V59" s="16" t="n">
        <f aca="false">U59/30</f>
        <v>33.1333333333333</v>
      </c>
      <c r="W59" s="15" t="n">
        <v>818</v>
      </c>
      <c r="X59" s="16" t="n">
        <f aca="false">W59/31</f>
        <v>26.3870967741935</v>
      </c>
      <c r="Y59" s="15" t="n">
        <v>679</v>
      </c>
      <c r="Z59" s="16" t="n">
        <f aca="false">Y59/30</f>
        <v>22.6333333333333</v>
      </c>
      <c r="AA59" s="15" t="n">
        <v>1223</v>
      </c>
      <c r="AB59" s="16" t="n">
        <f aca="false">AA59/31</f>
        <v>39.4516129032258</v>
      </c>
      <c r="AC59" s="17" t="n">
        <f aca="false">SUM(E59:AA59)</f>
        <v>10946.701843318</v>
      </c>
      <c r="AD59" s="18" t="n">
        <f aca="false">IFERROR(STDEV(F59,H59,J59,L59,N59,P59,R59,T59,V59,X59,Z59,AB59),0)</f>
        <v>7.12689985091711</v>
      </c>
      <c r="AE59" s="15" t="n">
        <v>1205</v>
      </c>
      <c r="AF59" s="16" t="n">
        <f aca="false">AE59/31</f>
        <v>38.8709677419355</v>
      </c>
      <c r="AG59" s="15" t="n">
        <v>1157</v>
      </c>
      <c r="AH59" s="16" t="n">
        <f aca="false">AG59/28</f>
        <v>41.3214285714286</v>
      </c>
      <c r="AI59" s="15" t="n">
        <v>832</v>
      </c>
      <c r="AJ59" s="16" t="n">
        <f aca="false">AI59/31</f>
        <v>26.8387096774194</v>
      </c>
      <c r="AK59" s="15" t="n">
        <v>914</v>
      </c>
      <c r="AL59" s="16" t="n">
        <f aca="false">AK59/30</f>
        <v>30.4666666666667</v>
      </c>
      <c r="AM59" s="15" t="n">
        <v>734</v>
      </c>
      <c r="AN59" s="16" t="n">
        <f aca="false">AM59/31</f>
        <v>23.6774193548387</v>
      </c>
      <c r="AO59" s="15" t="n">
        <v>1063</v>
      </c>
      <c r="AP59" s="16" t="n">
        <f aca="false">AO59/30</f>
        <v>35.4333333333333</v>
      </c>
      <c r="AQ59" s="15" t="n">
        <v>1379</v>
      </c>
      <c r="AR59" s="16" t="n">
        <f aca="false">AQ59/31</f>
        <v>44.4838709677419</v>
      </c>
      <c r="AS59" s="15" t="n">
        <v>1292</v>
      </c>
      <c r="AT59" s="16" t="n">
        <f aca="false">AS59/31</f>
        <v>41.6774193548387</v>
      </c>
      <c r="AU59" s="15" t="n">
        <v>1124</v>
      </c>
      <c r="AV59" s="16" t="n">
        <f aca="false">AU59/30</f>
        <v>37.4666666666667</v>
      </c>
      <c r="AW59" s="15" t="n">
        <v>1148</v>
      </c>
      <c r="AX59" s="16" t="n">
        <f aca="false">AW59/31</f>
        <v>37.0322580645161</v>
      </c>
      <c r="AY59" s="15" t="n">
        <v>820</v>
      </c>
      <c r="AZ59" s="16" t="n">
        <f aca="false">AY59/30</f>
        <v>27.3333333333333</v>
      </c>
      <c r="BA59" s="15" t="n">
        <v>932</v>
      </c>
      <c r="BB59" s="16" t="n">
        <f aca="false">BA59/31</f>
        <v>30.0645161290323</v>
      </c>
      <c r="BC59" s="17" t="n">
        <f aca="false">SUM(AE59:BA59)</f>
        <v>12984.6020737327</v>
      </c>
      <c r="BD59" s="18" t="n">
        <f aca="false">IFERROR(STDEV(AF59,AH59,AJ59,AL59,AN59,AP59,AR59,AT59,AV59,AX59,AZ59,BB59),0)</f>
        <v>6.71500238111477</v>
      </c>
      <c r="BE59" s="15" t="n">
        <v>706</v>
      </c>
      <c r="BF59" s="16" t="n">
        <f aca="false">BE59/31</f>
        <v>22.7741935483871</v>
      </c>
      <c r="BG59" s="15" t="n">
        <v>1403</v>
      </c>
      <c r="BH59" s="16" t="n">
        <f aca="false">BG59/28</f>
        <v>50.1071428571429</v>
      </c>
      <c r="BI59" s="15" t="n">
        <v>1391</v>
      </c>
      <c r="BJ59" s="16" t="n">
        <f aca="false">BI59/31</f>
        <v>44.8709677419355</v>
      </c>
      <c r="BK59" s="15" t="n">
        <v>696</v>
      </c>
      <c r="BL59" s="16" t="n">
        <f aca="false">BK59/30</f>
        <v>23.2</v>
      </c>
      <c r="BM59" s="15" t="n">
        <v>1523</v>
      </c>
      <c r="BN59" s="16" t="n">
        <f aca="false">BM59/31</f>
        <v>49.1290322580645</v>
      </c>
      <c r="BO59" s="15" t="n">
        <v>1281</v>
      </c>
      <c r="BP59" s="16" t="n">
        <f aca="false">BO59/30</f>
        <v>42.7</v>
      </c>
      <c r="BQ59" s="15" t="n">
        <v>1239</v>
      </c>
      <c r="BR59" s="16" t="n">
        <f aca="false">BQ59/31</f>
        <v>39.9677419354839</v>
      </c>
      <c r="BS59" s="15" t="n">
        <v>695</v>
      </c>
      <c r="BT59" s="16" t="n">
        <f aca="false">BS59/31</f>
        <v>22.4193548387097</v>
      </c>
      <c r="BU59" s="15" t="n">
        <v>919</v>
      </c>
      <c r="BV59" s="16" t="n">
        <f aca="false">BU59/30</f>
        <v>30.6333333333333</v>
      </c>
      <c r="BW59" s="15" t="n">
        <v>1426</v>
      </c>
      <c r="BX59" s="16" t="n">
        <f aca="false">BW59/31</f>
        <v>46</v>
      </c>
      <c r="BY59" s="15" t="n">
        <v>968</v>
      </c>
      <c r="BZ59" s="16" t="n">
        <f aca="false">BY59/30</f>
        <v>32.2666666666667</v>
      </c>
      <c r="CA59" s="15" t="n">
        <v>1574</v>
      </c>
      <c r="CB59" s="16" t="n">
        <f aca="false">CA59/31</f>
        <v>50.7741935483871</v>
      </c>
      <c r="CC59" s="17" t="n">
        <f aca="false">SUM(BE59:CA59)</f>
        <v>14225.0684331797</v>
      </c>
      <c r="CD59" s="18" t="n">
        <f aca="false">IFERROR(STDEV(BF59,BH59,BJ59,BL59,BN59,BP59,BR59,BT59,BV59,BX59,BZ59,CB59),0)</f>
        <v>11.0841387190314</v>
      </c>
      <c r="CE59" s="15" t="n">
        <v>1126</v>
      </c>
      <c r="CF59" s="16" t="n">
        <f aca="false">CE59/31</f>
        <v>36.3225806451613</v>
      </c>
      <c r="CG59" s="15" t="n">
        <v>949</v>
      </c>
      <c r="CH59" s="16" t="n">
        <f aca="false">CG59/28</f>
        <v>33.8928571428571</v>
      </c>
      <c r="CI59" s="15" t="n">
        <v>911</v>
      </c>
      <c r="CJ59" s="16" t="n">
        <f aca="false">CI59/31</f>
        <v>29.3870967741935</v>
      </c>
      <c r="CK59" s="15" t="n">
        <v>888</v>
      </c>
      <c r="CL59" s="16" t="n">
        <f aca="false">CK59/30</f>
        <v>29.6</v>
      </c>
      <c r="CM59" s="15" t="n">
        <v>810</v>
      </c>
      <c r="CN59" s="16" t="n">
        <f aca="false">CM59/31</f>
        <v>26.1290322580645</v>
      </c>
      <c r="CO59" s="15" t="n">
        <v>984</v>
      </c>
      <c r="CP59" s="16" t="n">
        <f aca="false">CO59/30</f>
        <v>32.8</v>
      </c>
      <c r="CQ59" s="15" t="n">
        <v>1154</v>
      </c>
      <c r="CR59" s="16" t="n">
        <f aca="false">CQ59/31</f>
        <v>37.2258064516129</v>
      </c>
      <c r="CS59" s="15" t="n">
        <v>1273</v>
      </c>
      <c r="CT59" s="16" t="n">
        <f aca="false">CS59/31</f>
        <v>41.0645161290323</v>
      </c>
      <c r="CU59" s="15" t="n">
        <v>927</v>
      </c>
      <c r="CV59" s="16" t="n">
        <f aca="false">CU59/30</f>
        <v>30.9</v>
      </c>
      <c r="CW59" s="15" t="n">
        <v>689</v>
      </c>
      <c r="CX59" s="16" t="n">
        <f aca="false">CW59/31</f>
        <v>22.2258064516129</v>
      </c>
      <c r="CY59" s="15" t="n">
        <v>1020</v>
      </c>
      <c r="CZ59" s="16" t="n">
        <f aca="false">CY59/30</f>
        <v>34</v>
      </c>
      <c r="DA59" s="15" t="n">
        <v>1142</v>
      </c>
      <c r="DB59" s="16" t="n">
        <f aca="false">DA59/31</f>
        <v>36.8387096774194</v>
      </c>
      <c r="DC59" s="17" t="n">
        <f aca="false">SUM(CE59:DA59)</f>
        <v>12226.5476958525</v>
      </c>
      <c r="DD59" s="18" t="n">
        <f aca="false">IFERROR(STDEV(CF59,CH59,CJ59,CL59,CN59,CP59,CR59,CT59,CV59,CX59,CZ59,DB59),0)</f>
        <v>5.22404202363952</v>
      </c>
      <c r="DE59" s="15" t="n">
        <v>1144</v>
      </c>
      <c r="DF59" s="16" t="n">
        <f aca="false">DE59/31</f>
        <v>36.9032258064516</v>
      </c>
      <c r="DG59" s="15" t="n">
        <v>808</v>
      </c>
      <c r="DH59" s="16" t="n">
        <f aca="false">DG59/28</f>
        <v>28.8571428571429</v>
      </c>
      <c r="DI59" s="15" t="n">
        <v>1004</v>
      </c>
      <c r="DJ59" s="16" t="n">
        <f aca="false">DI59/31</f>
        <v>32.3870967741936</v>
      </c>
      <c r="DK59" s="15" t="n">
        <v>976</v>
      </c>
      <c r="DL59" s="16" t="n">
        <f aca="false">DK59/30</f>
        <v>32.5333333333333</v>
      </c>
      <c r="DM59" s="15" t="n">
        <v>753</v>
      </c>
      <c r="DN59" s="16" t="n">
        <f aca="false">DM59/31</f>
        <v>24.2903225806452</v>
      </c>
      <c r="DO59" s="15" t="n">
        <v>616</v>
      </c>
      <c r="DP59" s="16" t="n">
        <f aca="false">DO59/30</f>
        <v>20.5333333333333</v>
      </c>
      <c r="DQ59" s="15" t="n">
        <v>585</v>
      </c>
      <c r="DR59" s="16" t="n">
        <f aca="false">DQ59/31</f>
        <v>18.8709677419355</v>
      </c>
      <c r="DS59" s="15" t="n">
        <v>1249</v>
      </c>
      <c r="DT59" s="16" t="n">
        <f aca="false">DS59/31</f>
        <v>40.2903225806452</v>
      </c>
      <c r="DU59" s="15" t="n">
        <v>999</v>
      </c>
      <c r="DV59" s="16" t="n">
        <f aca="false">DU59/30</f>
        <v>33.3</v>
      </c>
      <c r="DW59" s="15" t="n">
        <v>1158</v>
      </c>
      <c r="DX59" s="16" t="n">
        <f aca="false">DW59/31</f>
        <v>37.3548387096774</v>
      </c>
      <c r="DY59" s="15" t="n">
        <v>726</v>
      </c>
      <c r="DZ59" s="16" t="n">
        <f aca="false">DY59/30</f>
        <v>24.2</v>
      </c>
      <c r="EA59" s="15" t="n">
        <v>1050</v>
      </c>
      <c r="EB59" s="16" t="n">
        <f aca="false">EA59/31</f>
        <v>33.8709677419355</v>
      </c>
      <c r="EC59" s="17" t="n">
        <f aca="false">SUM(DE59:EA59)</f>
        <v>11397.5205837174</v>
      </c>
      <c r="ED59" s="18" t="n">
        <f aca="false">IFERROR(STDEV(DF59,DH59,DJ59,DL59,DN59,DP59,DR59,DT59,DV59,DX59,DZ59,EB59),0)</f>
        <v>6.9130340762019</v>
      </c>
      <c r="EE59" s="19" t="n">
        <f aca="false">STDEV(F59:AB59,AF59:BB59,BF59:CB59,CF59:DB59,DF59:EB59)</f>
        <v>513.901691975444</v>
      </c>
    </row>
    <row r="60" customFormat="false" ht="15" hidden="false" customHeight="true" outlineLevel="0" collapsed="false">
      <c r="A60" s="11" t="n">
        <v>55</v>
      </c>
      <c r="B60" s="12" t="s">
        <v>144</v>
      </c>
      <c r="C60" s="13" t="s">
        <v>145</v>
      </c>
      <c r="D60" s="14" t="s">
        <v>36</v>
      </c>
      <c r="E60" s="15" t="n">
        <v>5527</v>
      </c>
      <c r="F60" s="16" t="n">
        <f aca="false">E60/31</f>
        <v>178.290322580645</v>
      </c>
      <c r="G60" s="15" t="n">
        <v>3530</v>
      </c>
      <c r="H60" s="16" t="n">
        <f aca="false">G60/28</f>
        <v>126.071428571429</v>
      </c>
      <c r="I60" s="15" t="n">
        <v>3029</v>
      </c>
      <c r="J60" s="16" t="n">
        <f aca="false">I60/31</f>
        <v>97.7096774193548</v>
      </c>
      <c r="K60" s="15" t="n">
        <v>5100</v>
      </c>
      <c r="L60" s="16" t="n">
        <f aca="false">K60/30</f>
        <v>170</v>
      </c>
      <c r="M60" s="15" t="n">
        <v>5552</v>
      </c>
      <c r="N60" s="16" t="n">
        <f aca="false">M60/31</f>
        <v>179.096774193548</v>
      </c>
      <c r="O60" s="15" t="n">
        <v>5235</v>
      </c>
      <c r="P60" s="16" t="n">
        <f aca="false">O60/30</f>
        <v>174.5</v>
      </c>
      <c r="Q60" s="15" t="n">
        <v>5224</v>
      </c>
      <c r="R60" s="16" t="n">
        <f aca="false">Q60/31</f>
        <v>168.516129032258</v>
      </c>
      <c r="S60" s="15" t="n">
        <v>4543</v>
      </c>
      <c r="T60" s="16" t="n">
        <f aca="false">S60/31</f>
        <v>146.548387096774</v>
      </c>
      <c r="U60" s="15" t="n">
        <v>4747</v>
      </c>
      <c r="V60" s="16" t="n">
        <f aca="false">U60/30</f>
        <v>158.233333333333</v>
      </c>
      <c r="W60" s="15" t="n">
        <v>4815</v>
      </c>
      <c r="X60" s="16" t="n">
        <f aca="false">W60/31</f>
        <v>155.322580645161</v>
      </c>
      <c r="Y60" s="15" t="n">
        <v>4951</v>
      </c>
      <c r="Z60" s="16" t="n">
        <f aca="false">Y60/30</f>
        <v>165.033333333333</v>
      </c>
      <c r="AA60" s="15" t="n">
        <v>4730</v>
      </c>
      <c r="AB60" s="16" t="n">
        <f aca="false">AA60/31</f>
        <v>152.58064516129</v>
      </c>
      <c r="AC60" s="17" t="n">
        <f aca="false">SUM(E60:AA60)</f>
        <v>58702.3219662058</v>
      </c>
      <c r="AD60" s="18" t="n">
        <f aca="false">IFERROR(STDEV(F60,H60,J60,L60,N60,P60,R60,T60,V60,X60,Z60,AB60),0)</f>
        <v>23.7539968094131</v>
      </c>
      <c r="AE60" s="15" t="n">
        <v>6235</v>
      </c>
      <c r="AF60" s="16" t="n">
        <f aca="false">AE60/31</f>
        <v>201.129032258065</v>
      </c>
      <c r="AG60" s="15" t="n">
        <v>3601</v>
      </c>
      <c r="AH60" s="16" t="n">
        <f aca="false">AG60/28</f>
        <v>128.607142857143</v>
      </c>
      <c r="AI60" s="15" t="n">
        <v>4169</v>
      </c>
      <c r="AJ60" s="16" t="n">
        <f aca="false">AI60/31</f>
        <v>134.483870967742</v>
      </c>
      <c r="AK60" s="15" t="n">
        <v>4061</v>
      </c>
      <c r="AL60" s="16" t="n">
        <f aca="false">AK60/30</f>
        <v>135.366666666667</v>
      </c>
      <c r="AM60" s="15" t="n">
        <v>2802</v>
      </c>
      <c r="AN60" s="16" t="n">
        <f aca="false">AM60/31</f>
        <v>90.3870967741936</v>
      </c>
      <c r="AO60" s="15" t="n">
        <v>5202</v>
      </c>
      <c r="AP60" s="16" t="n">
        <f aca="false">AO60/30</f>
        <v>173.4</v>
      </c>
      <c r="AQ60" s="15" t="n">
        <v>4717</v>
      </c>
      <c r="AR60" s="16" t="n">
        <f aca="false">AQ60/31</f>
        <v>152.161290322581</v>
      </c>
      <c r="AS60" s="15" t="n">
        <v>3353</v>
      </c>
      <c r="AT60" s="16" t="n">
        <f aca="false">AS60/31</f>
        <v>108.161290322581</v>
      </c>
      <c r="AU60" s="15" t="n">
        <v>5268</v>
      </c>
      <c r="AV60" s="16" t="n">
        <f aca="false">AU60/30</f>
        <v>175.6</v>
      </c>
      <c r="AW60" s="15" t="n">
        <v>3469</v>
      </c>
      <c r="AX60" s="16" t="n">
        <f aca="false">AW60/31</f>
        <v>111.903225806452</v>
      </c>
      <c r="AY60" s="15" t="n">
        <v>4583</v>
      </c>
      <c r="AZ60" s="16" t="n">
        <f aca="false">AY60/30</f>
        <v>152.766666666667</v>
      </c>
      <c r="BA60" s="15" t="n">
        <v>5476</v>
      </c>
      <c r="BB60" s="16" t="n">
        <f aca="false">BA60/31</f>
        <v>176.645161290323</v>
      </c>
      <c r="BC60" s="17" t="n">
        <f aca="false">SUM(AE60:BA60)</f>
        <v>54499.9662826421</v>
      </c>
      <c r="BD60" s="18" t="n">
        <f aca="false">IFERROR(STDEV(AF60,AH60,AJ60,AL60,AN60,AP60,AR60,AT60,AV60,AX60,AZ60,BB60),0)</f>
        <v>32.9097257908433</v>
      </c>
      <c r="BE60" s="15" t="n">
        <v>5242</v>
      </c>
      <c r="BF60" s="16" t="n">
        <f aca="false">BE60/31</f>
        <v>169.096774193548</v>
      </c>
      <c r="BG60" s="15" t="n">
        <v>4499</v>
      </c>
      <c r="BH60" s="16" t="n">
        <f aca="false">BG60/28</f>
        <v>160.678571428571</v>
      </c>
      <c r="BI60" s="15" t="n">
        <v>3978</v>
      </c>
      <c r="BJ60" s="16" t="n">
        <f aca="false">BI60/31</f>
        <v>128.322580645161</v>
      </c>
      <c r="BK60" s="15" t="n">
        <v>5048</v>
      </c>
      <c r="BL60" s="16" t="n">
        <f aca="false">BK60/30</f>
        <v>168.266666666667</v>
      </c>
      <c r="BM60" s="15" t="n">
        <v>5033</v>
      </c>
      <c r="BN60" s="16" t="n">
        <f aca="false">BM60/31</f>
        <v>162.354838709677</v>
      </c>
      <c r="BO60" s="15" t="n">
        <v>5147</v>
      </c>
      <c r="BP60" s="16" t="n">
        <f aca="false">BO60/30</f>
        <v>171.566666666667</v>
      </c>
      <c r="BQ60" s="15" t="n">
        <v>2946</v>
      </c>
      <c r="BR60" s="16" t="n">
        <f aca="false">BQ60/31</f>
        <v>95.0322580645161</v>
      </c>
      <c r="BS60" s="15" t="n">
        <v>2682</v>
      </c>
      <c r="BT60" s="16" t="n">
        <f aca="false">BS60/31</f>
        <v>86.5161290322581</v>
      </c>
      <c r="BU60" s="15" t="n">
        <v>2778</v>
      </c>
      <c r="BV60" s="16" t="n">
        <f aca="false">BU60/30</f>
        <v>92.6</v>
      </c>
      <c r="BW60" s="15" t="n">
        <v>3192</v>
      </c>
      <c r="BX60" s="16" t="n">
        <f aca="false">BW60/31</f>
        <v>102.967741935484</v>
      </c>
      <c r="BY60" s="15" t="n">
        <v>4931</v>
      </c>
      <c r="BZ60" s="16" t="n">
        <f aca="false">BY60/30</f>
        <v>164.366666666667</v>
      </c>
      <c r="CA60" s="15" t="n">
        <v>4787</v>
      </c>
      <c r="CB60" s="16" t="n">
        <f aca="false">CA60/31</f>
        <v>154.41935483871</v>
      </c>
      <c r="CC60" s="17" t="n">
        <f aca="false">SUM(BE60:CA60)</f>
        <v>51764.7688940092</v>
      </c>
      <c r="CD60" s="18" t="n">
        <f aca="false">IFERROR(STDEV(BF60,BH60,BJ60,BL60,BN60,BP60,BR60,BT60,BV60,BX60,BZ60,CB60),0)</f>
        <v>34.325921952397</v>
      </c>
      <c r="CE60" s="15" t="n">
        <v>3221</v>
      </c>
      <c r="CF60" s="16" t="n">
        <f aca="false">CE60/31</f>
        <v>103.903225806452</v>
      </c>
      <c r="CG60" s="15" t="n">
        <v>4935</v>
      </c>
      <c r="CH60" s="16" t="n">
        <f aca="false">CG60/28</f>
        <v>176.25</v>
      </c>
      <c r="CI60" s="15" t="n">
        <v>3747</v>
      </c>
      <c r="CJ60" s="16" t="n">
        <f aca="false">CI60/31</f>
        <v>120.870967741935</v>
      </c>
      <c r="CK60" s="15" t="n">
        <v>2897</v>
      </c>
      <c r="CL60" s="16" t="n">
        <f aca="false">CK60/30</f>
        <v>96.5666666666667</v>
      </c>
      <c r="CM60" s="15" t="n">
        <v>3815</v>
      </c>
      <c r="CN60" s="16" t="n">
        <f aca="false">CM60/31</f>
        <v>123.064516129032</v>
      </c>
      <c r="CO60" s="15" t="n">
        <v>5158</v>
      </c>
      <c r="CP60" s="16" t="n">
        <f aca="false">CO60/30</f>
        <v>171.933333333333</v>
      </c>
      <c r="CQ60" s="15" t="n">
        <v>3649</v>
      </c>
      <c r="CR60" s="16" t="n">
        <f aca="false">CQ60/31</f>
        <v>117.709677419355</v>
      </c>
      <c r="CS60" s="15" t="n">
        <v>5309</v>
      </c>
      <c r="CT60" s="16" t="n">
        <f aca="false">CS60/31</f>
        <v>171.258064516129</v>
      </c>
      <c r="CU60" s="15" t="n">
        <v>3732</v>
      </c>
      <c r="CV60" s="16" t="n">
        <f aca="false">CU60/30</f>
        <v>124.4</v>
      </c>
      <c r="CW60" s="15" t="n">
        <v>3488</v>
      </c>
      <c r="CX60" s="16" t="n">
        <f aca="false">CW60/31</f>
        <v>112.516129032258</v>
      </c>
      <c r="CY60" s="15" t="n">
        <v>3604</v>
      </c>
      <c r="CZ60" s="16" t="n">
        <f aca="false">CY60/30</f>
        <v>120.133333333333</v>
      </c>
      <c r="DA60" s="15" t="n">
        <v>5527</v>
      </c>
      <c r="DB60" s="16" t="n">
        <f aca="false">DA60/31</f>
        <v>178.290322580645</v>
      </c>
      <c r="DC60" s="17" t="n">
        <f aca="false">SUM(CE60:DA60)</f>
        <v>50520.6059139785</v>
      </c>
      <c r="DD60" s="18" t="n">
        <f aca="false">IFERROR(STDEV(CF60,CH60,CJ60,CL60,CN60,CP60,CR60,CT60,CV60,CX60,CZ60,DB60),0)</f>
        <v>30.41770326979</v>
      </c>
      <c r="DE60" s="15" t="n">
        <v>3862</v>
      </c>
      <c r="DF60" s="16" t="n">
        <f aca="false">DE60/31</f>
        <v>124.58064516129</v>
      </c>
      <c r="DG60" s="15" t="n">
        <v>5115</v>
      </c>
      <c r="DH60" s="16" t="n">
        <f aca="false">DG60/28</f>
        <v>182.678571428571</v>
      </c>
      <c r="DI60" s="15" t="n">
        <v>4220</v>
      </c>
      <c r="DJ60" s="16" t="n">
        <f aca="false">DI60/31</f>
        <v>136.129032258065</v>
      </c>
      <c r="DK60" s="15" t="n">
        <v>5361</v>
      </c>
      <c r="DL60" s="16" t="n">
        <f aca="false">DK60/30</f>
        <v>178.7</v>
      </c>
      <c r="DM60" s="15" t="n">
        <v>2599</v>
      </c>
      <c r="DN60" s="16" t="n">
        <f aca="false">DM60/31</f>
        <v>83.8387096774194</v>
      </c>
      <c r="DO60" s="15" t="n">
        <v>5188</v>
      </c>
      <c r="DP60" s="16" t="n">
        <f aca="false">DO60/30</f>
        <v>172.933333333333</v>
      </c>
      <c r="DQ60" s="15" t="n">
        <v>3957</v>
      </c>
      <c r="DR60" s="16" t="n">
        <f aca="false">DQ60/31</f>
        <v>127.645161290323</v>
      </c>
      <c r="DS60" s="15" t="n">
        <v>5118</v>
      </c>
      <c r="DT60" s="16" t="n">
        <f aca="false">DS60/31</f>
        <v>165.096774193548</v>
      </c>
      <c r="DU60" s="15" t="n">
        <v>3581</v>
      </c>
      <c r="DV60" s="16" t="n">
        <f aca="false">DU60/30</f>
        <v>119.366666666667</v>
      </c>
      <c r="DW60" s="15" t="n">
        <v>3317</v>
      </c>
      <c r="DX60" s="16" t="n">
        <f aca="false">DW60/31</f>
        <v>107</v>
      </c>
      <c r="DY60" s="15" t="n">
        <v>2544</v>
      </c>
      <c r="DZ60" s="16" t="n">
        <f aca="false">DY60/30</f>
        <v>84.8</v>
      </c>
      <c r="EA60" s="15" t="n">
        <v>5076</v>
      </c>
      <c r="EB60" s="16" t="n">
        <f aca="false">EA60/31</f>
        <v>163.741935483871</v>
      </c>
      <c r="EC60" s="17" t="n">
        <f aca="false">SUM(DE60:EA60)</f>
        <v>51420.7688940092</v>
      </c>
      <c r="ED60" s="18" t="n">
        <f aca="false">IFERROR(STDEV(DF60,DH60,DJ60,DL60,DN60,DP60,DR60,DT60,DV60,DX60,DZ60,EB60),0)</f>
        <v>35.1943564822783</v>
      </c>
      <c r="EE60" s="19" t="n">
        <f aca="false">STDEV(F60:AB60,AF60:BB60,BF60:CB60,CF60:DB60,DF60:EB60)</f>
        <v>2166.82746130847</v>
      </c>
    </row>
    <row r="61" customFormat="false" ht="15" hidden="false" customHeight="true" outlineLevel="0" collapsed="false">
      <c r="A61" s="11" t="n">
        <v>56</v>
      </c>
      <c r="B61" s="12" t="s">
        <v>146</v>
      </c>
      <c r="C61" s="13" t="s">
        <v>147</v>
      </c>
      <c r="D61" s="14" t="s">
        <v>36</v>
      </c>
      <c r="E61" s="15" t="n">
        <v>1717</v>
      </c>
      <c r="F61" s="16" t="n">
        <f aca="false">E61/31</f>
        <v>55.3870967741936</v>
      </c>
      <c r="G61" s="15" t="n">
        <v>1839</v>
      </c>
      <c r="H61" s="16" t="n">
        <f aca="false">G61/28</f>
        <v>65.6785714285714</v>
      </c>
      <c r="I61" s="15" t="n">
        <v>2243</v>
      </c>
      <c r="J61" s="16" t="n">
        <f aca="false">I61/31</f>
        <v>72.3548387096774</v>
      </c>
      <c r="K61" s="15" t="n">
        <v>2553</v>
      </c>
      <c r="L61" s="16" t="n">
        <f aca="false">K61/30</f>
        <v>85.1</v>
      </c>
      <c r="M61" s="15" t="n">
        <v>3206</v>
      </c>
      <c r="N61" s="16" t="n">
        <f aca="false">M61/31</f>
        <v>103.41935483871</v>
      </c>
      <c r="O61" s="15" t="n">
        <v>2337</v>
      </c>
      <c r="P61" s="16" t="n">
        <f aca="false">O61/30</f>
        <v>77.9</v>
      </c>
      <c r="Q61" s="15" t="n">
        <v>2064</v>
      </c>
      <c r="R61" s="16" t="n">
        <f aca="false">Q61/31</f>
        <v>66.5806451612903</v>
      </c>
      <c r="S61" s="15" t="n">
        <v>2836</v>
      </c>
      <c r="T61" s="16" t="n">
        <f aca="false">S61/31</f>
        <v>91.4838709677419</v>
      </c>
      <c r="U61" s="15" t="n">
        <v>2959</v>
      </c>
      <c r="V61" s="16" t="n">
        <f aca="false">U61/30</f>
        <v>98.6333333333333</v>
      </c>
      <c r="W61" s="15" t="n">
        <v>2395</v>
      </c>
      <c r="X61" s="16" t="n">
        <f aca="false">W61/31</f>
        <v>77.258064516129</v>
      </c>
      <c r="Y61" s="15" t="n">
        <v>2672</v>
      </c>
      <c r="Z61" s="16" t="n">
        <f aca="false">Y61/30</f>
        <v>89.0666666666667</v>
      </c>
      <c r="AA61" s="15" t="n">
        <v>1793</v>
      </c>
      <c r="AB61" s="16" t="n">
        <f aca="false">AA61/31</f>
        <v>57.8387096774194</v>
      </c>
      <c r="AC61" s="17" t="n">
        <f aca="false">SUM(E61:AA61)</f>
        <v>29496.8624423963</v>
      </c>
      <c r="AD61" s="18" t="n">
        <f aca="false">IFERROR(STDEV(F61,H61,J61,L61,N61,P61,R61,T61,V61,X61,Z61,AB61),0)</f>
        <v>15.5423199313857</v>
      </c>
      <c r="AE61" s="15" t="n">
        <v>2786</v>
      </c>
      <c r="AF61" s="16" t="n">
        <f aca="false">AE61/31</f>
        <v>89.8709677419355</v>
      </c>
      <c r="AG61" s="15" t="n">
        <v>1519</v>
      </c>
      <c r="AH61" s="16" t="n">
        <f aca="false">AG61/28</f>
        <v>54.25</v>
      </c>
      <c r="AI61" s="15" t="n">
        <v>2060</v>
      </c>
      <c r="AJ61" s="16" t="n">
        <f aca="false">AI61/31</f>
        <v>66.4516129032258</v>
      </c>
      <c r="AK61" s="15" t="n">
        <v>3041</v>
      </c>
      <c r="AL61" s="16" t="n">
        <f aca="false">AK61/30</f>
        <v>101.366666666667</v>
      </c>
      <c r="AM61" s="15" t="n">
        <v>1849</v>
      </c>
      <c r="AN61" s="16" t="n">
        <f aca="false">AM61/31</f>
        <v>59.6451612903226</v>
      </c>
      <c r="AO61" s="15" t="n">
        <v>3048</v>
      </c>
      <c r="AP61" s="16" t="n">
        <f aca="false">AO61/30</f>
        <v>101.6</v>
      </c>
      <c r="AQ61" s="15" t="n">
        <v>2495</v>
      </c>
      <c r="AR61" s="16" t="n">
        <f aca="false">AQ61/31</f>
        <v>80.4838709677419</v>
      </c>
      <c r="AS61" s="15" t="n">
        <v>3046</v>
      </c>
      <c r="AT61" s="16" t="n">
        <f aca="false">AS61/31</f>
        <v>98.258064516129</v>
      </c>
      <c r="AU61" s="15" t="n">
        <v>1687</v>
      </c>
      <c r="AV61" s="16" t="n">
        <f aca="false">AU61/30</f>
        <v>56.2333333333333</v>
      </c>
      <c r="AW61" s="15" t="n">
        <v>2746</v>
      </c>
      <c r="AX61" s="16" t="n">
        <f aca="false">AW61/31</f>
        <v>88.5806451612903</v>
      </c>
      <c r="AY61" s="15" t="n">
        <v>2784</v>
      </c>
      <c r="AZ61" s="16" t="n">
        <f aca="false">AY61/30</f>
        <v>92.8</v>
      </c>
      <c r="BA61" s="15" t="n">
        <v>2321</v>
      </c>
      <c r="BB61" s="16" t="n">
        <f aca="false">BA61/31</f>
        <v>74.8709677419355</v>
      </c>
      <c r="BC61" s="17" t="n">
        <f aca="false">SUM(AE61:BA61)</f>
        <v>30271.5403225806</v>
      </c>
      <c r="BD61" s="18" t="n">
        <f aca="false">IFERROR(STDEV(AF61,AH61,AJ61,AL61,AN61,AP61,AR61,AT61,AV61,AX61,AZ61,BB61),0)</f>
        <v>17.6894152111142</v>
      </c>
      <c r="BE61" s="15" t="n">
        <v>3657</v>
      </c>
      <c r="BF61" s="16" t="n">
        <f aca="false">BE61/31</f>
        <v>117.967741935484</v>
      </c>
      <c r="BG61" s="15" t="n">
        <v>2416</v>
      </c>
      <c r="BH61" s="16" t="n">
        <f aca="false">BG61/28</f>
        <v>86.2857142857143</v>
      </c>
      <c r="BI61" s="15" t="n">
        <v>1680</v>
      </c>
      <c r="BJ61" s="16" t="n">
        <f aca="false">BI61/31</f>
        <v>54.1935483870968</v>
      </c>
      <c r="BK61" s="15" t="n">
        <v>2024</v>
      </c>
      <c r="BL61" s="16" t="n">
        <f aca="false">BK61/30</f>
        <v>67.4666666666667</v>
      </c>
      <c r="BM61" s="15" t="n">
        <v>2395</v>
      </c>
      <c r="BN61" s="16" t="n">
        <f aca="false">BM61/31</f>
        <v>77.258064516129</v>
      </c>
      <c r="BO61" s="15" t="n">
        <v>1629</v>
      </c>
      <c r="BP61" s="16" t="n">
        <f aca="false">BO61/30</f>
        <v>54.3</v>
      </c>
      <c r="BQ61" s="15" t="n">
        <v>2286</v>
      </c>
      <c r="BR61" s="16" t="n">
        <f aca="false">BQ61/31</f>
        <v>73.741935483871</v>
      </c>
      <c r="BS61" s="15" t="n">
        <v>3376</v>
      </c>
      <c r="BT61" s="16" t="n">
        <f aca="false">BS61/31</f>
        <v>108.903225806452</v>
      </c>
      <c r="BU61" s="15" t="n">
        <v>2005</v>
      </c>
      <c r="BV61" s="16" t="n">
        <f aca="false">BU61/30</f>
        <v>66.8333333333333</v>
      </c>
      <c r="BW61" s="15" t="n">
        <v>3042</v>
      </c>
      <c r="BX61" s="16" t="n">
        <f aca="false">BW61/31</f>
        <v>98.1290322580645</v>
      </c>
      <c r="BY61" s="15" t="n">
        <v>2935</v>
      </c>
      <c r="BZ61" s="16" t="n">
        <f aca="false">BY61/30</f>
        <v>97.8333333333333</v>
      </c>
      <c r="CA61" s="15" t="n">
        <v>2130</v>
      </c>
      <c r="CB61" s="16" t="n">
        <f aca="false">CA61/31</f>
        <v>68.7096774193548</v>
      </c>
      <c r="CC61" s="17" t="n">
        <f aca="false">SUM(BE61:CA61)</f>
        <v>30477.9125960061</v>
      </c>
      <c r="CD61" s="18" t="n">
        <f aca="false">IFERROR(STDEV(BF61,BH61,BJ61,BL61,BN61,BP61,BR61,BT61,BV61,BX61,BZ61,CB61),0)</f>
        <v>20.8521869609654</v>
      </c>
      <c r="CE61" s="15" t="n">
        <v>2839</v>
      </c>
      <c r="CF61" s="16" t="n">
        <f aca="false">CE61/31</f>
        <v>91.5806451612903</v>
      </c>
      <c r="CG61" s="15" t="n">
        <v>2152</v>
      </c>
      <c r="CH61" s="16" t="n">
        <f aca="false">CG61/28</f>
        <v>76.8571428571429</v>
      </c>
      <c r="CI61" s="15" t="n">
        <v>1728</v>
      </c>
      <c r="CJ61" s="16" t="n">
        <f aca="false">CI61/31</f>
        <v>55.741935483871</v>
      </c>
      <c r="CK61" s="15" t="n">
        <v>2229</v>
      </c>
      <c r="CL61" s="16" t="n">
        <f aca="false">CK61/30</f>
        <v>74.3</v>
      </c>
      <c r="CM61" s="15" t="n">
        <v>2632</v>
      </c>
      <c r="CN61" s="16" t="n">
        <f aca="false">CM61/31</f>
        <v>84.9032258064516</v>
      </c>
      <c r="CO61" s="15" t="n">
        <v>1803</v>
      </c>
      <c r="CP61" s="16" t="n">
        <f aca="false">CO61/30</f>
        <v>60.1</v>
      </c>
      <c r="CQ61" s="15" t="n">
        <v>3095</v>
      </c>
      <c r="CR61" s="16" t="n">
        <f aca="false">CQ61/31</f>
        <v>99.8387096774194</v>
      </c>
      <c r="CS61" s="15" t="n">
        <v>2061</v>
      </c>
      <c r="CT61" s="16" t="n">
        <f aca="false">CS61/31</f>
        <v>66.4838709677419</v>
      </c>
      <c r="CU61" s="15" t="n">
        <v>2047</v>
      </c>
      <c r="CV61" s="16" t="n">
        <f aca="false">CU61/30</f>
        <v>68.2333333333333</v>
      </c>
      <c r="CW61" s="15" t="n">
        <v>2906</v>
      </c>
      <c r="CX61" s="16" t="n">
        <f aca="false">CW61/31</f>
        <v>93.741935483871</v>
      </c>
      <c r="CY61" s="15" t="n">
        <v>2648</v>
      </c>
      <c r="CZ61" s="16" t="n">
        <f aca="false">CY61/30</f>
        <v>88.2666666666667</v>
      </c>
      <c r="DA61" s="15" t="n">
        <v>2139</v>
      </c>
      <c r="DB61" s="16" t="n">
        <f aca="false">DA61/31</f>
        <v>69</v>
      </c>
      <c r="DC61" s="17" t="n">
        <f aca="false">SUM(CE61:DA61)</f>
        <v>29139.0474654378</v>
      </c>
      <c r="DD61" s="18" t="n">
        <f aca="false">IFERROR(STDEV(CF61,CH61,CJ61,CL61,CN61,CP61,CR61,CT61,CV61,CX61,CZ61,DB61),0)</f>
        <v>14.1358316040258</v>
      </c>
      <c r="DE61" s="15" t="n">
        <v>2999</v>
      </c>
      <c r="DF61" s="16" t="n">
        <f aca="false">DE61/31</f>
        <v>96.741935483871</v>
      </c>
      <c r="DG61" s="15" t="n">
        <v>3196</v>
      </c>
      <c r="DH61" s="16" t="n">
        <f aca="false">DG61/28</f>
        <v>114.142857142857</v>
      </c>
      <c r="DI61" s="15" t="n">
        <v>2001</v>
      </c>
      <c r="DJ61" s="16" t="n">
        <f aca="false">DI61/31</f>
        <v>64.5483870967742</v>
      </c>
      <c r="DK61" s="15" t="n">
        <v>3023</v>
      </c>
      <c r="DL61" s="16" t="n">
        <f aca="false">DK61/30</f>
        <v>100.766666666667</v>
      </c>
      <c r="DM61" s="15" t="n">
        <v>2031</v>
      </c>
      <c r="DN61" s="16" t="n">
        <f aca="false">DM61/31</f>
        <v>65.5161290322581</v>
      </c>
      <c r="DO61" s="15" t="n">
        <v>1718</v>
      </c>
      <c r="DP61" s="16" t="n">
        <f aca="false">DO61/30</f>
        <v>57.2666666666667</v>
      </c>
      <c r="DQ61" s="15" t="n">
        <v>3109</v>
      </c>
      <c r="DR61" s="16" t="n">
        <f aca="false">DQ61/31</f>
        <v>100.290322580645</v>
      </c>
      <c r="DS61" s="15" t="n">
        <v>3054</v>
      </c>
      <c r="DT61" s="16" t="n">
        <f aca="false">DS61/31</f>
        <v>98.5161290322581</v>
      </c>
      <c r="DU61" s="15" t="n">
        <v>2112</v>
      </c>
      <c r="DV61" s="16" t="n">
        <f aca="false">DU61/30</f>
        <v>70.4</v>
      </c>
      <c r="DW61" s="15" t="n">
        <v>1791</v>
      </c>
      <c r="DX61" s="16" t="n">
        <f aca="false">DW61/31</f>
        <v>57.7741935483871</v>
      </c>
      <c r="DY61" s="15" t="n">
        <v>2704</v>
      </c>
      <c r="DZ61" s="16" t="n">
        <f aca="false">DY61/30</f>
        <v>90.1333333333333</v>
      </c>
      <c r="EA61" s="15" t="n">
        <v>1613</v>
      </c>
      <c r="EB61" s="16" t="n">
        <f aca="false">EA61/31</f>
        <v>52.0322580645161</v>
      </c>
      <c r="EC61" s="17" t="n">
        <f aca="false">SUM(DE61:EA61)</f>
        <v>30267.0966205837</v>
      </c>
      <c r="ED61" s="18" t="n">
        <f aca="false">IFERROR(STDEV(DF61,DH61,DJ61,DL61,DN61,DP61,DR61,DT61,DV61,DX61,DZ61,EB61),0)</f>
        <v>21.453298159163</v>
      </c>
      <c r="EE61" s="19" t="n">
        <f aca="false">STDEV(F61:AB61,AF61:BB61,BF61:CB61,CF61:DB61,DF61:EB61)</f>
        <v>1210.28960609933</v>
      </c>
    </row>
    <row r="62" customFormat="false" ht="15" hidden="false" customHeight="true" outlineLevel="0" collapsed="false">
      <c r="A62" s="11" t="n">
        <v>57</v>
      </c>
      <c r="B62" s="12" t="s">
        <v>148</v>
      </c>
      <c r="C62" s="13" t="s">
        <v>149</v>
      </c>
      <c r="D62" s="14" t="s">
        <v>36</v>
      </c>
      <c r="E62" s="15" t="n">
        <v>2770</v>
      </c>
      <c r="F62" s="16" t="n">
        <f aca="false">E62/31</f>
        <v>89.3548387096774</v>
      </c>
      <c r="G62" s="15" t="n">
        <v>2500</v>
      </c>
      <c r="H62" s="16" t="n">
        <f aca="false">G62/28</f>
        <v>89.2857142857143</v>
      </c>
      <c r="I62" s="15" t="n">
        <v>1715</v>
      </c>
      <c r="J62" s="16" t="n">
        <f aca="false">I62/31</f>
        <v>55.3225806451613</v>
      </c>
      <c r="K62" s="15" t="n">
        <v>2084</v>
      </c>
      <c r="L62" s="16" t="n">
        <f aca="false">K62/30</f>
        <v>69.4666666666667</v>
      </c>
      <c r="M62" s="15" t="n">
        <v>2614</v>
      </c>
      <c r="N62" s="16" t="n">
        <f aca="false">M62/31</f>
        <v>84.3225806451613</v>
      </c>
      <c r="O62" s="15" t="n">
        <v>1469</v>
      </c>
      <c r="P62" s="16" t="n">
        <f aca="false">O62/30</f>
        <v>48.9666666666667</v>
      </c>
      <c r="Q62" s="15" t="n">
        <v>3036</v>
      </c>
      <c r="R62" s="16" t="n">
        <f aca="false">Q62/31</f>
        <v>97.9354838709677</v>
      </c>
      <c r="S62" s="15" t="n">
        <v>1877</v>
      </c>
      <c r="T62" s="16" t="n">
        <f aca="false">S62/31</f>
        <v>60.5483870967742</v>
      </c>
      <c r="U62" s="15" t="n">
        <v>2398</v>
      </c>
      <c r="V62" s="16" t="n">
        <f aca="false">U62/30</f>
        <v>79.9333333333333</v>
      </c>
      <c r="W62" s="15" t="n">
        <v>1490</v>
      </c>
      <c r="X62" s="16" t="n">
        <f aca="false">W62/31</f>
        <v>48.0645161290323</v>
      </c>
      <c r="Y62" s="15" t="n">
        <v>3256</v>
      </c>
      <c r="Z62" s="16" t="n">
        <f aca="false">Y62/30</f>
        <v>108.533333333333</v>
      </c>
      <c r="AA62" s="15" t="n">
        <v>2635</v>
      </c>
      <c r="AB62" s="16" t="n">
        <f aca="false">AA62/31</f>
        <v>85</v>
      </c>
      <c r="AC62" s="17" t="n">
        <f aca="false">SUM(E62:AA62)</f>
        <v>28675.7341013825</v>
      </c>
      <c r="AD62" s="18" t="n">
        <f aca="false">IFERROR(STDEV(F62,H62,J62,L62,N62,P62,R62,T62,V62,X62,Z62,AB62),0)</f>
        <v>19.7219277947087</v>
      </c>
      <c r="AE62" s="15" t="n">
        <v>2772</v>
      </c>
      <c r="AF62" s="16" t="n">
        <f aca="false">AE62/31</f>
        <v>89.4193548387097</v>
      </c>
      <c r="AG62" s="15" t="n">
        <v>1520</v>
      </c>
      <c r="AH62" s="16" t="n">
        <f aca="false">AG62/28</f>
        <v>54.2857142857143</v>
      </c>
      <c r="AI62" s="15" t="n">
        <v>2844</v>
      </c>
      <c r="AJ62" s="16" t="n">
        <f aca="false">AI62/31</f>
        <v>91.741935483871</v>
      </c>
      <c r="AK62" s="15" t="n">
        <v>2304</v>
      </c>
      <c r="AL62" s="16" t="n">
        <f aca="false">AK62/30</f>
        <v>76.8</v>
      </c>
      <c r="AM62" s="15" t="n">
        <v>2232</v>
      </c>
      <c r="AN62" s="16" t="n">
        <f aca="false">AM62/31</f>
        <v>72</v>
      </c>
      <c r="AO62" s="15" t="n">
        <v>2562</v>
      </c>
      <c r="AP62" s="16" t="n">
        <f aca="false">AO62/30</f>
        <v>85.4</v>
      </c>
      <c r="AQ62" s="15" t="n">
        <v>2418</v>
      </c>
      <c r="AR62" s="16" t="n">
        <f aca="false">AQ62/31</f>
        <v>78</v>
      </c>
      <c r="AS62" s="15" t="n">
        <v>1784</v>
      </c>
      <c r="AT62" s="16" t="n">
        <f aca="false">AS62/31</f>
        <v>57.5483870967742</v>
      </c>
      <c r="AU62" s="15" t="n">
        <v>2854</v>
      </c>
      <c r="AV62" s="16" t="n">
        <f aca="false">AU62/30</f>
        <v>95.1333333333333</v>
      </c>
      <c r="AW62" s="15" t="n">
        <v>2726</v>
      </c>
      <c r="AX62" s="16" t="n">
        <f aca="false">AW62/31</f>
        <v>87.9354838709677</v>
      </c>
      <c r="AY62" s="15" t="n">
        <v>2076</v>
      </c>
      <c r="AZ62" s="16" t="n">
        <f aca="false">AY62/30</f>
        <v>69.2</v>
      </c>
      <c r="BA62" s="15" t="n">
        <v>2788</v>
      </c>
      <c r="BB62" s="16" t="n">
        <f aca="false">BA62/31</f>
        <v>89.9354838709677</v>
      </c>
      <c r="BC62" s="17" t="n">
        <f aca="false">SUM(AE62:BA62)</f>
        <v>29737.4642089094</v>
      </c>
      <c r="BD62" s="18" t="n">
        <f aca="false">IFERROR(STDEV(AF62,AH62,AJ62,AL62,AN62,AP62,AR62,AT62,AV62,AX62,AZ62,BB62),0)</f>
        <v>13.461762625581</v>
      </c>
      <c r="BE62" s="15" t="n">
        <v>2378</v>
      </c>
      <c r="BF62" s="16" t="n">
        <f aca="false">BE62/31</f>
        <v>76.7096774193548</v>
      </c>
      <c r="BG62" s="15" t="n">
        <v>1718</v>
      </c>
      <c r="BH62" s="16" t="n">
        <f aca="false">BG62/28</f>
        <v>61.3571428571429</v>
      </c>
      <c r="BI62" s="15" t="n">
        <v>2283</v>
      </c>
      <c r="BJ62" s="16" t="n">
        <f aca="false">BI62/31</f>
        <v>73.6451612903226</v>
      </c>
      <c r="BK62" s="15" t="n">
        <v>1494</v>
      </c>
      <c r="BL62" s="16" t="n">
        <f aca="false">BK62/30</f>
        <v>49.8</v>
      </c>
      <c r="BM62" s="15" t="n">
        <v>2662</v>
      </c>
      <c r="BN62" s="16" t="n">
        <f aca="false">BM62/31</f>
        <v>85.8709677419355</v>
      </c>
      <c r="BO62" s="15" t="n">
        <v>1440</v>
      </c>
      <c r="BP62" s="16" t="n">
        <f aca="false">BO62/30</f>
        <v>48</v>
      </c>
      <c r="BQ62" s="15" t="n">
        <v>2473</v>
      </c>
      <c r="BR62" s="16" t="n">
        <f aca="false">BQ62/31</f>
        <v>79.7741935483871</v>
      </c>
      <c r="BS62" s="15" t="n">
        <v>1461</v>
      </c>
      <c r="BT62" s="16" t="n">
        <f aca="false">BS62/31</f>
        <v>47.1290322580645</v>
      </c>
      <c r="BU62" s="15" t="n">
        <v>1455</v>
      </c>
      <c r="BV62" s="16" t="n">
        <f aca="false">BU62/30</f>
        <v>48.5</v>
      </c>
      <c r="BW62" s="15" t="n">
        <v>1442</v>
      </c>
      <c r="BX62" s="16" t="n">
        <f aca="false">BW62/31</f>
        <v>46.5161290322581</v>
      </c>
      <c r="BY62" s="15" t="n">
        <v>1597</v>
      </c>
      <c r="BZ62" s="16" t="n">
        <f aca="false">BY62/30</f>
        <v>53.2333333333333</v>
      </c>
      <c r="CA62" s="15" t="n">
        <v>1599</v>
      </c>
      <c r="CB62" s="16" t="n">
        <f aca="false">CA62/31</f>
        <v>51.5806451612903</v>
      </c>
      <c r="CC62" s="17" t="n">
        <f aca="false">SUM(BE62:CA62)</f>
        <v>22672.5356374808</v>
      </c>
      <c r="CD62" s="18" t="n">
        <f aca="false">IFERROR(STDEV(BF62,BH62,BJ62,BL62,BN62,BP62,BR62,BT62,BV62,BX62,BZ62,CB62),0)</f>
        <v>14.6834413998588</v>
      </c>
      <c r="CE62" s="15" t="n">
        <v>1856</v>
      </c>
      <c r="CF62" s="16" t="n">
        <f aca="false">CE62/31</f>
        <v>59.8709677419355</v>
      </c>
      <c r="CG62" s="15" t="n">
        <v>2332</v>
      </c>
      <c r="CH62" s="16" t="n">
        <f aca="false">CG62/28</f>
        <v>83.2857142857143</v>
      </c>
      <c r="CI62" s="15" t="n">
        <v>1743</v>
      </c>
      <c r="CJ62" s="16" t="n">
        <f aca="false">CI62/31</f>
        <v>56.2258064516129</v>
      </c>
      <c r="CK62" s="15" t="n">
        <v>2662</v>
      </c>
      <c r="CL62" s="16" t="n">
        <f aca="false">CK62/30</f>
        <v>88.7333333333333</v>
      </c>
      <c r="CM62" s="15" t="n">
        <v>1915</v>
      </c>
      <c r="CN62" s="16" t="n">
        <f aca="false">CM62/31</f>
        <v>61.7741935483871</v>
      </c>
      <c r="CO62" s="15" t="n">
        <v>1446</v>
      </c>
      <c r="CP62" s="16" t="n">
        <f aca="false">CO62/30</f>
        <v>48.2</v>
      </c>
      <c r="CQ62" s="15" t="n">
        <v>2283</v>
      </c>
      <c r="CR62" s="16" t="n">
        <f aca="false">CQ62/31</f>
        <v>73.6451612903226</v>
      </c>
      <c r="CS62" s="15" t="n">
        <v>1754</v>
      </c>
      <c r="CT62" s="16" t="n">
        <f aca="false">CS62/31</f>
        <v>56.5806451612903</v>
      </c>
      <c r="CU62" s="15" t="n">
        <v>3083</v>
      </c>
      <c r="CV62" s="16" t="n">
        <f aca="false">CU62/30</f>
        <v>102.766666666667</v>
      </c>
      <c r="CW62" s="15" t="n">
        <v>1979</v>
      </c>
      <c r="CX62" s="16" t="n">
        <f aca="false">CW62/31</f>
        <v>63.8387096774194</v>
      </c>
      <c r="CY62" s="15" t="n">
        <v>1379</v>
      </c>
      <c r="CZ62" s="16" t="n">
        <f aca="false">CY62/30</f>
        <v>45.9666666666667</v>
      </c>
      <c r="DA62" s="15" t="n">
        <v>2604</v>
      </c>
      <c r="DB62" s="16" t="n">
        <f aca="false">DA62/31</f>
        <v>84</v>
      </c>
      <c r="DC62" s="17" t="n">
        <f aca="false">SUM(CE62:DA62)</f>
        <v>25776.8878648233</v>
      </c>
      <c r="DD62" s="18" t="n">
        <f aca="false">IFERROR(STDEV(CF62,CH62,CJ62,CL62,CN62,CP62,CR62,CT62,CV62,CX62,CZ62,DB62),0)</f>
        <v>17.6383609044366</v>
      </c>
      <c r="DE62" s="15" t="n">
        <v>3071</v>
      </c>
      <c r="DF62" s="16" t="n">
        <f aca="false">DE62/31</f>
        <v>99.0645161290323</v>
      </c>
      <c r="DG62" s="15" t="n">
        <v>2938</v>
      </c>
      <c r="DH62" s="16" t="n">
        <f aca="false">DG62/28</f>
        <v>104.928571428571</v>
      </c>
      <c r="DI62" s="15" t="n">
        <v>2630</v>
      </c>
      <c r="DJ62" s="16" t="n">
        <f aca="false">DI62/31</f>
        <v>84.8387096774194</v>
      </c>
      <c r="DK62" s="15" t="n">
        <v>1666</v>
      </c>
      <c r="DL62" s="16" t="n">
        <f aca="false">DK62/30</f>
        <v>55.5333333333333</v>
      </c>
      <c r="DM62" s="15" t="n">
        <v>1557</v>
      </c>
      <c r="DN62" s="16" t="n">
        <f aca="false">DM62/31</f>
        <v>50.2258064516129</v>
      </c>
      <c r="DO62" s="15" t="n">
        <v>2338</v>
      </c>
      <c r="DP62" s="16" t="n">
        <f aca="false">DO62/30</f>
        <v>77.9333333333333</v>
      </c>
      <c r="DQ62" s="15" t="n">
        <v>2731</v>
      </c>
      <c r="DR62" s="16" t="n">
        <f aca="false">DQ62/31</f>
        <v>88.0967741935484</v>
      </c>
      <c r="DS62" s="15" t="n">
        <v>1578</v>
      </c>
      <c r="DT62" s="16" t="n">
        <f aca="false">DS62/31</f>
        <v>50.9032258064516</v>
      </c>
      <c r="DU62" s="15" t="n">
        <v>1864</v>
      </c>
      <c r="DV62" s="16" t="n">
        <f aca="false">DU62/30</f>
        <v>62.1333333333333</v>
      </c>
      <c r="DW62" s="15" t="n">
        <v>1818</v>
      </c>
      <c r="DX62" s="16" t="n">
        <f aca="false">DW62/31</f>
        <v>58.6451612903226</v>
      </c>
      <c r="DY62" s="15" t="n">
        <v>3222</v>
      </c>
      <c r="DZ62" s="16" t="n">
        <f aca="false">DY62/30</f>
        <v>107.4</v>
      </c>
      <c r="EA62" s="15" t="n">
        <v>1939</v>
      </c>
      <c r="EB62" s="16" t="n">
        <f aca="false">EA62/31</f>
        <v>62.5483870967742</v>
      </c>
      <c r="EC62" s="17" t="n">
        <f aca="false">SUM(DE62:EA62)</f>
        <v>28191.702764977</v>
      </c>
      <c r="ED62" s="18" t="n">
        <f aca="false">IFERROR(STDEV(DF62,DH62,DJ62,DL62,DN62,DP62,DR62,DT62,DV62,DX62,DZ62,EB62),0)</f>
        <v>21.2400329391554</v>
      </c>
      <c r="EE62" s="19" t="n">
        <f aca="false">STDEV(F62:AB62,AF62:BB62,BF62:CB62,CF62:DB62,DF62:EB62)</f>
        <v>1109.3616757189</v>
      </c>
    </row>
    <row r="63" customFormat="false" ht="15" hidden="false" customHeight="true" outlineLevel="0" collapsed="false">
      <c r="A63" s="11" t="n">
        <v>58</v>
      </c>
      <c r="B63" s="12" t="s">
        <v>150</v>
      </c>
      <c r="C63" s="13" t="s">
        <v>151</v>
      </c>
      <c r="D63" s="14" t="s">
        <v>36</v>
      </c>
      <c r="E63" s="15" t="n">
        <v>4306</v>
      </c>
      <c r="F63" s="16" t="n">
        <f aca="false">E63/31</f>
        <v>138.903225806452</v>
      </c>
      <c r="G63" s="15" t="n">
        <v>3013</v>
      </c>
      <c r="H63" s="16" t="n">
        <f aca="false">G63/28</f>
        <v>107.607142857143</v>
      </c>
      <c r="I63" s="15" t="n">
        <v>3279</v>
      </c>
      <c r="J63" s="16" t="n">
        <f aca="false">I63/31</f>
        <v>105.774193548387</v>
      </c>
      <c r="K63" s="15" t="n">
        <v>2799</v>
      </c>
      <c r="L63" s="16" t="n">
        <f aca="false">K63/30</f>
        <v>93.3</v>
      </c>
      <c r="M63" s="15" t="n">
        <v>3690</v>
      </c>
      <c r="N63" s="16" t="n">
        <f aca="false">M63/31</f>
        <v>119.032258064516</v>
      </c>
      <c r="O63" s="15" t="n">
        <v>5502</v>
      </c>
      <c r="P63" s="16" t="n">
        <f aca="false">O63/30</f>
        <v>183.4</v>
      </c>
      <c r="Q63" s="15" t="n">
        <v>3768</v>
      </c>
      <c r="R63" s="16" t="n">
        <f aca="false">Q63/31</f>
        <v>121.548387096774</v>
      </c>
      <c r="S63" s="15" t="n">
        <v>5278</v>
      </c>
      <c r="T63" s="16" t="n">
        <f aca="false">S63/31</f>
        <v>170.258064516129</v>
      </c>
      <c r="U63" s="15" t="n">
        <v>2996</v>
      </c>
      <c r="V63" s="16" t="n">
        <f aca="false">U63/30</f>
        <v>99.8666666666667</v>
      </c>
      <c r="W63" s="15" t="n">
        <v>5348</v>
      </c>
      <c r="X63" s="16" t="n">
        <f aca="false">W63/31</f>
        <v>172.516129032258</v>
      </c>
      <c r="Y63" s="15" t="n">
        <v>2822</v>
      </c>
      <c r="Z63" s="16" t="n">
        <f aca="false">Y63/30</f>
        <v>94.0666666666667</v>
      </c>
      <c r="AA63" s="15" t="n">
        <v>5680</v>
      </c>
      <c r="AB63" s="16" t="n">
        <f aca="false">AA63/31</f>
        <v>183.225806451613</v>
      </c>
      <c r="AC63" s="17" t="n">
        <f aca="false">SUM(E63:AA63)</f>
        <v>49887.272734255</v>
      </c>
      <c r="AD63" s="18" t="n">
        <f aca="false">IFERROR(STDEV(F63,H63,J63,L63,N63,P63,R63,T63,V63,X63,Z63,AB63),0)</f>
        <v>35.6061745479234</v>
      </c>
      <c r="AE63" s="15" t="n">
        <v>4575</v>
      </c>
      <c r="AF63" s="16" t="n">
        <f aca="false">AE63/31</f>
        <v>147.58064516129</v>
      </c>
      <c r="AG63" s="15" t="n">
        <v>2980</v>
      </c>
      <c r="AH63" s="16" t="n">
        <f aca="false">AG63/28</f>
        <v>106.428571428571</v>
      </c>
      <c r="AI63" s="15" t="n">
        <v>3585</v>
      </c>
      <c r="AJ63" s="16" t="n">
        <f aca="false">AI63/31</f>
        <v>115.645161290323</v>
      </c>
      <c r="AK63" s="15" t="n">
        <v>3845</v>
      </c>
      <c r="AL63" s="16" t="n">
        <f aca="false">AK63/30</f>
        <v>128.166666666667</v>
      </c>
      <c r="AM63" s="15" t="n">
        <v>4441</v>
      </c>
      <c r="AN63" s="16" t="n">
        <f aca="false">AM63/31</f>
        <v>143.258064516129</v>
      </c>
      <c r="AO63" s="15" t="n">
        <v>5272</v>
      </c>
      <c r="AP63" s="16" t="n">
        <f aca="false">AO63/30</f>
        <v>175.733333333333</v>
      </c>
      <c r="AQ63" s="15" t="n">
        <v>2729</v>
      </c>
      <c r="AR63" s="16" t="n">
        <f aca="false">AQ63/31</f>
        <v>88.0322580645161</v>
      </c>
      <c r="AS63" s="15" t="n">
        <v>5066</v>
      </c>
      <c r="AT63" s="16" t="n">
        <f aca="false">AS63/31</f>
        <v>163.41935483871</v>
      </c>
      <c r="AU63" s="15" t="n">
        <v>3020</v>
      </c>
      <c r="AV63" s="16" t="n">
        <f aca="false">AU63/30</f>
        <v>100.666666666667</v>
      </c>
      <c r="AW63" s="15" t="n">
        <v>3725</v>
      </c>
      <c r="AX63" s="16" t="n">
        <f aca="false">AW63/31</f>
        <v>120.161290322581</v>
      </c>
      <c r="AY63" s="15" t="n">
        <v>5543</v>
      </c>
      <c r="AZ63" s="16" t="n">
        <f aca="false">AY63/30</f>
        <v>184.766666666667</v>
      </c>
      <c r="BA63" s="15" t="n">
        <v>3308</v>
      </c>
      <c r="BB63" s="16" t="n">
        <f aca="false">BA63/31</f>
        <v>106.709677419355</v>
      </c>
      <c r="BC63" s="17" t="n">
        <f aca="false">SUM(AE63:BA63)</f>
        <v>49562.8586789555</v>
      </c>
      <c r="BD63" s="18" t="n">
        <f aca="false">IFERROR(STDEV(AF63,AH63,AJ63,AL63,AN63,AP63,AR63,AT63,AV63,AX63,AZ63,BB63),0)</f>
        <v>31.1643580082842</v>
      </c>
      <c r="BE63" s="15" t="n">
        <v>3676</v>
      </c>
      <c r="BF63" s="16" t="n">
        <f aca="false">BE63/31</f>
        <v>118.58064516129</v>
      </c>
      <c r="BG63" s="15" t="n">
        <v>5180</v>
      </c>
      <c r="BH63" s="16" t="n">
        <f aca="false">BG63/28</f>
        <v>185</v>
      </c>
      <c r="BI63" s="15" t="n">
        <v>5016</v>
      </c>
      <c r="BJ63" s="16" t="n">
        <f aca="false">BI63/31</f>
        <v>161.806451612903</v>
      </c>
      <c r="BK63" s="15" t="n">
        <v>4527</v>
      </c>
      <c r="BL63" s="16" t="n">
        <f aca="false">BK63/30</f>
        <v>150.9</v>
      </c>
      <c r="BM63" s="15" t="n">
        <v>5006</v>
      </c>
      <c r="BN63" s="16" t="n">
        <f aca="false">BM63/31</f>
        <v>161.483870967742</v>
      </c>
      <c r="BO63" s="15" t="n">
        <v>2793</v>
      </c>
      <c r="BP63" s="16" t="n">
        <f aca="false">BO63/30</f>
        <v>93.1</v>
      </c>
      <c r="BQ63" s="15" t="n">
        <v>4680</v>
      </c>
      <c r="BR63" s="16" t="n">
        <f aca="false">BQ63/31</f>
        <v>150.967741935484</v>
      </c>
      <c r="BS63" s="15" t="n">
        <v>2617</v>
      </c>
      <c r="BT63" s="16" t="n">
        <f aca="false">BS63/31</f>
        <v>84.4193548387097</v>
      </c>
      <c r="BU63" s="15" t="n">
        <v>5477</v>
      </c>
      <c r="BV63" s="16" t="n">
        <f aca="false">BU63/30</f>
        <v>182.566666666667</v>
      </c>
      <c r="BW63" s="15" t="n">
        <v>2943</v>
      </c>
      <c r="BX63" s="16" t="n">
        <f aca="false">BW63/31</f>
        <v>94.9354838709677</v>
      </c>
      <c r="BY63" s="15" t="n">
        <v>3774</v>
      </c>
      <c r="BZ63" s="16" t="n">
        <f aca="false">BY63/30</f>
        <v>125.8</v>
      </c>
      <c r="CA63" s="15" t="n">
        <v>4339</v>
      </c>
      <c r="CB63" s="16" t="n">
        <f aca="false">CA63/31</f>
        <v>139.967741935484</v>
      </c>
      <c r="CC63" s="17" t="n">
        <f aca="false">SUM(BE63:CA63)</f>
        <v>51537.5602150538</v>
      </c>
      <c r="CD63" s="18" t="n">
        <f aca="false">IFERROR(STDEV(BF63,BH63,BJ63,BL63,BN63,BP63,BR63,BT63,BV63,BX63,BZ63,CB63),0)</f>
        <v>34.2660450366441</v>
      </c>
      <c r="CE63" s="15" t="n">
        <v>4992</v>
      </c>
      <c r="CF63" s="16" t="n">
        <f aca="false">CE63/31</f>
        <v>161.032258064516</v>
      </c>
      <c r="CG63" s="15" t="n">
        <v>4593</v>
      </c>
      <c r="CH63" s="16" t="n">
        <f aca="false">CG63/28</f>
        <v>164.035714285714</v>
      </c>
      <c r="CI63" s="15" t="n">
        <v>2995</v>
      </c>
      <c r="CJ63" s="16" t="n">
        <f aca="false">CI63/31</f>
        <v>96.6129032258065</v>
      </c>
      <c r="CK63" s="15" t="n">
        <v>3633</v>
      </c>
      <c r="CL63" s="16" t="n">
        <f aca="false">CK63/30</f>
        <v>121.1</v>
      </c>
      <c r="CM63" s="15" t="n">
        <v>3565</v>
      </c>
      <c r="CN63" s="16" t="n">
        <f aca="false">CM63/31</f>
        <v>115</v>
      </c>
      <c r="CO63" s="15" t="n">
        <v>2504</v>
      </c>
      <c r="CP63" s="16" t="n">
        <f aca="false">CO63/30</f>
        <v>83.4666666666667</v>
      </c>
      <c r="CQ63" s="15" t="n">
        <v>4613</v>
      </c>
      <c r="CR63" s="16" t="n">
        <f aca="false">CQ63/31</f>
        <v>148.806451612903</v>
      </c>
      <c r="CS63" s="15" t="n">
        <v>5108</v>
      </c>
      <c r="CT63" s="16" t="n">
        <f aca="false">CS63/31</f>
        <v>164.774193548387</v>
      </c>
      <c r="CU63" s="15" t="n">
        <v>5542</v>
      </c>
      <c r="CV63" s="16" t="n">
        <f aca="false">CU63/30</f>
        <v>184.733333333333</v>
      </c>
      <c r="CW63" s="15" t="n">
        <v>2832</v>
      </c>
      <c r="CX63" s="16" t="n">
        <f aca="false">CW63/31</f>
        <v>91.3548387096774</v>
      </c>
      <c r="CY63" s="15" t="n">
        <v>5372</v>
      </c>
      <c r="CZ63" s="16" t="n">
        <f aca="false">CY63/30</f>
        <v>179.066666666667</v>
      </c>
      <c r="DA63" s="15" t="n">
        <v>2775</v>
      </c>
      <c r="DB63" s="16" t="n">
        <f aca="false">DA63/31</f>
        <v>89.5161290322581</v>
      </c>
      <c r="DC63" s="17" t="n">
        <f aca="false">SUM(CE63:DA63)</f>
        <v>50033.9830261137</v>
      </c>
      <c r="DD63" s="18" t="n">
        <f aca="false">IFERROR(STDEV(CF63,CH63,CJ63,CL63,CN63,CP63,CR63,CT63,CV63,CX63,CZ63,DB63),0)</f>
        <v>37.7482931253583</v>
      </c>
      <c r="DE63" s="15" t="n">
        <v>2892</v>
      </c>
      <c r="DF63" s="16" t="n">
        <f aca="false">DE63/31</f>
        <v>93.2903225806452</v>
      </c>
      <c r="DG63" s="15" t="n">
        <v>1982</v>
      </c>
      <c r="DH63" s="16" t="n">
        <f aca="false">DG63/28</f>
        <v>70.7857142857143</v>
      </c>
      <c r="DI63" s="15" t="n">
        <v>2519</v>
      </c>
      <c r="DJ63" s="16" t="n">
        <f aca="false">DI63/31</f>
        <v>81.258064516129</v>
      </c>
      <c r="DK63" s="15" t="n">
        <v>2650</v>
      </c>
      <c r="DL63" s="16" t="n">
        <f aca="false">DK63/30</f>
        <v>88.3333333333333</v>
      </c>
      <c r="DM63" s="15" t="n">
        <v>3622</v>
      </c>
      <c r="DN63" s="16" t="n">
        <f aca="false">DM63/31</f>
        <v>116.838709677419</v>
      </c>
      <c r="DO63" s="15" t="n">
        <v>3556</v>
      </c>
      <c r="DP63" s="16" t="n">
        <f aca="false">DO63/30</f>
        <v>118.533333333333</v>
      </c>
      <c r="DQ63" s="15" t="n">
        <v>3779</v>
      </c>
      <c r="DR63" s="16" t="n">
        <f aca="false">DQ63/31</f>
        <v>121.903225806452</v>
      </c>
      <c r="DS63" s="15" t="n">
        <v>3304</v>
      </c>
      <c r="DT63" s="16" t="n">
        <f aca="false">DS63/31</f>
        <v>106.58064516129</v>
      </c>
      <c r="DU63" s="15" t="n">
        <v>3275</v>
      </c>
      <c r="DV63" s="16" t="n">
        <f aca="false">DU63/30</f>
        <v>109.166666666667</v>
      </c>
      <c r="DW63" s="15" t="n">
        <v>4303</v>
      </c>
      <c r="DX63" s="16" t="n">
        <f aca="false">DW63/31</f>
        <v>138.806451612903</v>
      </c>
      <c r="DY63" s="15" t="n">
        <v>3536</v>
      </c>
      <c r="DZ63" s="16" t="n">
        <f aca="false">DY63/30</f>
        <v>117.866666666667</v>
      </c>
      <c r="EA63" s="15" t="n">
        <v>2710</v>
      </c>
      <c r="EB63" s="16" t="n">
        <f aca="false">EA63/31</f>
        <v>87.4193548387097</v>
      </c>
      <c r="EC63" s="17" t="n">
        <f aca="false">SUM(DE63:EA63)</f>
        <v>39291.3631336406</v>
      </c>
      <c r="ED63" s="18" t="n">
        <f aca="false">IFERROR(STDEV(DF63,DH63,DJ63,DL63,DN63,DP63,DR63,DT63,DV63,DX63,DZ63,EB63),0)</f>
        <v>19.9738512640631</v>
      </c>
      <c r="EE63" s="19" t="n">
        <f aca="false">STDEV(F63:AB63,AF63:BB63,BF63:CB63,CF63:DB63,DF63:EB63)</f>
        <v>2007.9748981781</v>
      </c>
    </row>
    <row r="64" customFormat="false" ht="15" hidden="false" customHeight="true" outlineLevel="0" collapsed="false">
      <c r="A64" s="11" t="n">
        <v>59</v>
      </c>
      <c r="B64" s="12" t="s">
        <v>152</v>
      </c>
      <c r="C64" s="13" t="s">
        <v>153</v>
      </c>
      <c r="D64" s="14" t="s">
        <v>36</v>
      </c>
      <c r="E64" s="15" t="n">
        <v>3198</v>
      </c>
      <c r="F64" s="16" t="n">
        <f aca="false">E64/31</f>
        <v>103.161290322581</v>
      </c>
      <c r="G64" s="15" t="n">
        <v>3644</v>
      </c>
      <c r="H64" s="16" t="n">
        <f aca="false">G64/28</f>
        <v>130.142857142857</v>
      </c>
      <c r="I64" s="15" t="n">
        <v>2123</v>
      </c>
      <c r="J64" s="16" t="n">
        <f aca="false">I64/31</f>
        <v>68.4838709677419</v>
      </c>
      <c r="K64" s="15" t="n">
        <v>3546</v>
      </c>
      <c r="L64" s="16" t="n">
        <f aca="false">K64/30</f>
        <v>118.2</v>
      </c>
      <c r="M64" s="15" t="n">
        <v>2508</v>
      </c>
      <c r="N64" s="16" t="n">
        <f aca="false">M64/31</f>
        <v>80.9032258064516</v>
      </c>
      <c r="O64" s="15" t="n">
        <v>2752</v>
      </c>
      <c r="P64" s="16" t="n">
        <f aca="false">O64/30</f>
        <v>91.7333333333333</v>
      </c>
      <c r="Q64" s="15" t="n">
        <v>3583</v>
      </c>
      <c r="R64" s="16" t="n">
        <f aca="false">Q64/31</f>
        <v>115.58064516129</v>
      </c>
      <c r="S64" s="15" t="n">
        <v>2851</v>
      </c>
      <c r="T64" s="16" t="n">
        <f aca="false">S64/31</f>
        <v>91.9677419354839</v>
      </c>
      <c r="U64" s="15" t="n">
        <v>3991</v>
      </c>
      <c r="V64" s="16" t="n">
        <f aca="false">U64/30</f>
        <v>133.033333333333</v>
      </c>
      <c r="W64" s="15" t="n">
        <v>3286</v>
      </c>
      <c r="X64" s="16" t="n">
        <f aca="false">W64/31</f>
        <v>106</v>
      </c>
      <c r="Y64" s="15" t="n">
        <v>4365</v>
      </c>
      <c r="Z64" s="16" t="n">
        <f aca="false">Y64/30</f>
        <v>145.5</v>
      </c>
      <c r="AA64" s="15" t="n">
        <v>2021</v>
      </c>
      <c r="AB64" s="16" t="n">
        <f aca="false">AA64/31</f>
        <v>65.1935483870968</v>
      </c>
      <c r="AC64" s="17" t="n">
        <f aca="false">SUM(E64:AA64)</f>
        <v>39052.7062980031</v>
      </c>
      <c r="AD64" s="18" t="n">
        <f aca="false">IFERROR(STDEV(F64,H64,J64,L64,N64,P64,R64,T64,V64,X64,Z64,AB64),0)</f>
        <v>25.5571211339857</v>
      </c>
      <c r="AE64" s="15" t="n">
        <v>3065</v>
      </c>
      <c r="AF64" s="16" t="n">
        <f aca="false">AE64/31</f>
        <v>98.8709677419355</v>
      </c>
      <c r="AG64" s="15" t="n">
        <v>1995</v>
      </c>
      <c r="AH64" s="16" t="n">
        <f aca="false">AG64/28</f>
        <v>71.25</v>
      </c>
      <c r="AI64" s="15" t="n">
        <v>3517</v>
      </c>
      <c r="AJ64" s="16" t="n">
        <f aca="false">AI64/31</f>
        <v>113.451612903226</v>
      </c>
      <c r="AK64" s="15" t="n">
        <v>3523</v>
      </c>
      <c r="AL64" s="16" t="n">
        <f aca="false">AK64/30</f>
        <v>117.433333333333</v>
      </c>
      <c r="AM64" s="15" t="n">
        <v>3562</v>
      </c>
      <c r="AN64" s="16" t="n">
        <f aca="false">AM64/31</f>
        <v>114.903225806452</v>
      </c>
      <c r="AO64" s="15" t="n">
        <v>1814</v>
      </c>
      <c r="AP64" s="16" t="n">
        <f aca="false">AO64/30</f>
        <v>60.4666666666667</v>
      </c>
      <c r="AQ64" s="15" t="n">
        <v>2731</v>
      </c>
      <c r="AR64" s="16" t="n">
        <f aca="false">AQ64/31</f>
        <v>88.0967741935484</v>
      </c>
      <c r="AS64" s="15" t="n">
        <v>2180</v>
      </c>
      <c r="AT64" s="16" t="n">
        <f aca="false">AS64/31</f>
        <v>70.3225806451613</v>
      </c>
      <c r="AU64" s="15" t="n">
        <v>3784</v>
      </c>
      <c r="AV64" s="16" t="n">
        <f aca="false">AU64/30</f>
        <v>126.133333333333</v>
      </c>
      <c r="AW64" s="15" t="n">
        <v>1760</v>
      </c>
      <c r="AX64" s="16" t="n">
        <f aca="false">AW64/31</f>
        <v>56.7741935483871</v>
      </c>
      <c r="AY64" s="15" t="n">
        <v>2140</v>
      </c>
      <c r="AZ64" s="16" t="n">
        <f aca="false">AY64/30</f>
        <v>71.3333333333333</v>
      </c>
      <c r="BA64" s="15" t="n">
        <v>3065</v>
      </c>
      <c r="BB64" s="16" t="n">
        <f aca="false">BA64/31</f>
        <v>98.8709677419355</v>
      </c>
      <c r="BC64" s="17" t="n">
        <f aca="false">SUM(AE64:BA64)</f>
        <v>34125.0360215054</v>
      </c>
      <c r="BD64" s="18" t="n">
        <f aca="false">IFERROR(STDEV(AF64,AH64,AJ64,AL64,AN64,AP64,AR64,AT64,AV64,AX64,AZ64,BB64),0)</f>
        <v>24.2103180367531</v>
      </c>
      <c r="BE64" s="15" t="n">
        <v>2986</v>
      </c>
      <c r="BF64" s="16" t="n">
        <f aca="false">BE64/31</f>
        <v>96.3225806451613</v>
      </c>
      <c r="BG64" s="15" t="n">
        <v>2551</v>
      </c>
      <c r="BH64" s="16" t="n">
        <f aca="false">BG64/28</f>
        <v>91.1071428571429</v>
      </c>
      <c r="BI64" s="15" t="n">
        <v>3131</v>
      </c>
      <c r="BJ64" s="16" t="n">
        <f aca="false">BI64/31</f>
        <v>101</v>
      </c>
      <c r="BK64" s="15" t="n">
        <v>4017</v>
      </c>
      <c r="BL64" s="16" t="n">
        <f aca="false">BK64/30</f>
        <v>133.9</v>
      </c>
      <c r="BM64" s="15" t="n">
        <v>3103</v>
      </c>
      <c r="BN64" s="16" t="n">
        <f aca="false">BM64/31</f>
        <v>100.096774193548</v>
      </c>
      <c r="BO64" s="15" t="n">
        <v>4160</v>
      </c>
      <c r="BP64" s="16" t="n">
        <f aca="false">BO64/30</f>
        <v>138.666666666667</v>
      </c>
      <c r="BQ64" s="15" t="n">
        <v>3100</v>
      </c>
      <c r="BR64" s="16" t="n">
        <f aca="false">BQ64/31</f>
        <v>100</v>
      </c>
      <c r="BS64" s="15" t="n">
        <v>2250</v>
      </c>
      <c r="BT64" s="16" t="n">
        <f aca="false">BS64/31</f>
        <v>72.5806451612903</v>
      </c>
      <c r="BU64" s="15" t="n">
        <v>3230</v>
      </c>
      <c r="BV64" s="16" t="n">
        <f aca="false">BU64/30</f>
        <v>107.666666666667</v>
      </c>
      <c r="BW64" s="15" t="n">
        <v>3634</v>
      </c>
      <c r="BX64" s="16" t="n">
        <f aca="false">BW64/31</f>
        <v>117.225806451613</v>
      </c>
      <c r="BY64" s="15" t="n">
        <v>2208</v>
      </c>
      <c r="BZ64" s="16" t="n">
        <f aca="false">BY64/30</f>
        <v>73.6</v>
      </c>
      <c r="CA64" s="15" t="n">
        <v>3010</v>
      </c>
      <c r="CB64" s="16" t="n">
        <f aca="false">CA64/31</f>
        <v>97.0967741935484</v>
      </c>
      <c r="CC64" s="17" t="n">
        <f aca="false">SUM(BE64:CA64)</f>
        <v>38512.1662826421</v>
      </c>
      <c r="CD64" s="18" t="n">
        <f aca="false">IFERROR(STDEV(BF64,BH64,BJ64,BL64,BN64,BP64,BR64,BT64,BV64,BX64,BZ64,CB64),0)</f>
        <v>20.1794048517751</v>
      </c>
      <c r="CE64" s="15" t="n">
        <v>2850</v>
      </c>
      <c r="CF64" s="16" t="n">
        <f aca="false">CE64/31</f>
        <v>91.9354838709677</v>
      </c>
      <c r="CG64" s="15" t="n">
        <v>1635</v>
      </c>
      <c r="CH64" s="16" t="n">
        <f aca="false">CG64/28</f>
        <v>58.3928571428571</v>
      </c>
      <c r="CI64" s="15" t="n">
        <v>1833</v>
      </c>
      <c r="CJ64" s="16" t="n">
        <f aca="false">CI64/31</f>
        <v>59.1290322580645</v>
      </c>
      <c r="CK64" s="15" t="n">
        <v>2952</v>
      </c>
      <c r="CL64" s="16" t="n">
        <f aca="false">CK64/30</f>
        <v>98.4</v>
      </c>
      <c r="CM64" s="15" t="n">
        <v>2985</v>
      </c>
      <c r="CN64" s="16" t="n">
        <f aca="false">CM64/31</f>
        <v>96.2903225806452</v>
      </c>
      <c r="CO64" s="15" t="n">
        <v>2299</v>
      </c>
      <c r="CP64" s="16" t="n">
        <f aca="false">CO64/30</f>
        <v>76.6333333333333</v>
      </c>
      <c r="CQ64" s="15" t="n">
        <v>2743</v>
      </c>
      <c r="CR64" s="16" t="n">
        <f aca="false">CQ64/31</f>
        <v>88.4838709677419</v>
      </c>
      <c r="CS64" s="15" t="n">
        <v>2086</v>
      </c>
      <c r="CT64" s="16" t="n">
        <f aca="false">CS64/31</f>
        <v>67.2903225806452</v>
      </c>
      <c r="CU64" s="15" t="n">
        <v>3099</v>
      </c>
      <c r="CV64" s="16" t="n">
        <f aca="false">CU64/30</f>
        <v>103.3</v>
      </c>
      <c r="CW64" s="15" t="n">
        <v>3707</v>
      </c>
      <c r="CX64" s="16" t="n">
        <f aca="false">CW64/31</f>
        <v>119.58064516129</v>
      </c>
      <c r="CY64" s="15" t="n">
        <v>2427</v>
      </c>
      <c r="CZ64" s="16" t="n">
        <f aca="false">CY64/30</f>
        <v>80.9</v>
      </c>
      <c r="DA64" s="15" t="n">
        <v>1753</v>
      </c>
      <c r="DB64" s="16" t="n">
        <f aca="false">DA64/31</f>
        <v>56.5483870967742</v>
      </c>
      <c r="DC64" s="17" t="n">
        <f aca="false">SUM(CE64:DA64)</f>
        <v>31309.3358678955</v>
      </c>
      <c r="DD64" s="18" t="n">
        <f aca="false">IFERROR(STDEV(CF64,CH64,CJ64,CL64,CN64,CP64,CR64,CT64,CV64,CX64,CZ64,DB64),0)</f>
        <v>20.0921460082393</v>
      </c>
      <c r="DE64" s="15" t="n">
        <v>1935</v>
      </c>
      <c r="DF64" s="16" t="n">
        <f aca="false">DE64/31</f>
        <v>62.4193548387097</v>
      </c>
      <c r="DG64" s="15" t="n">
        <v>2395</v>
      </c>
      <c r="DH64" s="16" t="n">
        <f aca="false">DG64/28</f>
        <v>85.5357142857143</v>
      </c>
      <c r="DI64" s="15" t="n">
        <v>2605</v>
      </c>
      <c r="DJ64" s="16" t="n">
        <f aca="false">DI64/31</f>
        <v>84.0322580645161</v>
      </c>
      <c r="DK64" s="15" t="n">
        <v>2724</v>
      </c>
      <c r="DL64" s="16" t="n">
        <f aca="false">DK64/30</f>
        <v>90.8</v>
      </c>
      <c r="DM64" s="15" t="n">
        <v>2432</v>
      </c>
      <c r="DN64" s="16" t="n">
        <f aca="false">DM64/31</f>
        <v>78.4516129032258</v>
      </c>
      <c r="DO64" s="15" t="n">
        <v>2798</v>
      </c>
      <c r="DP64" s="16" t="n">
        <f aca="false">DO64/30</f>
        <v>93.2666666666667</v>
      </c>
      <c r="DQ64" s="15" t="n">
        <v>2915</v>
      </c>
      <c r="DR64" s="16" t="n">
        <f aca="false">DQ64/31</f>
        <v>94.0322580645161</v>
      </c>
      <c r="DS64" s="15" t="n">
        <v>1718</v>
      </c>
      <c r="DT64" s="16" t="n">
        <f aca="false">DS64/31</f>
        <v>55.4193548387097</v>
      </c>
      <c r="DU64" s="15" t="n">
        <v>3002</v>
      </c>
      <c r="DV64" s="16" t="n">
        <f aca="false">DU64/30</f>
        <v>100.066666666667</v>
      </c>
      <c r="DW64" s="15" t="n">
        <v>1932</v>
      </c>
      <c r="DX64" s="16" t="n">
        <f aca="false">DW64/31</f>
        <v>62.3225806451613</v>
      </c>
      <c r="DY64" s="15" t="n">
        <v>2170</v>
      </c>
      <c r="DZ64" s="16" t="n">
        <f aca="false">DY64/30</f>
        <v>72.3333333333333</v>
      </c>
      <c r="EA64" s="15" t="n">
        <v>3142</v>
      </c>
      <c r="EB64" s="16" t="n">
        <f aca="false">EA64/31</f>
        <v>101.354838709677</v>
      </c>
      <c r="EC64" s="17" t="n">
        <f aca="false">SUM(DE64:EA64)</f>
        <v>30646.6798003072</v>
      </c>
      <c r="ED64" s="18" t="n">
        <f aca="false">IFERROR(STDEV(DF64,DH64,DJ64,DL64,DN64,DP64,DR64,DT64,DV64,DX64,DZ64,EB64),0)</f>
        <v>15.5173127229499</v>
      </c>
      <c r="EE64" s="19" t="n">
        <f aca="false">STDEV(F64:AB64,AF64:BB64,BF64:CB64,CF64:DB64,DF64:EB64)</f>
        <v>1446.27992253748</v>
      </c>
    </row>
    <row r="65" customFormat="false" ht="15" hidden="false" customHeight="true" outlineLevel="0" collapsed="false">
      <c r="A65" s="11" t="n">
        <v>60</v>
      </c>
      <c r="B65" s="12" t="s">
        <v>154</v>
      </c>
      <c r="C65" s="13" t="s">
        <v>155</v>
      </c>
      <c r="D65" s="14" t="s">
        <v>36</v>
      </c>
      <c r="E65" s="15" t="n">
        <v>6290</v>
      </c>
      <c r="F65" s="16" t="n">
        <f aca="false">E65/31</f>
        <v>202.903225806452</v>
      </c>
      <c r="G65" s="15" t="n">
        <v>3823</v>
      </c>
      <c r="H65" s="16" t="n">
        <f aca="false">G65/28</f>
        <v>136.535714285714</v>
      </c>
      <c r="I65" s="15" t="n">
        <v>4666</v>
      </c>
      <c r="J65" s="16" t="n">
        <f aca="false">I65/31</f>
        <v>150.516129032258</v>
      </c>
      <c r="K65" s="15" t="n">
        <v>5327</v>
      </c>
      <c r="L65" s="16" t="n">
        <f aca="false">K65/30</f>
        <v>177.566666666667</v>
      </c>
      <c r="M65" s="15" t="n">
        <v>2919</v>
      </c>
      <c r="N65" s="16" t="n">
        <f aca="false">M65/31</f>
        <v>94.1612903225806</v>
      </c>
      <c r="O65" s="15" t="n">
        <v>3354</v>
      </c>
      <c r="P65" s="16" t="n">
        <f aca="false">O65/30</f>
        <v>111.8</v>
      </c>
      <c r="Q65" s="15" t="n">
        <v>3267</v>
      </c>
      <c r="R65" s="16" t="n">
        <f aca="false">Q65/31</f>
        <v>105.387096774194</v>
      </c>
      <c r="S65" s="15" t="n">
        <v>5381</v>
      </c>
      <c r="T65" s="16" t="n">
        <f aca="false">S65/31</f>
        <v>173.58064516129</v>
      </c>
      <c r="U65" s="15" t="n">
        <v>5399</v>
      </c>
      <c r="V65" s="16" t="n">
        <f aca="false">U65/30</f>
        <v>179.966666666667</v>
      </c>
      <c r="W65" s="15" t="n">
        <v>3144</v>
      </c>
      <c r="X65" s="16" t="n">
        <f aca="false">W65/31</f>
        <v>101.41935483871</v>
      </c>
      <c r="Y65" s="15" t="n">
        <v>4993</v>
      </c>
      <c r="Z65" s="16" t="n">
        <f aca="false">Y65/30</f>
        <v>166.433333333333</v>
      </c>
      <c r="AA65" s="15" t="n">
        <v>3440</v>
      </c>
      <c r="AB65" s="16" t="n">
        <f aca="false">AA65/31</f>
        <v>110.967741935484</v>
      </c>
      <c r="AC65" s="17" t="n">
        <f aca="false">SUM(E65:AA65)</f>
        <v>53603.2701228879</v>
      </c>
      <c r="AD65" s="18" t="n">
        <f aca="false">IFERROR(STDEV(F65,H65,J65,L65,N65,P65,R65,T65,V65,X65,Z65,AB65),0)</f>
        <v>37.2447401278171</v>
      </c>
      <c r="AE65" s="15" t="n">
        <v>4364</v>
      </c>
      <c r="AF65" s="16" t="n">
        <f aca="false">AE65/31</f>
        <v>140.774193548387</v>
      </c>
      <c r="AG65" s="15" t="n">
        <v>2968</v>
      </c>
      <c r="AH65" s="16" t="n">
        <f aca="false">AG65/28</f>
        <v>106</v>
      </c>
      <c r="AI65" s="15" t="n">
        <v>3135</v>
      </c>
      <c r="AJ65" s="16" t="n">
        <f aca="false">AI65/31</f>
        <v>101.129032258065</v>
      </c>
      <c r="AK65" s="15" t="n">
        <v>3977</v>
      </c>
      <c r="AL65" s="16" t="n">
        <f aca="false">AK65/30</f>
        <v>132.566666666667</v>
      </c>
      <c r="AM65" s="15" t="n">
        <v>3809</v>
      </c>
      <c r="AN65" s="16" t="n">
        <f aca="false">AM65/31</f>
        <v>122.870967741935</v>
      </c>
      <c r="AO65" s="15" t="n">
        <v>2228</v>
      </c>
      <c r="AP65" s="16" t="n">
        <f aca="false">AO65/30</f>
        <v>74.2666666666667</v>
      </c>
      <c r="AQ65" s="15" t="n">
        <v>3024</v>
      </c>
      <c r="AR65" s="16" t="n">
        <f aca="false">AQ65/31</f>
        <v>97.5483870967742</v>
      </c>
      <c r="AS65" s="15" t="n">
        <v>4354</v>
      </c>
      <c r="AT65" s="16" t="n">
        <f aca="false">AS65/31</f>
        <v>140.451612903226</v>
      </c>
      <c r="AU65" s="15" t="n">
        <v>4123</v>
      </c>
      <c r="AV65" s="16" t="n">
        <f aca="false">AU65/30</f>
        <v>137.433333333333</v>
      </c>
      <c r="AW65" s="15" t="n">
        <v>3477</v>
      </c>
      <c r="AX65" s="16" t="n">
        <f aca="false">AW65/31</f>
        <v>112.161290322581</v>
      </c>
      <c r="AY65" s="15" t="n">
        <v>3953</v>
      </c>
      <c r="AZ65" s="16" t="n">
        <f aca="false">AY65/30</f>
        <v>131.766666666667</v>
      </c>
      <c r="BA65" s="15" t="n">
        <v>3118</v>
      </c>
      <c r="BB65" s="16" t="n">
        <f aca="false">BA65/31</f>
        <v>100.58064516129</v>
      </c>
      <c r="BC65" s="17" t="n">
        <f aca="false">SUM(AE65:BA65)</f>
        <v>43826.9688172043</v>
      </c>
      <c r="BD65" s="18" t="n">
        <f aca="false">IFERROR(STDEV(AF65,AH65,AJ65,AL65,AN65,AP65,AR65,AT65,AV65,AX65,AZ65,BB65),0)</f>
        <v>21.093917405463</v>
      </c>
      <c r="BE65" s="15" t="n">
        <v>3810</v>
      </c>
      <c r="BF65" s="16" t="n">
        <f aca="false">BE65/31</f>
        <v>122.903225806452</v>
      </c>
      <c r="BG65" s="15" t="n">
        <v>4616</v>
      </c>
      <c r="BH65" s="16" t="n">
        <f aca="false">BG65/28</f>
        <v>164.857142857143</v>
      </c>
      <c r="BI65" s="15" t="n">
        <v>2393</v>
      </c>
      <c r="BJ65" s="16" t="n">
        <f aca="false">BI65/31</f>
        <v>77.1935483870968</v>
      </c>
      <c r="BK65" s="15" t="n">
        <v>3379</v>
      </c>
      <c r="BL65" s="16" t="n">
        <f aca="false">BK65/30</f>
        <v>112.633333333333</v>
      </c>
      <c r="BM65" s="15" t="n">
        <v>3464</v>
      </c>
      <c r="BN65" s="16" t="n">
        <f aca="false">BM65/31</f>
        <v>111.741935483871</v>
      </c>
      <c r="BO65" s="15" t="n">
        <v>2160</v>
      </c>
      <c r="BP65" s="16" t="n">
        <f aca="false">BO65/30</f>
        <v>72</v>
      </c>
      <c r="BQ65" s="15" t="n">
        <v>4559</v>
      </c>
      <c r="BR65" s="16" t="n">
        <f aca="false">BQ65/31</f>
        <v>147.064516129032</v>
      </c>
      <c r="BS65" s="15" t="n">
        <v>4298</v>
      </c>
      <c r="BT65" s="16" t="n">
        <f aca="false">BS65/31</f>
        <v>138.645161290323</v>
      </c>
      <c r="BU65" s="15" t="n">
        <v>3336</v>
      </c>
      <c r="BV65" s="16" t="n">
        <f aca="false">BU65/30</f>
        <v>111.2</v>
      </c>
      <c r="BW65" s="15" t="n">
        <v>3404</v>
      </c>
      <c r="BX65" s="16" t="n">
        <f aca="false">BW65/31</f>
        <v>109.806451612903</v>
      </c>
      <c r="BY65" s="15" t="n">
        <v>4521</v>
      </c>
      <c r="BZ65" s="16" t="n">
        <f aca="false">BY65/30</f>
        <v>150.7</v>
      </c>
      <c r="CA65" s="15" t="n">
        <v>2508</v>
      </c>
      <c r="CB65" s="16" t="n">
        <f aca="false">CA65/31</f>
        <v>80.9032258064516</v>
      </c>
      <c r="CC65" s="17" t="n">
        <f aca="false">SUM(BE65:CA65)</f>
        <v>43766.7453149002</v>
      </c>
      <c r="CD65" s="18" t="n">
        <f aca="false">IFERROR(STDEV(BF65,BH65,BJ65,BL65,BN65,BP65,BR65,BT65,BV65,BX65,BZ65,CB65),0)</f>
        <v>29.96405006213</v>
      </c>
      <c r="CE65" s="15" t="n">
        <v>4575</v>
      </c>
      <c r="CF65" s="16" t="n">
        <f aca="false">CE65/31</f>
        <v>147.58064516129</v>
      </c>
      <c r="CG65" s="15" t="n">
        <v>5098</v>
      </c>
      <c r="CH65" s="16" t="n">
        <f aca="false">CG65/28</f>
        <v>182.071428571429</v>
      </c>
      <c r="CI65" s="15" t="n">
        <v>3025</v>
      </c>
      <c r="CJ65" s="16" t="n">
        <f aca="false">CI65/31</f>
        <v>97.5806451612903</v>
      </c>
      <c r="CK65" s="15" t="n">
        <v>3917</v>
      </c>
      <c r="CL65" s="16" t="n">
        <f aca="false">CK65/30</f>
        <v>130.566666666667</v>
      </c>
      <c r="CM65" s="15" t="n">
        <v>4651</v>
      </c>
      <c r="CN65" s="16" t="n">
        <f aca="false">CM65/31</f>
        <v>150.032258064516</v>
      </c>
      <c r="CO65" s="15" t="n">
        <v>5622</v>
      </c>
      <c r="CP65" s="16" t="n">
        <f aca="false">CO65/30</f>
        <v>187.4</v>
      </c>
      <c r="CQ65" s="15" t="n">
        <v>4319</v>
      </c>
      <c r="CR65" s="16" t="n">
        <f aca="false">CQ65/31</f>
        <v>139.322580645161</v>
      </c>
      <c r="CS65" s="15" t="n">
        <v>3907</v>
      </c>
      <c r="CT65" s="16" t="n">
        <f aca="false">CS65/31</f>
        <v>126.032258064516</v>
      </c>
      <c r="CU65" s="15" t="n">
        <v>5956</v>
      </c>
      <c r="CV65" s="16" t="n">
        <f aca="false">CU65/30</f>
        <v>198.533333333333</v>
      </c>
      <c r="CW65" s="15" t="n">
        <v>5737</v>
      </c>
      <c r="CX65" s="16" t="n">
        <f aca="false">CW65/31</f>
        <v>185.064516129032</v>
      </c>
      <c r="CY65" s="15" t="n">
        <v>5208</v>
      </c>
      <c r="CZ65" s="16" t="n">
        <f aca="false">CY65/30</f>
        <v>173.6</v>
      </c>
      <c r="DA65" s="15" t="n">
        <v>3525</v>
      </c>
      <c r="DB65" s="16" t="n">
        <f aca="false">DA65/31</f>
        <v>113.709677419355</v>
      </c>
      <c r="DC65" s="17" t="n">
        <f aca="false">SUM(CE65:DA65)</f>
        <v>57257.7843317972</v>
      </c>
      <c r="DD65" s="18" t="n">
        <f aca="false">IFERROR(STDEV(CF65,CH65,CJ65,CL65,CN65,CP65,CR65,CT65,CV65,CX65,CZ65,DB65),0)</f>
        <v>32.506489128653</v>
      </c>
      <c r="DE65" s="15" t="n">
        <v>5409</v>
      </c>
      <c r="DF65" s="16" t="n">
        <f aca="false">DE65/31</f>
        <v>174.483870967742</v>
      </c>
      <c r="DG65" s="15" t="n">
        <v>5431</v>
      </c>
      <c r="DH65" s="16" t="n">
        <f aca="false">DG65/28</f>
        <v>193.964285714286</v>
      </c>
      <c r="DI65" s="15" t="n">
        <v>3797</v>
      </c>
      <c r="DJ65" s="16" t="n">
        <f aca="false">DI65/31</f>
        <v>122.483870967742</v>
      </c>
      <c r="DK65" s="15" t="n">
        <v>2788</v>
      </c>
      <c r="DL65" s="16" t="n">
        <f aca="false">DK65/30</f>
        <v>92.9333333333333</v>
      </c>
      <c r="DM65" s="15" t="n">
        <v>3670</v>
      </c>
      <c r="DN65" s="16" t="n">
        <f aca="false">DM65/31</f>
        <v>118.387096774194</v>
      </c>
      <c r="DO65" s="15" t="n">
        <v>4577</v>
      </c>
      <c r="DP65" s="16" t="n">
        <f aca="false">DO65/30</f>
        <v>152.566666666667</v>
      </c>
      <c r="DQ65" s="15" t="n">
        <v>4730</v>
      </c>
      <c r="DR65" s="16" t="n">
        <f aca="false">DQ65/31</f>
        <v>152.58064516129</v>
      </c>
      <c r="DS65" s="15" t="n">
        <v>3311</v>
      </c>
      <c r="DT65" s="16" t="n">
        <f aca="false">DS65/31</f>
        <v>106.806451612903</v>
      </c>
      <c r="DU65" s="15" t="n">
        <v>4582</v>
      </c>
      <c r="DV65" s="16" t="n">
        <f aca="false">DU65/30</f>
        <v>152.733333333333</v>
      </c>
      <c r="DW65" s="15" t="n">
        <v>5084</v>
      </c>
      <c r="DX65" s="16" t="n">
        <f aca="false">DW65/31</f>
        <v>164</v>
      </c>
      <c r="DY65" s="15" t="n">
        <v>4615</v>
      </c>
      <c r="DZ65" s="16" t="n">
        <f aca="false">DY65/30</f>
        <v>153.833333333333</v>
      </c>
      <c r="EA65" s="15" t="n">
        <v>5320</v>
      </c>
      <c r="EB65" s="16" t="n">
        <f aca="false">EA65/31</f>
        <v>171.612903225806</v>
      </c>
      <c r="EC65" s="17" t="n">
        <f aca="false">SUM(DE65:EA65)</f>
        <v>54898.7728878648</v>
      </c>
      <c r="ED65" s="18" t="n">
        <f aca="false">IFERROR(STDEV(DF65,DH65,DJ65,DL65,DN65,DP65,DR65,DT65,DV65,DX65,DZ65,EB65),0)</f>
        <v>30.077373671905</v>
      </c>
      <c r="EE65" s="19" t="n">
        <f aca="false">STDEV(F65:AB65,AF65:BB65,BF65:CB65,CF65:DB65,DF65:EB65)</f>
        <v>2062.45603780168</v>
      </c>
    </row>
    <row r="66" customFormat="false" ht="15" hidden="false" customHeight="true" outlineLevel="0" collapsed="false">
      <c r="A66" s="11" t="n">
        <v>61</v>
      </c>
      <c r="B66" s="12" t="s">
        <v>156</v>
      </c>
      <c r="C66" s="13" t="s">
        <v>157</v>
      </c>
      <c r="D66" s="14" t="s">
        <v>36</v>
      </c>
      <c r="E66" s="15" t="n">
        <v>87</v>
      </c>
      <c r="F66" s="16" t="n">
        <f aca="false">E66/31</f>
        <v>2.80645161290323</v>
      </c>
      <c r="G66" s="15" t="n">
        <v>60</v>
      </c>
      <c r="H66" s="16" t="n">
        <f aca="false">G66/28</f>
        <v>2.14285714285714</v>
      </c>
      <c r="I66" s="15" t="n">
        <v>87</v>
      </c>
      <c r="J66" s="16" t="n">
        <f aca="false">I66/31</f>
        <v>2.80645161290323</v>
      </c>
      <c r="K66" s="15" t="n">
        <v>66</v>
      </c>
      <c r="L66" s="16" t="n">
        <f aca="false">K66/30</f>
        <v>2.2</v>
      </c>
      <c r="M66" s="15" t="n">
        <v>69</v>
      </c>
      <c r="N66" s="16" t="n">
        <f aca="false">M66/31</f>
        <v>2.2258064516129</v>
      </c>
      <c r="O66" s="15" t="n">
        <v>90</v>
      </c>
      <c r="P66" s="16" t="n">
        <f aca="false">O66/30</f>
        <v>3</v>
      </c>
      <c r="Q66" s="15" t="n">
        <v>109</v>
      </c>
      <c r="R66" s="16" t="n">
        <f aca="false">Q66/31</f>
        <v>3.51612903225806</v>
      </c>
      <c r="S66" s="15" t="n">
        <v>88</v>
      </c>
      <c r="T66" s="16" t="n">
        <f aca="false">S66/31</f>
        <v>2.83870967741936</v>
      </c>
      <c r="U66" s="15" t="n">
        <v>108</v>
      </c>
      <c r="V66" s="16" t="n">
        <f aca="false">U66/30</f>
        <v>3.6</v>
      </c>
      <c r="W66" s="15" t="n">
        <v>79</v>
      </c>
      <c r="X66" s="16" t="n">
        <f aca="false">W66/31</f>
        <v>2.54838709677419</v>
      </c>
      <c r="Y66" s="15" t="n">
        <v>91</v>
      </c>
      <c r="Z66" s="16" t="n">
        <f aca="false">Y66/30</f>
        <v>3.03333333333333</v>
      </c>
      <c r="AA66" s="15" t="n">
        <v>68</v>
      </c>
      <c r="AB66" s="16" t="n">
        <f aca="false">AA66/31</f>
        <v>2.19354838709677</v>
      </c>
      <c r="AC66" s="17" t="n">
        <f aca="false">SUM(E66:AA66)</f>
        <v>1032.71812596006</v>
      </c>
      <c r="AD66" s="18" t="n">
        <f aca="false">IFERROR(STDEV(F66,H66,J66,L66,N66,P66,R66,T66,V66,X66,Z66,AB66),0)</f>
        <v>0.501090793342661</v>
      </c>
      <c r="AE66" s="15" t="n">
        <v>55</v>
      </c>
      <c r="AF66" s="16" t="n">
        <f aca="false">AE66/31</f>
        <v>1.7741935483871</v>
      </c>
      <c r="AG66" s="15" t="n">
        <v>70</v>
      </c>
      <c r="AH66" s="16" t="n">
        <f aca="false">AG66/28</f>
        <v>2.5</v>
      </c>
      <c r="AI66" s="15" t="n">
        <v>79</v>
      </c>
      <c r="AJ66" s="16" t="n">
        <f aca="false">AI66/31</f>
        <v>2.54838709677419</v>
      </c>
      <c r="AK66" s="15" t="n">
        <v>84</v>
      </c>
      <c r="AL66" s="16" t="n">
        <f aca="false">AK66/30</f>
        <v>2.8</v>
      </c>
      <c r="AM66" s="15" t="n">
        <v>91</v>
      </c>
      <c r="AN66" s="16" t="n">
        <f aca="false">AM66/31</f>
        <v>2.93548387096774</v>
      </c>
      <c r="AO66" s="15" t="n">
        <v>75</v>
      </c>
      <c r="AP66" s="16" t="n">
        <f aca="false">AO66/30</f>
        <v>2.5</v>
      </c>
      <c r="AQ66" s="15" t="n">
        <v>96</v>
      </c>
      <c r="AR66" s="16" t="n">
        <f aca="false">AQ66/31</f>
        <v>3.09677419354839</v>
      </c>
      <c r="AS66" s="15" t="n">
        <v>102</v>
      </c>
      <c r="AT66" s="16" t="n">
        <f aca="false">AS66/31</f>
        <v>3.29032258064516</v>
      </c>
      <c r="AU66" s="15" t="n">
        <v>66</v>
      </c>
      <c r="AV66" s="16" t="n">
        <f aca="false">AU66/30</f>
        <v>2.2</v>
      </c>
      <c r="AW66" s="15" t="n">
        <v>102</v>
      </c>
      <c r="AX66" s="16" t="n">
        <f aca="false">AW66/31</f>
        <v>3.29032258064516</v>
      </c>
      <c r="AY66" s="15" t="n">
        <v>100</v>
      </c>
      <c r="AZ66" s="16" t="n">
        <f aca="false">AY66/30</f>
        <v>3.33333333333333</v>
      </c>
      <c r="BA66" s="15" t="n">
        <v>81</v>
      </c>
      <c r="BB66" s="16" t="n">
        <f aca="false">BA66/31</f>
        <v>2.61290322580645</v>
      </c>
      <c r="BC66" s="17" t="n">
        <f aca="false">SUM(AE66:BA66)</f>
        <v>1031.2688172043</v>
      </c>
      <c r="BD66" s="18" t="n">
        <f aca="false">IFERROR(STDEV(AF66,AH66,AJ66,AL66,AN66,AP66,AR66,AT66,AV66,AX66,AZ66,BB66),0)</f>
        <v>0.478568609024916</v>
      </c>
      <c r="BE66" s="15" t="n">
        <v>55</v>
      </c>
      <c r="BF66" s="16" t="n">
        <f aca="false">BE66/31</f>
        <v>1.7741935483871</v>
      </c>
      <c r="BG66" s="15" t="n">
        <v>64</v>
      </c>
      <c r="BH66" s="16" t="n">
        <f aca="false">BG66/28</f>
        <v>2.28571428571429</v>
      </c>
      <c r="BI66" s="15" t="n">
        <v>101</v>
      </c>
      <c r="BJ66" s="16" t="n">
        <f aca="false">BI66/31</f>
        <v>3.25806451612903</v>
      </c>
      <c r="BK66" s="15" t="n">
        <v>68</v>
      </c>
      <c r="BL66" s="16" t="n">
        <f aca="false">BK66/30</f>
        <v>2.26666666666667</v>
      </c>
      <c r="BM66" s="15" t="n">
        <v>107</v>
      </c>
      <c r="BN66" s="16" t="n">
        <f aca="false">BM66/31</f>
        <v>3.45161290322581</v>
      </c>
      <c r="BO66" s="15" t="n">
        <v>65</v>
      </c>
      <c r="BP66" s="16" t="n">
        <f aca="false">BO66/30</f>
        <v>2.16666666666667</v>
      </c>
      <c r="BQ66" s="15" t="n">
        <v>74</v>
      </c>
      <c r="BR66" s="16" t="n">
        <f aca="false">BQ66/31</f>
        <v>2.38709677419355</v>
      </c>
      <c r="BS66" s="15" t="n">
        <v>71</v>
      </c>
      <c r="BT66" s="16" t="n">
        <f aca="false">BS66/31</f>
        <v>2.29032258064516</v>
      </c>
      <c r="BU66" s="15" t="n">
        <v>113</v>
      </c>
      <c r="BV66" s="16" t="n">
        <f aca="false">BU66/30</f>
        <v>3.76666666666667</v>
      </c>
      <c r="BW66" s="15" t="n">
        <v>102</v>
      </c>
      <c r="BX66" s="16" t="n">
        <f aca="false">BW66/31</f>
        <v>3.29032258064516</v>
      </c>
      <c r="BY66" s="15" t="n">
        <v>74</v>
      </c>
      <c r="BZ66" s="16" t="n">
        <f aca="false">BY66/30</f>
        <v>2.46666666666667</v>
      </c>
      <c r="CA66" s="15" t="n">
        <v>107</v>
      </c>
      <c r="CB66" s="16" t="n">
        <f aca="false">CA66/31</f>
        <v>3.45161290322581</v>
      </c>
      <c r="CC66" s="17" t="n">
        <f aca="false">SUM(BE66:CA66)</f>
        <v>1030.40399385561</v>
      </c>
      <c r="CD66" s="18" t="n">
        <f aca="false">IFERROR(STDEV(BF66,BH66,BJ66,BL66,BN66,BP66,BR66,BT66,BV66,BX66,BZ66,CB66),0)</f>
        <v>0.655840975695826</v>
      </c>
      <c r="CE66" s="15" t="n">
        <v>49</v>
      </c>
      <c r="CF66" s="16" t="n">
        <f aca="false">CE66/31</f>
        <v>1.58064516129032</v>
      </c>
      <c r="CG66" s="15" t="n">
        <v>99</v>
      </c>
      <c r="CH66" s="16" t="n">
        <f aca="false">CG66/28</f>
        <v>3.53571428571429</v>
      </c>
      <c r="CI66" s="15" t="n">
        <v>54</v>
      </c>
      <c r="CJ66" s="16" t="n">
        <f aca="false">CI66/31</f>
        <v>1.74193548387097</v>
      </c>
      <c r="CK66" s="15" t="n">
        <v>102</v>
      </c>
      <c r="CL66" s="16" t="n">
        <f aca="false">CK66/30</f>
        <v>3.4</v>
      </c>
      <c r="CM66" s="15" t="n">
        <v>94</v>
      </c>
      <c r="CN66" s="16" t="n">
        <f aca="false">CM66/31</f>
        <v>3.03225806451613</v>
      </c>
      <c r="CO66" s="15" t="n">
        <v>102</v>
      </c>
      <c r="CP66" s="16" t="n">
        <f aca="false">CO66/30</f>
        <v>3.4</v>
      </c>
      <c r="CQ66" s="15" t="n">
        <v>94</v>
      </c>
      <c r="CR66" s="16" t="n">
        <f aca="false">CQ66/31</f>
        <v>3.03225806451613</v>
      </c>
      <c r="CS66" s="15" t="n">
        <v>83</v>
      </c>
      <c r="CT66" s="16" t="n">
        <f aca="false">CS66/31</f>
        <v>2.67741935483871</v>
      </c>
      <c r="CU66" s="15" t="n">
        <v>62</v>
      </c>
      <c r="CV66" s="16" t="n">
        <f aca="false">CU66/30</f>
        <v>2.06666666666667</v>
      </c>
      <c r="CW66" s="15" t="n">
        <v>97</v>
      </c>
      <c r="CX66" s="16" t="n">
        <f aca="false">CW66/31</f>
        <v>3.12903225806452</v>
      </c>
      <c r="CY66" s="15" t="n">
        <v>98</v>
      </c>
      <c r="CZ66" s="16" t="n">
        <f aca="false">CY66/30</f>
        <v>3.26666666666667</v>
      </c>
      <c r="DA66" s="15" t="n">
        <v>66</v>
      </c>
      <c r="DB66" s="16" t="n">
        <f aca="false">DA66/31</f>
        <v>2.12903225806452</v>
      </c>
      <c r="DC66" s="17" t="n">
        <f aca="false">SUM(CE66:DA66)</f>
        <v>1030.86259600614</v>
      </c>
      <c r="DD66" s="18" t="n">
        <f aca="false">IFERROR(STDEV(CF66,CH66,CJ66,CL66,CN66,CP66,CR66,CT66,CV66,CX66,CZ66,DB66),0)</f>
        <v>0.692406105472968</v>
      </c>
      <c r="DE66" s="15" t="n">
        <v>87</v>
      </c>
      <c r="DF66" s="16" t="n">
        <f aca="false">DE66/31</f>
        <v>2.80645161290323</v>
      </c>
      <c r="DG66" s="15" t="n">
        <v>103</v>
      </c>
      <c r="DH66" s="16" t="n">
        <f aca="false">DG66/28</f>
        <v>3.67857142857143</v>
      </c>
      <c r="DI66" s="15" t="n">
        <v>70</v>
      </c>
      <c r="DJ66" s="16" t="n">
        <f aca="false">DI66/31</f>
        <v>2.25806451612903</v>
      </c>
      <c r="DK66" s="15" t="n">
        <v>105</v>
      </c>
      <c r="DL66" s="16" t="n">
        <f aca="false">DK66/30</f>
        <v>3.5</v>
      </c>
      <c r="DM66" s="15" t="n">
        <v>106</v>
      </c>
      <c r="DN66" s="16" t="n">
        <f aca="false">DM66/31</f>
        <v>3.41935483870968</v>
      </c>
      <c r="DO66" s="15" t="n">
        <v>65</v>
      </c>
      <c r="DP66" s="16" t="n">
        <f aca="false">DO66/30</f>
        <v>2.16666666666667</v>
      </c>
      <c r="DQ66" s="15" t="n">
        <v>80</v>
      </c>
      <c r="DR66" s="16" t="n">
        <f aca="false">DQ66/31</f>
        <v>2.58064516129032</v>
      </c>
      <c r="DS66" s="15" t="n">
        <v>47</v>
      </c>
      <c r="DT66" s="16" t="n">
        <f aca="false">DS66/31</f>
        <v>1.51612903225806</v>
      </c>
      <c r="DU66" s="15" t="n">
        <v>61</v>
      </c>
      <c r="DV66" s="16" t="n">
        <f aca="false">DU66/30</f>
        <v>2.03333333333333</v>
      </c>
      <c r="DW66" s="15" t="n">
        <v>84</v>
      </c>
      <c r="DX66" s="16" t="n">
        <f aca="false">DW66/31</f>
        <v>2.70967741935484</v>
      </c>
      <c r="DY66" s="15" t="n">
        <v>94</v>
      </c>
      <c r="DZ66" s="16" t="n">
        <f aca="false">DY66/30</f>
        <v>3.13333333333333</v>
      </c>
      <c r="EA66" s="15" t="n">
        <v>99</v>
      </c>
      <c r="EB66" s="16" t="n">
        <f aca="false">EA66/31</f>
        <v>3.19354838709677</v>
      </c>
      <c r="EC66" s="17" t="n">
        <f aca="false">SUM(DE66:EA66)</f>
        <v>1030.80222734255</v>
      </c>
      <c r="ED66" s="18" t="n">
        <f aca="false">IFERROR(STDEV(DF66,DH66,DJ66,DL66,DN66,DP66,DR66,DT66,DV66,DX66,DZ66,EB66),0)</f>
        <v>0.665260007808691</v>
      </c>
      <c r="EE66" s="19" t="n">
        <f aca="false">STDEV(F66:AB66,AF66:BB66,BF66:CB66,CF66:DB66,DF66:EB66)</f>
        <v>42.8631100788397</v>
      </c>
    </row>
    <row r="67" customFormat="false" ht="15" hidden="false" customHeight="true" outlineLevel="0" collapsed="false">
      <c r="A67" s="11" t="n">
        <v>62</v>
      </c>
      <c r="B67" s="12" t="s">
        <v>158</v>
      </c>
      <c r="C67" s="13" t="s">
        <v>159</v>
      </c>
      <c r="D67" s="14" t="s">
        <v>57</v>
      </c>
      <c r="E67" s="15" t="n">
        <v>2925</v>
      </c>
      <c r="F67" s="16" t="n">
        <f aca="false">E67/31</f>
        <v>94.3548387096774</v>
      </c>
      <c r="G67" s="15" t="n">
        <v>3076</v>
      </c>
      <c r="H67" s="16" t="n">
        <f aca="false">G67/28</f>
        <v>109.857142857143</v>
      </c>
      <c r="I67" s="15" t="n">
        <v>2693</v>
      </c>
      <c r="J67" s="16" t="n">
        <f aca="false">I67/31</f>
        <v>86.8709677419355</v>
      </c>
      <c r="K67" s="15" t="n">
        <v>2588</v>
      </c>
      <c r="L67" s="16" t="n">
        <f aca="false">K67/30</f>
        <v>86.2666666666667</v>
      </c>
      <c r="M67" s="15" t="n">
        <v>2787</v>
      </c>
      <c r="N67" s="16" t="n">
        <f aca="false">M67/31</f>
        <v>89.9032258064516</v>
      </c>
      <c r="O67" s="15" t="n">
        <v>2401</v>
      </c>
      <c r="P67" s="16" t="n">
        <f aca="false">O67/30</f>
        <v>80.0333333333333</v>
      </c>
      <c r="Q67" s="15" t="n">
        <v>2506</v>
      </c>
      <c r="R67" s="16" t="n">
        <f aca="false">Q67/31</f>
        <v>80.8387096774194</v>
      </c>
      <c r="S67" s="15" t="n">
        <v>2826</v>
      </c>
      <c r="T67" s="16" t="n">
        <f aca="false">S67/31</f>
        <v>91.1612903225806</v>
      </c>
      <c r="U67" s="15" t="n">
        <v>3174</v>
      </c>
      <c r="V67" s="16" t="n">
        <f aca="false">U67/30</f>
        <v>105.8</v>
      </c>
      <c r="W67" s="15" t="n">
        <v>1933</v>
      </c>
      <c r="X67" s="16" t="n">
        <f aca="false">W67/31</f>
        <v>62.3548387096774</v>
      </c>
      <c r="Y67" s="15" t="n">
        <v>1717</v>
      </c>
      <c r="Z67" s="16" t="n">
        <f aca="false">Y67/30</f>
        <v>57.2333333333333</v>
      </c>
      <c r="AA67" s="15" t="n">
        <v>2653</v>
      </c>
      <c r="AB67" s="16" t="n">
        <f aca="false">AA67/31</f>
        <v>85.5806451612903</v>
      </c>
      <c r="AC67" s="17" t="n">
        <f aca="false">SUM(E67:AA67)</f>
        <v>32223.6743471582</v>
      </c>
      <c r="AD67" s="18" t="n">
        <f aca="false">IFERROR(STDEV(F67,H67,J67,L67,N67,P67,R67,T67,V67,X67,Z67,AB67),0)</f>
        <v>15.1432171350884</v>
      </c>
      <c r="AE67" s="15" t="n">
        <v>2707</v>
      </c>
      <c r="AF67" s="16" t="n">
        <f aca="false">AE67/31</f>
        <v>87.3225806451613</v>
      </c>
      <c r="AG67" s="15" t="n">
        <v>2669</v>
      </c>
      <c r="AH67" s="16" t="n">
        <f aca="false">AG67/28</f>
        <v>95.3214285714286</v>
      </c>
      <c r="AI67" s="15" t="n">
        <v>3651</v>
      </c>
      <c r="AJ67" s="16" t="n">
        <f aca="false">AI67/31</f>
        <v>117.774193548387</v>
      </c>
      <c r="AK67" s="15" t="n">
        <v>3257</v>
      </c>
      <c r="AL67" s="16" t="n">
        <f aca="false">AK67/30</f>
        <v>108.566666666667</v>
      </c>
      <c r="AM67" s="15" t="n">
        <v>3405</v>
      </c>
      <c r="AN67" s="16" t="n">
        <f aca="false">AM67/31</f>
        <v>109.838709677419</v>
      </c>
      <c r="AO67" s="15" t="n">
        <v>3775</v>
      </c>
      <c r="AP67" s="16" t="n">
        <f aca="false">AO67/30</f>
        <v>125.833333333333</v>
      </c>
      <c r="AQ67" s="15" t="n">
        <v>2543</v>
      </c>
      <c r="AR67" s="16" t="n">
        <f aca="false">AQ67/31</f>
        <v>82.0322580645161</v>
      </c>
      <c r="AS67" s="15" t="n">
        <v>3854</v>
      </c>
      <c r="AT67" s="16" t="n">
        <f aca="false">AS67/31</f>
        <v>124.322580645161</v>
      </c>
      <c r="AU67" s="15" t="n">
        <v>2904</v>
      </c>
      <c r="AV67" s="16" t="n">
        <f aca="false">AU67/30</f>
        <v>96.8</v>
      </c>
      <c r="AW67" s="15" t="n">
        <v>3122</v>
      </c>
      <c r="AX67" s="16" t="n">
        <f aca="false">AW67/31</f>
        <v>100.709677419355</v>
      </c>
      <c r="AY67" s="15" t="n">
        <v>4217</v>
      </c>
      <c r="AZ67" s="16" t="n">
        <f aca="false">AY67/30</f>
        <v>140.566666666667</v>
      </c>
      <c r="BA67" s="15" t="n">
        <v>2614</v>
      </c>
      <c r="BB67" s="16" t="n">
        <f aca="false">BA67/31</f>
        <v>84.3225806451613</v>
      </c>
      <c r="BC67" s="17" t="n">
        <f aca="false">SUM(AE67:BA67)</f>
        <v>39907.0880952381</v>
      </c>
      <c r="BD67" s="18" t="n">
        <f aca="false">IFERROR(STDEV(AF67,AH67,AJ67,AL67,AN67,AP67,AR67,AT67,AV67,AX67,AZ67,BB67),0)</f>
        <v>18.3491152735788</v>
      </c>
      <c r="BE67" s="15" t="n">
        <v>2055</v>
      </c>
      <c r="BF67" s="16" t="n">
        <f aca="false">BE67/31</f>
        <v>66.2903225806452</v>
      </c>
      <c r="BG67" s="15" t="n">
        <v>2440</v>
      </c>
      <c r="BH67" s="16" t="n">
        <f aca="false">BG67/28</f>
        <v>87.1428571428571</v>
      </c>
      <c r="BI67" s="15" t="n">
        <v>1821</v>
      </c>
      <c r="BJ67" s="16" t="n">
        <f aca="false">BI67/31</f>
        <v>58.741935483871</v>
      </c>
      <c r="BK67" s="15" t="n">
        <v>3826</v>
      </c>
      <c r="BL67" s="16" t="n">
        <f aca="false">BK67/30</f>
        <v>127.533333333333</v>
      </c>
      <c r="BM67" s="15" t="n">
        <v>3106</v>
      </c>
      <c r="BN67" s="16" t="n">
        <f aca="false">BM67/31</f>
        <v>100.193548387097</v>
      </c>
      <c r="BO67" s="15" t="n">
        <v>3211</v>
      </c>
      <c r="BP67" s="16" t="n">
        <f aca="false">BO67/30</f>
        <v>107.033333333333</v>
      </c>
      <c r="BQ67" s="15" t="n">
        <v>2822</v>
      </c>
      <c r="BR67" s="16" t="n">
        <f aca="false">BQ67/31</f>
        <v>91.0322580645161</v>
      </c>
      <c r="BS67" s="15" t="n">
        <v>3008</v>
      </c>
      <c r="BT67" s="16" t="n">
        <f aca="false">BS67/31</f>
        <v>97.0322580645161</v>
      </c>
      <c r="BU67" s="15" t="n">
        <v>2520</v>
      </c>
      <c r="BV67" s="16" t="n">
        <f aca="false">BU67/30</f>
        <v>84</v>
      </c>
      <c r="BW67" s="15" t="n">
        <v>3489</v>
      </c>
      <c r="BX67" s="16" t="n">
        <f aca="false">BW67/31</f>
        <v>112.548387096774</v>
      </c>
      <c r="BY67" s="15" t="n">
        <v>2429</v>
      </c>
      <c r="BZ67" s="16" t="n">
        <f aca="false">BY67/30</f>
        <v>80.9666666666667</v>
      </c>
      <c r="CA67" s="15" t="n">
        <v>2206</v>
      </c>
      <c r="CB67" s="16" t="n">
        <f aca="false">CA67/31</f>
        <v>71.1612903225806</v>
      </c>
      <c r="CC67" s="17" t="n">
        <f aca="false">SUM(BE67:CA67)</f>
        <v>33945.5149001536</v>
      </c>
      <c r="CD67" s="18" t="n">
        <f aca="false">IFERROR(STDEV(BF67,BH67,BJ67,BL67,BN67,BP67,BR67,BT67,BV67,BX67,BZ67,CB67),0)</f>
        <v>19.9556155606664</v>
      </c>
      <c r="CE67" s="15" t="n">
        <v>2384</v>
      </c>
      <c r="CF67" s="16" t="n">
        <f aca="false">CE67/31</f>
        <v>76.9032258064516</v>
      </c>
      <c r="CG67" s="15" t="n">
        <v>2088</v>
      </c>
      <c r="CH67" s="16" t="n">
        <f aca="false">CG67/28</f>
        <v>74.5714285714286</v>
      </c>
      <c r="CI67" s="15" t="n">
        <v>3204</v>
      </c>
      <c r="CJ67" s="16" t="n">
        <f aca="false">CI67/31</f>
        <v>103.354838709677</v>
      </c>
      <c r="CK67" s="15" t="n">
        <v>2976</v>
      </c>
      <c r="CL67" s="16" t="n">
        <f aca="false">CK67/30</f>
        <v>99.2</v>
      </c>
      <c r="CM67" s="15" t="n">
        <v>3285</v>
      </c>
      <c r="CN67" s="16" t="n">
        <f aca="false">CM67/31</f>
        <v>105.967741935484</v>
      </c>
      <c r="CO67" s="15" t="n">
        <v>2149</v>
      </c>
      <c r="CP67" s="16" t="n">
        <f aca="false">CO67/30</f>
        <v>71.6333333333333</v>
      </c>
      <c r="CQ67" s="15" t="n">
        <v>2479</v>
      </c>
      <c r="CR67" s="16" t="n">
        <f aca="false">CQ67/31</f>
        <v>79.9677419354839</v>
      </c>
      <c r="CS67" s="15" t="n">
        <v>2459</v>
      </c>
      <c r="CT67" s="16" t="n">
        <f aca="false">CS67/31</f>
        <v>79.3225806451613</v>
      </c>
      <c r="CU67" s="15" t="n">
        <v>2761</v>
      </c>
      <c r="CV67" s="16" t="n">
        <f aca="false">CU67/30</f>
        <v>92.0333333333333</v>
      </c>
      <c r="CW67" s="15" t="n">
        <v>2835</v>
      </c>
      <c r="CX67" s="16" t="n">
        <f aca="false">CW67/31</f>
        <v>91.4516129032258</v>
      </c>
      <c r="CY67" s="15" t="n">
        <v>2472</v>
      </c>
      <c r="CZ67" s="16" t="n">
        <f aca="false">CY67/30</f>
        <v>82.4</v>
      </c>
      <c r="DA67" s="15" t="n">
        <v>3835</v>
      </c>
      <c r="DB67" s="16" t="n">
        <f aca="false">DA67/31</f>
        <v>123.709677419355</v>
      </c>
      <c r="DC67" s="17" t="n">
        <f aca="false">SUM(CE67:DA67)</f>
        <v>33883.8058371736</v>
      </c>
      <c r="DD67" s="18" t="n">
        <f aca="false">IFERROR(STDEV(CF67,CH67,CJ67,CL67,CN67,CP67,CR67,CT67,CV67,CX67,CZ67,DB67),0)</f>
        <v>15.6083793649064</v>
      </c>
      <c r="DE67" s="15" t="n">
        <v>2402</v>
      </c>
      <c r="DF67" s="16" t="n">
        <f aca="false">DE67/31</f>
        <v>77.4838709677419</v>
      </c>
      <c r="DG67" s="15" t="n">
        <v>3277</v>
      </c>
      <c r="DH67" s="16" t="n">
        <f aca="false">DG67/28</f>
        <v>117.035714285714</v>
      </c>
      <c r="DI67" s="15" t="n">
        <v>2952</v>
      </c>
      <c r="DJ67" s="16" t="n">
        <f aca="false">DI67/31</f>
        <v>95.2258064516129</v>
      </c>
      <c r="DK67" s="15" t="n">
        <v>3248</v>
      </c>
      <c r="DL67" s="16" t="n">
        <f aca="false">DK67/30</f>
        <v>108.266666666667</v>
      </c>
      <c r="DM67" s="15" t="n">
        <v>1424</v>
      </c>
      <c r="DN67" s="16" t="n">
        <f aca="false">DM67/31</f>
        <v>45.9354838709677</v>
      </c>
      <c r="DO67" s="15" t="n">
        <v>2662</v>
      </c>
      <c r="DP67" s="16" t="n">
        <f aca="false">DO67/30</f>
        <v>88.7333333333333</v>
      </c>
      <c r="DQ67" s="15" t="n">
        <v>2243</v>
      </c>
      <c r="DR67" s="16" t="n">
        <f aca="false">DQ67/31</f>
        <v>72.3548387096774</v>
      </c>
      <c r="DS67" s="15" t="n">
        <v>3104</v>
      </c>
      <c r="DT67" s="16" t="n">
        <f aca="false">DS67/31</f>
        <v>100.129032258065</v>
      </c>
      <c r="DU67" s="15" t="n">
        <v>2558</v>
      </c>
      <c r="DV67" s="16" t="n">
        <f aca="false">DU67/30</f>
        <v>85.2666666666667</v>
      </c>
      <c r="DW67" s="15" t="n">
        <v>2572</v>
      </c>
      <c r="DX67" s="16" t="n">
        <f aca="false">DW67/31</f>
        <v>82.9677419354839</v>
      </c>
      <c r="DY67" s="15" t="n">
        <v>3206</v>
      </c>
      <c r="DZ67" s="16" t="n">
        <f aca="false">DY67/30</f>
        <v>106.866666666667</v>
      </c>
      <c r="EA67" s="15" t="n">
        <v>2688</v>
      </c>
      <c r="EB67" s="16" t="n">
        <f aca="false">EA67/31</f>
        <v>86.7096774193548</v>
      </c>
      <c r="EC67" s="17" t="n">
        <f aca="false">SUM(DE67:EA67)</f>
        <v>33316.2658218126</v>
      </c>
      <c r="ED67" s="18" t="n">
        <f aca="false">IFERROR(STDEV(DF67,DH67,DJ67,DL67,DN67,DP67,DR67,DT67,DV67,DX67,DZ67,EB67),0)</f>
        <v>18.9708624219381</v>
      </c>
      <c r="EE67" s="19" t="n">
        <f aca="false">STDEV(F67:AB67,AF67:BB67,BF67:CB67,CF67:DB67,DF67:EB67)</f>
        <v>1428.47204353027</v>
      </c>
    </row>
    <row r="68" customFormat="false" ht="15" hidden="false" customHeight="true" outlineLevel="0" collapsed="false">
      <c r="A68" s="11" t="n">
        <v>63</v>
      </c>
      <c r="B68" s="12" t="s">
        <v>160</v>
      </c>
      <c r="C68" s="13" t="s">
        <v>161</v>
      </c>
      <c r="D68" s="14" t="s">
        <v>57</v>
      </c>
      <c r="E68" s="15" t="n">
        <v>4026</v>
      </c>
      <c r="F68" s="16" t="n">
        <f aca="false">E68/31</f>
        <v>129.870967741936</v>
      </c>
      <c r="G68" s="15" t="n">
        <v>6264</v>
      </c>
      <c r="H68" s="16" t="n">
        <f aca="false">G68/28</f>
        <v>223.714285714286</v>
      </c>
      <c r="I68" s="15" t="n">
        <v>6373</v>
      </c>
      <c r="J68" s="16" t="n">
        <f aca="false">I68/31</f>
        <v>205.58064516129</v>
      </c>
      <c r="K68" s="15" t="n">
        <v>4271</v>
      </c>
      <c r="L68" s="16" t="n">
        <f aca="false">K68/30</f>
        <v>142.366666666667</v>
      </c>
      <c r="M68" s="15" t="n">
        <v>4851</v>
      </c>
      <c r="N68" s="16" t="n">
        <f aca="false">M68/31</f>
        <v>156.483870967742</v>
      </c>
      <c r="O68" s="15" t="n">
        <v>3883</v>
      </c>
      <c r="P68" s="16" t="n">
        <f aca="false">O68/30</f>
        <v>129.433333333333</v>
      </c>
      <c r="Q68" s="15" t="n">
        <v>6246</v>
      </c>
      <c r="R68" s="16" t="n">
        <f aca="false">Q68/31</f>
        <v>201.483870967742</v>
      </c>
      <c r="S68" s="15" t="n">
        <v>5911</v>
      </c>
      <c r="T68" s="16" t="n">
        <f aca="false">S68/31</f>
        <v>190.677419354839</v>
      </c>
      <c r="U68" s="15" t="n">
        <v>4230</v>
      </c>
      <c r="V68" s="16" t="n">
        <f aca="false">U68/30</f>
        <v>141</v>
      </c>
      <c r="W68" s="15" t="n">
        <v>5838</v>
      </c>
      <c r="X68" s="16" t="n">
        <f aca="false">W68/31</f>
        <v>188.322580645161</v>
      </c>
      <c r="Y68" s="15" t="n">
        <v>4495</v>
      </c>
      <c r="Z68" s="16" t="n">
        <f aca="false">Y68/30</f>
        <v>149.833333333333</v>
      </c>
      <c r="AA68" s="15" t="n">
        <v>2985</v>
      </c>
      <c r="AB68" s="16" t="n">
        <f aca="false">AA68/31</f>
        <v>96.2903225806452</v>
      </c>
      <c r="AC68" s="17" t="n">
        <f aca="false">SUM(E68:AA68)</f>
        <v>61231.7669738863</v>
      </c>
      <c r="AD68" s="18" t="n">
        <f aca="false">IFERROR(STDEV(F68,H68,J68,L68,N68,P68,R68,T68,V68,X68,Z68,AB68),0)</f>
        <v>38.3613597919594</v>
      </c>
      <c r="AE68" s="15" t="n">
        <v>5986</v>
      </c>
      <c r="AF68" s="16" t="n">
        <f aca="false">AE68/31</f>
        <v>193.096774193548</v>
      </c>
      <c r="AG68" s="15" t="n">
        <v>3423</v>
      </c>
      <c r="AH68" s="16" t="n">
        <f aca="false">AG68/28</f>
        <v>122.25</v>
      </c>
      <c r="AI68" s="15" t="n">
        <v>4590</v>
      </c>
      <c r="AJ68" s="16" t="n">
        <f aca="false">AI68/31</f>
        <v>148.064516129032</v>
      </c>
      <c r="AK68" s="15" t="n">
        <v>6167</v>
      </c>
      <c r="AL68" s="16" t="n">
        <f aca="false">AK68/30</f>
        <v>205.566666666667</v>
      </c>
      <c r="AM68" s="15" t="n">
        <v>3332</v>
      </c>
      <c r="AN68" s="16" t="n">
        <f aca="false">AM68/31</f>
        <v>107.483870967742</v>
      </c>
      <c r="AO68" s="15" t="n">
        <v>6196</v>
      </c>
      <c r="AP68" s="16" t="n">
        <f aca="false">AO68/30</f>
        <v>206.533333333333</v>
      </c>
      <c r="AQ68" s="15" t="n">
        <v>4677</v>
      </c>
      <c r="AR68" s="16" t="n">
        <f aca="false">AQ68/31</f>
        <v>150.870967741936</v>
      </c>
      <c r="AS68" s="15" t="n">
        <v>2750</v>
      </c>
      <c r="AT68" s="16" t="n">
        <f aca="false">AS68/31</f>
        <v>88.7096774193548</v>
      </c>
      <c r="AU68" s="15" t="n">
        <v>2961</v>
      </c>
      <c r="AV68" s="16" t="n">
        <f aca="false">AU68/30</f>
        <v>98.7</v>
      </c>
      <c r="AW68" s="15" t="n">
        <v>5158</v>
      </c>
      <c r="AX68" s="16" t="n">
        <f aca="false">AW68/31</f>
        <v>166.387096774194</v>
      </c>
      <c r="AY68" s="15" t="n">
        <v>5533</v>
      </c>
      <c r="AZ68" s="16" t="n">
        <f aca="false">AY68/30</f>
        <v>184.433333333333</v>
      </c>
      <c r="BA68" s="15" t="n">
        <v>5865</v>
      </c>
      <c r="BB68" s="16" t="n">
        <f aca="false">BA68/31</f>
        <v>189.193548387097</v>
      </c>
      <c r="BC68" s="17" t="n">
        <f aca="false">SUM(AE68:BA68)</f>
        <v>58310.0962365591</v>
      </c>
      <c r="BD68" s="18" t="n">
        <f aca="false">IFERROR(STDEV(AF68,AH68,AJ68,AL68,AN68,AP68,AR68,AT68,AV68,AX68,AZ68,BB68),0)</f>
        <v>42.4142722149199</v>
      </c>
      <c r="BE68" s="15" t="n">
        <v>4220</v>
      </c>
      <c r="BF68" s="16" t="n">
        <f aca="false">BE68/31</f>
        <v>136.129032258065</v>
      </c>
      <c r="BG68" s="15" t="n">
        <v>3069</v>
      </c>
      <c r="BH68" s="16" t="n">
        <f aca="false">BG68/28</f>
        <v>109.607142857143</v>
      </c>
      <c r="BI68" s="15" t="n">
        <v>4628</v>
      </c>
      <c r="BJ68" s="16" t="n">
        <f aca="false">BI68/31</f>
        <v>149.290322580645</v>
      </c>
      <c r="BK68" s="15" t="n">
        <v>5221</v>
      </c>
      <c r="BL68" s="16" t="n">
        <f aca="false">BK68/30</f>
        <v>174.033333333333</v>
      </c>
      <c r="BM68" s="15" t="n">
        <v>6203</v>
      </c>
      <c r="BN68" s="16" t="n">
        <f aca="false">BM68/31</f>
        <v>200.096774193548</v>
      </c>
      <c r="BO68" s="15" t="n">
        <v>5481</v>
      </c>
      <c r="BP68" s="16" t="n">
        <f aca="false">BO68/30</f>
        <v>182.7</v>
      </c>
      <c r="BQ68" s="15" t="n">
        <v>5019</v>
      </c>
      <c r="BR68" s="16" t="n">
        <f aca="false">BQ68/31</f>
        <v>161.903225806452</v>
      </c>
      <c r="BS68" s="15" t="n">
        <v>6072</v>
      </c>
      <c r="BT68" s="16" t="n">
        <f aca="false">BS68/31</f>
        <v>195.870967741936</v>
      </c>
      <c r="BU68" s="15" t="n">
        <v>5379</v>
      </c>
      <c r="BV68" s="16" t="n">
        <f aca="false">BU68/30</f>
        <v>179.3</v>
      </c>
      <c r="BW68" s="15" t="n">
        <v>3248</v>
      </c>
      <c r="BX68" s="16" t="n">
        <f aca="false">BW68/31</f>
        <v>104.774193548387</v>
      </c>
      <c r="BY68" s="15" t="n">
        <v>4345</v>
      </c>
      <c r="BZ68" s="16" t="n">
        <f aca="false">BY68/30</f>
        <v>144.833333333333</v>
      </c>
      <c r="CA68" s="15" t="n">
        <v>3887</v>
      </c>
      <c r="CB68" s="16" t="n">
        <f aca="false">CA68/31</f>
        <v>125.387096774194</v>
      </c>
      <c r="CC68" s="17" t="n">
        <f aca="false">SUM(BE68:CA68)</f>
        <v>58510.5383256528</v>
      </c>
      <c r="CD68" s="18" t="n">
        <f aca="false">IFERROR(STDEV(BF68,BH68,BJ68,BL68,BN68,BP68,BR68,BT68,BV68,BX68,BZ68,CB68),0)</f>
        <v>32.2246593526421</v>
      </c>
      <c r="CE68" s="15" t="n">
        <v>2608</v>
      </c>
      <c r="CF68" s="16" t="n">
        <f aca="false">CE68/31</f>
        <v>84.1290322580645</v>
      </c>
      <c r="CG68" s="15" t="n">
        <v>2504</v>
      </c>
      <c r="CH68" s="16" t="n">
        <f aca="false">CG68/28</f>
        <v>89.4285714285714</v>
      </c>
      <c r="CI68" s="15" t="n">
        <v>4808</v>
      </c>
      <c r="CJ68" s="16" t="n">
        <f aca="false">CI68/31</f>
        <v>155.096774193548</v>
      </c>
      <c r="CK68" s="15" t="n">
        <v>4073</v>
      </c>
      <c r="CL68" s="16" t="n">
        <f aca="false">CK68/30</f>
        <v>135.766666666667</v>
      </c>
      <c r="CM68" s="15" t="n">
        <v>4125</v>
      </c>
      <c r="CN68" s="16" t="n">
        <f aca="false">CM68/31</f>
        <v>133.064516129032</v>
      </c>
      <c r="CO68" s="15" t="n">
        <v>3044</v>
      </c>
      <c r="CP68" s="16" t="n">
        <f aca="false">CO68/30</f>
        <v>101.466666666667</v>
      </c>
      <c r="CQ68" s="15" t="n">
        <v>3141</v>
      </c>
      <c r="CR68" s="16" t="n">
        <f aca="false">CQ68/31</f>
        <v>101.322580645161</v>
      </c>
      <c r="CS68" s="15" t="n">
        <v>3543</v>
      </c>
      <c r="CT68" s="16" t="n">
        <f aca="false">CS68/31</f>
        <v>114.290322580645</v>
      </c>
      <c r="CU68" s="15" t="n">
        <v>4298</v>
      </c>
      <c r="CV68" s="16" t="n">
        <f aca="false">CU68/30</f>
        <v>143.266666666667</v>
      </c>
      <c r="CW68" s="15" t="n">
        <v>3684</v>
      </c>
      <c r="CX68" s="16" t="n">
        <f aca="false">CW68/31</f>
        <v>118.838709677419</v>
      </c>
      <c r="CY68" s="15" t="n">
        <v>2388</v>
      </c>
      <c r="CZ68" s="16" t="n">
        <f aca="false">CY68/30</f>
        <v>79.6</v>
      </c>
      <c r="DA68" s="15" t="n">
        <v>4432</v>
      </c>
      <c r="DB68" s="16" t="n">
        <f aca="false">DA68/31</f>
        <v>142.967741935484</v>
      </c>
      <c r="DC68" s="17" t="n">
        <f aca="false">SUM(CE68:DA68)</f>
        <v>43904.2705069124</v>
      </c>
      <c r="DD68" s="18" t="n">
        <f aca="false">IFERROR(STDEV(CF68,CH68,CJ68,CL68,CN68,CP68,CR68,CT68,CV68,CX68,CZ68,DB68),0)</f>
        <v>25.5151040066804</v>
      </c>
      <c r="DE68" s="15" t="n">
        <v>4868</v>
      </c>
      <c r="DF68" s="16" t="n">
        <f aca="false">DE68/31</f>
        <v>157.032258064516</v>
      </c>
      <c r="DG68" s="15" t="n">
        <v>5272</v>
      </c>
      <c r="DH68" s="16" t="n">
        <f aca="false">DG68/28</f>
        <v>188.285714285714</v>
      </c>
      <c r="DI68" s="15" t="n">
        <v>5185</v>
      </c>
      <c r="DJ68" s="16" t="n">
        <f aca="false">DI68/31</f>
        <v>167.258064516129</v>
      </c>
      <c r="DK68" s="15" t="n">
        <v>5706</v>
      </c>
      <c r="DL68" s="16" t="n">
        <f aca="false">DK68/30</f>
        <v>190.2</v>
      </c>
      <c r="DM68" s="15" t="n">
        <v>5061</v>
      </c>
      <c r="DN68" s="16" t="n">
        <f aca="false">DM68/31</f>
        <v>163.258064516129</v>
      </c>
      <c r="DO68" s="15" t="n">
        <v>5497</v>
      </c>
      <c r="DP68" s="16" t="n">
        <f aca="false">DO68/30</f>
        <v>183.233333333333</v>
      </c>
      <c r="DQ68" s="15" t="n">
        <v>3117</v>
      </c>
      <c r="DR68" s="16" t="n">
        <f aca="false">DQ68/31</f>
        <v>100.548387096774</v>
      </c>
      <c r="DS68" s="15" t="n">
        <v>6358</v>
      </c>
      <c r="DT68" s="16" t="n">
        <f aca="false">DS68/31</f>
        <v>205.096774193548</v>
      </c>
      <c r="DU68" s="15" t="n">
        <v>3244</v>
      </c>
      <c r="DV68" s="16" t="n">
        <f aca="false">DU68/30</f>
        <v>108.133333333333</v>
      </c>
      <c r="DW68" s="15" t="n">
        <v>5823</v>
      </c>
      <c r="DX68" s="16" t="n">
        <f aca="false">DW68/31</f>
        <v>187.838709677419</v>
      </c>
      <c r="DY68" s="15" t="n">
        <v>3984</v>
      </c>
      <c r="DZ68" s="16" t="n">
        <f aca="false">DY68/30</f>
        <v>132.8</v>
      </c>
      <c r="EA68" s="15" t="n">
        <v>3170</v>
      </c>
      <c r="EB68" s="16" t="n">
        <f aca="false">EA68/31</f>
        <v>102.258064516129</v>
      </c>
      <c r="EC68" s="17" t="n">
        <f aca="false">SUM(DE68:EA68)</f>
        <v>59068.6846390169</v>
      </c>
      <c r="ED68" s="18" t="n">
        <f aca="false">IFERROR(STDEV(DF68,DH68,DJ68,DL68,DN68,DP68,DR68,DT68,DV68,DX68,DZ68,EB68),0)</f>
        <v>37.3371401752739</v>
      </c>
      <c r="EE68" s="19" t="n">
        <f aca="false">STDEV(F68:AB68,AF68:BB68,BF68:CB68,CF68:DB68,DF68:EB68)</f>
        <v>2357.08882508776</v>
      </c>
    </row>
    <row r="69" customFormat="false" ht="15" hidden="false" customHeight="true" outlineLevel="0" collapsed="false">
      <c r="A69" s="11" t="n">
        <v>64</v>
      </c>
      <c r="B69" s="12" t="s">
        <v>162</v>
      </c>
      <c r="C69" s="13" t="s">
        <v>163</v>
      </c>
      <c r="D69" s="14" t="s">
        <v>57</v>
      </c>
      <c r="E69" s="15" t="n">
        <v>4671</v>
      </c>
      <c r="F69" s="16" t="n">
        <f aca="false">E69/31</f>
        <v>150.677419354839</v>
      </c>
      <c r="G69" s="15" t="n">
        <v>3661</v>
      </c>
      <c r="H69" s="16" t="n">
        <f aca="false">G69/28</f>
        <v>130.75</v>
      </c>
      <c r="I69" s="15" t="n">
        <v>3530</v>
      </c>
      <c r="J69" s="16" t="n">
        <f aca="false">I69/31</f>
        <v>113.870967741935</v>
      </c>
      <c r="K69" s="15" t="n">
        <v>4349</v>
      </c>
      <c r="L69" s="16" t="n">
        <f aca="false">K69/30</f>
        <v>144.966666666667</v>
      </c>
      <c r="M69" s="15" t="n">
        <v>3773</v>
      </c>
      <c r="N69" s="16" t="n">
        <f aca="false">M69/31</f>
        <v>121.709677419355</v>
      </c>
      <c r="O69" s="15" t="n">
        <v>3957</v>
      </c>
      <c r="P69" s="16" t="n">
        <f aca="false">O69/30</f>
        <v>131.9</v>
      </c>
      <c r="Q69" s="15" t="n">
        <v>2732</v>
      </c>
      <c r="R69" s="16" t="n">
        <f aca="false">Q69/31</f>
        <v>88.1290322580645</v>
      </c>
      <c r="S69" s="15" t="n">
        <v>3517</v>
      </c>
      <c r="T69" s="16" t="n">
        <f aca="false">S69/31</f>
        <v>113.451612903226</v>
      </c>
      <c r="U69" s="15" t="n">
        <v>4770</v>
      </c>
      <c r="V69" s="16" t="n">
        <f aca="false">U69/30</f>
        <v>159</v>
      </c>
      <c r="W69" s="15" t="n">
        <v>3994</v>
      </c>
      <c r="X69" s="16" t="n">
        <f aca="false">W69/31</f>
        <v>128.838709677419</v>
      </c>
      <c r="Y69" s="15" t="n">
        <v>5272</v>
      </c>
      <c r="Z69" s="16" t="n">
        <f aca="false">Y69/30</f>
        <v>175.733333333333</v>
      </c>
      <c r="AA69" s="15" t="n">
        <v>2756</v>
      </c>
      <c r="AB69" s="16" t="n">
        <f aca="false">AA69/31</f>
        <v>88.9032258064516</v>
      </c>
      <c r="AC69" s="17" t="n">
        <f aca="false">SUM(E69:AA69)</f>
        <v>48441.0274193548</v>
      </c>
      <c r="AD69" s="18" t="n">
        <f aca="false">IFERROR(STDEV(F69,H69,J69,L69,N69,P69,R69,T69,V69,X69,Z69,AB69),0)</f>
        <v>26.3237251769349</v>
      </c>
      <c r="AE69" s="15" t="n">
        <v>4900</v>
      </c>
      <c r="AF69" s="16" t="n">
        <f aca="false">AE69/31</f>
        <v>158.064516129032</v>
      </c>
      <c r="AG69" s="15" t="n">
        <v>5713</v>
      </c>
      <c r="AH69" s="16" t="n">
        <f aca="false">AG69/28</f>
        <v>204.035714285714</v>
      </c>
      <c r="AI69" s="15" t="n">
        <v>5304</v>
      </c>
      <c r="AJ69" s="16" t="n">
        <f aca="false">AI69/31</f>
        <v>171.096774193548</v>
      </c>
      <c r="AK69" s="15" t="n">
        <v>5079</v>
      </c>
      <c r="AL69" s="16" t="n">
        <f aca="false">AK69/30</f>
        <v>169.3</v>
      </c>
      <c r="AM69" s="15" t="n">
        <v>3856</v>
      </c>
      <c r="AN69" s="16" t="n">
        <f aca="false">AM69/31</f>
        <v>124.387096774194</v>
      </c>
      <c r="AO69" s="15" t="n">
        <v>5835</v>
      </c>
      <c r="AP69" s="16" t="n">
        <f aca="false">AO69/30</f>
        <v>194.5</v>
      </c>
      <c r="AQ69" s="15" t="n">
        <v>4475</v>
      </c>
      <c r="AR69" s="16" t="n">
        <f aca="false">AQ69/31</f>
        <v>144.354838709677</v>
      </c>
      <c r="AS69" s="15" t="n">
        <v>4481</v>
      </c>
      <c r="AT69" s="16" t="n">
        <f aca="false">AS69/31</f>
        <v>144.548387096774</v>
      </c>
      <c r="AU69" s="15" t="n">
        <v>2998</v>
      </c>
      <c r="AV69" s="16" t="n">
        <f aca="false">AU69/30</f>
        <v>99.9333333333333</v>
      </c>
      <c r="AW69" s="15" t="n">
        <v>2592</v>
      </c>
      <c r="AX69" s="16" t="n">
        <f aca="false">AW69/31</f>
        <v>83.6129032258065</v>
      </c>
      <c r="AY69" s="15" t="n">
        <v>4623</v>
      </c>
      <c r="AZ69" s="16" t="n">
        <f aca="false">AY69/30</f>
        <v>154.1</v>
      </c>
      <c r="BA69" s="15" t="n">
        <v>4419</v>
      </c>
      <c r="BB69" s="16" t="n">
        <f aca="false">BA69/31</f>
        <v>142.548387096774</v>
      </c>
      <c r="BC69" s="17" t="n">
        <f aca="false">SUM(AE69:BA69)</f>
        <v>55922.9335637481</v>
      </c>
      <c r="BD69" s="18" t="n">
        <f aca="false">IFERROR(STDEV(AF69,AH69,AJ69,AL69,AN69,AP69,AR69,AT69,AV69,AX69,AZ69,BB69),0)</f>
        <v>35.0052233593243</v>
      </c>
      <c r="BE69" s="15" t="n">
        <v>5840</v>
      </c>
      <c r="BF69" s="16" t="n">
        <f aca="false">BE69/31</f>
        <v>188.387096774194</v>
      </c>
      <c r="BG69" s="15" t="n">
        <v>3630</v>
      </c>
      <c r="BH69" s="16" t="n">
        <f aca="false">BG69/28</f>
        <v>129.642857142857</v>
      </c>
      <c r="BI69" s="15" t="n">
        <v>5156</v>
      </c>
      <c r="BJ69" s="16" t="n">
        <f aca="false">BI69/31</f>
        <v>166.322580645161</v>
      </c>
      <c r="BK69" s="15" t="n">
        <v>5691</v>
      </c>
      <c r="BL69" s="16" t="n">
        <f aca="false">BK69/30</f>
        <v>189.7</v>
      </c>
      <c r="BM69" s="15" t="n">
        <v>3765</v>
      </c>
      <c r="BN69" s="16" t="n">
        <f aca="false">BM69/31</f>
        <v>121.451612903226</v>
      </c>
      <c r="BO69" s="15" t="n">
        <v>4001</v>
      </c>
      <c r="BP69" s="16" t="n">
        <f aca="false">BO69/30</f>
        <v>133.366666666667</v>
      </c>
      <c r="BQ69" s="15" t="n">
        <v>4804</v>
      </c>
      <c r="BR69" s="16" t="n">
        <f aca="false">BQ69/31</f>
        <v>154.967741935484</v>
      </c>
      <c r="BS69" s="15" t="n">
        <v>4345</v>
      </c>
      <c r="BT69" s="16" t="n">
        <f aca="false">BS69/31</f>
        <v>140.161290322581</v>
      </c>
      <c r="BU69" s="15" t="n">
        <v>3135</v>
      </c>
      <c r="BV69" s="16" t="n">
        <f aca="false">BU69/30</f>
        <v>104.5</v>
      </c>
      <c r="BW69" s="15" t="n">
        <v>3341</v>
      </c>
      <c r="BX69" s="16" t="n">
        <f aca="false">BW69/31</f>
        <v>107.774193548387</v>
      </c>
      <c r="BY69" s="15" t="n">
        <v>5454</v>
      </c>
      <c r="BZ69" s="16" t="n">
        <f aca="false">BY69/30</f>
        <v>181.8</v>
      </c>
      <c r="CA69" s="15" t="n">
        <v>3250</v>
      </c>
      <c r="CB69" s="16" t="n">
        <f aca="false">CA69/31</f>
        <v>104.838709677419</v>
      </c>
      <c r="CC69" s="17" t="n">
        <f aca="false">SUM(BE69:CA69)</f>
        <v>54030.0740399386</v>
      </c>
      <c r="CD69" s="18" t="n">
        <f aca="false">IFERROR(STDEV(BF69,BH69,BJ69,BL69,BN69,BP69,BR69,BT69,BV69,BX69,BZ69,CB69),0)</f>
        <v>32.1254687234897</v>
      </c>
      <c r="CE69" s="15" t="n">
        <v>3196</v>
      </c>
      <c r="CF69" s="16" t="n">
        <f aca="false">CE69/31</f>
        <v>103.096774193548</v>
      </c>
      <c r="CG69" s="15" t="n">
        <v>5317</v>
      </c>
      <c r="CH69" s="16" t="n">
        <f aca="false">CG69/28</f>
        <v>189.892857142857</v>
      </c>
      <c r="CI69" s="15" t="n">
        <v>5498</v>
      </c>
      <c r="CJ69" s="16" t="n">
        <f aca="false">CI69/31</f>
        <v>177.354838709677</v>
      </c>
      <c r="CK69" s="15" t="n">
        <v>5495</v>
      </c>
      <c r="CL69" s="16" t="n">
        <f aca="false">CK69/30</f>
        <v>183.166666666667</v>
      </c>
      <c r="CM69" s="15" t="n">
        <v>5772</v>
      </c>
      <c r="CN69" s="16" t="n">
        <f aca="false">CM69/31</f>
        <v>186.193548387097</v>
      </c>
      <c r="CO69" s="15" t="n">
        <v>5985</v>
      </c>
      <c r="CP69" s="16" t="n">
        <f aca="false">CO69/30</f>
        <v>199.5</v>
      </c>
      <c r="CQ69" s="15" t="n">
        <v>4156</v>
      </c>
      <c r="CR69" s="16" t="n">
        <f aca="false">CQ69/31</f>
        <v>134.064516129032</v>
      </c>
      <c r="CS69" s="15" t="n">
        <v>4459</v>
      </c>
      <c r="CT69" s="16" t="n">
        <f aca="false">CS69/31</f>
        <v>143.838709677419</v>
      </c>
      <c r="CU69" s="15" t="n">
        <v>3571</v>
      </c>
      <c r="CV69" s="16" t="n">
        <f aca="false">CU69/30</f>
        <v>119.033333333333</v>
      </c>
      <c r="CW69" s="15" t="n">
        <v>2804</v>
      </c>
      <c r="CX69" s="16" t="n">
        <f aca="false">CW69/31</f>
        <v>90.4516129032258</v>
      </c>
      <c r="CY69" s="15" t="n">
        <v>2910</v>
      </c>
      <c r="CZ69" s="16" t="n">
        <f aca="false">CY69/30</f>
        <v>97</v>
      </c>
      <c r="DA69" s="15" t="n">
        <v>5063</v>
      </c>
      <c r="DB69" s="16" t="n">
        <f aca="false">DA69/31</f>
        <v>163.322580645161</v>
      </c>
      <c r="DC69" s="17" t="n">
        <f aca="false">SUM(CE69:DA69)</f>
        <v>55849.5928571429</v>
      </c>
      <c r="DD69" s="18" t="n">
        <f aca="false">IFERROR(STDEV(CF69,CH69,CJ69,CL69,CN69,CP69,CR69,CT69,CV69,CX69,CZ69,DB69),0)</f>
        <v>39.507146152349</v>
      </c>
      <c r="DE69" s="15" t="n">
        <v>3546</v>
      </c>
      <c r="DF69" s="16" t="n">
        <f aca="false">DE69/31</f>
        <v>114.387096774194</v>
      </c>
      <c r="DG69" s="15" t="n">
        <v>3098</v>
      </c>
      <c r="DH69" s="16" t="n">
        <f aca="false">DG69/28</f>
        <v>110.642857142857</v>
      </c>
      <c r="DI69" s="15" t="n">
        <v>2517</v>
      </c>
      <c r="DJ69" s="16" t="n">
        <f aca="false">DI69/31</f>
        <v>81.1935483870968</v>
      </c>
      <c r="DK69" s="15" t="n">
        <v>4028</v>
      </c>
      <c r="DL69" s="16" t="n">
        <f aca="false">DK69/30</f>
        <v>134.266666666667</v>
      </c>
      <c r="DM69" s="15" t="n">
        <v>2436</v>
      </c>
      <c r="DN69" s="16" t="n">
        <f aca="false">DM69/31</f>
        <v>78.5806451612903</v>
      </c>
      <c r="DO69" s="15" t="n">
        <v>3925</v>
      </c>
      <c r="DP69" s="16" t="n">
        <f aca="false">DO69/30</f>
        <v>130.833333333333</v>
      </c>
      <c r="DQ69" s="15" t="n">
        <v>4729</v>
      </c>
      <c r="DR69" s="16" t="n">
        <f aca="false">DQ69/31</f>
        <v>152.548387096774</v>
      </c>
      <c r="DS69" s="15" t="n">
        <v>3060</v>
      </c>
      <c r="DT69" s="16" t="n">
        <f aca="false">DS69/31</f>
        <v>98.7096774193548</v>
      </c>
      <c r="DU69" s="15" t="n">
        <v>3441</v>
      </c>
      <c r="DV69" s="16" t="n">
        <f aca="false">DU69/30</f>
        <v>114.7</v>
      </c>
      <c r="DW69" s="15" t="n">
        <v>3916</v>
      </c>
      <c r="DX69" s="16" t="n">
        <f aca="false">DW69/31</f>
        <v>126.322580645161</v>
      </c>
      <c r="DY69" s="15" t="n">
        <v>3026</v>
      </c>
      <c r="DZ69" s="16" t="n">
        <f aca="false">DY69/30</f>
        <v>100.866666666667</v>
      </c>
      <c r="EA69" s="15" t="n">
        <v>3824</v>
      </c>
      <c r="EB69" s="16" t="n">
        <f aca="false">EA69/31</f>
        <v>123.354838709677</v>
      </c>
      <c r="EC69" s="17" t="n">
        <f aca="false">SUM(DE69:EA69)</f>
        <v>42789.0514592934</v>
      </c>
      <c r="ED69" s="18" t="n">
        <f aca="false">IFERROR(STDEV(DF69,DH69,DJ69,DL69,DN69,DP69,DR69,DT69,DV69,DX69,DZ69,EB69),0)</f>
        <v>21.6757237611817</v>
      </c>
      <c r="EE69" s="19" t="n">
        <f aca="false">STDEV(F69:AB69,AF69:BB69,BF69:CB69,CF69:DB69,DF69:EB69)</f>
        <v>2117.55172054909</v>
      </c>
    </row>
    <row r="70" customFormat="false" ht="15" hidden="false" customHeight="true" outlineLevel="0" collapsed="false">
      <c r="A70" s="11" t="n">
        <v>65</v>
      </c>
      <c r="B70" s="12" t="s">
        <v>164</v>
      </c>
      <c r="C70" s="13" t="s">
        <v>165</v>
      </c>
      <c r="D70" s="14" t="s">
        <v>57</v>
      </c>
      <c r="E70" s="15" t="n">
        <v>2192</v>
      </c>
      <c r="F70" s="16" t="n">
        <f aca="false">E70/31</f>
        <v>70.7096774193548</v>
      </c>
      <c r="G70" s="15" t="n">
        <v>1857</v>
      </c>
      <c r="H70" s="16" t="n">
        <f aca="false">G70/28</f>
        <v>66.3214285714286</v>
      </c>
      <c r="I70" s="15" t="n">
        <v>1777</v>
      </c>
      <c r="J70" s="16" t="n">
        <f aca="false">I70/31</f>
        <v>57.3225806451613</v>
      </c>
      <c r="K70" s="15" t="n">
        <v>1963</v>
      </c>
      <c r="L70" s="16" t="n">
        <f aca="false">K70/30</f>
        <v>65.4333333333333</v>
      </c>
      <c r="M70" s="15" t="n">
        <v>1258</v>
      </c>
      <c r="N70" s="16" t="n">
        <f aca="false">M70/31</f>
        <v>40.5806451612903</v>
      </c>
      <c r="O70" s="15" t="n">
        <v>1660</v>
      </c>
      <c r="P70" s="16" t="n">
        <f aca="false">O70/30</f>
        <v>55.3333333333333</v>
      </c>
      <c r="Q70" s="15" t="n">
        <v>1619</v>
      </c>
      <c r="R70" s="16" t="n">
        <f aca="false">Q70/31</f>
        <v>52.2258064516129</v>
      </c>
      <c r="S70" s="15" t="n">
        <v>2482</v>
      </c>
      <c r="T70" s="16" t="n">
        <f aca="false">S70/31</f>
        <v>80.0645161290323</v>
      </c>
      <c r="U70" s="15" t="n">
        <v>1976</v>
      </c>
      <c r="V70" s="16" t="n">
        <f aca="false">U70/30</f>
        <v>65.8666666666667</v>
      </c>
      <c r="W70" s="15" t="n">
        <v>2650</v>
      </c>
      <c r="X70" s="16" t="n">
        <f aca="false">W70/31</f>
        <v>85.4838709677419</v>
      </c>
      <c r="Y70" s="15" t="n">
        <v>1474</v>
      </c>
      <c r="Z70" s="16" t="n">
        <f aca="false">Y70/30</f>
        <v>49.1333333333333</v>
      </c>
      <c r="AA70" s="15" t="n">
        <v>2471</v>
      </c>
      <c r="AB70" s="16" t="n">
        <f aca="false">AA70/31</f>
        <v>79.7096774193548</v>
      </c>
      <c r="AC70" s="17" t="n">
        <f aca="false">SUM(E70:AA70)</f>
        <v>24067.4751920123</v>
      </c>
      <c r="AD70" s="18" t="n">
        <f aca="false">IFERROR(STDEV(F70,H70,J70,L70,N70,P70,R70,T70,V70,X70,Z70,AB70),0)</f>
        <v>13.6521021699899</v>
      </c>
      <c r="AE70" s="15" t="n">
        <v>2857</v>
      </c>
      <c r="AF70" s="16" t="n">
        <f aca="false">AE70/31</f>
        <v>92.1612903225806</v>
      </c>
      <c r="AG70" s="15" t="n">
        <v>2129</v>
      </c>
      <c r="AH70" s="16" t="n">
        <f aca="false">AG70/28</f>
        <v>76.0357142857143</v>
      </c>
      <c r="AI70" s="15" t="n">
        <v>1946</v>
      </c>
      <c r="AJ70" s="16" t="n">
        <f aca="false">AI70/31</f>
        <v>62.7741935483871</v>
      </c>
      <c r="AK70" s="15" t="n">
        <v>1853</v>
      </c>
      <c r="AL70" s="16" t="n">
        <f aca="false">AK70/30</f>
        <v>61.7666666666667</v>
      </c>
      <c r="AM70" s="15" t="n">
        <v>2285</v>
      </c>
      <c r="AN70" s="16" t="n">
        <f aca="false">AM70/31</f>
        <v>73.7096774193548</v>
      </c>
      <c r="AO70" s="15" t="n">
        <v>1625</v>
      </c>
      <c r="AP70" s="16" t="n">
        <f aca="false">AO70/30</f>
        <v>54.1666666666667</v>
      </c>
      <c r="AQ70" s="15" t="n">
        <v>2381</v>
      </c>
      <c r="AR70" s="16" t="n">
        <f aca="false">AQ70/31</f>
        <v>76.8064516129032</v>
      </c>
      <c r="AS70" s="15" t="n">
        <v>2794</v>
      </c>
      <c r="AT70" s="16" t="n">
        <f aca="false">AS70/31</f>
        <v>90.1290322580645</v>
      </c>
      <c r="AU70" s="15" t="n">
        <v>2824</v>
      </c>
      <c r="AV70" s="16" t="n">
        <f aca="false">AU70/30</f>
        <v>94.1333333333333</v>
      </c>
      <c r="AW70" s="15" t="n">
        <v>1562</v>
      </c>
      <c r="AX70" s="16" t="n">
        <f aca="false">AW70/31</f>
        <v>50.3870967741936</v>
      </c>
      <c r="AY70" s="15" t="n">
        <v>2262</v>
      </c>
      <c r="AZ70" s="16" t="n">
        <f aca="false">AY70/30</f>
        <v>75.4</v>
      </c>
      <c r="BA70" s="15" t="n">
        <v>1779</v>
      </c>
      <c r="BB70" s="16" t="n">
        <f aca="false">BA70/31</f>
        <v>57.3870967741936</v>
      </c>
      <c r="BC70" s="17" t="n">
        <f aca="false">SUM(AE70:BA70)</f>
        <v>27104.4701228879</v>
      </c>
      <c r="BD70" s="18" t="n">
        <f aca="false">IFERROR(STDEV(AF70,AH70,AJ70,AL70,AN70,AP70,AR70,AT70,AV70,AX70,AZ70,BB70),0)</f>
        <v>14.976810957292</v>
      </c>
      <c r="BE70" s="15" t="n">
        <v>3059</v>
      </c>
      <c r="BF70" s="16" t="n">
        <f aca="false">BE70/31</f>
        <v>98.6774193548387</v>
      </c>
      <c r="BG70" s="15" t="n">
        <v>1545</v>
      </c>
      <c r="BH70" s="16" t="n">
        <f aca="false">BG70/28</f>
        <v>55.1785714285714</v>
      </c>
      <c r="BI70" s="15" t="n">
        <v>1543</v>
      </c>
      <c r="BJ70" s="16" t="n">
        <f aca="false">BI70/31</f>
        <v>49.7741935483871</v>
      </c>
      <c r="BK70" s="15" t="n">
        <v>1437</v>
      </c>
      <c r="BL70" s="16" t="n">
        <f aca="false">BK70/30</f>
        <v>47.9</v>
      </c>
      <c r="BM70" s="15" t="n">
        <v>2350</v>
      </c>
      <c r="BN70" s="16" t="n">
        <f aca="false">BM70/31</f>
        <v>75.8064516129032</v>
      </c>
      <c r="BO70" s="15" t="n">
        <v>1460</v>
      </c>
      <c r="BP70" s="16" t="n">
        <f aca="false">BO70/30</f>
        <v>48.6666666666667</v>
      </c>
      <c r="BQ70" s="15" t="n">
        <v>2490</v>
      </c>
      <c r="BR70" s="16" t="n">
        <f aca="false">BQ70/31</f>
        <v>80.3225806451613</v>
      </c>
      <c r="BS70" s="15" t="n">
        <v>2159</v>
      </c>
      <c r="BT70" s="16" t="n">
        <f aca="false">BS70/31</f>
        <v>69.6451612903226</v>
      </c>
      <c r="BU70" s="15" t="n">
        <v>2505</v>
      </c>
      <c r="BV70" s="16" t="n">
        <f aca="false">BU70/30</f>
        <v>83.5</v>
      </c>
      <c r="BW70" s="15" t="n">
        <v>3096</v>
      </c>
      <c r="BX70" s="16" t="n">
        <f aca="false">BW70/31</f>
        <v>99.8709677419355</v>
      </c>
      <c r="BY70" s="15" t="n">
        <v>2433</v>
      </c>
      <c r="BZ70" s="16" t="n">
        <f aca="false">BY70/30</f>
        <v>81.1</v>
      </c>
      <c r="CA70" s="15" t="n">
        <v>2418</v>
      </c>
      <c r="CB70" s="16" t="n">
        <f aca="false">CA70/31</f>
        <v>78</v>
      </c>
      <c r="CC70" s="17" t="n">
        <f aca="false">SUM(BE70:CA70)</f>
        <v>27285.4420122888</v>
      </c>
      <c r="CD70" s="18" t="n">
        <f aca="false">IFERROR(STDEV(BF70,BH70,BJ70,BL70,BN70,BP70,BR70,BT70,BV70,BX70,BZ70,CB70),0)</f>
        <v>18.4129211567032</v>
      </c>
      <c r="CE70" s="15" t="n">
        <v>2673</v>
      </c>
      <c r="CF70" s="16" t="n">
        <f aca="false">CE70/31</f>
        <v>86.2258064516129</v>
      </c>
      <c r="CG70" s="15" t="n">
        <v>1868</v>
      </c>
      <c r="CH70" s="16" t="n">
        <f aca="false">CG70/28</f>
        <v>66.7142857142857</v>
      </c>
      <c r="CI70" s="15" t="n">
        <v>2331</v>
      </c>
      <c r="CJ70" s="16" t="n">
        <f aca="false">CI70/31</f>
        <v>75.1935483870968</v>
      </c>
      <c r="CK70" s="15" t="n">
        <v>1706</v>
      </c>
      <c r="CL70" s="16" t="n">
        <f aca="false">CK70/30</f>
        <v>56.8666666666667</v>
      </c>
      <c r="CM70" s="15" t="n">
        <v>1488</v>
      </c>
      <c r="CN70" s="16" t="n">
        <f aca="false">CM70/31</f>
        <v>48</v>
      </c>
      <c r="CO70" s="15" t="n">
        <v>2327</v>
      </c>
      <c r="CP70" s="16" t="n">
        <f aca="false">CO70/30</f>
        <v>77.5666666666667</v>
      </c>
      <c r="CQ70" s="15" t="n">
        <v>2267</v>
      </c>
      <c r="CR70" s="16" t="n">
        <f aca="false">CQ70/31</f>
        <v>73.1290322580645</v>
      </c>
      <c r="CS70" s="15" t="n">
        <v>1591</v>
      </c>
      <c r="CT70" s="16" t="n">
        <f aca="false">CS70/31</f>
        <v>51.3225806451613</v>
      </c>
      <c r="CU70" s="15" t="n">
        <v>1857</v>
      </c>
      <c r="CV70" s="16" t="n">
        <f aca="false">CU70/30</f>
        <v>61.9</v>
      </c>
      <c r="CW70" s="15" t="n">
        <v>1927</v>
      </c>
      <c r="CX70" s="16" t="n">
        <f aca="false">CW70/31</f>
        <v>62.1612903225807</v>
      </c>
      <c r="CY70" s="15" t="n">
        <v>1753</v>
      </c>
      <c r="CZ70" s="16" t="n">
        <f aca="false">CY70/30</f>
        <v>58.4333333333333</v>
      </c>
      <c r="DA70" s="15" t="n">
        <v>1914</v>
      </c>
      <c r="DB70" s="16" t="n">
        <f aca="false">DA70/31</f>
        <v>61.741935483871</v>
      </c>
      <c r="DC70" s="17" t="n">
        <f aca="false">SUM(CE70:DA70)</f>
        <v>24419.5132104455</v>
      </c>
      <c r="DD70" s="18" t="n">
        <f aca="false">IFERROR(STDEV(CF70,CH70,CJ70,CL70,CN70,CP70,CR70,CT70,CV70,CX70,CZ70,DB70),0)</f>
        <v>11.2612181877939</v>
      </c>
      <c r="DE70" s="15" t="n">
        <v>2274</v>
      </c>
      <c r="DF70" s="16" t="n">
        <f aca="false">DE70/31</f>
        <v>73.3548387096774</v>
      </c>
      <c r="DG70" s="15" t="n">
        <v>2573</v>
      </c>
      <c r="DH70" s="16" t="n">
        <f aca="false">DG70/28</f>
        <v>91.8928571428571</v>
      </c>
      <c r="DI70" s="15" t="n">
        <v>2506</v>
      </c>
      <c r="DJ70" s="16" t="n">
        <f aca="false">DI70/31</f>
        <v>80.8387096774194</v>
      </c>
      <c r="DK70" s="15" t="n">
        <v>2196</v>
      </c>
      <c r="DL70" s="16" t="n">
        <f aca="false">DK70/30</f>
        <v>73.2</v>
      </c>
      <c r="DM70" s="15" t="n">
        <v>1474</v>
      </c>
      <c r="DN70" s="16" t="n">
        <f aca="false">DM70/31</f>
        <v>47.5483870967742</v>
      </c>
      <c r="DO70" s="15" t="n">
        <v>2035</v>
      </c>
      <c r="DP70" s="16" t="n">
        <f aca="false">DO70/30</f>
        <v>67.8333333333333</v>
      </c>
      <c r="DQ70" s="15" t="n">
        <v>1926</v>
      </c>
      <c r="DR70" s="16" t="n">
        <f aca="false">DQ70/31</f>
        <v>62.1290322580645</v>
      </c>
      <c r="DS70" s="15" t="n">
        <v>1496</v>
      </c>
      <c r="DT70" s="16" t="n">
        <f aca="false">DS70/31</f>
        <v>48.258064516129</v>
      </c>
      <c r="DU70" s="15" t="n">
        <v>2735</v>
      </c>
      <c r="DV70" s="16" t="n">
        <f aca="false">DU70/30</f>
        <v>91.1666666666667</v>
      </c>
      <c r="DW70" s="15" t="n">
        <v>2269</v>
      </c>
      <c r="DX70" s="16" t="n">
        <f aca="false">DW70/31</f>
        <v>73.1935483870968</v>
      </c>
      <c r="DY70" s="15" t="n">
        <v>2765</v>
      </c>
      <c r="DZ70" s="16" t="n">
        <f aca="false">DY70/30</f>
        <v>92.1666666666667</v>
      </c>
      <c r="EA70" s="15" t="n">
        <v>2392</v>
      </c>
      <c r="EB70" s="16" t="n">
        <f aca="false">EA70/31</f>
        <v>77.1612903225806</v>
      </c>
      <c r="EC70" s="17" t="n">
        <f aca="false">SUM(DE70:EA70)</f>
        <v>27442.5821044547</v>
      </c>
      <c r="ED70" s="18" t="n">
        <f aca="false">IFERROR(STDEV(DF70,DH70,DJ70,DL70,DN70,DP70,DR70,DT70,DV70,DX70,DZ70,EB70),0)</f>
        <v>15.1881747910909</v>
      </c>
      <c r="EE70" s="19" t="n">
        <f aca="false">STDEV(F70:AB70,AF70:BB70,BF70:CB70,CF70:DB70,DF70:EB70)</f>
        <v>1045.29976652426</v>
      </c>
    </row>
    <row r="71" customFormat="false" ht="15" hidden="false" customHeight="true" outlineLevel="0" collapsed="false">
      <c r="A71" s="11" t="n">
        <v>66</v>
      </c>
      <c r="B71" s="12" t="s">
        <v>166</v>
      </c>
      <c r="C71" s="13" t="s">
        <v>167</v>
      </c>
      <c r="D71" s="14" t="s">
        <v>57</v>
      </c>
      <c r="E71" s="15" t="n">
        <v>2563</v>
      </c>
      <c r="F71" s="16" t="n">
        <f aca="false">E71/31</f>
        <v>82.6774193548387</v>
      </c>
      <c r="G71" s="15" t="n">
        <v>2304</v>
      </c>
      <c r="H71" s="16" t="n">
        <f aca="false">G71/28</f>
        <v>82.2857142857143</v>
      </c>
      <c r="I71" s="15" t="n">
        <v>2013</v>
      </c>
      <c r="J71" s="16" t="n">
        <f aca="false">I71/31</f>
        <v>64.9354838709677</v>
      </c>
      <c r="K71" s="15" t="n">
        <v>2571</v>
      </c>
      <c r="L71" s="16" t="n">
        <f aca="false">K71/30</f>
        <v>85.7</v>
      </c>
      <c r="M71" s="15" t="n">
        <v>1689</v>
      </c>
      <c r="N71" s="16" t="n">
        <f aca="false">M71/31</f>
        <v>54.4838709677419</v>
      </c>
      <c r="O71" s="15" t="n">
        <v>2326</v>
      </c>
      <c r="P71" s="16" t="n">
        <f aca="false">O71/30</f>
        <v>77.5333333333333</v>
      </c>
      <c r="Q71" s="15" t="n">
        <v>1647</v>
      </c>
      <c r="R71" s="16" t="n">
        <f aca="false">Q71/31</f>
        <v>53.1290322580645</v>
      </c>
      <c r="S71" s="15" t="n">
        <v>1988</v>
      </c>
      <c r="T71" s="16" t="n">
        <f aca="false">S71/31</f>
        <v>64.1290322580645</v>
      </c>
      <c r="U71" s="15" t="n">
        <v>3444</v>
      </c>
      <c r="V71" s="16" t="n">
        <f aca="false">U71/30</f>
        <v>114.8</v>
      </c>
      <c r="W71" s="15" t="n">
        <v>2309</v>
      </c>
      <c r="X71" s="16" t="n">
        <f aca="false">W71/31</f>
        <v>74.4838709677419</v>
      </c>
      <c r="Y71" s="15" t="n">
        <v>2534</v>
      </c>
      <c r="Z71" s="16" t="n">
        <f aca="false">Y71/30</f>
        <v>84.4666666666667</v>
      </c>
      <c r="AA71" s="15" t="n">
        <v>2503</v>
      </c>
      <c r="AB71" s="16" t="n">
        <f aca="false">AA71/31</f>
        <v>80.741935483871</v>
      </c>
      <c r="AC71" s="17" t="n">
        <f aca="false">SUM(E71:AA71)</f>
        <v>28729.6244239631</v>
      </c>
      <c r="AD71" s="18" t="n">
        <f aca="false">IFERROR(STDEV(F71,H71,J71,L71,N71,P71,R71,T71,V71,X71,Z71,AB71),0)</f>
        <v>16.5894126064929</v>
      </c>
      <c r="AE71" s="15" t="n">
        <v>1768</v>
      </c>
      <c r="AF71" s="16" t="n">
        <f aca="false">AE71/31</f>
        <v>57.0322580645161</v>
      </c>
      <c r="AG71" s="15" t="n">
        <v>3842</v>
      </c>
      <c r="AH71" s="16" t="n">
        <f aca="false">AG71/28</f>
        <v>137.214285714286</v>
      </c>
      <c r="AI71" s="15" t="n">
        <v>2384</v>
      </c>
      <c r="AJ71" s="16" t="n">
        <f aca="false">AI71/31</f>
        <v>76.9032258064516</v>
      </c>
      <c r="AK71" s="15" t="n">
        <v>3227</v>
      </c>
      <c r="AL71" s="16" t="n">
        <f aca="false">AK71/30</f>
        <v>107.566666666667</v>
      </c>
      <c r="AM71" s="15" t="n">
        <v>2822</v>
      </c>
      <c r="AN71" s="16" t="n">
        <f aca="false">AM71/31</f>
        <v>91.0322580645161</v>
      </c>
      <c r="AO71" s="15" t="n">
        <v>3506</v>
      </c>
      <c r="AP71" s="16" t="n">
        <f aca="false">AO71/30</f>
        <v>116.866666666667</v>
      </c>
      <c r="AQ71" s="15" t="n">
        <v>3518</v>
      </c>
      <c r="AR71" s="16" t="n">
        <f aca="false">AQ71/31</f>
        <v>113.483870967742</v>
      </c>
      <c r="AS71" s="15" t="n">
        <v>2249</v>
      </c>
      <c r="AT71" s="16" t="n">
        <f aca="false">AS71/31</f>
        <v>72.5483870967742</v>
      </c>
      <c r="AU71" s="15" t="n">
        <v>2873</v>
      </c>
      <c r="AV71" s="16" t="n">
        <f aca="false">AU71/30</f>
        <v>95.7666666666667</v>
      </c>
      <c r="AW71" s="15" t="n">
        <v>2051</v>
      </c>
      <c r="AX71" s="16" t="n">
        <f aca="false">AW71/31</f>
        <v>66.1612903225806</v>
      </c>
      <c r="AY71" s="15" t="n">
        <v>3116</v>
      </c>
      <c r="AZ71" s="16" t="n">
        <f aca="false">AY71/30</f>
        <v>103.866666666667</v>
      </c>
      <c r="BA71" s="15" t="n">
        <v>2476</v>
      </c>
      <c r="BB71" s="16" t="n">
        <f aca="false">BA71/31</f>
        <v>79.8709677419355</v>
      </c>
      <c r="BC71" s="17" t="n">
        <f aca="false">SUM(AE71:BA71)</f>
        <v>34870.4422427035</v>
      </c>
      <c r="BD71" s="18" t="n">
        <f aca="false">IFERROR(STDEV(AF71,AH71,AJ71,AL71,AN71,AP71,AR71,AT71,AV71,AX71,AZ71,BB71),0)</f>
        <v>23.6435720013965</v>
      </c>
      <c r="BE71" s="15" t="n">
        <v>2485</v>
      </c>
      <c r="BF71" s="16" t="n">
        <f aca="false">BE71/31</f>
        <v>80.1612903225806</v>
      </c>
      <c r="BG71" s="15" t="n">
        <v>2807</v>
      </c>
      <c r="BH71" s="16" t="n">
        <f aca="false">BG71/28</f>
        <v>100.25</v>
      </c>
      <c r="BI71" s="15" t="n">
        <v>2243</v>
      </c>
      <c r="BJ71" s="16" t="n">
        <f aca="false">BI71/31</f>
        <v>72.3548387096774</v>
      </c>
      <c r="BK71" s="15" t="n">
        <v>1994</v>
      </c>
      <c r="BL71" s="16" t="n">
        <f aca="false">BK71/30</f>
        <v>66.4666666666667</v>
      </c>
      <c r="BM71" s="15" t="n">
        <v>2934</v>
      </c>
      <c r="BN71" s="16" t="n">
        <f aca="false">BM71/31</f>
        <v>94.6451612903226</v>
      </c>
      <c r="BO71" s="15" t="n">
        <v>2242</v>
      </c>
      <c r="BP71" s="16" t="n">
        <f aca="false">BO71/30</f>
        <v>74.7333333333333</v>
      </c>
      <c r="BQ71" s="15" t="n">
        <v>1953</v>
      </c>
      <c r="BR71" s="16" t="n">
        <f aca="false">BQ71/31</f>
        <v>63</v>
      </c>
      <c r="BS71" s="15" t="n">
        <v>2864</v>
      </c>
      <c r="BT71" s="16" t="n">
        <f aca="false">BS71/31</f>
        <v>92.3870967741936</v>
      </c>
      <c r="BU71" s="15" t="n">
        <v>2190</v>
      </c>
      <c r="BV71" s="16" t="n">
        <f aca="false">BU71/30</f>
        <v>73</v>
      </c>
      <c r="BW71" s="15" t="n">
        <v>2182</v>
      </c>
      <c r="BX71" s="16" t="n">
        <f aca="false">BW71/31</f>
        <v>70.3870967741936</v>
      </c>
      <c r="BY71" s="15" t="n">
        <v>2398</v>
      </c>
      <c r="BZ71" s="16" t="n">
        <f aca="false">BY71/30</f>
        <v>79.9333333333333</v>
      </c>
      <c r="CA71" s="15" t="n">
        <v>2217</v>
      </c>
      <c r="CB71" s="16" t="n">
        <f aca="false">CA71/31</f>
        <v>71.5161290322581</v>
      </c>
      <c r="CC71" s="17" t="n">
        <f aca="false">SUM(BE71:CA71)</f>
        <v>29376.3188172043</v>
      </c>
      <c r="CD71" s="18" t="n">
        <f aca="false">IFERROR(STDEV(BF71,BH71,BJ71,BL71,BN71,BP71,BR71,BT71,BV71,BX71,BZ71,CB71),0)</f>
        <v>11.7256721900537</v>
      </c>
      <c r="CE71" s="15" t="n">
        <v>1891</v>
      </c>
      <c r="CF71" s="16" t="n">
        <f aca="false">CE71/31</f>
        <v>61</v>
      </c>
      <c r="CG71" s="15" t="n">
        <v>1947</v>
      </c>
      <c r="CH71" s="16" t="n">
        <f aca="false">CG71/28</f>
        <v>69.5357142857143</v>
      </c>
      <c r="CI71" s="15" t="n">
        <v>1759</v>
      </c>
      <c r="CJ71" s="16" t="n">
        <f aca="false">CI71/31</f>
        <v>56.741935483871</v>
      </c>
      <c r="CK71" s="15" t="n">
        <v>2964</v>
      </c>
      <c r="CL71" s="16" t="n">
        <f aca="false">CK71/30</f>
        <v>98.8</v>
      </c>
      <c r="CM71" s="15" t="n">
        <v>2045</v>
      </c>
      <c r="CN71" s="16" t="n">
        <f aca="false">CM71/31</f>
        <v>65.9677419354839</v>
      </c>
      <c r="CO71" s="15" t="n">
        <v>1993</v>
      </c>
      <c r="CP71" s="16" t="n">
        <f aca="false">CO71/30</f>
        <v>66.4333333333333</v>
      </c>
      <c r="CQ71" s="15" t="n">
        <v>2366</v>
      </c>
      <c r="CR71" s="16" t="n">
        <f aca="false">CQ71/31</f>
        <v>76.3225806451613</v>
      </c>
      <c r="CS71" s="15" t="n">
        <v>3121</v>
      </c>
      <c r="CT71" s="16" t="n">
        <f aca="false">CS71/31</f>
        <v>100.677419354839</v>
      </c>
      <c r="CU71" s="15" t="n">
        <v>1847</v>
      </c>
      <c r="CV71" s="16" t="n">
        <f aca="false">CU71/30</f>
        <v>61.5666666666667</v>
      </c>
      <c r="CW71" s="15" t="n">
        <v>2085</v>
      </c>
      <c r="CX71" s="16" t="n">
        <f aca="false">CW71/31</f>
        <v>67.258064516129</v>
      </c>
      <c r="CY71" s="15" t="n">
        <v>3321</v>
      </c>
      <c r="CZ71" s="16" t="n">
        <f aca="false">CY71/30</f>
        <v>110.7</v>
      </c>
      <c r="DA71" s="15" t="n">
        <v>3127</v>
      </c>
      <c r="DB71" s="16" t="n">
        <f aca="false">DA71/31</f>
        <v>100.870967741935</v>
      </c>
      <c r="DC71" s="17" t="n">
        <f aca="false">SUM(CE71:DA71)</f>
        <v>29301.0034562212</v>
      </c>
      <c r="DD71" s="18" t="n">
        <f aca="false">IFERROR(STDEV(CF71,CH71,CJ71,CL71,CN71,CP71,CR71,CT71,CV71,CX71,CZ71,DB71),0)</f>
        <v>19.1136434126042</v>
      </c>
      <c r="DE71" s="15" t="n">
        <v>3196</v>
      </c>
      <c r="DF71" s="16" t="n">
        <f aca="false">DE71/31</f>
        <v>103.096774193548</v>
      </c>
      <c r="DG71" s="15" t="n">
        <v>3189</v>
      </c>
      <c r="DH71" s="16" t="n">
        <f aca="false">DG71/28</f>
        <v>113.892857142857</v>
      </c>
      <c r="DI71" s="15" t="n">
        <v>2493</v>
      </c>
      <c r="DJ71" s="16" t="n">
        <f aca="false">DI71/31</f>
        <v>80.4193548387097</v>
      </c>
      <c r="DK71" s="15" t="n">
        <v>2365</v>
      </c>
      <c r="DL71" s="16" t="n">
        <f aca="false">DK71/30</f>
        <v>78.8333333333333</v>
      </c>
      <c r="DM71" s="15" t="n">
        <v>4109</v>
      </c>
      <c r="DN71" s="16" t="n">
        <f aca="false">DM71/31</f>
        <v>132.548387096774</v>
      </c>
      <c r="DO71" s="15" t="n">
        <v>2004</v>
      </c>
      <c r="DP71" s="16" t="n">
        <f aca="false">DO71/30</f>
        <v>66.8</v>
      </c>
      <c r="DQ71" s="15" t="n">
        <v>2058</v>
      </c>
      <c r="DR71" s="16" t="n">
        <f aca="false">DQ71/31</f>
        <v>66.3870967741936</v>
      </c>
      <c r="DS71" s="15" t="n">
        <v>3434</v>
      </c>
      <c r="DT71" s="16" t="n">
        <f aca="false">DS71/31</f>
        <v>110.774193548387</v>
      </c>
      <c r="DU71" s="15" t="n">
        <v>2364</v>
      </c>
      <c r="DV71" s="16" t="n">
        <f aca="false">DU71/30</f>
        <v>78.8</v>
      </c>
      <c r="DW71" s="15" t="n">
        <v>3580</v>
      </c>
      <c r="DX71" s="16" t="n">
        <f aca="false">DW71/31</f>
        <v>115.483870967742</v>
      </c>
      <c r="DY71" s="15" t="n">
        <v>2048</v>
      </c>
      <c r="DZ71" s="16" t="n">
        <f aca="false">DY71/30</f>
        <v>68.2666666666667</v>
      </c>
      <c r="EA71" s="15" t="n">
        <v>3431</v>
      </c>
      <c r="EB71" s="16" t="n">
        <f aca="false">EA71/31</f>
        <v>110.677419354839</v>
      </c>
      <c r="EC71" s="17" t="n">
        <f aca="false">SUM(DE71:EA71)</f>
        <v>35286.3025345622</v>
      </c>
      <c r="ED71" s="18" t="n">
        <f aca="false">IFERROR(STDEV(DF71,DH71,DJ71,DL71,DN71,DP71,DR71,DT71,DV71,DX71,DZ71,EB71),0)</f>
        <v>22.9529168913244</v>
      </c>
      <c r="EE71" s="19" t="n">
        <f aca="false">STDEV(F71:AB71,AF71:BB71,BF71:CB71,CF71:DB71,DF71:EB71)</f>
        <v>1311.9472967247</v>
      </c>
    </row>
    <row r="72" customFormat="false" ht="15" hidden="false" customHeight="true" outlineLevel="0" collapsed="false">
      <c r="A72" s="11" t="n">
        <v>67</v>
      </c>
      <c r="B72" s="12" t="s">
        <v>168</v>
      </c>
      <c r="C72" s="13" t="s">
        <v>169</v>
      </c>
      <c r="D72" s="14" t="s">
        <v>57</v>
      </c>
      <c r="E72" s="15" t="n">
        <v>1617</v>
      </c>
      <c r="F72" s="16" t="n">
        <f aca="false">E72/31</f>
        <v>52.1612903225807</v>
      </c>
      <c r="G72" s="15" t="n">
        <v>2023</v>
      </c>
      <c r="H72" s="16" t="n">
        <f aca="false">G72/28</f>
        <v>72.25</v>
      </c>
      <c r="I72" s="15" t="n">
        <v>1866</v>
      </c>
      <c r="J72" s="16" t="n">
        <f aca="false">I72/31</f>
        <v>60.1935483870968</v>
      </c>
      <c r="K72" s="15" t="n">
        <v>3427</v>
      </c>
      <c r="L72" s="16" t="n">
        <f aca="false">K72/30</f>
        <v>114.233333333333</v>
      </c>
      <c r="M72" s="15" t="n">
        <v>2707</v>
      </c>
      <c r="N72" s="16" t="n">
        <f aca="false">M72/31</f>
        <v>87.3225806451613</v>
      </c>
      <c r="O72" s="15" t="n">
        <v>2635</v>
      </c>
      <c r="P72" s="16" t="n">
        <f aca="false">O72/30</f>
        <v>87.8333333333333</v>
      </c>
      <c r="Q72" s="15" t="n">
        <v>1542</v>
      </c>
      <c r="R72" s="16" t="n">
        <f aca="false">Q72/31</f>
        <v>49.741935483871</v>
      </c>
      <c r="S72" s="15" t="n">
        <v>2948</v>
      </c>
      <c r="T72" s="16" t="n">
        <f aca="false">S72/31</f>
        <v>95.0967741935484</v>
      </c>
      <c r="U72" s="15" t="n">
        <v>2832</v>
      </c>
      <c r="V72" s="16" t="n">
        <f aca="false">U72/30</f>
        <v>94.4</v>
      </c>
      <c r="W72" s="15" t="n">
        <v>2073</v>
      </c>
      <c r="X72" s="16" t="n">
        <f aca="false">W72/31</f>
        <v>66.8709677419355</v>
      </c>
      <c r="Y72" s="15" t="n">
        <v>1676</v>
      </c>
      <c r="Z72" s="16" t="n">
        <f aca="false">Y72/30</f>
        <v>55.8666666666667</v>
      </c>
      <c r="AA72" s="15" t="n">
        <v>2406</v>
      </c>
      <c r="AB72" s="16" t="n">
        <f aca="false">AA72/31</f>
        <v>77.6129032258065</v>
      </c>
      <c r="AC72" s="17" t="n">
        <f aca="false">SUM(E72:AA72)</f>
        <v>28587.9704301075</v>
      </c>
      <c r="AD72" s="18" t="n">
        <f aca="false">IFERROR(STDEV(F72,H72,J72,L72,N72,P72,R72,T72,V72,X72,Z72,AB72),0)</f>
        <v>20.1043245060458</v>
      </c>
      <c r="AE72" s="15" t="n">
        <v>2734</v>
      </c>
      <c r="AF72" s="16" t="n">
        <f aca="false">AE72/31</f>
        <v>88.1935483870968</v>
      </c>
      <c r="AG72" s="15" t="n">
        <v>2537</v>
      </c>
      <c r="AH72" s="16" t="n">
        <f aca="false">AG72/28</f>
        <v>90.6071428571429</v>
      </c>
      <c r="AI72" s="15" t="n">
        <v>1444</v>
      </c>
      <c r="AJ72" s="16" t="n">
        <f aca="false">AI72/31</f>
        <v>46.5806451612903</v>
      </c>
      <c r="AK72" s="15" t="n">
        <v>2479</v>
      </c>
      <c r="AL72" s="16" t="n">
        <f aca="false">AK72/30</f>
        <v>82.6333333333333</v>
      </c>
      <c r="AM72" s="15" t="n">
        <v>2119</v>
      </c>
      <c r="AN72" s="16" t="n">
        <f aca="false">AM72/31</f>
        <v>68.3548387096774</v>
      </c>
      <c r="AO72" s="15" t="n">
        <v>2423</v>
      </c>
      <c r="AP72" s="16" t="n">
        <f aca="false">AO72/30</f>
        <v>80.7666666666667</v>
      </c>
      <c r="AQ72" s="15" t="n">
        <v>2464</v>
      </c>
      <c r="AR72" s="16" t="n">
        <f aca="false">AQ72/31</f>
        <v>79.4838709677419</v>
      </c>
      <c r="AS72" s="15" t="n">
        <v>1462</v>
      </c>
      <c r="AT72" s="16" t="n">
        <f aca="false">AS72/31</f>
        <v>47.1612903225807</v>
      </c>
      <c r="AU72" s="15" t="n">
        <v>2211</v>
      </c>
      <c r="AV72" s="16" t="n">
        <f aca="false">AU72/30</f>
        <v>73.7</v>
      </c>
      <c r="AW72" s="15" t="n">
        <v>1592</v>
      </c>
      <c r="AX72" s="16" t="n">
        <f aca="false">AW72/31</f>
        <v>51.3548387096774</v>
      </c>
      <c r="AY72" s="15" t="n">
        <v>2313</v>
      </c>
      <c r="AZ72" s="16" t="n">
        <f aca="false">AY72/30</f>
        <v>77.1</v>
      </c>
      <c r="BA72" s="15" t="n">
        <v>1714</v>
      </c>
      <c r="BB72" s="16" t="n">
        <f aca="false">BA72/31</f>
        <v>55.2903225806452</v>
      </c>
      <c r="BC72" s="17" t="n">
        <f aca="false">SUM(AE72:BA72)</f>
        <v>26277.9361751152</v>
      </c>
      <c r="BD72" s="18" t="n">
        <f aca="false">IFERROR(STDEV(AF72,AH72,AJ72,AL72,AN72,AP72,AR72,AT72,AV72,AX72,AZ72,BB72),0)</f>
        <v>16.0167419741717</v>
      </c>
      <c r="BE72" s="15" t="n">
        <v>2465</v>
      </c>
      <c r="BF72" s="16" t="n">
        <f aca="false">BE72/31</f>
        <v>79.5161290322581</v>
      </c>
      <c r="BG72" s="15" t="n">
        <v>2746</v>
      </c>
      <c r="BH72" s="16" t="n">
        <f aca="false">BG72/28</f>
        <v>98.0714285714286</v>
      </c>
      <c r="BI72" s="15" t="n">
        <v>2007</v>
      </c>
      <c r="BJ72" s="16" t="n">
        <f aca="false">BI72/31</f>
        <v>64.741935483871</v>
      </c>
      <c r="BK72" s="15" t="n">
        <v>2326</v>
      </c>
      <c r="BL72" s="16" t="n">
        <f aca="false">BK72/30</f>
        <v>77.5333333333333</v>
      </c>
      <c r="BM72" s="15" t="n">
        <v>1759</v>
      </c>
      <c r="BN72" s="16" t="n">
        <f aca="false">BM72/31</f>
        <v>56.741935483871</v>
      </c>
      <c r="BO72" s="15" t="n">
        <v>1951</v>
      </c>
      <c r="BP72" s="16" t="n">
        <f aca="false">BO72/30</f>
        <v>65.0333333333333</v>
      </c>
      <c r="BQ72" s="15" t="n">
        <v>3297</v>
      </c>
      <c r="BR72" s="16" t="n">
        <f aca="false">BQ72/31</f>
        <v>106.354838709677</v>
      </c>
      <c r="BS72" s="15" t="n">
        <v>2570</v>
      </c>
      <c r="BT72" s="16" t="n">
        <f aca="false">BS72/31</f>
        <v>82.9032258064516</v>
      </c>
      <c r="BU72" s="15" t="n">
        <v>2396</v>
      </c>
      <c r="BV72" s="16" t="n">
        <f aca="false">BU72/30</f>
        <v>79.8666666666667</v>
      </c>
      <c r="BW72" s="15" t="n">
        <v>1843</v>
      </c>
      <c r="BX72" s="16" t="n">
        <f aca="false">BW72/31</f>
        <v>59.4516129032258</v>
      </c>
      <c r="BY72" s="15" t="n">
        <v>1734</v>
      </c>
      <c r="BZ72" s="16" t="n">
        <f aca="false">BY72/30</f>
        <v>57.8</v>
      </c>
      <c r="CA72" s="15" t="n">
        <v>2511</v>
      </c>
      <c r="CB72" s="16" t="n">
        <f aca="false">CA72/31</f>
        <v>81</v>
      </c>
      <c r="CC72" s="17" t="n">
        <f aca="false">SUM(BE72:CA72)</f>
        <v>28433.0144393241</v>
      </c>
      <c r="CD72" s="18" t="n">
        <f aca="false">IFERROR(STDEV(BF72,BH72,BJ72,BL72,BN72,BP72,BR72,BT72,BV72,BX72,BZ72,CB72),0)</f>
        <v>15.762773364451</v>
      </c>
      <c r="CE72" s="15" t="n">
        <v>2105</v>
      </c>
      <c r="CF72" s="16" t="n">
        <f aca="false">CE72/31</f>
        <v>67.9032258064516</v>
      </c>
      <c r="CG72" s="15" t="n">
        <v>1217</v>
      </c>
      <c r="CH72" s="16" t="n">
        <f aca="false">CG72/28</f>
        <v>43.4642857142857</v>
      </c>
      <c r="CI72" s="15" t="n">
        <v>2365</v>
      </c>
      <c r="CJ72" s="16" t="n">
        <f aca="false">CI72/31</f>
        <v>76.2903225806452</v>
      </c>
      <c r="CK72" s="15" t="n">
        <v>1933</v>
      </c>
      <c r="CL72" s="16" t="n">
        <f aca="false">CK72/30</f>
        <v>64.4333333333333</v>
      </c>
      <c r="CM72" s="15" t="n">
        <v>1338</v>
      </c>
      <c r="CN72" s="16" t="n">
        <f aca="false">CM72/31</f>
        <v>43.1612903225807</v>
      </c>
      <c r="CO72" s="15" t="n">
        <v>1900</v>
      </c>
      <c r="CP72" s="16" t="n">
        <f aca="false">CO72/30</f>
        <v>63.3333333333333</v>
      </c>
      <c r="CQ72" s="15" t="n">
        <v>1358</v>
      </c>
      <c r="CR72" s="16" t="n">
        <f aca="false">CQ72/31</f>
        <v>43.8064516129032</v>
      </c>
      <c r="CS72" s="15" t="n">
        <v>2087</v>
      </c>
      <c r="CT72" s="16" t="n">
        <f aca="false">CS72/31</f>
        <v>67.3225806451613</v>
      </c>
      <c r="CU72" s="15" t="n">
        <v>2433</v>
      </c>
      <c r="CV72" s="16" t="n">
        <f aca="false">CU72/30</f>
        <v>81.1</v>
      </c>
      <c r="CW72" s="15" t="n">
        <v>2540</v>
      </c>
      <c r="CX72" s="16" t="n">
        <f aca="false">CW72/31</f>
        <v>81.9354838709677</v>
      </c>
      <c r="CY72" s="15" t="n">
        <v>2352</v>
      </c>
      <c r="CZ72" s="16" t="n">
        <f aca="false">CY72/30</f>
        <v>78.4</v>
      </c>
      <c r="DA72" s="15" t="n">
        <v>2158</v>
      </c>
      <c r="DB72" s="16" t="n">
        <f aca="false">DA72/31</f>
        <v>69.6129032258065</v>
      </c>
      <c r="DC72" s="17" t="n">
        <f aca="false">SUM(CE72:DA72)</f>
        <v>24497.1503072197</v>
      </c>
      <c r="DD72" s="18" t="n">
        <f aca="false">IFERROR(STDEV(CF72,CH72,CJ72,CL72,CN72,CP72,CR72,CT72,CV72,CX72,CZ72,DB72),0)</f>
        <v>14.4004010249493</v>
      </c>
      <c r="DE72" s="15" t="n">
        <v>2116</v>
      </c>
      <c r="DF72" s="16" t="n">
        <f aca="false">DE72/31</f>
        <v>68.258064516129</v>
      </c>
      <c r="DG72" s="15" t="n">
        <v>1863</v>
      </c>
      <c r="DH72" s="16" t="n">
        <f aca="false">DG72/28</f>
        <v>66.5357142857143</v>
      </c>
      <c r="DI72" s="15" t="n">
        <v>1320</v>
      </c>
      <c r="DJ72" s="16" t="n">
        <f aca="false">DI72/31</f>
        <v>42.5806451612903</v>
      </c>
      <c r="DK72" s="15" t="n">
        <v>2128</v>
      </c>
      <c r="DL72" s="16" t="n">
        <f aca="false">DK72/30</f>
        <v>70.9333333333333</v>
      </c>
      <c r="DM72" s="15" t="n">
        <v>1629</v>
      </c>
      <c r="DN72" s="16" t="n">
        <f aca="false">DM72/31</f>
        <v>52.5483870967742</v>
      </c>
      <c r="DO72" s="15" t="n">
        <v>2582</v>
      </c>
      <c r="DP72" s="16" t="n">
        <f aca="false">DO72/30</f>
        <v>86.0666666666667</v>
      </c>
      <c r="DQ72" s="15" t="n">
        <v>2560</v>
      </c>
      <c r="DR72" s="16" t="n">
        <f aca="false">DQ72/31</f>
        <v>82.5806451612903</v>
      </c>
      <c r="DS72" s="15" t="n">
        <v>1881</v>
      </c>
      <c r="DT72" s="16" t="n">
        <f aca="false">DS72/31</f>
        <v>60.6774193548387</v>
      </c>
      <c r="DU72" s="15" t="n">
        <v>2227</v>
      </c>
      <c r="DV72" s="16" t="n">
        <f aca="false">DU72/30</f>
        <v>74.2333333333333</v>
      </c>
      <c r="DW72" s="15" t="n">
        <v>2480</v>
      </c>
      <c r="DX72" s="16" t="n">
        <f aca="false">DW72/31</f>
        <v>80</v>
      </c>
      <c r="DY72" s="15" t="n">
        <v>2514</v>
      </c>
      <c r="DZ72" s="16" t="n">
        <f aca="false">DY72/30</f>
        <v>83.8</v>
      </c>
      <c r="EA72" s="15" t="n">
        <v>2406</v>
      </c>
      <c r="EB72" s="16" t="n">
        <f aca="false">EA72/31</f>
        <v>77.6129032258065</v>
      </c>
      <c r="EC72" s="17" t="n">
        <f aca="false">SUM(DE72:EA72)</f>
        <v>26474.2142089094</v>
      </c>
      <c r="ED72" s="18" t="n">
        <f aca="false">IFERROR(STDEV(DF72,DH72,DJ72,DL72,DN72,DP72,DR72,DT72,DV72,DX72,DZ72,EB72),0)</f>
        <v>13.2771001164831</v>
      </c>
      <c r="EE72" s="19" t="n">
        <f aca="false">STDEV(F72:AB72,AF72:BB72,BF72:CB72,CF72:DB72,DF72:EB72)</f>
        <v>1104.85093162333</v>
      </c>
    </row>
    <row r="73" customFormat="false" ht="15" hidden="false" customHeight="true" outlineLevel="0" collapsed="false">
      <c r="A73" s="11" t="n">
        <v>68</v>
      </c>
      <c r="B73" s="12" t="s">
        <v>170</v>
      </c>
      <c r="C73" s="13" t="s">
        <v>171</v>
      </c>
      <c r="D73" s="14" t="s">
        <v>57</v>
      </c>
      <c r="E73" s="15" t="n">
        <v>2269</v>
      </c>
      <c r="F73" s="16" t="n">
        <f aca="false">E73/31</f>
        <v>73.1935483870968</v>
      </c>
      <c r="G73" s="15" t="n">
        <v>2366</v>
      </c>
      <c r="H73" s="16" t="n">
        <f aca="false">G73/28</f>
        <v>84.5</v>
      </c>
      <c r="I73" s="15" t="n">
        <v>3285</v>
      </c>
      <c r="J73" s="16" t="n">
        <f aca="false">I73/31</f>
        <v>105.967741935484</v>
      </c>
      <c r="K73" s="15" t="n">
        <v>2630</v>
      </c>
      <c r="L73" s="16" t="n">
        <f aca="false">K73/30</f>
        <v>87.6666666666667</v>
      </c>
      <c r="M73" s="15" t="n">
        <v>4307</v>
      </c>
      <c r="N73" s="16" t="n">
        <f aca="false">M73/31</f>
        <v>138.935483870968</v>
      </c>
      <c r="O73" s="15" t="n">
        <v>2766</v>
      </c>
      <c r="P73" s="16" t="n">
        <f aca="false">O73/30</f>
        <v>92.2</v>
      </c>
      <c r="Q73" s="15" t="n">
        <v>4354</v>
      </c>
      <c r="R73" s="16" t="n">
        <f aca="false">Q73/31</f>
        <v>140.451612903226</v>
      </c>
      <c r="S73" s="15" t="n">
        <v>3101</v>
      </c>
      <c r="T73" s="16" t="n">
        <f aca="false">S73/31</f>
        <v>100.032258064516</v>
      </c>
      <c r="U73" s="15" t="n">
        <v>2513</v>
      </c>
      <c r="V73" s="16" t="n">
        <f aca="false">U73/30</f>
        <v>83.7666666666667</v>
      </c>
      <c r="W73" s="15" t="n">
        <v>3906</v>
      </c>
      <c r="X73" s="16" t="n">
        <f aca="false">W73/31</f>
        <v>126</v>
      </c>
      <c r="Y73" s="15" t="n">
        <v>4120</v>
      </c>
      <c r="Z73" s="16" t="n">
        <f aca="false">Y73/30</f>
        <v>137.333333333333</v>
      </c>
      <c r="AA73" s="15" t="n">
        <v>3555</v>
      </c>
      <c r="AB73" s="16" t="n">
        <f aca="false">AA73/31</f>
        <v>114.677419354839</v>
      </c>
      <c r="AC73" s="17" t="n">
        <f aca="false">SUM(E73:AA73)</f>
        <v>40342.047311828</v>
      </c>
      <c r="AD73" s="18" t="n">
        <f aca="false">IFERROR(STDEV(F73,H73,J73,L73,N73,P73,R73,T73,V73,X73,Z73,AB73),0)</f>
        <v>23.9511669025965</v>
      </c>
      <c r="AE73" s="15" t="n">
        <v>2983</v>
      </c>
      <c r="AF73" s="16" t="n">
        <f aca="false">AE73/31</f>
        <v>96.2258064516129</v>
      </c>
      <c r="AG73" s="15" t="n">
        <v>2603</v>
      </c>
      <c r="AH73" s="16" t="n">
        <f aca="false">AG73/28</f>
        <v>92.9642857142857</v>
      </c>
      <c r="AI73" s="15" t="n">
        <v>4828</v>
      </c>
      <c r="AJ73" s="16" t="n">
        <f aca="false">AI73/31</f>
        <v>155.741935483871</v>
      </c>
      <c r="AK73" s="15" t="n">
        <v>4943</v>
      </c>
      <c r="AL73" s="16" t="n">
        <f aca="false">AK73/30</f>
        <v>164.766666666667</v>
      </c>
      <c r="AM73" s="15" t="n">
        <v>3664</v>
      </c>
      <c r="AN73" s="16" t="n">
        <f aca="false">AM73/31</f>
        <v>118.193548387097</v>
      </c>
      <c r="AO73" s="15" t="n">
        <v>3824</v>
      </c>
      <c r="AP73" s="16" t="n">
        <f aca="false">AO73/30</f>
        <v>127.466666666667</v>
      </c>
      <c r="AQ73" s="15" t="n">
        <v>3110</v>
      </c>
      <c r="AR73" s="16" t="n">
        <f aca="false">AQ73/31</f>
        <v>100.322580645161</v>
      </c>
      <c r="AS73" s="15" t="n">
        <v>4818</v>
      </c>
      <c r="AT73" s="16" t="n">
        <f aca="false">AS73/31</f>
        <v>155.41935483871</v>
      </c>
      <c r="AU73" s="15" t="n">
        <v>3450</v>
      </c>
      <c r="AV73" s="16" t="n">
        <f aca="false">AU73/30</f>
        <v>115</v>
      </c>
      <c r="AW73" s="15" t="n">
        <v>5517</v>
      </c>
      <c r="AX73" s="16" t="n">
        <f aca="false">AW73/31</f>
        <v>177.967741935484</v>
      </c>
      <c r="AY73" s="15" t="n">
        <v>4034</v>
      </c>
      <c r="AZ73" s="16" t="n">
        <f aca="false">AY73/30</f>
        <v>134.466666666667</v>
      </c>
      <c r="BA73" s="15" t="n">
        <v>3835</v>
      </c>
      <c r="BB73" s="16" t="n">
        <f aca="false">BA73/31</f>
        <v>123.709677419355</v>
      </c>
      <c r="BC73" s="17" t="n">
        <f aca="false">SUM(AE73:BA73)</f>
        <v>49047.5352534562</v>
      </c>
      <c r="BD73" s="18" t="n">
        <f aca="false">IFERROR(STDEV(AF73,AH73,AJ73,AL73,AN73,AP73,AR73,AT73,AV73,AX73,AZ73,BB73),0)</f>
        <v>28.0282569966257</v>
      </c>
      <c r="BE73" s="15" t="n">
        <v>2899</v>
      </c>
      <c r="BF73" s="16" t="n">
        <f aca="false">BE73/31</f>
        <v>93.5161290322581</v>
      </c>
      <c r="BG73" s="15" t="n">
        <v>4045</v>
      </c>
      <c r="BH73" s="16" t="n">
        <f aca="false">BG73/28</f>
        <v>144.464285714286</v>
      </c>
      <c r="BI73" s="15" t="n">
        <v>4255</v>
      </c>
      <c r="BJ73" s="16" t="n">
        <f aca="false">BI73/31</f>
        <v>137.258064516129</v>
      </c>
      <c r="BK73" s="15" t="n">
        <v>3289</v>
      </c>
      <c r="BL73" s="16" t="n">
        <f aca="false">BK73/30</f>
        <v>109.633333333333</v>
      </c>
      <c r="BM73" s="15" t="n">
        <v>4336</v>
      </c>
      <c r="BN73" s="16" t="n">
        <f aca="false">BM73/31</f>
        <v>139.870967741936</v>
      </c>
      <c r="BO73" s="15" t="n">
        <v>3484</v>
      </c>
      <c r="BP73" s="16" t="n">
        <f aca="false">BO73/30</f>
        <v>116.133333333333</v>
      </c>
      <c r="BQ73" s="15" t="n">
        <v>3167</v>
      </c>
      <c r="BR73" s="16" t="n">
        <f aca="false">BQ73/31</f>
        <v>102.161290322581</v>
      </c>
      <c r="BS73" s="15" t="n">
        <v>3689</v>
      </c>
      <c r="BT73" s="16" t="n">
        <f aca="false">BS73/31</f>
        <v>119</v>
      </c>
      <c r="BU73" s="15" t="n">
        <v>2838</v>
      </c>
      <c r="BV73" s="16" t="n">
        <f aca="false">BU73/30</f>
        <v>94.6</v>
      </c>
      <c r="BW73" s="15" t="n">
        <v>2987</v>
      </c>
      <c r="BX73" s="16" t="n">
        <f aca="false">BW73/31</f>
        <v>96.3548387096774</v>
      </c>
      <c r="BY73" s="15" t="n">
        <v>3094</v>
      </c>
      <c r="BZ73" s="16" t="n">
        <f aca="false">BY73/30</f>
        <v>103.133333333333</v>
      </c>
      <c r="CA73" s="15" t="n">
        <v>4115</v>
      </c>
      <c r="CB73" s="16" t="n">
        <f aca="false">CA73/31</f>
        <v>132.741935483871</v>
      </c>
      <c r="CC73" s="17" t="n">
        <f aca="false">SUM(BE73:CA73)</f>
        <v>43454.1255760369</v>
      </c>
      <c r="CD73" s="18" t="n">
        <f aca="false">IFERROR(STDEV(BF73,BH73,BJ73,BL73,BN73,BP73,BR73,BT73,BV73,BX73,BZ73,CB73),0)</f>
        <v>18.7506332027846</v>
      </c>
      <c r="CE73" s="15" t="n">
        <v>3595</v>
      </c>
      <c r="CF73" s="16" t="n">
        <f aca="false">CE73/31</f>
        <v>115.967741935484</v>
      </c>
      <c r="CG73" s="15" t="n">
        <v>3884</v>
      </c>
      <c r="CH73" s="16" t="n">
        <f aca="false">CG73/28</f>
        <v>138.714285714286</v>
      </c>
      <c r="CI73" s="15" t="n">
        <v>3410</v>
      </c>
      <c r="CJ73" s="16" t="n">
        <f aca="false">CI73/31</f>
        <v>110</v>
      </c>
      <c r="CK73" s="15" t="n">
        <v>3624</v>
      </c>
      <c r="CL73" s="16" t="n">
        <f aca="false">CK73/30</f>
        <v>120.8</v>
      </c>
      <c r="CM73" s="15" t="n">
        <v>2896</v>
      </c>
      <c r="CN73" s="16" t="n">
        <f aca="false">CM73/31</f>
        <v>93.4193548387097</v>
      </c>
      <c r="CO73" s="15" t="n">
        <v>3507</v>
      </c>
      <c r="CP73" s="16" t="n">
        <f aca="false">CO73/30</f>
        <v>116.9</v>
      </c>
      <c r="CQ73" s="15" t="n">
        <v>2206</v>
      </c>
      <c r="CR73" s="16" t="n">
        <f aca="false">CQ73/31</f>
        <v>71.1612903225806</v>
      </c>
      <c r="CS73" s="15" t="n">
        <v>2334</v>
      </c>
      <c r="CT73" s="16" t="n">
        <f aca="false">CS73/31</f>
        <v>75.2903225806452</v>
      </c>
      <c r="CU73" s="15" t="n">
        <v>2784</v>
      </c>
      <c r="CV73" s="16" t="n">
        <f aca="false">CU73/30</f>
        <v>92.8</v>
      </c>
      <c r="CW73" s="15" t="n">
        <v>2634</v>
      </c>
      <c r="CX73" s="16" t="n">
        <f aca="false">CW73/31</f>
        <v>84.9677419354839</v>
      </c>
      <c r="CY73" s="15" t="n">
        <v>3147</v>
      </c>
      <c r="CZ73" s="16" t="n">
        <f aca="false">CY73/30</f>
        <v>104.9</v>
      </c>
      <c r="DA73" s="15" t="n">
        <v>3502</v>
      </c>
      <c r="DB73" s="16" t="n">
        <f aca="false">DA73/31</f>
        <v>112.967741935484</v>
      </c>
      <c r="DC73" s="17" t="n">
        <f aca="false">SUM(CE73:DA73)</f>
        <v>38647.9207373272</v>
      </c>
      <c r="DD73" s="18" t="n">
        <f aca="false">IFERROR(STDEV(CF73,CH73,CJ73,CL73,CN73,CP73,CR73,CT73,CV73,CX73,CZ73,DB73),0)</f>
        <v>20.0179736676328</v>
      </c>
      <c r="DE73" s="15" t="n">
        <v>4720</v>
      </c>
      <c r="DF73" s="16" t="n">
        <f aca="false">DE73/31</f>
        <v>152.258064516129</v>
      </c>
      <c r="DG73" s="15" t="n">
        <v>2951</v>
      </c>
      <c r="DH73" s="16" t="n">
        <f aca="false">DG73/28</f>
        <v>105.392857142857</v>
      </c>
      <c r="DI73" s="15" t="n">
        <v>5555</v>
      </c>
      <c r="DJ73" s="16" t="n">
        <f aca="false">DI73/31</f>
        <v>179.193548387097</v>
      </c>
      <c r="DK73" s="15" t="n">
        <v>2447</v>
      </c>
      <c r="DL73" s="16" t="n">
        <f aca="false">DK73/30</f>
        <v>81.5666666666667</v>
      </c>
      <c r="DM73" s="15" t="n">
        <v>2725</v>
      </c>
      <c r="DN73" s="16" t="n">
        <f aca="false">DM73/31</f>
        <v>87.9032258064516</v>
      </c>
      <c r="DO73" s="15" t="n">
        <v>2901</v>
      </c>
      <c r="DP73" s="16" t="n">
        <f aca="false">DO73/30</f>
        <v>96.7</v>
      </c>
      <c r="DQ73" s="15" t="n">
        <v>5430</v>
      </c>
      <c r="DR73" s="16" t="n">
        <f aca="false">DQ73/31</f>
        <v>175.161290322581</v>
      </c>
      <c r="DS73" s="15" t="n">
        <v>3841</v>
      </c>
      <c r="DT73" s="16" t="n">
        <f aca="false">DS73/31</f>
        <v>123.903225806452</v>
      </c>
      <c r="DU73" s="15" t="n">
        <v>2638</v>
      </c>
      <c r="DV73" s="16" t="n">
        <f aca="false">DU73/30</f>
        <v>87.9333333333333</v>
      </c>
      <c r="DW73" s="15" t="n">
        <v>3149</v>
      </c>
      <c r="DX73" s="16" t="n">
        <f aca="false">DW73/31</f>
        <v>101.58064516129</v>
      </c>
      <c r="DY73" s="15" t="n">
        <v>2689</v>
      </c>
      <c r="DZ73" s="16" t="n">
        <f aca="false">DY73/30</f>
        <v>89.6333333333333</v>
      </c>
      <c r="EA73" s="15" t="n">
        <v>2552</v>
      </c>
      <c r="EB73" s="16" t="n">
        <f aca="false">EA73/31</f>
        <v>82.3225806451613</v>
      </c>
      <c r="EC73" s="17" t="n">
        <f aca="false">SUM(DE73:EA73)</f>
        <v>42879.2261904762</v>
      </c>
      <c r="ED73" s="18" t="n">
        <f aca="false">IFERROR(STDEV(DF73,DH73,DJ73,DL73,DN73,DP73,DR73,DT73,DV73,DX73,DZ73,EB73),0)</f>
        <v>35.7875612176419</v>
      </c>
      <c r="EE73" s="19" t="n">
        <f aca="false">STDEV(F73:AB73,AF73:BB73,BF73:CB73,CF73:DB73,DF73:EB73)</f>
        <v>1785.98244700686</v>
      </c>
    </row>
    <row r="74" customFormat="false" ht="15" hidden="false" customHeight="true" outlineLevel="0" collapsed="false">
      <c r="A74" s="11" t="n">
        <v>69</v>
      </c>
      <c r="B74" s="12" t="s">
        <v>172</v>
      </c>
      <c r="C74" s="13" t="s">
        <v>173</v>
      </c>
      <c r="D74" s="14" t="s">
        <v>36</v>
      </c>
      <c r="E74" s="15" t="n">
        <v>2439</v>
      </c>
      <c r="F74" s="16" t="n">
        <f aca="false">E74/31</f>
        <v>78.6774193548387</v>
      </c>
      <c r="G74" s="15" t="n">
        <v>3730</v>
      </c>
      <c r="H74" s="16" t="n">
        <f aca="false">G74/28</f>
        <v>133.214285714286</v>
      </c>
      <c r="I74" s="15" t="n">
        <v>2933</v>
      </c>
      <c r="J74" s="16" t="n">
        <f aca="false">I74/31</f>
        <v>94.6129032258065</v>
      </c>
      <c r="K74" s="15" t="n">
        <v>2733</v>
      </c>
      <c r="L74" s="16" t="n">
        <f aca="false">K74/30</f>
        <v>91.1</v>
      </c>
      <c r="M74" s="15" t="n">
        <v>3143</v>
      </c>
      <c r="N74" s="16" t="n">
        <f aca="false">M74/31</f>
        <v>101.387096774194</v>
      </c>
      <c r="O74" s="15" t="n">
        <v>2898</v>
      </c>
      <c r="P74" s="16" t="n">
        <f aca="false">O74/30</f>
        <v>96.6</v>
      </c>
      <c r="Q74" s="15" t="n">
        <v>3647</v>
      </c>
      <c r="R74" s="16" t="n">
        <f aca="false">Q74/31</f>
        <v>117.645161290323</v>
      </c>
      <c r="S74" s="15" t="n">
        <v>3377</v>
      </c>
      <c r="T74" s="16" t="n">
        <f aca="false">S74/31</f>
        <v>108.935483870968</v>
      </c>
      <c r="U74" s="15" t="n">
        <v>2990</v>
      </c>
      <c r="V74" s="16" t="n">
        <f aca="false">U74/30</f>
        <v>99.6666666666667</v>
      </c>
      <c r="W74" s="15" t="n">
        <v>2557</v>
      </c>
      <c r="X74" s="16" t="n">
        <f aca="false">W74/31</f>
        <v>82.4838709677419</v>
      </c>
      <c r="Y74" s="15" t="n">
        <v>2047</v>
      </c>
      <c r="Z74" s="16" t="n">
        <f aca="false">Y74/30</f>
        <v>68.2333333333333</v>
      </c>
      <c r="AA74" s="15" t="n">
        <v>3025</v>
      </c>
      <c r="AB74" s="16" t="n">
        <f aca="false">AA74/31</f>
        <v>97.5806451612903</v>
      </c>
      <c r="AC74" s="17" t="n">
        <f aca="false">SUM(E74:AA74)</f>
        <v>36591.5562211982</v>
      </c>
      <c r="AD74" s="18" t="n">
        <f aca="false">IFERROR(STDEV(F74,H74,J74,L74,N74,P74,R74,T74,V74,X74,Z74,AB74),0)</f>
        <v>17.3685549356022</v>
      </c>
      <c r="AE74" s="15" t="n">
        <v>4405</v>
      </c>
      <c r="AF74" s="16" t="n">
        <f aca="false">AE74/31</f>
        <v>142.096774193548</v>
      </c>
      <c r="AG74" s="15" t="n">
        <v>2937</v>
      </c>
      <c r="AH74" s="16" t="n">
        <f aca="false">AG74/28</f>
        <v>104.892857142857</v>
      </c>
      <c r="AI74" s="15" t="n">
        <v>2221</v>
      </c>
      <c r="AJ74" s="16" t="n">
        <f aca="false">AI74/31</f>
        <v>71.6451612903226</v>
      </c>
      <c r="AK74" s="15" t="n">
        <v>3825</v>
      </c>
      <c r="AL74" s="16" t="n">
        <f aca="false">AK74/30</f>
        <v>127.5</v>
      </c>
      <c r="AM74" s="15" t="n">
        <v>3588</v>
      </c>
      <c r="AN74" s="16" t="n">
        <f aca="false">AM74/31</f>
        <v>115.741935483871</v>
      </c>
      <c r="AO74" s="15" t="n">
        <v>2783</v>
      </c>
      <c r="AP74" s="16" t="n">
        <f aca="false">AO74/30</f>
        <v>92.7666666666667</v>
      </c>
      <c r="AQ74" s="15" t="n">
        <v>2606</v>
      </c>
      <c r="AR74" s="16" t="n">
        <f aca="false">AQ74/31</f>
        <v>84.0645161290323</v>
      </c>
      <c r="AS74" s="15" t="n">
        <v>2228</v>
      </c>
      <c r="AT74" s="16" t="n">
        <f aca="false">AS74/31</f>
        <v>71.8709677419355</v>
      </c>
      <c r="AU74" s="15" t="n">
        <v>2804</v>
      </c>
      <c r="AV74" s="16" t="n">
        <f aca="false">AU74/30</f>
        <v>93.4666666666667</v>
      </c>
      <c r="AW74" s="15" t="n">
        <v>2127</v>
      </c>
      <c r="AX74" s="16" t="n">
        <f aca="false">AW74/31</f>
        <v>68.6129032258065</v>
      </c>
      <c r="AY74" s="15" t="n">
        <v>2572</v>
      </c>
      <c r="AZ74" s="16" t="n">
        <f aca="false">AY74/30</f>
        <v>85.7333333333333</v>
      </c>
      <c r="BA74" s="15" t="n">
        <v>4952</v>
      </c>
      <c r="BB74" s="16" t="n">
        <f aca="false">BA74/31</f>
        <v>159.741935483871</v>
      </c>
      <c r="BC74" s="17" t="n">
        <f aca="false">SUM(AE74:BA74)</f>
        <v>38106.391781874</v>
      </c>
      <c r="BD74" s="18" t="n">
        <f aca="false">IFERROR(STDEV(AF74,AH74,AJ74,AL74,AN74,AP74,AR74,AT74,AV74,AX74,AZ74,BB74),0)</f>
        <v>29.3485408527391</v>
      </c>
      <c r="BE74" s="15" t="n">
        <v>4052</v>
      </c>
      <c r="BF74" s="16" t="n">
        <f aca="false">BE74/31</f>
        <v>130.709677419355</v>
      </c>
      <c r="BG74" s="15" t="n">
        <v>2922</v>
      </c>
      <c r="BH74" s="16" t="n">
        <f aca="false">BG74/28</f>
        <v>104.357142857143</v>
      </c>
      <c r="BI74" s="15" t="n">
        <v>3033</v>
      </c>
      <c r="BJ74" s="16" t="n">
        <f aca="false">BI74/31</f>
        <v>97.8387096774194</v>
      </c>
      <c r="BK74" s="15" t="n">
        <v>3539</v>
      </c>
      <c r="BL74" s="16" t="n">
        <f aca="false">BK74/30</f>
        <v>117.966666666667</v>
      </c>
      <c r="BM74" s="15" t="n">
        <v>3358</v>
      </c>
      <c r="BN74" s="16" t="n">
        <f aca="false">BM74/31</f>
        <v>108.322580645161</v>
      </c>
      <c r="BO74" s="15" t="n">
        <v>3939</v>
      </c>
      <c r="BP74" s="16" t="n">
        <f aca="false">BO74/30</f>
        <v>131.3</v>
      </c>
      <c r="BQ74" s="15" t="n">
        <v>2169</v>
      </c>
      <c r="BR74" s="16" t="n">
        <f aca="false">BQ74/31</f>
        <v>69.9677419354839</v>
      </c>
      <c r="BS74" s="15" t="n">
        <v>2226</v>
      </c>
      <c r="BT74" s="16" t="n">
        <f aca="false">BS74/31</f>
        <v>71.8064516129032</v>
      </c>
      <c r="BU74" s="15" t="n">
        <v>2740</v>
      </c>
      <c r="BV74" s="16" t="n">
        <f aca="false">BU74/30</f>
        <v>91.3333333333333</v>
      </c>
      <c r="BW74" s="15" t="n">
        <v>4185</v>
      </c>
      <c r="BX74" s="16" t="n">
        <f aca="false">BW74/31</f>
        <v>135</v>
      </c>
      <c r="BY74" s="15" t="n">
        <v>4411</v>
      </c>
      <c r="BZ74" s="16" t="n">
        <f aca="false">BY74/30</f>
        <v>147.033333333333</v>
      </c>
      <c r="CA74" s="15" t="n">
        <v>2909</v>
      </c>
      <c r="CB74" s="16" t="n">
        <f aca="false">CA74/31</f>
        <v>93.8387096774194</v>
      </c>
      <c r="CC74" s="17" t="n">
        <f aca="false">SUM(BE74:CA74)</f>
        <v>40688.6356374808</v>
      </c>
      <c r="CD74" s="18" t="n">
        <f aca="false">IFERROR(STDEV(BF74,BH74,BJ74,BL74,BN74,BP74,BR74,BT74,BV74,BX74,BZ74,CB74),0)</f>
        <v>24.7917157849901</v>
      </c>
      <c r="CE74" s="15" t="n">
        <v>4870</v>
      </c>
      <c r="CF74" s="16" t="n">
        <f aca="false">CE74/31</f>
        <v>157.096774193548</v>
      </c>
      <c r="CG74" s="15" t="n">
        <v>2918</v>
      </c>
      <c r="CH74" s="16" t="n">
        <f aca="false">CG74/28</f>
        <v>104.214285714286</v>
      </c>
      <c r="CI74" s="15" t="n">
        <v>3855</v>
      </c>
      <c r="CJ74" s="16" t="n">
        <f aca="false">CI74/31</f>
        <v>124.354838709677</v>
      </c>
      <c r="CK74" s="15" t="n">
        <v>2685</v>
      </c>
      <c r="CL74" s="16" t="n">
        <f aca="false">CK74/30</f>
        <v>89.5</v>
      </c>
      <c r="CM74" s="15" t="n">
        <v>4774</v>
      </c>
      <c r="CN74" s="16" t="n">
        <f aca="false">CM74/31</f>
        <v>154</v>
      </c>
      <c r="CO74" s="15" t="n">
        <v>3766</v>
      </c>
      <c r="CP74" s="16" t="n">
        <f aca="false">CO74/30</f>
        <v>125.533333333333</v>
      </c>
      <c r="CQ74" s="15" t="n">
        <v>2874</v>
      </c>
      <c r="CR74" s="16" t="n">
        <f aca="false">CQ74/31</f>
        <v>92.7096774193548</v>
      </c>
      <c r="CS74" s="15" t="n">
        <v>3289</v>
      </c>
      <c r="CT74" s="16" t="n">
        <f aca="false">CS74/31</f>
        <v>106.096774193548</v>
      </c>
      <c r="CU74" s="15" t="n">
        <v>2434</v>
      </c>
      <c r="CV74" s="16" t="n">
        <f aca="false">CU74/30</f>
        <v>81.1333333333333</v>
      </c>
      <c r="CW74" s="15" t="n">
        <v>2338</v>
      </c>
      <c r="CX74" s="16" t="n">
        <f aca="false">CW74/31</f>
        <v>75.4193548387097</v>
      </c>
      <c r="CY74" s="15" t="n">
        <v>2968</v>
      </c>
      <c r="CZ74" s="16" t="n">
        <f aca="false">CY74/30</f>
        <v>98.9333333333333</v>
      </c>
      <c r="DA74" s="15" t="n">
        <v>4824</v>
      </c>
      <c r="DB74" s="16" t="n">
        <f aca="false">DA74/31</f>
        <v>155.612903225806</v>
      </c>
      <c r="DC74" s="17" t="n">
        <f aca="false">SUM(CE74:DA74)</f>
        <v>42803.9917050691</v>
      </c>
      <c r="DD74" s="18" t="n">
        <f aca="false">IFERROR(STDEV(CF74,CH74,CJ74,CL74,CN74,CP74,CR74,CT74,CV74,CX74,CZ74,DB74),0)</f>
        <v>29.2880410292111</v>
      </c>
      <c r="DE74" s="15" t="n">
        <v>3469</v>
      </c>
      <c r="DF74" s="16" t="n">
        <f aca="false">DE74/31</f>
        <v>111.903225806452</v>
      </c>
      <c r="DG74" s="15" t="n">
        <v>3813</v>
      </c>
      <c r="DH74" s="16" t="n">
        <f aca="false">DG74/28</f>
        <v>136.178571428571</v>
      </c>
      <c r="DI74" s="15" t="n">
        <v>3632</v>
      </c>
      <c r="DJ74" s="16" t="n">
        <f aca="false">DI74/31</f>
        <v>117.161290322581</v>
      </c>
      <c r="DK74" s="15" t="n">
        <v>3492</v>
      </c>
      <c r="DL74" s="16" t="n">
        <f aca="false">DK74/30</f>
        <v>116.4</v>
      </c>
      <c r="DM74" s="15" t="n">
        <v>2960</v>
      </c>
      <c r="DN74" s="16" t="n">
        <f aca="false">DM74/31</f>
        <v>95.4838709677419</v>
      </c>
      <c r="DO74" s="15" t="n">
        <v>3226</v>
      </c>
      <c r="DP74" s="16" t="n">
        <f aca="false">DO74/30</f>
        <v>107.533333333333</v>
      </c>
      <c r="DQ74" s="15" t="n">
        <v>3833</v>
      </c>
      <c r="DR74" s="16" t="n">
        <f aca="false">DQ74/31</f>
        <v>123.645161290323</v>
      </c>
      <c r="DS74" s="15" t="n">
        <v>2933</v>
      </c>
      <c r="DT74" s="16" t="n">
        <f aca="false">DS74/31</f>
        <v>94.6129032258065</v>
      </c>
      <c r="DU74" s="15" t="n">
        <v>3395</v>
      </c>
      <c r="DV74" s="16" t="n">
        <f aca="false">DU74/30</f>
        <v>113.166666666667</v>
      </c>
      <c r="DW74" s="15" t="n">
        <v>3367</v>
      </c>
      <c r="DX74" s="16" t="n">
        <f aca="false">DW74/31</f>
        <v>108.612903225806</v>
      </c>
      <c r="DY74" s="15" t="n">
        <v>3823</v>
      </c>
      <c r="DZ74" s="16" t="n">
        <f aca="false">DY74/30</f>
        <v>127.433333333333</v>
      </c>
      <c r="EA74" s="15" t="n">
        <v>2700</v>
      </c>
      <c r="EB74" s="16" t="n">
        <f aca="false">EA74/31</f>
        <v>87.0967741935484</v>
      </c>
      <c r="EC74" s="17" t="n">
        <f aca="false">SUM(DE74:EA74)</f>
        <v>41895.1312596006</v>
      </c>
      <c r="ED74" s="18" t="n">
        <f aca="false">IFERROR(STDEV(DF74,DH74,DJ74,DL74,DN74,DP74,DR74,DT74,DV74,DX74,DZ74,EB74),0)</f>
        <v>14.2400219450709</v>
      </c>
      <c r="EE74" s="19" t="n">
        <f aca="false">STDEV(F74:AB74,AF74:BB74,BF74:CB74,CF74:DB74,DF74:EB74)</f>
        <v>1614.69261604974</v>
      </c>
    </row>
    <row r="75" customFormat="false" ht="15" hidden="false" customHeight="true" outlineLevel="0" collapsed="false">
      <c r="A75" s="11" t="n">
        <v>70</v>
      </c>
      <c r="B75" s="12" t="s">
        <v>174</v>
      </c>
      <c r="C75" s="13" t="s">
        <v>175</v>
      </c>
      <c r="D75" s="14" t="s">
        <v>36</v>
      </c>
      <c r="E75" s="15" t="n">
        <v>3656</v>
      </c>
      <c r="F75" s="16" t="n">
        <f aca="false">E75/31</f>
        <v>117.935483870968</v>
      </c>
      <c r="G75" s="15" t="n">
        <v>4037</v>
      </c>
      <c r="H75" s="16" t="n">
        <f aca="false">G75/28</f>
        <v>144.178571428571</v>
      </c>
      <c r="I75" s="15" t="n">
        <v>2348</v>
      </c>
      <c r="J75" s="16" t="n">
        <f aca="false">I75/31</f>
        <v>75.741935483871</v>
      </c>
      <c r="K75" s="15" t="n">
        <v>2616</v>
      </c>
      <c r="L75" s="16" t="n">
        <f aca="false">K75/30</f>
        <v>87.2</v>
      </c>
      <c r="M75" s="15" t="n">
        <v>2469</v>
      </c>
      <c r="N75" s="16" t="n">
        <f aca="false">M75/31</f>
        <v>79.6451612903226</v>
      </c>
      <c r="O75" s="15" t="n">
        <v>4179</v>
      </c>
      <c r="P75" s="16" t="n">
        <f aca="false">O75/30</f>
        <v>139.3</v>
      </c>
      <c r="Q75" s="15" t="n">
        <v>5268</v>
      </c>
      <c r="R75" s="16" t="n">
        <f aca="false">Q75/31</f>
        <v>169.935483870968</v>
      </c>
      <c r="S75" s="15" t="n">
        <v>4309</v>
      </c>
      <c r="T75" s="16" t="n">
        <f aca="false">S75/31</f>
        <v>139</v>
      </c>
      <c r="U75" s="15" t="n">
        <v>2959</v>
      </c>
      <c r="V75" s="16" t="n">
        <f aca="false">U75/30</f>
        <v>98.6333333333333</v>
      </c>
      <c r="W75" s="15" t="n">
        <v>3219</v>
      </c>
      <c r="X75" s="16" t="n">
        <f aca="false">W75/31</f>
        <v>103.838709677419</v>
      </c>
      <c r="Y75" s="15" t="n">
        <v>5151</v>
      </c>
      <c r="Z75" s="16" t="n">
        <f aca="false">Y75/30</f>
        <v>171.7</v>
      </c>
      <c r="AA75" s="15" t="n">
        <v>3825</v>
      </c>
      <c r="AB75" s="16" t="n">
        <f aca="false">AA75/31</f>
        <v>123.387096774194</v>
      </c>
      <c r="AC75" s="17" t="n">
        <f aca="false">SUM(E75:AA75)</f>
        <v>45363.1086789555</v>
      </c>
      <c r="AD75" s="18" t="n">
        <f aca="false">IFERROR(STDEV(F75,H75,J75,L75,N75,P75,R75,T75,V75,X75,Z75,AB75),0)</f>
        <v>32.8522054600437</v>
      </c>
      <c r="AE75" s="15" t="n">
        <v>1654</v>
      </c>
      <c r="AF75" s="16" t="n">
        <f aca="false">AE75/31</f>
        <v>53.3548387096774</v>
      </c>
      <c r="AG75" s="15" t="n">
        <v>3444</v>
      </c>
      <c r="AH75" s="16" t="n">
        <f aca="false">AG75/28</f>
        <v>123</v>
      </c>
      <c r="AI75" s="15" t="n">
        <v>2173</v>
      </c>
      <c r="AJ75" s="16" t="n">
        <f aca="false">AI75/31</f>
        <v>70.0967741935484</v>
      </c>
      <c r="AK75" s="15" t="n">
        <v>1835</v>
      </c>
      <c r="AL75" s="16" t="n">
        <f aca="false">AK75/30</f>
        <v>61.1666666666667</v>
      </c>
      <c r="AM75" s="15" t="n">
        <v>3099</v>
      </c>
      <c r="AN75" s="16" t="n">
        <f aca="false">AM75/31</f>
        <v>99.9677419354839</v>
      </c>
      <c r="AO75" s="15" t="n">
        <v>3420</v>
      </c>
      <c r="AP75" s="16" t="n">
        <f aca="false">AO75/30</f>
        <v>114</v>
      </c>
      <c r="AQ75" s="15" t="n">
        <v>1798</v>
      </c>
      <c r="AR75" s="16" t="n">
        <f aca="false">AQ75/31</f>
        <v>58</v>
      </c>
      <c r="AS75" s="15" t="n">
        <v>3660</v>
      </c>
      <c r="AT75" s="16" t="n">
        <f aca="false">AS75/31</f>
        <v>118.064516129032</v>
      </c>
      <c r="AU75" s="15" t="n">
        <v>2670</v>
      </c>
      <c r="AV75" s="16" t="n">
        <f aca="false">AU75/30</f>
        <v>89</v>
      </c>
      <c r="AW75" s="15" t="n">
        <v>2402</v>
      </c>
      <c r="AX75" s="16" t="n">
        <f aca="false">AW75/31</f>
        <v>77.4838709677419</v>
      </c>
      <c r="AY75" s="15" t="n">
        <v>3579</v>
      </c>
      <c r="AZ75" s="16" t="n">
        <f aca="false">AY75/30</f>
        <v>119.3</v>
      </c>
      <c r="BA75" s="15" t="n">
        <v>2218</v>
      </c>
      <c r="BB75" s="16" t="n">
        <f aca="false">BA75/31</f>
        <v>71.5483870967742</v>
      </c>
      <c r="BC75" s="17" t="n">
        <f aca="false">SUM(AE75:BA75)</f>
        <v>32935.4344086022</v>
      </c>
      <c r="BD75" s="18" t="n">
        <f aca="false">IFERROR(STDEV(AF75,AH75,AJ75,AL75,AN75,AP75,AR75,AT75,AV75,AX75,AZ75,BB75),0)</f>
        <v>26.0258451291515</v>
      </c>
      <c r="BE75" s="15" t="n">
        <v>4201</v>
      </c>
      <c r="BF75" s="16" t="n">
        <f aca="false">BE75/31</f>
        <v>135.516129032258</v>
      </c>
      <c r="BG75" s="15" t="n">
        <v>3547</v>
      </c>
      <c r="BH75" s="16" t="n">
        <f aca="false">BG75/28</f>
        <v>126.678571428571</v>
      </c>
      <c r="BI75" s="15" t="n">
        <v>4109</v>
      </c>
      <c r="BJ75" s="16" t="n">
        <f aca="false">BI75/31</f>
        <v>132.548387096774</v>
      </c>
      <c r="BK75" s="15" t="n">
        <v>3091</v>
      </c>
      <c r="BL75" s="16" t="n">
        <f aca="false">BK75/30</f>
        <v>103.033333333333</v>
      </c>
      <c r="BM75" s="15" t="n">
        <v>2351</v>
      </c>
      <c r="BN75" s="16" t="n">
        <f aca="false">BM75/31</f>
        <v>75.8387096774194</v>
      </c>
      <c r="BO75" s="15" t="n">
        <v>3677</v>
      </c>
      <c r="BP75" s="16" t="n">
        <f aca="false">BO75/30</f>
        <v>122.566666666667</v>
      </c>
      <c r="BQ75" s="15" t="n">
        <v>4016</v>
      </c>
      <c r="BR75" s="16" t="n">
        <f aca="false">BQ75/31</f>
        <v>129.548387096774</v>
      </c>
      <c r="BS75" s="15" t="n">
        <v>2368</v>
      </c>
      <c r="BT75" s="16" t="n">
        <f aca="false">BS75/31</f>
        <v>76.3870967741936</v>
      </c>
      <c r="BU75" s="15" t="n">
        <v>2358</v>
      </c>
      <c r="BV75" s="16" t="n">
        <f aca="false">BU75/30</f>
        <v>78.6</v>
      </c>
      <c r="BW75" s="15" t="n">
        <v>2474</v>
      </c>
      <c r="BX75" s="16" t="n">
        <f aca="false">BW75/31</f>
        <v>79.8064516129032</v>
      </c>
      <c r="BY75" s="15" t="n">
        <v>3387</v>
      </c>
      <c r="BZ75" s="16" t="n">
        <f aca="false">BY75/30</f>
        <v>112.9</v>
      </c>
      <c r="CA75" s="15" t="n">
        <v>2242</v>
      </c>
      <c r="CB75" s="16" t="n">
        <f aca="false">CA75/31</f>
        <v>72.3225806451613</v>
      </c>
      <c r="CC75" s="17" t="n">
        <f aca="false">SUM(BE75:CA75)</f>
        <v>38994.4237327189</v>
      </c>
      <c r="CD75" s="18" t="n">
        <f aca="false">IFERROR(STDEV(BF75,BH75,BJ75,BL75,BN75,BP75,BR75,BT75,BV75,BX75,BZ75,CB75),0)</f>
        <v>25.5649514249465</v>
      </c>
      <c r="CE75" s="15" t="n">
        <v>1974</v>
      </c>
      <c r="CF75" s="16" t="n">
        <f aca="false">CE75/31</f>
        <v>63.6774193548387</v>
      </c>
      <c r="CG75" s="15" t="n">
        <v>3849</v>
      </c>
      <c r="CH75" s="16" t="n">
        <f aca="false">CG75/28</f>
        <v>137.464285714286</v>
      </c>
      <c r="CI75" s="15" t="n">
        <v>3286</v>
      </c>
      <c r="CJ75" s="16" t="n">
        <f aca="false">CI75/31</f>
        <v>106</v>
      </c>
      <c r="CK75" s="15" t="n">
        <v>3257</v>
      </c>
      <c r="CL75" s="16" t="n">
        <f aca="false">CK75/30</f>
        <v>108.566666666667</v>
      </c>
      <c r="CM75" s="15" t="n">
        <v>3143</v>
      </c>
      <c r="CN75" s="16" t="n">
        <f aca="false">CM75/31</f>
        <v>101.387096774194</v>
      </c>
      <c r="CO75" s="15" t="n">
        <v>3490</v>
      </c>
      <c r="CP75" s="16" t="n">
        <f aca="false">CO75/30</f>
        <v>116.333333333333</v>
      </c>
      <c r="CQ75" s="15" t="n">
        <v>2976</v>
      </c>
      <c r="CR75" s="16" t="n">
        <f aca="false">CQ75/31</f>
        <v>96</v>
      </c>
      <c r="CS75" s="15" t="n">
        <v>1826</v>
      </c>
      <c r="CT75" s="16" t="n">
        <f aca="false">CS75/31</f>
        <v>58.9032258064516</v>
      </c>
      <c r="CU75" s="15" t="n">
        <v>2840</v>
      </c>
      <c r="CV75" s="16" t="n">
        <f aca="false">CU75/30</f>
        <v>94.6666666666667</v>
      </c>
      <c r="CW75" s="15" t="n">
        <v>3159</v>
      </c>
      <c r="CX75" s="16" t="n">
        <f aca="false">CW75/31</f>
        <v>101.903225806452</v>
      </c>
      <c r="CY75" s="15" t="n">
        <v>2863</v>
      </c>
      <c r="CZ75" s="16" t="n">
        <f aca="false">CY75/30</f>
        <v>95.4333333333333</v>
      </c>
      <c r="DA75" s="15" t="n">
        <v>3999</v>
      </c>
      <c r="DB75" s="16" t="n">
        <f aca="false">DA75/31</f>
        <v>129</v>
      </c>
      <c r="DC75" s="17" t="n">
        <f aca="false">SUM(CE75:DA75)</f>
        <v>37742.3352534562</v>
      </c>
      <c r="DD75" s="18" t="n">
        <f aca="false">IFERROR(STDEV(CF75,CH75,CJ75,CL75,CN75,CP75,CR75,CT75,CV75,CX75,CZ75,DB75),0)</f>
        <v>22.7488179950137</v>
      </c>
      <c r="DE75" s="15" t="n">
        <v>4035</v>
      </c>
      <c r="DF75" s="16" t="n">
        <f aca="false">DE75/31</f>
        <v>130.161290322581</v>
      </c>
      <c r="DG75" s="15" t="n">
        <v>3966</v>
      </c>
      <c r="DH75" s="16" t="n">
        <f aca="false">DG75/28</f>
        <v>141.642857142857</v>
      </c>
      <c r="DI75" s="15" t="n">
        <v>3040</v>
      </c>
      <c r="DJ75" s="16" t="n">
        <f aca="false">DI75/31</f>
        <v>98.0645161290323</v>
      </c>
      <c r="DK75" s="15" t="n">
        <v>4249</v>
      </c>
      <c r="DL75" s="16" t="n">
        <f aca="false">DK75/30</f>
        <v>141.633333333333</v>
      </c>
      <c r="DM75" s="15" t="n">
        <v>4082</v>
      </c>
      <c r="DN75" s="16" t="n">
        <f aca="false">DM75/31</f>
        <v>131.677419354839</v>
      </c>
      <c r="DO75" s="15" t="n">
        <v>2524</v>
      </c>
      <c r="DP75" s="16" t="n">
        <f aca="false">DO75/30</f>
        <v>84.1333333333333</v>
      </c>
      <c r="DQ75" s="15" t="n">
        <v>2382</v>
      </c>
      <c r="DR75" s="16" t="n">
        <f aca="false">DQ75/31</f>
        <v>76.8387096774194</v>
      </c>
      <c r="DS75" s="15" t="n">
        <v>3250</v>
      </c>
      <c r="DT75" s="16" t="n">
        <f aca="false">DS75/31</f>
        <v>104.838709677419</v>
      </c>
      <c r="DU75" s="15" t="n">
        <v>1970</v>
      </c>
      <c r="DV75" s="16" t="n">
        <f aca="false">DU75/30</f>
        <v>65.6666666666667</v>
      </c>
      <c r="DW75" s="15" t="n">
        <v>3796</v>
      </c>
      <c r="DX75" s="16" t="n">
        <f aca="false">DW75/31</f>
        <v>122.451612903226</v>
      </c>
      <c r="DY75" s="15" t="n">
        <v>3009</v>
      </c>
      <c r="DZ75" s="16" t="n">
        <f aca="false">DY75/30</f>
        <v>100.3</v>
      </c>
      <c r="EA75" s="15" t="n">
        <v>3162</v>
      </c>
      <c r="EB75" s="16" t="n">
        <f aca="false">EA75/31</f>
        <v>102</v>
      </c>
      <c r="EC75" s="17" t="n">
        <f aca="false">SUM(DE75:EA75)</f>
        <v>40662.4084485407</v>
      </c>
      <c r="ED75" s="18" t="n">
        <f aca="false">IFERROR(STDEV(DF75,DH75,DJ75,DL75,DN75,DP75,DR75,DT75,DV75,DX75,DZ75,EB75),0)</f>
        <v>25.3330890560514</v>
      </c>
      <c r="EE75" s="19" t="n">
        <f aca="false">STDEV(F75:AB75,AF75:BB75,BF75:CB75,CF75:DB75,DF75:EB75)</f>
        <v>1634.29073360711</v>
      </c>
    </row>
    <row r="76" customFormat="false" ht="15" hidden="false" customHeight="true" outlineLevel="0" collapsed="false">
      <c r="A76" s="11" t="n">
        <v>71</v>
      </c>
      <c r="B76" s="12" t="s">
        <v>176</v>
      </c>
      <c r="C76" s="13" t="s">
        <v>177</v>
      </c>
      <c r="D76" s="14" t="s">
        <v>36</v>
      </c>
      <c r="E76" s="15" t="n">
        <v>4315</v>
      </c>
      <c r="F76" s="16" t="n">
        <f aca="false">E76/31</f>
        <v>139.193548387097</v>
      </c>
      <c r="G76" s="15" t="n">
        <v>3940</v>
      </c>
      <c r="H76" s="16" t="n">
        <f aca="false">G76/28</f>
        <v>140.714285714286</v>
      </c>
      <c r="I76" s="15" t="n">
        <v>4949</v>
      </c>
      <c r="J76" s="16" t="n">
        <f aca="false">I76/31</f>
        <v>159.645161290323</v>
      </c>
      <c r="K76" s="15" t="n">
        <v>3186</v>
      </c>
      <c r="L76" s="16" t="n">
        <f aca="false">K76/30</f>
        <v>106.2</v>
      </c>
      <c r="M76" s="15" t="n">
        <v>5948</v>
      </c>
      <c r="N76" s="16" t="n">
        <f aca="false">M76/31</f>
        <v>191.870967741936</v>
      </c>
      <c r="O76" s="15" t="n">
        <v>4990</v>
      </c>
      <c r="P76" s="16" t="n">
        <f aca="false">O76/30</f>
        <v>166.333333333333</v>
      </c>
      <c r="Q76" s="15" t="n">
        <v>4169</v>
      </c>
      <c r="R76" s="16" t="n">
        <f aca="false">Q76/31</f>
        <v>134.483870967742</v>
      </c>
      <c r="S76" s="15" t="n">
        <v>4958</v>
      </c>
      <c r="T76" s="16" t="n">
        <f aca="false">S76/31</f>
        <v>159.935483870968</v>
      </c>
      <c r="U76" s="15" t="n">
        <v>2625</v>
      </c>
      <c r="V76" s="16" t="n">
        <f aca="false">U76/30</f>
        <v>87.5</v>
      </c>
      <c r="W76" s="15" t="n">
        <v>3310</v>
      </c>
      <c r="X76" s="16" t="n">
        <f aca="false">W76/31</f>
        <v>106.774193548387</v>
      </c>
      <c r="Y76" s="15" t="n">
        <v>4586</v>
      </c>
      <c r="Z76" s="16" t="n">
        <f aca="false">Y76/30</f>
        <v>152.866666666667</v>
      </c>
      <c r="AA76" s="15" t="n">
        <v>3705</v>
      </c>
      <c r="AB76" s="16" t="n">
        <f aca="false">AA76/31</f>
        <v>119.516129032258</v>
      </c>
      <c r="AC76" s="17" t="n">
        <f aca="false">SUM(E76:AA76)</f>
        <v>52226.5175115207</v>
      </c>
      <c r="AD76" s="18" t="n">
        <f aca="false">IFERROR(STDEV(F76,H76,J76,L76,N76,P76,R76,T76,V76,X76,Z76,AB76),0)</f>
        <v>29.7994877448001</v>
      </c>
      <c r="AE76" s="15" t="n">
        <v>3815</v>
      </c>
      <c r="AF76" s="16" t="n">
        <f aca="false">AE76/31</f>
        <v>123.064516129032</v>
      </c>
      <c r="AG76" s="15" t="n">
        <v>2827</v>
      </c>
      <c r="AH76" s="16" t="n">
        <f aca="false">AG76/28</f>
        <v>100.964285714286</v>
      </c>
      <c r="AI76" s="15" t="n">
        <v>3635</v>
      </c>
      <c r="AJ76" s="16" t="n">
        <f aca="false">AI76/31</f>
        <v>117.258064516129</v>
      </c>
      <c r="AK76" s="15" t="n">
        <v>2763</v>
      </c>
      <c r="AL76" s="16" t="n">
        <f aca="false">AK76/30</f>
        <v>92.1</v>
      </c>
      <c r="AM76" s="15" t="n">
        <v>3419</v>
      </c>
      <c r="AN76" s="16" t="n">
        <f aca="false">AM76/31</f>
        <v>110.290322580645</v>
      </c>
      <c r="AO76" s="15" t="n">
        <v>3816</v>
      </c>
      <c r="AP76" s="16" t="n">
        <f aca="false">AO76/30</f>
        <v>127.2</v>
      </c>
      <c r="AQ76" s="15" t="n">
        <v>3124</v>
      </c>
      <c r="AR76" s="16" t="n">
        <f aca="false">AQ76/31</f>
        <v>100.774193548387</v>
      </c>
      <c r="AS76" s="15" t="n">
        <v>3496</v>
      </c>
      <c r="AT76" s="16" t="n">
        <f aca="false">AS76/31</f>
        <v>112.774193548387</v>
      </c>
      <c r="AU76" s="15" t="n">
        <v>2689</v>
      </c>
      <c r="AV76" s="16" t="n">
        <f aca="false">AU76/30</f>
        <v>89.6333333333333</v>
      </c>
      <c r="AW76" s="15" t="n">
        <v>4061</v>
      </c>
      <c r="AX76" s="16" t="n">
        <f aca="false">AW76/31</f>
        <v>131</v>
      </c>
      <c r="AY76" s="15" t="n">
        <v>3142</v>
      </c>
      <c r="AZ76" s="16" t="n">
        <f aca="false">AY76/30</f>
        <v>104.733333333333</v>
      </c>
      <c r="BA76" s="15" t="n">
        <v>4491</v>
      </c>
      <c r="BB76" s="16" t="n">
        <f aca="false">BA76/31</f>
        <v>144.870967741936</v>
      </c>
      <c r="BC76" s="17" t="n">
        <f aca="false">SUM(AE76:BA76)</f>
        <v>42487.7922427035</v>
      </c>
      <c r="BD76" s="18" t="n">
        <f aca="false">IFERROR(STDEV(AF76,AH76,AJ76,AL76,AN76,AP76,AR76,AT76,AV76,AX76,AZ76,BB76),0)</f>
        <v>16.5516993273937</v>
      </c>
      <c r="BE76" s="15" t="n">
        <v>3223</v>
      </c>
      <c r="BF76" s="16" t="n">
        <f aca="false">BE76/31</f>
        <v>103.967741935484</v>
      </c>
      <c r="BG76" s="15" t="n">
        <v>2910</v>
      </c>
      <c r="BH76" s="16" t="n">
        <f aca="false">BG76/28</f>
        <v>103.928571428571</v>
      </c>
      <c r="BI76" s="15" t="n">
        <v>2758</v>
      </c>
      <c r="BJ76" s="16" t="n">
        <f aca="false">BI76/31</f>
        <v>88.9677419354839</v>
      </c>
      <c r="BK76" s="15" t="n">
        <v>4150</v>
      </c>
      <c r="BL76" s="16" t="n">
        <f aca="false">BK76/30</f>
        <v>138.333333333333</v>
      </c>
      <c r="BM76" s="15" t="n">
        <v>3063</v>
      </c>
      <c r="BN76" s="16" t="n">
        <f aca="false">BM76/31</f>
        <v>98.8064516129032</v>
      </c>
      <c r="BO76" s="15" t="n">
        <v>2660</v>
      </c>
      <c r="BP76" s="16" t="n">
        <f aca="false">BO76/30</f>
        <v>88.6666666666667</v>
      </c>
      <c r="BQ76" s="15" t="n">
        <v>3192</v>
      </c>
      <c r="BR76" s="16" t="n">
        <f aca="false">BQ76/31</f>
        <v>102.967741935484</v>
      </c>
      <c r="BS76" s="15" t="n">
        <v>3085</v>
      </c>
      <c r="BT76" s="16" t="n">
        <f aca="false">BS76/31</f>
        <v>99.5161290322581</v>
      </c>
      <c r="BU76" s="15" t="n">
        <v>3700</v>
      </c>
      <c r="BV76" s="16" t="n">
        <f aca="false">BU76/30</f>
        <v>123.333333333333</v>
      </c>
      <c r="BW76" s="15" t="n">
        <v>3539</v>
      </c>
      <c r="BX76" s="16" t="n">
        <f aca="false">BW76/31</f>
        <v>114.161290322581</v>
      </c>
      <c r="BY76" s="15" t="n">
        <v>2804</v>
      </c>
      <c r="BZ76" s="16" t="n">
        <f aca="false">BY76/30</f>
        <v>93.4666666666667</v>
      </c>
      <c r="CA76" s="15" t="n">
        <v>5349</v>
      </c>
      <c r="CB76" s="16" t="n">
        <f aca="false">CA76/31</f>
        <v>172.548387096774</v>
      </c>
      <c r="CC76" s="17" t="n">
        <f aca="false">SUM(BE76:CA76)</f>
        <v>41589.1156682028</v>
      </c>
      <c r="CD76" s="18" t="n">
        <f aca="false">IFERROR(STDEV(BF76,BH76,BJ76,BL76,BN76,BP76,BR76,BT76,BV76,BX76,BZ76,CB76),0)</f>
        <v>24.1823477063097</v>
      </c>
      <c r="CE76" s="15" t="n">
        <v>2352</v>
      </c>
      <c r="CF76" s="16" t="n">
        <f aca="false">CE76/31</f>
        <v>75.8709677419355</v>
      </c>
      <c r="CG76" s="15" t="n">
        <v>4067</v>
      </c>
      <c r="CH76" s="16" t="n">
        <f aca="false">CG76/28</f>
        <v>145.25</v>
      </c>
      <c r="CI76" s="15" t="n">
        <v>2423</v>
      </c>
      <c r="CJ76" s="16" t="n">
        <f aca="false">CI76/31</f>
        <v>78.1612903225806</v>
      </c>
      <c r="CK76" s="15" t="n">
        <v>3267</v>
      </c>
      <c r="CL76" s="16" t="n">
        <f aca="false">CK76/30</f>
        <v>108.9</v>
      </c>
      <c r="CM76" s="15" t="n">
        <v>4564</v>
      </c>
      <c r="CN76" s="16" t="n">
        <f aca="false">CM76/31</f>
        <v>147.225806451613</v>
      </c>
      <c r="CO76" s="15" t="n">
        <v>4182</v>
      </c>
      <c r="CP76" s="16" t="n">
        <f aca="false">CO76/30</f>
        <v>139.4</v>
      </c>
      <c r="CQ76" s="15" t="n">
        <v>3313</v>
      </c>
      <c r="CR76" s="16" t="n">
        <f aca="false">CQ76/31</f>
        <v>106.870967741935</v>
      </c>
      <c r="CS76" s="15" t="n">
        <v>3845</v>
      </c>
      <c r="CT76" s="16" t="n">
        <f aca="false">CS76/31</f>
        <v>124.032258064516</v>
      </c>
      <c r="CU76" s="15" t="n">
        <v>4014</v>
      </c>
      <c r="CV76" s="16" t="n">
        <f aca="false">CU76/30</f>
        <v>133.8</v>
      </c>
      <c r="CW76" s="15" t="n">
        <v>2745</v>
      </c>
      <c r="CX76" s="16" t="n">
        <f aca="false">CW76/31</f>
        <v>88.5483870967742</v>
      </c>
      <c r="CY76" s="15" t="n">
        <v>3431</v>
      </c>
      <c r="CZ76" s="16" t="n">
        <f aca="false">CY76/30</f>
        <v>114.366666666667</v>
      </c>
      <c r="DA76" s="15" t="n">
        <v>3446</v>
      </c>
      <c r="DB76" s="16" t="n">
        <f aca="false">DA76/31</f>
        <v>111.161290322581</v>
      </c>
      <c r="DC76" s="17" t="n">
        <f aca="false">SUM(CE76:DA76)</f>
        <v>42911.426344086</v>
      </c>
      <c r="DD76" s="18" t="n">
        <f aca="false">IFERROR(STDEV(CF76,CH76,CJ76,CL76,CN76,CP76,CR76,CT76,CV76,CX76,CZ76,DB76),0)</f>
        <v>24.655458073664</v>
      </c>
      <c r="DE76" s="15" t="n">
        <v>2849</v>
      </c>
      <c r="DF76" s="16" t="n">
        <f aca="false">DE76/31</f>
        <v>91.9032258064516</v>
      </c>
      <c r="DG76" s="15" t="n">
        <v>3574</v>
      </c>
      <c r="DH76" s="16" t="n">
        <f aca="false">DG76/28</f>
        <v>127.642857142857</v>
      </c>
      <c r="DI76" s="15" t="n">
        <v>2010</v>
      </c>
      <c r="DJ76" s="16" t="n">
        <f aca="false">DI76/31</f>
        <v>64.8387096774194</v>
      </c>
      <c r="DK76" s="15" t="n">
        <v>3880</v>
      </c>
      <c r="DL76" s="16" t="n">
        <f aca="false">DK76/30</f>
        <v>129.333333333333</v>
      </c>
      <c r="DM76" s="15" t="n">
        <v>3043</v>
      </c>
      <c r="DN76" s="16" t="n">
        <f aca="false">DM76/31</f>
        <v>98.1612903225806</v>
      </c>
      <c r="DO76" s="15" t="n">
        <v>3423</v>
      </c>
      <c r="DP76" s="16" t="n">
        <f aca="false">DO76/30</f>
        <v>114.1</v>
      </c>
      <c r="DQ76" s="15" t="n">
        <v>2977</v>
      </c>
      <c r="DR76" s="16" t="n">
        <f aca="false">DQ76/31</f>
        <v>96.0322580645161</v>
      </c>
      <c r="DS76" s="15" t="n">
        <v>2691</v>
      </c>
      <c r="DT76" s="16" t="n">
        <f aca="false">DS76/31</f>
        <v>86.8064516129032</v>
      </c>
      <c r="DU76" s="15" t="n">
        <v>2756</v>
      </c>
      <c r="DV76" s="16" t="n">
        <f aca="false">DU76/30</f>
        <v>91.8666666666667</v>
      </c>
      <c r="DW76" s="15" t="n">
        <v>3251</v>
      </c>
      <c r="DX76" s="16" t="n">
        <f aca="false">DW76/31</f>
        <v>104.870967741935</v>
      </c>
      <c r="DY76" s="15" t="n">
        <v>4173</v>
      </c>
      <c r="DZ76" s="16" t="n">
        <f aca="false">DY76/30</f>
        <v>139.1</v>
      </c>
      <c r="EA76" s="15" t="n">
        <v>2500</v>
      </c>
      <c r="EB76" s="16" t="n">
        <f aca="false">EA76/31</f>
        <v>80.6451612903226</v>
      </c>
      <c r="EC76" s="17" t="n">
        <f aca="false">SUM(DE76:EA76)</f>
        <v>38271.6557603687</v>
      </c>
      <c r="ED76" s="18" t="n">
        <f aca="false">IFERROR(STDEV(DF76,DH76,DJ76,DL76,DN76,DP76,DR76,DT76,DV76,DX76,DZ76,EB76),0)</f>
        <v>21.8640471445724</v>
      </c>
      <c r="EE76" s="19" t="n">
        <f aca="false">STDEV(F76:AB76,AF76:BB76,BF76:CB76,CF76:DB76,DF76:EB76)</f>
        <v>1803.50621612936</v>
      </c>
    </row>
    <row r="77" customFormat="false" ht="15" hidden="false" customHeight="true" outlineLevel="0" collapsed="false">
      <c r="A77" s="11" t="n">
        <v>72</v>
      </c>
      <c r="B77" s="12" t="s">
        <v>178</v>
      </c>
      <c r="C77" s="13" t="s">
        <v>179</v>
      </c>
      <c r="D77" s="14" t="s">
        <v>36</v>
      </c>
      <c r="E77" s="15" t="n">
        <v>1357</v>
      </c>
      <c r="F77" s="16" t="n">
        <f aca="false">E77/31</f>
        <v>43.7741935483871</v>
      </c>
      <c r="G77" s="15" t="n">
        <v>1535</v>
      </c>
      <c r="H77" s="16" t="n">
        <f aca="false">G77/28</f>
        <v>54.8214285714286</v>
      </c>
      <c r="I77" s="15" t="n">
        <v>2850</v>
      </c>
      <c r="J77" s="16" t="n">
        <f aca="false">I77/31</f>
        <v>91.9354838709677</v>
      </c>
      <c r="K77" s="15" t="n">
        <v>3019</v>
      </c>
      <c r="L77" s="16" t="n">
        <f aca="false">K77/30</f>
        <v>100.633333333333</v>
      </c>
      <c r="M77" s="15" t="n">
        <v>1672</v>
      </c>
      <c r="N77" s="16" t="n">
        <f aca="false">M77/31</f>
        <v>53.9354838709677</v>
      </c>
      <c r="O77" s="15" t="n">
        <v>2337</v>
      </c>
      <c r="P77" s="16" t="n">
        <f aca="false">O77/30</f>
        <v>77.9</v>
      </c>
      <c r="Q77" s="15" t="n">
        <v>2466</v>
      </c>
      <c r="R77" s="16" t="n">
        <f aca="false">Q77/31</f>
        <v>79.5483870967742</v>
      </c>
      <c r="S77" s="15" t="n">
        <v>1629</v>
      </c>
      <c r="T77" s="16" t="n">
        <f aca="false">S77/31</f>
        <v>52.5483870967742</v>
      </c>
      <c r="U77" s="15" t="n">
        <v>2697</v>
      </c>
      <c r="V77" s="16" t="n">
        <f aca="false">U77/30</f>
        <v>89.9</v>
      </c>
      <c r="W77" s="15" t="n">
        <v>1947</v>
      </c>
      <c r="X77" s="16" t="n">
        <f aca="false">W77/31</f>
        <v>62.8064516129032</v>
      </c>
      <c r="Y77" s="15" t="n">
        <v>2508</v>
      </c>
      <c r="Z77" s="16" t="n">
        <f aca="false">Y77/30</f>
        <v>83.6</v>
      </c>
      <c r="AA77" s="15" t="n">
        <v>2181</v>
      </c>
      <c r="AB77" s="16" t="n">
        <f aca="false">AA77/31</f>
        <v>70.3548387096774</v>
      </c>
      <c r="AC77" s="17" t="n">
        <f aca="false">SUM(E77:AA77)</f>
        <v>26989.4031490015</v>
      </c>
      <c r="AD77" s="18" t="n">
        <f aca="false">IFERROR(STDEV(F77,H77,J77,L77,N77,P77,R77,T77,V77,X77,Z77,AB77),0)</f>
        <v>18.2092631249378</v>
      </c>
      <c r="AE77" s="15" t="n">
        <v>2962</v>
      </c>
      <c r="AF77" s="16" t="n">
        <f aca="false">AE77/31</f>
        <v>95.5483870967742</v>
      </c>
      <c r="AG77" s="15" t="n">
        <v>3267</v>
      </c>
      <c r="AH77" s="16" t="n">
        <f aca="false">AG77/28</f>
        <v>116.678571428571</v>
      </c>
      <c r="AI77" s="15" t="n">
        <v>2254</v>
      </c>
      <c r="AJ77" s="16" t="n">
        <f aca="false">AI77/31</f>
        <v>72.7096774193548</v>
      </c>
      <c r="AK77" s="15" t="n">
        <v>2065</v>
      </c>
      <c r="AL77" s="16" t="n">
        <f aca="false">AK77/30</f>
        <v>68.8333333333333</v>
      </c>
      <c r="AM77" s="15" t="n">
        <v>2753</v>
      </c>
      <c r="AN77" s="16" t="n">
        <f aca="false">AM77/31</f>
        <v>88.8064516129032</v>
      </c>
      <c r="AO77" s="15" t="n">
        <v>1783</v>
      </c>
      <c r="AP77" s="16" t="n">
        <f aca="false">AO77/30</f>
        <v>59.4333333333333</v>
      </c>
      <c r="AQ77" s="15" t="n">
        <v>1828</v>
      </c>
      <c r="AR77" s="16" t="n">
        <f aca="false">AQ77/31</f>
        <v>58.9677419354839</v>
      </c>
      <c r="AS77" s="15" t="n">
        <v>3104</v>
      </c>
      <c r="AT77" s="16" t="n">
        <f aca="false">AS77/31</f>
        <v>100.129032258065</v>
      </c>
      <c r="AU77" s="15" t="n">
        <v>2167</v>
      </c>
      <c r="AV77" s="16" t="n">
        <f aca="false">AU77/30</f>
        <v>72.2333333333333</v>
      </c>
      <c r="AW77" s="15" t="n">
        <v>2752</v>
      </c>
      <c r="AX77" s="16" t="n">
        <f aca="false">AW77/31</f>
        <v>88.7741935483871</v>
      </c>
      <c r="AY77" s="15" t="n">
        <v>2633</v>
      </c>
      <c r="AZ77" s="16" t="n">
        <f aca="false">AY77/30</f>
        <v>87.7666666666667</v>
      </c>
      <c r="BA77" s="15" t="n">
        <v>3186</v>
      </c>
      <c r="BB77" s="16" t="n">
        <f aca="false">BA77/31</f>
        <v>102.774193548387</v>
      </c>
      <c r="BC77" s="17" t="n">
        <f aca="false">SUM(AE77:BA77)</f>
        <v>31663.8807219662</v>
      </c>
      <c r="BD77" s="18" t="n">
        <f aca="false">IFERROR(STDEV(AF77,AH77,AJ77,AL77,AN77,AP77,AR77,AT77,AV77,AX77,AZ77,BB77),0)</f>
        <v>18.0862477982712</v>
      </c>
      <c r="BE77" s="15" t="n">
        <v>1893</v>
      </c>
      <c r="BF77" s="16" t="n">
        <f aca="false">BE77/31</f>
        <v>61.0645161290323</v>
      </c>
      <c r="BG77" s="15" t="n">
        <v>2102</v>
      </c>
      <c r="BH77" s="16" t="n">
        <f aca="false">BG77/28</f>
        <v>75.0714285714286</v>
      </c>
      <c r="BI77" s="15" t="n">
        <v>2255</v>
      </c>
      <c r="BJ77" s="16" t="n">
        <f aca="false">BI77/31</f>
        <v>72.741935483871</v>
      </c>
      <c r="BK77" s="15" t="n">
        <v>2459</v>
      </c>
      <c r="BL77" s="16" t="n">
        <f aca="false">BK77/30</f>
        <v>81.9666666666667</v>
      </c>
      <c r="BM77" s="15" t="n">
        <v>2400</v>
      </c>
      <c r="BN77" s="16" t="n">
        <f aca="false">BM77/31</f>
        <v>77.4193548387097</v>
      </c>
      <c r="BO77" s="15" t="n">
        <v>2345</v>
      </c>
      <c r="BP77" s="16" t="n">
        <f aca="false">BO77/30</f>
        <v>78.1666666666667</v>
      </c>
      <c r="BQ77" s="15" t="n">
        <v>3214</v>
      </c>
      <c r="BR77" s="16" t="n">
        <f aca="false">BQ77/31</f>
        <v>103.677419354839</v>
      </c>
      <c r="BS77" s="15" t="n">
        <v>2354</v>
      </c>
      <c r="BT77" s="16" t="n">
        <f aca="false">BS77/31</f>
        <v>75.9354838709677</v>
      </c>
      <c r="BU77" s="15" t="n">
        <v>2754</v>
      </c>
      <c r="BV77" s="16" t="n">
        <f aca="false">BU77/30</f>
        <v>91.8</v>
      </c>
      <c r="BW77" s="15" t="n">
        <v>3717</v>
      </c>
      <c r="BX77" s="16" t="n">
        <f aca="false">BW77/31</f>
        <v>119.903225806452</v>
      </c>
      <c r="BY77" s="15" t="n">
        <v>2566</v>
      </c>
      <c r="BZ77" s="16" t="n">
        <f aca="false">BY77/30</f>
        <v>85.5333333333333</v>
      </c>
      <c r="CA77" s="15" t="n">
        <v>3081</v>
      </c>
      <c r="CB77" s="16" t="n">
        <f aca="false">CA77/31</f>
        <v>99.3870967741936</v>
      </c>
      <c r="CC77" s="17" t="n">
        <f aca="false">SUM(BE77:CA77)</f>
        <v>32063.280030722</v>
      </c>
      <c r="CD77" s="18" t="n">
        <f aca="false">IFERROR(STDEV(BF77,BH77,BJ77,BL77,BN77,BP77,BR77,BT77,BV77,BX77,BZ77,CB77),0)</f>
        <v>16.0603198761457</v>
      </c>
      <c r="CE77" s="15" t="n">
        <v>3240</v>
      </c>
      <c r="CF77" s="16" t="n">
        <f aca="false">CE77/31</f>
        <v>104.516129032258</v>
      </c>
      <c r="CG77" s="15" t="n">
        <v>2198</v>
      </c>
      <c r="CH77" s="16" t="n">
        <f aca="false">CG77/28</f>
        <v>78.5</v>
      </c>
      <c r="CI77" s="15" t="n">
        <v>1764</v>
      </c>
      <c r="CJ77" s="16" t="n">
        <f aca="false">CI77/31</f>
        <v>56.9032258064516</v>
      </c>
      <c r="CK77" s="15" t="n">
        <v>1460</v>
      </c>
      <c r="CL77" s="16" t="n">
        <f aca="false">CK77/30</f>
        <v>48.6666666666667</v>
      </c>
      <c r="CM77" s="15" t="n">
        <v>2791</v>
      </c>
      <c r="CN77" s="16" t="n">
        <f aca="false">CM77/31</f>
        <v>90.0322580645161</v>
      </c>
      <c r="CO77" s="15" t="n">
        <v>2667</v>
      </c>
      <c r="CP77" s="16" t="n">
        <f aca="false">CO77/30</f>
        <v>88.9</v>
      </c>
      <c r="CQ77" s="15" t="n">
        <v>3192</v>
      </c>
      <c r="CR77" s="16" t="n">
        <f aca="false">CQ77/31</f>
        <v>102.967741935484</v>
      </c>
      <c r="CS77" s="15" t="n">
        <v>2740</v>
      </c>
      <c r="CT77" s="16" t="n">
        <f aca="false">CS77/31</f>
        <v>88.3870967741936</v>
      </c>
      <c r="CU77" s="15" t="n">
        <v>1568</v>
      </c>
      <c r="CV77" s="16" t="n">
        <f aca="false">CU77/30</f>
        <v>52.2666666666667</v>
      </c>
      <c r="CW77" s="15" t="n">
        <v>1732</v>
      </c>
      <c r="CX77" s="16" t="n">
        <f aca="false">CW77/31</f>
        <v>55.8709677419355</v>
      </c>
      <c r="CY77" s="15" t="n">
        <v>1611</v>
      </c>
      <c r="CZ77" s="16" t="n">
        <f aca="false">CY77/30</f>
        <v>53.7</v>
      </c>
      <c r="DA77" s="15" t="n">
        <v>1537</v>
      </c>
      <c r="DB77" s="16" t="n">
        <f aca="false">DA77/31</f>
        <v>49.5806451612903</v>
      </c>
      <c r="DC77" s="17" t="n">
        <f aca="false">SUM(CE77:DA77)</f>
        <v>27320.7107526882</v>
      </c>
      <c r="DD77" s="18" t="n">
        <f aca="false">IFERROR(STDEV(CF77,CH77,CJ77,CL77,CN77,CP77,CR77,CT77,CV77,CX77,CZ77,DB77),0)</f>
        <v>21.7297138800861</v>
      </c>
      <c r="DE77" s="15" t="n">
        <v>3581</v>
      </c>
      <c r="DF77" s="16" t="n">
        <f aca="false">DE77/31</f>
        <v>115.516129032258</v>
      </c>
      <c r="DG77" s="15" t="n">
        <v>2855</v>
      </c>
      <c r="DH77" s="16" t="n">
        <f aca="false">DG77/28</f>
        <v>101.964285714286</v>
      </c>
      <c r="DI77" s="15" t="n">
        <v>1707</v>
      </c>
      <c r="DJ77" s="16" t="n">
        <f aca="false">DI77/31</f>
        <v>55.0645161290323</v>
      </c>
      <c r="DK77" s="15" t="n">
        <v>2522</v>
      </c>
      <c r="DL77" s="16" t="n">
        <f aca="false">DK77/30</f>
        <v>84.0666666666667</v>
      </c>
      <c r="DM77" s="15" t="n">
        <v>3331</v>
      </c>
      <c r="DN77" s="16" t="n">
        <f aca="false">DM77/31</f>
        <v>107.451612903226</v>
      </c>
      <c r="DO77" s="15" t="n">
        <v>1832</v>
      </c>
      <c r="DP77" s="16" t="n">
        <f aca="false">DO77/30</f>
        <v>61.0666666666667</v>
      </c>
      <c r="DQ77" s="15" t="n">
        <v>2226</v>
      </c>
      <c r="DR77" s="16" t="n">
        <f aca="false">DQ77/31</f>
        <v>71.8064516129032</v>
      </c>
      <c r="DS77" s="15" t="n">
        <v>1990</v>
      </c>
      <c r="DT77" s="16" t="n">
        <f aca="false">DS77/31</f>
        <v>64.1935483870968</v>
      </c>
      <c r="DU77" s="15" t="n">
        <v>3089</v>
      </c>
      <c r="DV77" s="16" t="n">
        <f aca="false">DU77/30</f>
        <v>102.966666666667</v>
      </c>
      <c r="DW77" s="15" t="n">
        <v>3596</v>
      </c>
      <c r="DX77" s="16" t="n">
        <f aca="false">DW77/31</f>
        <v>116</v>
      </c>
      <c r="DY77" s="15" t="n">
        <v>2329</v>
      </c>
      <c r="DZ77" s="16" t="n">
        <f aca="false">DY77/30</f>
        <v>77.6333333333333</v>
      </c>
      <c r="EA77" s="15" t="n">
        <v>2193</v>
      </c>
      <c r="EB77" s="16" t="n">
        <f aca="false">EA77/31</f>
        <v>70.741935483871</v>
      </c>
      <c r="EC77" s="17" t="n">
        <f aca="false">SUM(DE77:EA77)</f>
        <v>32208.7298771121</v>
      </c>
      <c r="ED77" s="18" t="n">
        <f aca="false">IFERROR(STDEV(DF77,DH77,DJ77,DL77,DN77,DP77,DR77,DT77,DV77,DX77,DZ77,EB77),0)</f>
        <v>22.0232589158483</v>
      </c>
      <c r="EE77" s="19" t="n">
        <f aca="false">STDEV(F77:AB77,AF77:BB77,BF77:CB77,CF77:DB77,DF77:EB77)</f>
        <v>1236.50280832463</v>
      </c>
    </row>
    <row r="78" customFormat="false" ht="15" hidden="false" customHeight="true" outlineLevel="0" collapsed="false">
      <c r="A78" s="11" t="n">
        <v>73</v>
      </c>
      <c r="B78" s="12" t="s">
        <v>180</v>
      </c>
      <c r="C78" s="13" t="s">
        <v>181</v>
      </c>
      <c r="D78" s="14" t="s">
        <v>36</v>
      </c>
      <c r="E78" s="15" t="n">
        <v>2361</v>
      </c>
      <c r="F78" s="16" t="n">
        <f aca="false">E78/31</f>
        <v>76.1612903225806</v>
      </c>
      <c r="G78" s="15" t="n">
        <v>3142</v>
      </c>
      <c r="H78" s="16" t="n">
        <f aca="false">G78/28</f>
        <v>112.214285714286</v>
      </c>
      <c r="I78" s="15" t="n">
        <v>2012</v>
      </c>
      <c r="J78" s="16" t="n">
        <f aca="false">I78/31</f>
        <v>64.9032258064516</v>
      </c>
      <c r="K78" s="15" t="n">
        <v>3626</v>
      </c>
      <c r="L78" s="16" t="n">
        <f aca="false">K78/30</f>
        <v>120.866666666667</v>
      </c>
      <c r="M78" s="15" t="n">
        <v>1777</v>
      </c>
      <c r="N78" s="16" t="n">
        <f aca="false">M78/31</f>
        <v>57.3225806451613</v>
      </c>
      <c r="O78" s="15" t="n">
        <v>3227</v>
      </c>
      <c r="P78" s="16" t="n">
        <f aca="false">O78/30</f>
        <v>107.566666666667</v>
      </c>
      <c r="Q78" s="15" t="n">
        <v>3676</v>
      </c>
      <c r="R78" s="16" t="n">
        <f aca="false">Q78/31</f>
        <v>118.58064516129</v>
      </c>
      <c r="S78" s="15" t="n">
        <v>2454</v>
      </c>
      <c r="T78" s="16" t="n">
        <f aca="false">S78/31</f>
        <v>79.1612903225806</v>
      </c>
      <c r="U78" s="15" t="n">
        <v>2799</v>
      </c>
      <c r="V78" s="16" t="n">
        <f aca="false">U78/30</f>
        <v>93.3</v>
      </c>
      <c r="W78" s="15" t="n">
        <v>3938</v>
      </c>
      <c r="X78" s="16" t="n">
        <f aca="false">W78/31</f>
        <v>127.032258064516</v>
      </c>
      <c r="Y78" s="15" t="n">
        <v>2946</v>
      </c>
      <c r="Z78" s="16" t="n">
        <f aca="false">Y78/30</f>
        <v>98.2</v>
      </c>
      <c r="AA78" s="15" t="n">
        <v>2334</v>
      </c>
      <c r="AB78" s="16" t="n">
        <f aca="false">AA78/31</f>
        <v>75.2903225806452</v>
      </c>
      <c r="AC78" s="17" t="n">
        <f aca="false">SUM(E78:AA78)</f>
        <v>35347.3089093702</v>
      </c>
      <c r="AD78" s="18" t="n">
        <f aca="false">IFERROR(STDEV(F78,H78,J78,L78,N78,P78,R78,T78,V78,X78,Z78,AB78),0)</f>
        <v>23.414936707371</v>
      </c>
      <c r="AE78" s="15" t="n">
        <v>2608</v>
      </c>
      <c r="AF78" s="16" t="n">
        <f aca="false">AE78/31</f>
        <v>84.1290322580645</v>
      </c>
      <c r="AG78" s="15" t="n">
        <v>3753</v>
      </c>
      <c r="AH78" s="16" t="n">
        <f aca="false">AG78/28</f>
        <v>134.035714285714</v>
      </c>
      <c r="AI78" s="15" t="n">
        <v>3159</v>
      </c>
      <c r="AJ78" s="16" t="n">
        <f aca="false">AI78/31</f>
        <v>101.903225806452</v>
      </c>
      <c r="AK78" s="15" t="n">
        <v>2023</v>
      </c>
      <c r="AL78" s="16" t="n">
        <f aca="false">AK78/30</f>
        <v>67.4333333333333</v>
      </c>
      <c r="AM78" s="15" t="n">
        <v>2941</v>
      </c>
      <c r="AN78" s="16" t="n">
        <f aca="false">AM78/31</f>
        <v>94.8709677419355</v>
      </c>
      <c r="AO78" s="15" t="n">
        <v>3014</v>
      </c>
      <c r="AP78" s="16" t="n">
        <f aca="false">AO78/30</f>
        <v>100.466666666667</v>
      </c>
      <c r="AQ78" s="15" t="n">
        <v>3024</v>
      </c>
      <c r="AR78" s="16" t="n">
        <f aca="false">AQ78/31</f>
        <v>97.5483870967742</v>
      </c>
      <c r="AS78" s="15" t="n">
        <v>2867</v>
      </c>
      <c r="AT78" s="16" t="n">
        <f aca="false">AS78/31</f>
        <v>92.4838709677419</v>
      </c>
      <c r="AU78" s="15" t="n">
        <v>2779</v>
      </c>
      <c r="AV78" s="16" t="n">
        <f aca="false">AU78/30</f>
        <v>92.6333333333333</v>
      </c>
      <c r="AW78" s="15" t="n">
        <v>3032</v>
      </c>
      <c r="AX78" s="16" t="n">
        <f aca="false">AW78/31</f>
        <v>97.8064516129032</v>
      </c>
      <c r="AY78" s="15" t="n">
        <v>2312</v>
      </c>
      <c r="AZ78" s="16" t="n">
        <f aca="false">AY78/30</f>
        <v>77.0666666666667</v>
      </c>
      <c r="BA78" s="15" t="n">
        <v>2394</v>
      </c>
      <c r="BB78" s="16" t="n">
        <f aca="false">BA78/31</f>
        <v>77.2258064516129</v>
      </c>
      <c r="BC78" s="17" t="n">
        <f aca="false">SUM(AE78:BA78)</f>
        <v>34946.3776497696</v>
      </c>
      <c r="BD78" s="18" t="n">
        <f aca="false">IFERROR(STDEV(AF78,AH78,AJ78,AL78,AN78,AP78,AR78,AT78,AV78,AX78,AZ78,BB78),0)</f>
        <v>16.7914212251424</v>
      </c>
      <c r="BE78" s="15" t="n">
        <v>4174</v>
      </c>
      <c r="BF78" s="16" t="n">
        <f aca="false">BE78/31</f>
        <v>134.645161290323</v>
      </c>
      <c r="BG78" s="15" t="n">
        <v>5032</v>
      </c>
      <c r="BH78" s="16" t="n">
        <f aca="false">BG78/28</f>
        <v>179.714285714286</v>
      </c>
      <c r="BI78" s="15" t="n">
        <v>3858</v>
      </c>
      <c r="BJ78" s="16" t="n">
        <f aca="false">BI78/31</f>
        <v>124.451612903226</v>
      </c>
      <c r="BK78" s="15" t="n">
        <v>3611</v>
      </c>
      <c r="BL78" s="16" t="n">
        <f aca="false">BK78/30</f>
        <v>120.366666666667</v>
      </c>
      <c r="BM78" s="15" t="n">
        <v>3268</v>
      </c>
      <c r="BN78" s="16" t="n">
        <f aca="false">BM78/31</f>
        <v>105.41935483871</v>
      </c>
      <c r="BO78" s="15" t="n">
        <v>3410</v>
      </c>
      <c r="BP78" s="16" t="n">
        <f aca="false">BO78/30</f>
        <v>113.666666666667</v>
      </c>
      <c r="BQ78" s="15" t="n">
        <v>2428</v>
      </c>
      <c r="BR78" s="16" t="n">
        <f aca="false">BQ78/31</f>
        <v>78.3225806451613</v>
      </c>
      <c r="BS78" s="15" t="n">
        <v>5067</v>
      </c>
      <c r="BT78" s="16" t="n">
        <f aca="false">BS78/31</f>
        <v>163.451612903226</v>
      </c>
      <c r="BU78" s="15" t="n">
        <v>5172</v>
      </c>
      <c r="BV78" s="16" t="n">
        <f aca="false">BU78/30</f>
        <v>172.4</v>
      </c>
      <c r="BW78" s="15" t="n">
        <v>3541</v>
      </c>
      <c r="BX78" s="16" t="n">
        <f aca="false">BW78/31</f>
        <v>114.225806451613</v>
      </c>
      <c r="BY78" s="15" t="n">
        <v>3946</v>
      </c>
      <c r="BZ78" s="16" t="n">
        <f aca="false">BY78/30</f>
        <v>131.533333333333</v>
      </c>
      <c r="CA78" s="15" t="n">
        <v>2454</v>
      </c>
      <c r="CB78" s="16" t="n">
        <f aca="false">CA78/31</f>
        <v>79.1612903225806</v>
      </c>
      <c r="CC78" s="17" t="n">
        <f aca="false">SUM(BE78:CA78)</f>
        <v>47399.1970814132</v>
      </c>
      <c r="CD78" s="18" t="n">
        <f aca="false">IFERROR(STDEV(BF78,BH78,BJ78,BL78,BN78,BP78,BR78,BT78,BV78,BX78,BZ78,CB78),0)</f>
        <v>32.6958579515961</v>
      </c>
      <c r="CE78" s="15" t="n">
        <v>5255</v>
      </c>
      <c r="CF78" s="16" t="n">
        <f aca="false">CE78/31</f>
        <v>169.516129032258</v>
      </c>
      <c r="CG78" s="15" t="n">
        <v>5333</v>
      </c>
      <c r="CH78" s="16" t="n">
        <f aca="false">CG78/28</f>
        <v>190.464285714286</v>
      </c>
      <c r="CI78" s="15" t="n">
        <v>3856</v>
      </c>
      <c r="CJ78" s="16" t="n">
        <f aca="false">CI78/31</f>
        <v>124.387096774194</v>
      </c>
      <c r="CK78" s="15" t="n">
        <v>2386</v>
      </c>
      <c r="CL78" s="16" t="n">
        <f aca="false">CK78/30</f>
        <v>79.5333333333333</v>
      </c>
      <c r="CM78" s="15" t="n">
        <v>3710</v>
      </c>
      <c r="CN78" s="16" t="n">
        <f aca="false">CM78/31</f>
        <v>119.677419354839</v>
      </c>
      <c r="CO78" s="15" t="n">
        <v>3278</v>
      </c>
      <c r="CP78" s="16" t="n">
        <f aca="false">CO78/30</f>
        <v>109.266666666667</v>
      </c>
      <c r="CQ78" s="15" t="n">
        <v>3084</v>
      </c>
      <c r="CR78" s="16" t="n">
        <f aca="false">CQ78/31</f>
        <v>99.4838709677419</v>
      </c>
      <c r="CS78" s="15" t="n">
        <v>2380</v>
      </c>
      <c r="CT78" s="16" t="n">
        <f aca="false">CS78/31</f>
        <v>76.7741935483871</v>
      </c>
      <c r="CU78" s="15" t="n">
        <v>3531</v>
      </c>
      <c r="CV78" s="16" t="n">
        <f aca="false">CU78/30</f>
        <v>117.7</v>
      </c>
      <c r="CW78" s="15" t="n">
        <v>3651</v>
      </c>
      <c r="CX78" s="16" t="n">
        <f aca="false">CW78/31</f>
        <v>117.774193548387</v>
      </c>
      <c r="CY78" s="15" t="n">
        <v>4119</v>
      </c>
      <c r="CZ78" s="16" t="n">
        <f aca="false">CY78/30</f>
        <v>137.3</v>
      </c>
      <c r="DA78" s="15" t="n">
        <v>3598</v>
      </c>
      <c r="DB78" s="16" t="n">
        <f aca="false">DA78/31</f>
        <v>116.064516129032</v>
      </c>
      <c r="DC78" s="17" t="n">
        <f aca="false">SUM(CE78:DA78)</f>
        <v>45522.8771889401</v>
      </c>
      <c r="DD78" s="18" t="n">
        <f aca="false">IFERROR(STDEV(CF78,CH78,CJ78,CL78,CN78,CP78,CR78,CT78,CV78,CX78,CZ78,DB78),0)</f>
        <v>32.720229453822</v>
      </c>
      <c r="DE78" s="15" t="n">
        <v>2164</v>
      </c>
      <c r="DF78" s="16" t="n">
        <f aca="false">DE78/31</f>
        <v>69.8064516129032</v>
      </c>
      <c r="DG78" s="15" t="n">
        <v>3524</v>
      </c>
      <c r="DH78" s="16" t="n">
        <f aca="false">DG78/28</f>
        <v>125.857142857143</v>
      </c>
      <c r="DI78" s="15" t="n">
        <v>2701</v>
      </c>
      <c r="DJ78" s="16" t="n">
        <f aca="false">DI78/31</f>
        <v>87.1290322580645</v>
      </c>
      <c r="DK78" s="15" t="n">
        <v>2674</v>
      </c>
      <c r="DL78" s="16" t="n">
        <f aca="false">DK78/30</f>
        <v>89.1333333333333</v>
      </c>
      <c r="DM78" s="15" t="n">
        <v>2401</v>
      </c>
      <c r="DN78" s="16" t="n">
        <f aca="false">DM78/31</f>
        <v>77.4516129032258</v>
      </c>
      <c r="DO78" s="15" t="n">
        <v>2778</v>
      </c>
      <c r="DP78" s="16" t="n">
        <f aca="false">DO78/30</f>
        <v>92.6</v>
      </c>
      <c r="DQ78" s="15" t="n">
        <v>2345</v>
      </c>
      <c r="DR78" s="16" t="n">
        <f aca="false">DQ78/31</f>
        <v>75.6451612903226</v>
      </c>
      <c r="DS78" s="15" t="n">
        <v>3589</v>
      </c>
      <c r="DT78" s="16" t="n">
        <f aca="false">DS78/31</f>
        <v>115.774193548387</v>
      </c>
      <c r="DU78" s="15" t="n">
        <v>3934</v>
      </c>
      <c r="DV78" s="16" t="n">
        <f aca="false">DU78/30</f>
        <v>131.133333333333</v>
      </c>
      <c r="DW78" s="15" t="n">
        <v>3691</v>
      </c>
      <c r="DX78" s="16" t="n">
        <f aca="false">DW78/31</f>
        <v>119.064516129032</v>
      </c>
      <c r="DY78" s="15" t="n">
        <v>3400</v>
      </c>
      <c r="DZ78" s="16" t="n">
        <f aca="false">DY78/30</f>
        <v>113.333333333333</v>
      </c>
      <c r="EA78" s="15" t="n">
        <v>2452</v>
      </c>
      <c r="EB78" s="16" t="n">
        <f aca="false">EA78/31</f>
        <v>79.0967741935484</v>
      </c>
      <c r="EC78" s="17" t="n">
        <f aca="false">SUM(DE78:EA78)</f>
        <v>36749.9281105991</v>
      </c>
      <c r="ED78" s="18" t="n">
        <f aca="false">IFERROR(STDEV(DF78,DH78,DJ78,DL78,DN78,DP78,DR78,DT78,DV78,DX78,DZ78,EB78),0)</f>
        <v>21.6768076764868</v>
      </c>
      <c r="EE78" s="19" t="n">
        <f aca="false">STDEV(F78:AB78,AF78:BB78,BF78:CB78,CF78:DB78,DF78:EB78)</f>
        <v>1658.48173505425</v>
      </c>
    </row>
    <row r="79" customFormat="false" ht="15" hidden="false" customHeight="true" outlineLevel="0" collapsed="false">
      <c r="A79" s="11" t="n">
        <v>74</v>
      </c>
      <c r="B79" s="12" t="s">
        <v>182</v>
      </c>
      <c r="C79" s="13" t="s">
        <v>183</v>
      </c>
      <c r="D79" s="14" t="s">
        <v>36</v>
      </c>
      <c r="E79" s="15" t="n">
        <v>4211</v>
      </c>
      <c r="F79" s="16" t="n">
        <f aca="false">E79/31</f>
        <v>135.838709677419</v>
      </c>
      <c r="G79" s="15" t="n">
        <v>4397</v>
      </c>
      <c r="H79" s="16" t="n">
        <f aca="false">G79/28</f>
        <v>157.035714285714</v>
      </c>
      <c r="I79" s="15" t="n">
        <v>3280</v>
      </c>
      <c r="J79" s="16" t="n">
        <f aca="false">I79/31</f>
        <v>105.806451612903</v>
      </c>
      <c r="K79" s="15" t="n">
        <v>4523</v>
      </c>
      <c r="L79" s="16" t="n">
        <f aca="false">K79/30</f>
        <v>150.766666666667</v>
      </c>
      <c r="M79" s="15" t="n">
        <v>2630</v>
      </c>
      <c r="N79" s="16" t="n">
        <f aca="false">M79/31</f>
        <v>84.8387096774194</v>
      </c>
      <c r="O79" s="15" t="n">
        <v>2933</v>
      </c>
      <c r="P79" s="16" t="n">
        <f aca="false">O79/30</f>
        <v>97.7666666666667</v>
      </c>
      <c r="Q79" s="15" t="n">
        <v>3912</v>
      </c>
      <c r="R79" s="16" t="n">
        <f aca="false">Q79/31</f>
        <v>126.193548387097</v>
      </c>
      <c r="S79" s="15" t="n">
        <v>3858</v>
      </c>
      <c r="T79" s="16" t="n">
        <f aca="false">S79/31</f>
        <v>124.451612903226</v>
      </c>
      <c r="U79" s="15" t="n">
        <v>2883</v>
      </c>
      <c r="V79" s="16" t="n">
        <f aca="false">U79/30</f>
        <v>96.1</v>
      </c>
      <c r="W79" s="15" t="n">
        <v>3872</v>
      </c>
      <c r="X79" s="16" t="n">
        <f aca="false">W79/31</f>
        <v>124.903225806452</v>
      </c>
      <c r="Y79" s="15" t="n">
        <v>2645</v>
      </c>
      <c r="Z79" s="16" t="n">
        <f aca="false">Y79/30</f>
        <v>88.1666666666667</v>
      </c>
      <c r="AA79" s="15" t="n">
        <v>2170</v>
      </c>
      <c r="AB79" s="16" t="n">
        <f aca="false">AA79/31</f>
        <v>70</v>
      </c>
      <c r="AC79" s="17" t="n">
        <f aca="false">SUM(E79:AA79)</f>
        <v>42605.8679723502</v>
      </c>
      <c r="AD79" s="18" t="n">
        <f aca="false">IFERROR(STDEV(F79,H79,J79,L79,N79,P79,R79,T79,V79,X79,Z79,AB79),0)</f>
        <v>27.2351088923862</v>
      </c>
      <c r="AE79" s="15" t="n">
        <v>2177</v>
      </c>
      <c r="AF79" s="16" t="n">
        <f aca="false">AE79/31</f>
        <v>70.2258064516129</v>
      </c>
      <c r="AG79" s="15" t="n">
        <v>3499</v>
      </c>
      <c r="AH79" s="16" t="n">
        <f aca="false">AG79/28</f>
        <v>124.964285714286</v>
      </c>
      <c r="AI79" s="15" t="n">
        <v>2549</v>
      </c>
      <c r="AJ79" s="16" t="n">
        <f aca="false">AI79/31</f>
        <v>82.2258064516129</v>
      </c>
      <c r="AK79" s="15" t="n">
        <v>2321</v>
      </c>
      <c r="AL79" s="16" t="n">
        <f aca="false">AK79/30</f>
        <v>77.3666666666667</v>
      </c>
      <c r="AM79" s="15" t="n">
        <v>2775</v>
      </c>
      <c r="AN79" s="16" t="n">
        <f aca="false">AM79/31</f>
        <v>89.5161290322581</v>
      </c>
      <c r="AO79" s="15" t="n">
        <v>3990</v>
      </c>
      <c r="AP79" s="16" t="n">
        <f aca="false">AO79/30</f>
        <v>133</v>
      </c>
      <c r="AQ79" s="15" t="n">
        <v>4022</v>
      </c>
      <c r="AR79" s="16" t="n">
        <f aca="false">AQ79/31</f>
        <v>129.741935483871</v>
      </c>
      <c r="AS79" s="15" t="n">
        <v>2676</v>
      </c>
      <c r="AT79" s="16" t="n">
        <f aca="false">AS79/31</f>
        <v>86.3225806451613</v>
      </c>
      <c r="AU79" s="15" t="n">
        <v>2453</v>
      </c>
      <c r="AV79" s="16" t="n">
        <f aca="false">AU79/30</f>
        <v>81.7666666666667</v>
      </c>
      <c r="AW79" s="15" t="n">
        <v>3386</v>
      </c>
      <c r="AX79" s="16" t="n">
        <f aca="false">AW79/31</f>
        <v>109.225806451613</v>
      </c>
      <c r="AY79" s="15" t="n">
        <v>2973</v>
      </c>
      <c r="AZ79" s="16" t="n">
        <f aca="false">AY79/30</f>
        <v>99.1</v>
      </c>
      <c r="BA79" s="15" t="n">
        <v>2891</v>
      </c>
      <c r="BB79" s="16" t="n">
        <f aca="false">BA79/31</f>
        <v>93.258064516129</v>
      </c>
      <c r="BC79" s="17" t="n">
        <f aca="false">SUM(AE79:BA79)</f>
        <v>36795.4556835638</v>
      </c>
      <c r="BD79" s="18" t="n">
        <f aca="false">IFERROR(STDEV(AF79,AH79,AJ79,AL79,AN79,AP79,AR79,AT79,AV79,AX79,AZ79,BB79),0)</f>
        <v>21.3778138100019</v>
      </c>
      <c r="BE79" s="15" t="n">
        <v>3952</v>
      </c>
      <c r="BF79" s="16" t="n">
        <f aca="false">BE79/31</f>
        <v>127.483870967742</v>
      </c>
      <c r="BG79" s="15" t="n">
        <v>4458</v>
      </c>
      <c r="BH79" s="16" t="n">
        <f aca="false">BG79/28</f>
        <v>159.214285714286</v>
      </c>
      <c r="BI79" s="15" t="n">
        <v>3095</v>
      </c>
      <c r="BJ79" s="16" t="n">
        <f aca="false">BI79/31</f>
        <v>99.8387096774194</v>
      </c>
      <c r="BK79" s="15" t="n">
        <v>3931</v>
      </c>
      <c r="BL79" s="16" t="n">
        <f aca="false">BK79/30</f>
        <v>131.033333333333</v>
      </c>
      <c r="BM79" s="15" t="n">
        <v>2755</v>
      </c>
      <c r="BN79" s="16" t="n">
        <f aca="false">BM79/31</f>
        <v>88.8709677419355</v>
      </c>
      <c r="BO79" s="15" t="n">
        <v>4064</v>
      </c>
      <c r="BP79" s="16" t="n">
        <f aca="false">BO79/30</f>
        <v>135.466666666667</v>
      </c>
      <c r="BQ79" s="15" t="n">
        <v>4340</v>
      </c>
      <c r="BR79" s="16" t="n">
        <f aca="false">BQ79/31</f>
        <v>140</v>
      </c>
      <c r="BS79" s="15" t="n">
        <v>2056</v>
      </c>
      <c r="BT79" s="16" t="n">
        <f aca="false">BS79/31</f>
        <v>66.3225806451613</v>
      </c>
      <c r="BU79" s="15" t="n">
        <v>3891</v>
      </c>
      <c r="BV79" s="16" t="n">
        <f aca="false">BU79/30</f>
        <v>129.7</v>
      </c>
      <c r="BW79" s="15" t="n">
        <v>2095</v>
      </c>
      <c r="BX79" s="16" t="n">
        <f aca="false">BW79/31</f>
        <v>67.5806451612903</v>
      </c>
      <c r="BY79" s="15" t="n">
        <v>3112</v>
      </c>
      <c r="BZ79" s="16" t="n">
        <f aca="false">BY79/30</f>
        <v>103.733333333333</v>
      </c>
      <c r="CA79" s="15" t="n">
        <v>2403</v>
      </c>
      <c r="CB79" s="16" t="n">
        <f aca="false">CA79/31</f>
        <v>77.5161290322581</v>
      </c>
      <c r="CC79" s="17" t="n">
        <f aca="false">SUM(BE79:CA79)</f>
        <v>41401.2443932412</v>
      </c>
      <c r="CD79" s="18" t="n">
        <f aca="false">IFERROR(STDEV(BF79,BH79,BJ79,BL79,BN79,BP79,BR79,BT79,BV79,BX79,BZ79,CB79),0)</f>
        <v>30.8283290594795</v>
      </c>
      <c r="CE79" s="15" t="n">
        <v>4072</v>
      </c>
      <c r="CF79" s="16" t="n">
        <f aca="false">CE79/31</f>
        <v>131.354838709677</v>
      </c>
      <c r="CG79" s="15" t="n">
        <v>4010</v>
      </c>
      <c r="CH79" s="16" t="n">
        <f aca="false">CG79/28</f>
        <v>143.214285714286</v>
      </c>
      <c r="CI79" s="15" t="n">
        <v>4038</v>
      </c>
      <c r="CJ79" s="16" t="n">
        <f aca="false">CI79/31</f>
        <v>130.258064516129</v>
      </c>
      <c r="CK79" s="15" t="n">
        <v>2231</v>
      </c>
      <c r="CL79" s="16" t="n">
        <f aca="false">CK79/30</f>
        <v>74.3666666666667</v>
      </c>
      <c r="CM79" s="15" t="n">
        <v>3884</v>
      </c>
      <c r="CN79" s="16" t="n">
        <f aca="false">CM79/31</f>
        <v>125.290322580645</v>
      </c>
      <c r="CO79" s="15" t="n">
        <v>2556</v>
      </c>
      <c r="CP79" s="16" t="n">
        <f aca="false">CO79/30</f>
        <v>85.2</v>
      </c>
      <c r="CQ79" s="15" t="n">
        <v>3892</v>
      </c>
      <c r="CR79" s="16" t="n">
        <f aca="false">CQ79/31</f>
        <v>125.548387096774</v>
      </c>
      <c r="CS79" s="15" t="n">
        <v>3052</v>
      </c>
      <c r="CT79" s="16" t="n">
        <f aca="false">CS79/31</f>
        <v>98.4516129032258</v>
      </c>
      <c r="CU79" s="15" t="n">
        <v>3806</v>
      </c>
      <c r="CV79" s="16" t="n">
        <f aca="false">CU79/30</f>
        <v>126.866666666667</v>
      </c>
      <c r="CW79" s="15" t="n">
        <v>2005</v>
      </c>
      <c r="CX79" s="16" t="n">
        <f aca="false">CW79/31</f>
        <v>64.6774193548387</v>
      </c>
      <c r="CY79" s="15" t="n">
        <v>3098</v>
      </c>
      <c r="CZ79" s="16" t="n">
        <f aca="false">CY79/30</f>
        <v>103.266666666667</v>
      </c>
      <c r="DA79" s="15" t="n">
        <v>3892</v>
      </c>
      <c r="DB79" s="16" t="n">
        <f aca="false">DA79/31</f>
        <v>125.548387096774</v>
      </c>
      <c r="DC79" s="17" t="n">
        <f aca="false">SUM(CE79:DA79)</f>
        <v>41744.4949308756</v>
      </c>
      <c r="DD79" s="18" t="n">
        <f aca="false">IFERROR(STDEV(CF79,CH79,CJ79,CL79,CN79,CP79,CR79,CT79,CV79,CX79,CZ79,DB79),0)</f>
        <v>25.3566727806897</v>
      </c>
      <c r="DE79" s="15" t="n">
        <v>2711</v>
      </c>
      <c r="DF79" s="16" t="n">
        <f aca="false">DE79/31</f>
        <v>87.4516129032258</v>
      </c>
      <c r="DG79" s="15" t="n">
        <v>3694</v>
      </c>
      <c r="DH79" s="16" t="n">
        <f aca="false">DG79/28</f>
        <v>131.928571428571</v>
      </c>
      <c r="DI79" s="15" t="n">
        <v>2608</v>
      </c>
      <c r="DJ79" s="16" t="n">
        <f aca="false">DI79/31</f>
        <v>84.1290322580645</v>
      </c>
      <c r="DK79" s="15" t="n">
        <v>3053</v>
      </c>
      <c r="DL79" s="16" t="n">
        <f aca="false">DK79/30</f>
        <v>101.766666666667</v>
      </c>
      <c r="DM79" s="15" t="n">
        <v>2265</v>
      </c>
      <c r="DN79" s="16" t="n">
        <f aca="false">DM79/31</f>
        <v>73.0645161290323</v>
      </c>
      <c r="DO79" s="15" t="n">
        <v>2289</v>
      </c>
      <c r="DP79" s="16" t="n">
        <f aca="false">DO79/30</f>
        <v>76.3</v>
      </c>
      <c r="DQ79" s="15" t="n">
        <v>2941</v>
      </c>
      <c r="DR79" s="16" t="n">
        <f aca="false">DQ79/31</f>
        <v>94.8709677419355</v>
      </c>
      <c r="DS79" s="15" t="n">
        <v>1690</v>
      </c>
      <c r="DT79" s="16" t="n">
        <f aca="false">DS79/31</f>
        <v>54.5161290322581</v>
      </c>
      <c r="DU79" s="15" t="n">
        <v>3599</v>
      </c>
      <c r="DV79" s="16" t="n">
        <f aca="false">DU79/30</f>
        <v>119.966666666667</v>
      </c>
      <c r="DW79" s="15" t="n">
        <v>2711</v>
      </c>
      <c r="DX79" s="16" t="n">
        <f aca="false">DW79/31</f>
        <v>87.4516129032258</v>
      </c>
      <c r="DY79" s="15" t="n">
        <v>2140</v>
      </c>
      <c r="DZ79" s="16" t="n">
        <f aca="false">DY79/30</f>
        <v>71.3333333333333</v>
      </c>
      <c r="EA79" s="15" t="n">
        <v>2961</v>
      </c>
      <c r="EB79" s="16" t="n">
        <f aca="false">EA79/31</f>
        <v>95.5161290322581</v>
      </c>
      <c r="EC79" s="17" t="n">
        <f aca="false">SUM(DE79:EA79)</f>
        <v>33644.779109063</v>
      </c>
      <c r="ED79" s="18" t="n">
        <f aca="false">IFERROR(STDEV(DF79,DH79,DJ79,DL79,DN79,DP79,DR79,DT79,DV79,DX79,DZ79,EB79),0)</f>
        <v>21.2728581925228</v>
      </c>
      <c r="EE79" s="19" t="n">
        <f aca="false">STDEV(F79:AB79,AF79:BB79,BF79:CB79,CF79:DB79,DF79:EB79)</f>
        <v>1612.73949377701</v>
      </c>
    </row>
    <row r="80" customFormat="false" ht="15" hidden="false" customHeight="true" outlineLevel="0" collapsed="false">
      <c r="A80" s="11" t="n">
        <v>75</v>
      </c>
      <c r="B80" s="12" t="s">
        <v>184</v>
      </c>
      <c r="C80" s="13" t="s">
        <v>185</v>
      </c>
      <c r="D80" s="14" t="s">
        <v>36</v>
      </c>
      <c r="E80" s="15" t="n">
        <v>2776</v>
      </c>
      <c r="F80" s="16" t="n">
        <f aca="false">E80/31</f>
        <v>89.5483870967742</v>
      </c>
      <c r="G80" s="15" t="n">
        <v>4791</v>
      </c>
      <c r="H80" s="16" t="n">
        <f aca="false">G80/28</f>
        <v>171.107142857143</v>
      </c>
      <c r="I80" s="15" t="n">
        <v>4721</v>
      </c>
      <c r="J80" s="16" t="n">
        <f aca="false">I80/31</f>
        <v>152.290322580645</v>
      </c>
      <c r="K80" s="15" t="n">
        <v>2832</v>
      </c>
      <c r="L80" s="16" t="n">
        <f aca="false">K80/30</f>
        <v>94.4</v>
      </c>
      <c r="M80" s="15" t="n">
        <v>2525</v>
      </c>
      <c r="N80" s="16" t="n">
        <f aca="false">M80/31</f>
        <v>81.4516129032258</v>
      </c>
      <c r="O80" s="15" t="n">
        <v>4046</v>
      </c>
      <c r="P80" s="16" t="n">
        <f aca="false">O80/30</f>
        <v>134.866666666667</v>
      </c>
      <c r="Q80" s="15" t="n">
        <v>3144</v>
      </c>
      <c r="R80" s="16" t="n">
        <f aca="false">Q80/31</f>
        <v>101.41935483871</v>
      </c>
      <c r="S80" s="15" t="n">
        <v>2684</v>
      </c>
      <c r="T80" s="16" t="n">
        <f aca="false">S80/31</f>
        <v>86.5806451612903</v>
      </c>
      <c r="U80" s="15" t="n">
        <v>3002</v>
      </c>
      <c r="V80" s="16" t="n">
        <f aca="false">U80/30</f>
        <v>100.066666666667</v>
      </c>
      <c r="W80" s="15" t="n">
        <v>2545</v>
      </c>
      <c r="X80" s="16" t="n">
        <f aca="false">W80/31</f>
        <v>82.0967741935484</v>
      </c>
      <c r="Y80" s="15" t="n">
        <v>4503</v>
      </c>
      <c r="Z80" s="16" t="n">
        <f aca="false">Y80/30</f>
        <v>150.1</v>
      </c>
      <c r="AA80" s="15" t="n">
        <v>2221</v>
      </c>
      <c r="AB80" s="16" t="n">
        <f aca="false">AA80/31</f>
        <v>71.6451612903226</v>
      </c>
      <c r="AC80" s="17" t="n">
        <f aca="false">SUM(E80:AA80)</f>
        <v>41033.9275729647</v>
      </c>
      <c r="AD80" s="18" t="n">
        <f aca="false">IFERROR(STDEV(F80,H80,J80,L80,N80,P80,R80,T80,V80,X80,Z80,AB80),0)</f>
        <v>33.2953304338106</v>
      </c>
      <c r="AE80" s="15" t="n">
        <v>2205</v>
      </c>
      <c r="AF80" s="16" t="n">
        <f aca="false">AE80/31</f>
        <v>71.1290322580645</v>
      </c>
      <c r="AG80" s="15" t="n">
        <v>4270</v>
      </c>
      <c r="AH80" s="16" t="n">
        <f aca="false">AG80/28</f>
        <v>152.5</v>
      </c>
      <c r="AI80" s="15" t="n">
        <v>3412</v>
      </c>
      <c r="AJ80" s="16" t="n">
        <f aca="false">AI80/31</f>
        <v>110.064516129032</v>
      </c>
      <c r="AK80" s="15" t="n">
        <v>3748</v>
      </c>
      <c r="AL80" s="16" t="n">
        <f aca="false">AK80/30</f>
        <v>124.933333333333</v>
      </c>
      <c r="AM80" s="15" t="n">
        <v>3122</v>
      </c>
      <c r="AN80" s="16" t="n">
        <f aca="false">AM80/31</f>
        <v>100.709677419355</v>
      </c>
      <c r="AO80" s="15" t="n">
        <v>2337</v>
      </c>
      <c r="AP80" s="16" t="n">
        <f aca="false">AO80/30</f>
        <v>77.9</v>
      </c>
      <c r="AQ80" s="15" t="n">
        <v>2527</v>
      </c>
      <c r="AR80" s="16" t="n">
        <f aca="false">AQ80/31</f>
        <v>81.5161290322581</v>
      </c>
      <c r="AS80" s="15" t="n">
        <v>2343</v>
      </c>
      <c r="AT80" s="16" t="n">
        <f aca="false">AS80/31</f>
        <v>75.5806451612903</v>
      </c>
      <c r="AU80" s="15" t="n">
        <v>3811</v>
      </c>
      <c r="AV80" s="16" t="n">
        <f aca="false">AU80/30</f>
        <v>127.033333333333</v>
      </c>
      <c r="AW80" s="15" t="n">
        <v>4680</v>
      </c>
      <c r="AX80" s="16" t="n">
        <f aca="false">AW80/31</f>
        <v>150.967741935484</v>
      </c>
      <c r="AY80" s="15" t="n">
        <v>4864</v>
      </c>
      <c r="AZ80" s="16" t="n">
        <f aca="false">AY80/30</f>
        <v>162.133333333333</v>
      </c>
      <c r="BA80" s="15" t="n">
        <v>3829</v>
      </c>
      <c r="BB80" s="16" t="n">
        <f aca="false">BA80/31</f>
        <v>123.516129032258</v>
      </c>
      <c r="BC80" s="17" t="n">
        <f aca="false">SUM(AE80:BA80)</f>
        <v>42382.4677419355</v>
      </c>
      <c r="BD80" s="18" t="n">
        <f aca="false">IFERROR(STDEV(AF80,AH80,AJ80,AL80,AN80,AP80,AR80,AT80,AV80,AX80,AZ80,BB80),0)</f>
        <v>32.1951196670972</v>
      </c>
      <c r="BE80" s="15" t="n">
        <v>1935</v>
      </c>
      <c r="BF80" s="16" t="n">
        <f aca="false">BE80/31</f>
        <v>62.4193548387097</v>
      </c>
      <c r="BG80" s="15" t="n">
        <v>3333</v>
      </c>
      <c r="BH80" s="16" t="n">
        <f aca="false">BG80/28</f>
        <v>119.035714285714</v>
      </c>
      <c r="BI80" s="15" t="n">
        <v>3469</v>
      </c>
      <c r="BJ80" s="16" t="n">
        <f aca="false">BI80/31</f>
        <v>111.903225806452</v>
      </c>
      <c r="BK80" s="15" t="n">
        <v>3684</v>
      </c>
      <c r="BL80" s="16" t="n">
        <f aca="false">BK80/30</f>
        <v>122.8</v>
      </c>
      <c r="BM80" s="15" t="n">
        <v>2093</v>
      </c>
      <c r="BN80" s="16" t="n">
        <f aca="false">BM80/31</f>
        <v>67.5161290322581</v>
      </c>
      <c r="BO80" s="15" t="n">
        <v>2349</v>
      </c>
      <c r="BP80" s="16" t="n">
        <f aca="false">BO80/30</f>
        <v>78.3</v>
      </c>
      <c r="BQ80" s="15" t="n">
        <v>4139</v>
      </c>
      <c r="BR80" s="16" t="n">
        <f aca="false">BQ80/31</f>
        <v>133.516129032258</v>
      </c>
      <c r="BS80" s="15" t="n">
        <v>3677</v>
      </c>
      <c r="BT80" s="16" t="n">
        <f aca="false">BS80/31</f>
        <v>118.612903225806</v>
      </c>
      <c r="BU80" s="15" t="n">
        <v>3601</v>
      </c>
      <c r="BV80" s="16" t="n">
        <f aca="false">BU80/30</f>
        <v>120.033333333333</v>
      </c>
      <c r="BW80" s="15" t="n">
        <v>3718</v>
      </c>
      <c r="BX80" s="16" t="n">
        <f aca="false">BW80/31</f>
        <v>119.935483870968</v>
      </c>
      <c r="BY80" s="15" t="n">
        <v>2841</v>
      </c>
      <c r="BZ80" s="16" t="n">
        <f aca="false">BY80/30</f>
        <v>94.7</v>
      </c>
      <c r="CA80" s="15" t="n">
        <v>2254</v>
      </c>
      <c r="CB80" s="16" t="n">
        <f aca="false">CA80/31</f>
        <v>72.7096774193548</v>
      </c>
      <c r="CC80" s="17" t="n">
        <f aca="false">SUM(BE80:CA80)</f>
        <v>38241.7722734255</v>
      </c>
      <c r="CD80" s="18" t="n">
        <f aca="false">IFERROR(STDEV(BF80,BH80,BJ80,BL80,BN80,BP80,BR80,BT80,BV80,BX80,BZ80,CB80),0)</f>
        <v>25.1634773619203</v>
      </c>
      <c r="CE80" s="15" t="n">
        <v>4290</v>
      </c>
      <c r="CF80" s="16" t="n">
        <f aca="false">CE80/31</f>
        <v>138.387096774194</v>
      </c>
      <c r="CG80" s="15" t="n">
        <v>3303</v>
      </c>
      <c r="CH80" s="16" t="n">
        <f aca="false">CG80/28</f>
        <v>117.964285714286</v>
      </c>
      <c r="CI80" s="15" t="n">
        <v>2637</v>
      </c>
      <c r="CJ80" s="16" t="n">
        <f aca="false">CI80/31</f>
        <v>85.0645161290323</v>
      </c>
      <c r="CK80" s="15" t="n">
        <v>4914</v>
      </c>
      <c r="CL80" s="16" t="n">
        <f aca="false">CK80/30</f>
        <v>163.8</v>
      </c>
      <c r="CM80" s="15" t="n">
        <v>3682</v>
      </c>
      <c r="CN80" s="16" t="n">
        <f aca="false">CM80/31</f>
        <v>118.774193548387</v>
      </c>
      <c r="CO80" s="15" t="n">
        <v>3540</v>
      </c>
      <c r="CP80" s="16" t="n">
        <f aca="false">CO80/30</f>
        <v>118</v>
      </c>
      <c r="CQ80" s="15" t="n">
        <v>3114</v>
      </c>
      <c r="CR80" s="16" t="n">
        <f aca="false">CQ80/31</f>
        <v>100.451612903226</v>
      </c>
      <c r="CS80" s="15" t="n">
        <v>4313</v>
      </c>
      <c r="CT80" s="16" t="n">
        <f aca="false">CS80/31</f>
        <v>139.129032258065</v>
      </c>
      <c r="CU80" s="15" t="n">
        <v>2801</v>
      </c>
      <c r="CV80" s="16" t="n">
        <f aca="false">CU80/30</f>
        <v>93.3666666666667</v>
      </c>
      <c r="CW80" s="15" t="n">
        <v>2792</v>
      </c>
      <c r="CX80" s="16" t="n">
        <f aca="false">CW80/31</f>
        <v>90.0645161290323</v>
      </c>
      <c r="CY80" s="15" t="n">
        <v>3272</v>
      </c>
      <c r="CZ80" s="16" t="n">
        <f aca="false">CY80/30</f>
        <v>109.066666666667</v>
      </c>
      <c r="DA80" s="15" t="n">
        <v>4419</v>
      </c>
      <c r="DB80" s="16" t="n">
        <f aca="false">DA80/31</f>
        <v>142.548387096774</v>
      </c>
      <c r="DC80" s="17" t="n">
        <f aca="false">SUM(CE80:DA80)</f>
        <v>44351.0685867896</v>
      </c>
      <c r="DD80" s="18" t="n">
        <f aca="false">IFERROR(STDEV(CF80,CH80,CJ80,CL80,CN80,CP80,CR80,CT80,CV80,CX80,CZ80,DB80),0)</f>
        <v>24.1634411306757</v>
      </c>
      <c r="DE80" s="15" t="n">
        <v>2794</v>
      </c>
      <c r="DF80" s="16" t="n">
        <f aca="false">DE80/31</f>
        <v>90.1290322580645</v>
      </c>
      <c r="DG80" s="15" t="n">
        <v>4309</v>
      </c>
      <c r="DH80" s="16" t="n">
        <f aca="false">DG80/28</f>
        <v>153.892857142857</v>
      </c>
      <c r="DI80" s="15" t="n">
        <v>4535</v>
      </c>
      <c r="DJ80" s="16" t="n">
        <f aca="false">DI80/31</f>
        <v>146.290322580645</v>
      </c>
      <c r="DK80" s="15" t="n">
        <v>3555</v>
      </c>
      <c r="DL80" s="16" t="n">
        <f aca="false">DK80/30</f>
        <v>118.5</v>
      </c>
      <c r="DM80" s="15" t="n">
        <v>2231</v>
      </c>
      <c r="DN80" s="16" t="n">
        <f aca="false">DM80/31</f>
        <v>71.9677419354839</v>
      </c>
      <c r="DO80" s="15" t="n">
        <v>2466</v>
      </c>
      <c r="DP80" s="16" t="n">
        <f aca="false">DO80/30</f>
        <v>82.2</v>
      </c>
      <c r="DQ80" s="15" t="n">
        <v>2849</v>
      </c>
      <c r="DR80" s="16" t="n">
        <f aca="false">DQ80/31</f>
        <v>91.9032258064516</v>
      </c>
      <c r="DS80" s="15" t="n">
        <v>2761</v>
      </c>
      <c r="DT80" s="16" t="n">
        <f aca="false">DS80/31</f>
        <v>89.0645161290323</v>
      </c>
      <c r="DU80" s="15" t="n">
        <v>3044</v>
      </c>
      <c r="DV80" s="16" t="n">
        <f aca="false">DU80/30</f>
        <v>101.466666666667</v>
      </c>
      <c r="DW80" s="15" t="n">
        <v>2046</v>
      </c>
      <c r="DX80" s="16" t="n">
        <f aca="false">DW80/31</f>
        <v>66</v>
      </c>
      <c r="DY80" s="15" t="n">
        <v>3782</v>
      </c>
      <c r="DZ80" s="16" t="n">
        <f aca="false">DY80/30</f>
        <v>126.066666666667</v>
      </c>
      <c r="EA80" s="15" t="n">
        <v>3076</v>
      </c>
      <c r="EB80" s="16" t="n">
        <f aca="false">EA80/31</f>
        <v>99.2258064516129</v>
      </c>
      <c r="EC80" s="17" t="n">
        <f aca="false">SUM(DE80:EA80)</f>
        <v>38585.4810291859</v>
      </c>
      <c r="ED80" s="18" t="n">
        <f aca="false">IFERROR(STDEV(DF80,DH80,DJ80,DL80,DN80,DP80,DR80,DT80,DV80,DX80,DZ80,EB80),0)</f>
        <v>27.7990336999517</v>
      </c>
      <c r="EE80" s="19" t="n">
        <f aca="false">STDEV(F80:AB80,AF80:BB80,BF80:CB80,CF80:DB80,DF80:EB80)</f>
        <v>1721.90297328202</v>
      </c>
    </row>
    <row r="81" customFormat="false" ht="15" hidden="false" customHeight="true" outlineLevel="0" collapsed="false">
      <c r="A81" s="11" t="n">
        <v>76</v>
      </c>
      <c r="B81" s="12" t="s">
        <v>186</v>
      </c>
      <c r="C81" s="13" t="s">
        <v>187</v>
      </c>
      <c r="D81" s="14" t="s">
        <v>36</v>
      </c>
      <c r="E81" s="15" t="n">
        <v>2844</v>
      </c>
      <c r="F81" s="16" t="n">
        <f aca="false">E81/31</f>
        <v>91.741935483871</v>
      </c>
      <c r="G81" s="15" t="n">
        <v>2337</v>
      </c>
      <c r="H81" s="16" t="n">
        <f aca="false">G81/28</f>
        <v>83.4642857142857</v>
      </c>
      <c r="I81" s="15" t="n">
        <v>4885</v>
      </c>
      <c r="J81" s="16" t="n">
        <f aca="false">I81/31</f>
        <v>157.58064516129</v>
      </c>
      <c r="K81" s="15" t="n">
        <v>4639</v>
      </c>
      <c r="L81" s="16" t="n">
        <f aca="false">K81/30</f>
        <v>154.633333333333</v>
      </c>
      <c r="M81" s="15" t="n">
        <v>3006</v>
      </c>
      <c r="N81" s="16" t="n">
        <f aca="false">M81/31</f>
        <v>96.9677419354839</v>
      </c>
      <c r="O81" s="15" t="n">
        <v>4472</v>
      </c>
      <c r="P81" s="16" t="n">
        <f aca="false">O81/30</f>
        <v>149.066666666667</v>
      </c>
      <c r="Q81" s="15" t="n">
        <v>4281</v>
      </c>
      <c r="R81" s="16" t="n">
        <f aca="false">Q81/31</f>
        <v>138.096774193548</v>
      </c>
      <c r="S81" s="15" t="n">
        <v>3919</v>
      </c>
      <c r="T81" s="16" t="n">
        <f aca="false">S81/31</f>
        <v>126.41935483871</v>
      </c>
      <c r="U81" s="15" t="n">
        <v>3458</v>
      </c>
      <c r="V81" s="16" t="n">
        <f aca="false">U81/30</f>
        <v>115.266666666667</v>
      </c>
      <c r="W81" s="15" t="n">
        <v>3873</v>
      </c>
      <c r="X81" s="16" t="n">
        <f aca="false">W81/31</f>
        <v>124.935483870968</v>
      </c>
      <c r="Y81" s="15" t="n">
        <v>3793</v>
      </c>
      <c r="Z81" s="16" t="n">
        <f aca="false">Y81/30</f>
        <v>126.433333333333</v>
      </c>
      <c r="AA81" s="15" t="n">
        <v>3957</v>
      </c>
      <c r="AB81" s="16" t="n">
        <f aca="false">AA81/31</f>
        <v>127.645161290323</v>
      </c>
      <c r="AC81" s="17" t="n">
        <f aca="false">SUM(E81:AA81)</f>
        <v>46828.6062211982</v>
      </c>
      <c r="AD81" s="18" t="n">
        <f aca="false">IFERROR(STDEV(F81,H81,J81,L81,N81,P81,R81,T81,V81,X81,Z81,AB81),0)</f>
        <v>24.1365229461975</v>
      </c>
      <c r="AE81" s="15" t="n">
        <v>4465</v>
      </c>
      <c r="AF81" s="16" t="n">
        <f aca="false">AE81/31</f>
        <v>144.032258064516</v>
      </c>
      <c r="AG81" s="15" t="n">
        <v>3514</v>
      </c>
      <c r="AH81" s="16" t="n">
        <f aca="false">AG81/28</f>
        <v>125.5</v>
      </c>
      <c r="AI81" s="15" t="n">
        <v>4557</v>
      </c>
      <c r="AJ81" s="16" t="n">
        <f aca="false">AI81/31</f>
        <v>147</v>
      </c>
      <c r="AK81" s="15" t="n">
        <v>2819</v>
      </c>
      <c r="AL81" s="16" t="n">
        <f aca="false">AK81/30</f>
        <v>93.9666666666667</v>
      </c>
      <c r="AM81" s="15" t="n">
        <v>4171</v>
      </c>
      <c r="AN81" s="16" t="n">
        <f aca="false">AM81/31</f>
        <v>134.548387096774</v>
      </c>
      <c r="AO81" s="15" t="n">
        <v>2675</v>
      </c>
      <c r="AP81" s="16" t="n">
        <f aca="false">AO81/30</f>
        <v>89.1666666666667</v>
      </c>
      <c r="AQ81" s="15" t="n">
        <v>5193</v>
      </c>
      <c r="AR81" s="16" t="n">
        <f aca="false">AQ81/31</f>
        <v>167.516129032258</v>
      </c>
      <c r="AS81" s="15" t="n">
        <v>2882</v>
      </c>
      <c r="AT81" s="16" t="n">
        <f aca="false">AS81/31</f>
        <v>92.9677419354839</v>
      </c>
      <c r="AU81" s="15" t="n">
        <v>5319</v>
      </c>
      <c r="AV81" s="16" t="n">
        <f aca="false">AU81/30</f>
        <v>177.3</v>
      </c>
      <c r="AW81" s="15" t="n">
        <v>3119</v>
      </c>
      <c r="AX81" s="16" t="n">
        <f aca="false">AW81/31</f>
        <v>100.612903225806</v>
      </c>
      <c r="AY81" s="15" t="n">
        <v>4047</v>
      </c>
      <c r="AZ81" s="16" t="n">
        <f aca="false">AY81/30</f>
        <v>134.9</v>
      </c>
      <c r="BA81" s="15" t="n">
        <v>2781</v>
      </c>
      <c r="BB81" s="16" t="n">
        <f aca="false">BA81/31</f>
        <v>89.7096774193548</v>
      </c>
      <c r="BC81" s="17" t="n">
        <f aca="false">SUM(AE81:BA81)</f>
        <v>46949.5107526882</v>
      </c>
      <c r="BD81" s="18" t="n">
        <f aca="false">IFERROR(STDEV(AF81,AH81,AJ81,AL81,AN81,AP81,AR81,AT81,AV81,AX81,AZ81,BB81),0)</f>
        <v>31.1757837346894</v>
      </c>
      <c r="BE81" s="15" t="n">
        <v>4464</v>
      </c>
      <c r="BF81" s="16" t="n">
        <f aca="false">BE81/31</f>
        <v>144</v>
      </c>
      <c r="BG81" s="15" t="n">
        <v>5360</v>
      </c>
      <c r="BH81" s="16" t="n">
        <f aca="false">BG81/28</f>
        <v>191.428571428571</v>
      </c>
      <c r="BI81" s="15" t="n">
        <v>4758</v>
      </c>
      <c r="BJ81" s="16" t="n">
        <f aca="false">BI81/31</f>
        <v>153.483870967742</v>
      </c>
      <c r="BK81" s="15" t="n">
        <v>4311</v>
      </c>
      <c r="BL81" s="16" t="n">
        <f aca="false">BK81/30</f>
        <v>143.7</v>
      </c>
      <c r="BM81" s="15" t="n">
        <v>4904</v>
      </c>
      <c r="BN81" s="16" t="n">
        <f aca="false">BM81/31</f>
        <v>158.193548387097</v>
      </c>
      <c r="BO81" s="15" t="n">
        <v>3399</v>
      </c>
      <c r="BP81" s="16" t="n">
        <f aca="false">BO81/30</f>
        <v>113.3</v>
      </c>
      <c r="BQ81" s="15" t="n">
        <v>3772</v>
      </c>
      <c r="BR81" s="16" t="n">
        <f aca="false">BQ81/31</f>
        <v>121.677419354839</v>
      </c>
      <c r="BS81" s="15" t="n">
        <v>4582</v>
      </c>
      <c r="BT81" s="16" t="n">
        <f aca="false">BS81/31</f>
        <v>147.806451612903</v>
      </c>
      <c r="BU81" s="15" t="n">
        <v>2774</v>
      </c>
      <c r="BV81" s="16" t="n">
        <f aca="false">BU81/30</f>
        <v>92.4666666666667</v>
      </c>
      <c r="BW81" s="15" t="n">
        <v>5678</v>
      </c>
      <c r="BX81" s="16" t="n">
        <f aca="false">BW81/31</f>
        <v>183.161290322581</v>
      </c>
      <c r="BY81" s="15" t="n">
        <v>3240</v>
      </c>
      <c r="BZ81" s="16" t="n">
        <f aca="false">BY81/30</f>
        <v>108</v>
      </c>
      <c r="CA81" s="15" t="n">
        <v>4195</v>
      </c>
      <c r="CB81" s="16" t="n">
        <f aca="false">CA81/31</f>
        <v>135.322580645161</v>
      </c>
      <c r="CC81" s="17" t="n">
        <f aca="false">SUM(BE81:CA81)</f>
        <v>52994.2178187404</v>
      </c>
      <c r="CD81" s="18" t="n">
        <f aca="false">IFERROR(STDEV(BF81,BH81,BJ81,BL81,BN81,BP81,BR81,BT81,BV81,BX81,BZ81,CB81),0)</f>
        <v>29.3134214743083</v>
      </c>
      <c r="CE81" s="15" t="n">
        <v>4392</v>
      </c>
      <c r="CF81" s="16" t="n">
        <f aca="false">CE81/31</f>
        <v>141.677419354839</v>
      </c>
      <c r="CG81" s="15" t="n">
        <v>2223</v>
      </c>
      <c r="CH81" s="16" t="n">
        <f aca="false">CG81/28</f>
        <v>79.3928571428571</v>
      </c>
      <c r="CI81" s="15" t="n">
        <v>4154</v>
      </c>
      <c r="CJ81" s="16" t="n">
        <f aca="false">CI81/31</f>
        <v>134</v>
      </c>
      <c r="CK81" s="15" t="n">
        <v>2171</v>
      </c>
      <c r="CL81" s="16" t="n">
        <f aca="false">CK81/30</f>
        <v>72.3666666666667</v>
      </c>
      <c r="CM81" s="15" t="n">
        <v>3503</v>
      </c>
      <c r="CN81" s="16" t="n">
        <f aca="false">CM81/31</f>
        <v>113</v>
      </c>
      <c r="CO81" s="15" t="n">
        <v>4522</v>
      </c>
      <c r="CP81" s="16" t="n">
        <f aca="false">CO81/30</f>
        <v>150.733333333333</v>
      </c>
      <c r="CQ81" s="15" t="n">
        <v>3123</v>
      </c>
      <c r="CR81" s="16" t="n">
        <f aca="false">CQ81/31</f>
        <v>100.741935483871</v>
      </c>
      <c r="CS81" s="15" t="n">
        <v>2997</v>
      </c>
      <c r="CT81" s="16" t="n">
        <f aca="false">CS81/31</f>
        <v>96.6774193548387</v>
      </c>
      <c r="CU81" s="15" t="n">
        <v>3906</v>
      </c>
      <c r="CV81" s="16" t="n">
        <f aca="false">CU81/30</f>
        <v>130.2</v>
      </c>
      <c r="CW81" s="15" t="n">
        <v>4215</v>
      </c>
      <c r="CX81" s="16" t="n">
        <f aca="false">CW81/31</f>
        <v>135.967741935484</v>
      </c>
      <c r="CY81" s="15" t="n">
        <v>2721</v>
      </c>
      <c r="CZ81" s="16" t="n">
        <f aca="false">CY81/30</f>
        <v>90.7</v>
      </c>
      <c r="DA81" s="15" t="n">
        <v>2118</v>
      </c>
      <c r="DB81" s="16" t="n">
        <f aca="false">DA81/31</f>
        <v>68.3225806451613</v>
      </c>
      <c r="DC81" s="17" t="n">
        <f aca="false">SUM(CE81:DA81)</f>
        <v>41290.4573732719</v>
      </c>
      <c r="DD81" s="18" t="n">
        <f aca="false">IFERROR(STDEV(CF81,CH81,CJ81,CL81,CN81,CP81,CR81,CT81,CV81,CX81,CZ81,DB81),0)</f>
        <v>28.6872921674619</v>
      </c>
      <c r="DE81" s="15" t="n">
        <v>3041</v>
      </c>
      <c r="DF81" s="16" t="n">
        <f aca="false">DE81/31</f>
        <v>98.0967741935484</v>
      </c>
      <c r="DG81" s="15" t="n">
        <v>3907</v>
      </c>
      <c r="DH81" s="16" t="n">
        <f aca="false">DG81/28</f>
        <v>139.535714285714</v>
      </c>
      <c r="DI81" s="15" t="n">
        <v>6281</v>
      </c>
      <c r="DJ81" s="16" t="n">
        <f aca="false">DI81/31</f>
        <v>202.612903225806</v>
      </c>
      <c r="DK81" s="15" t="n">
        <v>6341</v>
      </c>
      <c r="DL81" s="16" t="n">
        <f aca="false">DK81/30</f>
        <v>211.366666666667</v>
      </c>
      <c r="DM81" s="15" t="n">
        <v>3140</v>
      </c>
      <c r="DN81" s="16" t="n">
        <f aca="false">DM81/31</f>
        <v>101.290322580645</v>
      </c>
      <c r="DO81" s="15" t="n">
        <v>5468</v>
      </c>
      <c r="DP81" s="16" t="n">
        <f aca="false">DO81/30</f>
        <v>182.266666666667</v>
      </c>
      <c r="DQ81" s="15" t="n">
        <v>4751</v>
      </c>
      <c r="DR81" s="16" t="n">
        <f aca="false">DQ81/31</f>
        <v>153.258064516129</v>
      </c>
      <c r="DS81" s="15" t="n">
        <v>3482</v>
      </c>
      <c r="DT81" s="16" t="n">
        <f aca="false">DS81/31</f>
        <v>112.322580645161</v>
      </c>
      <c r="DU81" s="15" t="n">
        <v>4731</v>
      </c>
      <c r="DV81" s="16" t="n">
        <f aca="false">DU81/30</f>
        <v>157.7</v>
      </c>
      <c r="DW81" s="15" t="n">
        <v>3702</v>
      </c>
      <c r="DX81" s="16" t="n">
        <f aca="false">DW81/31</f>
        <v>119.41935483871</v>
      </c>
      <c r="DY81" s="15" t="n">
        <v>5098</v>
      </c>
      <c r="DZ81" s="16" t="n">
        <f aca="false">DY81/30</f>
        <v>169.933333333333</v>
      </c>
      <c r="EA81" s="15" t="n">
        <v>3443</v>
      </c>
      <c r="EB81" s="16" t="n">
        <f aca="false">EA81/31</f>
        <v>111.064516129032</v>
      </c>
      <c r="EC81" s="17" t="n">
        <f aca="false">SUM(DE81:EA81)</f>
        <v>55032.8023809524</v>
      </c>
      <c r="ED81" s="18" t="n">
        <f aca="false">IFERROR(STDEV(DF81,DH81,DJ81,DL81,DN81,DP81,DR81,DT81,DV81,DX81,DZ81,EB81),0)</f>
        <v>39.2523144056202</v>
      </c>
      <c r="EE81" s="19" t="n">
        <f aca="false">STDEV(F81:AB81,AF81:BB81,BF81:CB81,CF81:DB81,DF81:EB81)</f>
        <v>2034.9831686595</v>
      </c>
    </row>
    <row r="82" customFormat="false" ht="15" hidden="false" customHeight="true" outlineLevel="0" collapsed="false">
      <c r="A82" s="11" t="n">
        <v>77</v>
      </c>
      <c r="B82" s="12" t="s">
        <v>188</v>
      </c>
      <c r="C82" s="13" t="s">
        <v>189</v>
      </c>
      <c r="D82" s="14" t="s">
        <v>36</v>
      </c>
      <c r="E82" s="15" t="n">
        <v>1773</v>
      </c>
      <c r="F82" s="16" t="n">
        <f aca="false">E82/31</f>
        <v>57.1935483870968</v>
      </c>
      <c r="G82" s="15" t="n">
        <v>1378</v>
      </c>
      <c r="H82" s="16" t="n">
        <f aca="false">G82/28</f>
        <v>49.2142857142857</v>
      </c>
      <c r="I82" s="15" t="n">
        <v>1012</v>
      </c>
      <c r="J82" s="16" t="n">
        <f aca="false">I82/31</f>
        <v>32.6451612903226</v>
      </c>
      <c r="K82" s="15" t="n">
        <v>1643</v>
      </c>
      <c r="L82" s="16" t="n">
        <f aca="false">K82/30</f>
        <v>54.7666666666667</v>
      </c>
      <c r="M82" s="15" t="n">
        <v>1311</v>
      </c>
      <c r="N82" s="16" t="n">
        <f aca="false">M82/31</f>
        <v>42.2903225806452</v>
      </c>
      <c r="O82" s="15" t="n">
        <v>1430</v>
      </c>
      <c r="P82" s="16" t="n">
        <f aca="false">O82/30</f>
        <v>47.6666666666667</v>
      </c>
      <c r="Q82" s="15" t="n">
        <v>1674</v>
      </c>
      <c r="R82" s="16" t="n">
        <f aca="false">Q82/31</f>
        <v>54</v>
      </c>
      <c r="S82" s="15" t="n">
        <v>1931</v>
      </c>
      <c r="T82" s="16" t="n">
        <f aca="false">S82/31</f>
        <v>62.2903225806452</v>
      </c>
      <c r="U82" s="15" t="n">
        <v>1084</v>
      </c>
      <c r="V82" s="16" t="n">
        <f aca="false">U82/30</f>
        <v>36.1333333333333</v>
      </c>
      <c r="W82" s="15" t="n">
        <v>1101</v>
      </c>
      <c r="X82" s="16" t="n">
        <f aca="false">W82/31</f>
        <v>35.5161290322581</v>
      </c>
      <c r="Y82" s="15" t="n">
        <v>1362</v>
      </c>
      <c r="Z82" s="16" t="n">
        <f aca="false">Y82/30</f>
        <v>45.4</v>
      </c>
      <c r="AA82" s="15" t="n">
        <v>1286</v>
      </c>
      <c r="AB82" s="16" t="n">
        <f aca="false">AA82/31</f>
        <v>41.4838709677419</v>
      </c>
      <c r="AC82" s="17" t="n">
        <f aca="false">SUM(E82:AA82)</f>
        <v>17502.1164362519</v>
      </c>
      <c r="AD82" s="18" t="n">
        <f aca="false">IFERROR(STDEV(F82,H82,J82,L82,N82,P82,R82,T82,V82,X82,Z82,AB82),0)</f>
        <v>9.34750894737636</v>
      </c>
      <c r="AE82" s="15" t="n">
        <v>957</v>
      </c>
      <c r="AF82" s="16" t="n">
        <f aca="false">AE82/31</f>
        <v>30.8709677419355</v>
      </c>
      <c r="AG82" s="15" t="n">
        <v>1842</v>
      </c>
      <c r="AH82" s="16" t="n">
        <f aca="false">AG82/28</f>
        <v>65.7857142857143</v>
      </c>
      <c r="AI82" s="15" t="n">
        <v>1257</v>
      </c>
      <c r="AJ82" s="16" t="n">
        <f aca="false">AI82/31</f>
        <v>40.5483870967742</v>
      </c>
      <c r="AK82" s="15" t="n">
        <v>1162</v>
      </c>
      <c r="AL82" s="16" t="n">
        <f aca="false">AK82/30</f>
        <v>38.7333333333333</v>
      </c>
      <c r="AM82" s="15" t="n">
        <v>1122</v>
      </c>
      <c r="AN82" s="16" t="n">
        <f aca="false">AM82/31</f>
        <v>36.1935483870968</v>
      </c>
      <c r="AO82" s="15" t="n">
        <v>1835</v>
      </c>
      <c r="AP82" s="16" t="n">
        <f aca="false">AO82/30</f>
        <v>61.1666666666667</v>
      </c>
      <c r="AQ82" s="15" t="n">
        <v>1132</v>
      </c>
      <c r="AR82" s="16" t="n">
        <f aca="false">AQ82/31</f>
        <v>36.5161290322581</v>
      </c>
      <c r="AS82" s="15" t="n">
        <v>1182</v>
      </c>
      <c r="AT82" s="16" t="n">
        <f aca="false">AS82/31</f>
        <v>38.1290322580645</v>
      </c>
      <c r="AU82" s="15" t="n">
        <v>1596</v>
      </c>
      <c r="AV82" s="16" t="n">
        <f aca="false">AU82/30</f>
        <v>53.2</v>
      </c>
      <c r="AW82" s="15" t="n">
        <v>1244</v>
      </c>
      <c r="AX82" s="16" t="n">
        <f aca="false">AW82/31</f>
        <v>40.1290322580645</v>
      </c>
      <c r="AY82" s="15" t="n">
        <v>1555</v>
      </c>
      <c r="AZ82" s="16" t="n">
        <f aca="false">AY82/30</f>
        <v>51.8333333333333</v>
      </c>
      <c r="BA82" s="15" t="n">
        <v>1431</v>
      </c>
      <c r="BB82" s="16" t="n">
        <f aca="false">BA82/31</f>
        <v>46.1612903225807</v>
      </c>
      <c r="BC82" s="17" t="n">
        <f aca="false">SUM(AE82:BA82)</f>
        <v>16808.1061443932</v>
      </c>
      <c r="BD82" s="18" t="n">
        <f aca="false">IFERROR(STDEV(AF82,AH82,AJ82,AL82,AN82,AP82,AR82,AT82,AV82,AX82,AZ82,BB82),0)</f>
        <v>10.820137162242</v>
      </c>
      <c r="BE82" s="15" t="n">
        <v>1224</v>
      </c>
      <c r="BF82" s="16" t="n">
        <f aca="false">BE82/31</f>
        <v>39.4838709677419</v>
      </c>
      <c r="BG82" s="15" t="n">
        <v>898</v>
      </c>
      <c r="BH82" s="16" t="n">
        <f aca="false">BG82/28</f>
        <v>32.0714285714286</v>
      </c>
      <c r="BI82" s="15" t="n">
        <v>1412</v>
      </c>
      <c r="BJ82" s="16" t="n">
        <f aca="false">BI82/31</f>
        <v>45.5483870967742</v>
      </c>
      <c r="BK82" s="15" t="n">
        <v>1562</v>
      </c>
      <c r="BL82" s="16" t="n">
        <f aca="false">BK82/30</f>
        <v>52.0666666666667</v>
      </c>
      <c r="BM82" s="15" t="n">
        <v>936</v>
      </c>
      <c r="BN82" s="16" t="n">
        <f aca="false">BM82/31</f>
        <v>30.1935483870968</v>
      </c>
      <c r="BO82" s="15" t="n">
        <v>1595</v>
      </c>
      <c r="BP82" s="16" t="n">
        <f aca="false">BO82/30</f>
        <v>53.1666666666667</v>
      </c>
      <c r="BQ82" s="15" t="n">
        <v>1116</v>
      </c>
      <c r="BR82" s="16" t="n">
        <f aca="false">BQ82/31</f>
        <v>36</v>
      </c>
      <c r="BS82" s="15" t="n">
        <v>1069</v>
      </c>
      <c r="BT82" s="16" t="n">
        <f aca="false">BS82/31</f>
        <v>34.4838709677419</v>
      </c>
      <c r="BU82" s="15" t="n">
        <v>1376</v>
      </c>
      <c r="BV82" s="16" t="n">
        <f aca="false">BU82/30</f>
        <v>45.8666666666667</v>
      </c>
      <c r="BW82" s="15" t="n">
        <v>1615</v>
      </c>
      <c r="BX82" s="16" t="n">
        <f aca="false">BW82/31</f>
        <v>52.0967741935484</v>
      </c>
      <c r="BY82" s="15" t="n">
        <v>1254</v>
      </c>
      <c r="BZ82" s="16" t="n">
        <f aca="false">BY82/30</f>
        <v>41.8</v>
      </c>
      <c r="CA82" s="15" t="n">
        <v>1181</v>
      </c>
      <c r="CB82" s="16" t="n">
        <f aca="false">CA82/31</f>
        <v>38.0967741935484</v>
      </c>
      <c r="CC82" s="17" t="n">
        <f aca="false">SUM(BE82:CA82)</f>
        <v>15700.7778801843</v>
      </c>
      <c r="CD82" s="18" t="n">
        <f aca="false">IFERROR(STDEV(BF82,BH82,BJ82,BL82,BN82,BP82,BR82,BT82,BV82,BX82,BZ82,CB82),0)</f>
        <v>8.01573653546191</v>
      </c>
      <c r="CE82" s="15" t="n">
        <v>2354</v>
      </c>
      <c r="CF82" s="16" t="n">
        <f aca="false">CE82/31</f>
        <v>75.9354838709677</v>
      </c>
      <c r="CG82" s="15" t="n">
        <v>1420</v>
      </c>
      <c r="CH82" s="16" t="n">
        <f aca="false">CG82/28</f>
        <v>50.7142857142857</v>
      </c>
      <c r="CI82" s="15" t="n">
        <v>1418</v>
      </c>
      <c r="CJ82" s="16" t="n">
        <f aca="false">CI82/31</f>
        <v>45.741935483871</v>
      </c>
      <c r="CK82" s="15" t="n">
        <v>1312</v>
      </c>
      <c r="CL82" s="16" t="n">
        <f aca="false">CK82/30</f>
        <v>43.7333333333333</v>
      </c>
      <c r="CM82" s="15" t="n">
        <v>2168</v>
      </c>
      <c r="CN82" s="16" t="n">
        <f aca="false">CM82/31</f>
        <v>69.9354838709677</v>
      </c>
      <c r="CO82" s="15" t="n">
        <v>1042</v>
      </c>
      <c r="CP82" s="16" t="n">
        <f aca="false">CO82/30</f>
        <v>34.7333333333333</v>
      </c>
      <c r="CQ82" s="15" t="n">
        <v>2123</v>
      </c>
      <c r="CR82" s="16" t="n">
        <f aca="false">CQ82/31</f>
        <v>68.4838709677419</v>
      </c>
      <c r="CS82" s="15" t="n">
        <v>1944</v>
      </c>
      <c r="CT82" s="16" t="n">
        <f aca="false">CS82/31</f>
        <v>62.7096774193548</v>
      </c>
      <c r="CU82" s="15" t="n">
        <v>1385</v>
      </c>
      <c r="CV82" s="16" t="n">
        <f aca="false">CU82/30</f>
        <v>46.1666666666667</v>
      </c>
      <c r="CW82" s="15" t="n">
        <v>1760</v>
      </c>
      <c r="CX82" s="16" t="n">
        <f aca="false">CW82/31</f>
        <v>56.7741935483871</v>
      </c>
      <c r="CY82" s="15" t="n">
        <v>1764</v>
      </c>
      <c r="CZ82" s="16" t="n">
        <f aca="false">CY82/30</f>
        <v>58.8</v>
      </c>
      <c r="DA82" s="15" t="n">
        <v>2263</v>
      </c>
      <c r="DB82" s="16" t="n">
        <f aca="false">DA82/31</f>
        <v>73</v>
      </c>
      <c r="DC82" s="17" t="n">
        <f aca="false">SUM(CE82:DA82)</f>
        <v>21566.7282642089</v>
      </c>
      <c r="DD82" s="18" t="n">
        <f aca="false">IFERROR(STDEV(CF82,CH82,CJ82,CL82,CN82,CP82,CR82,CT82,CV82,CX82,CZ82,DB82),0)</f>
        <v>13.1579700177186</v>
      </c>
      <c r="DE82" s="15" t="n">
        <v>1058</v>
      </c>
      <c r="DF82" s="16" t="n">
        <f aca="false">DE82/31</f>
        <v>34.1290322580645</v>
      </c>
      <c r="DG82" s="15" t="n">
        <v>921</v>
      </c>
      <c r="DH82" s="16" t="n">
        <f aca="false">DG82/28</f>
        <v>32.8928571428571</v>
      </c>
      <c r="DI82" s="15" t="n">
        <v>1293</v>
      </c>
      <c r="DJ82" s="16" t="n">
        <f aca="false">DI82/31</f>
        <v>41.7096774193548</v>
      </c>
      <c r="DK82" s="15" t="n">
        <v>1039</v>
      </c>
      <c r="DL82" s="16" t="n">
        <f aca="false">DK82/30</f>
        <v>34.6333333333333</v>
      </c>
      <c r="DM82" s="15" t="n">
        <v>1307</v>
      </c>
      <c r="DN82" s="16" t="n">
        <f aca="false">DM82/31</f>
        <v>42.1612903225807</v>
      </c>
      <c r="DO82" s="15" t="n">
        <v>1558</v>
      </c>
      <c r="DP82" s="16" t="n">
        <f aca="false">DO82/30</f>
        <v>51.9333333333333</v>
      </c>
      <c r="DQ82" s="15" t="n">
        <v>1150</v>
      </c>
      <c r="DR82" s="16" t="n">
        <f aca="false">DQ82/31</f>
        <v>37.0967741935484</v>
      </c>
      <c r="DS82" s="15" t="n">
        <v>1826</v>
      </c>
      <c r="DT82" s="16" t="n">
        <f aca="false">DS82/31</f>
        <v>58.9032258064516</v>
      </c>
      <c r="DU82" s="15" t="n">
        <v>985</v>
      </c>
      <c r="DV82" s="16" t="n">
        <f aca="false">DU82/30</f>
        <v>32.8333333333333</v>
      </c>
      <c r="DW82" s="15" t="n">
        <v>1345</v>
      </c>
      <c r="DX82" s="16" t="n">
        <f aca="false">DW82/31</f>
        <v>43.3870967741936</v>
      </c>
      <c r="DY82" s="15" t="n">
        <v>1951</v>
      </c>
      <c r="DZ82" s="16" t="n">
        <f aca="false">DY82/30</f>
        <v>65.0333333333333</v>
      </c>
      <c r="EA82" s="15" t="n">
        <v>1736</v>
      </c>
      <c r="EB82" s="16" t="n">
        <f aca="false">EA82/31</f>
        <v>56</v>
      </c>
      <c r="EC82" s="17" t="n">
        <f aca="false">SUM(DE82:EA82)</f>
        <v>16643.7132872504</v>
      </c>
      <c r="ED82" s="18" t="n">
        <f aca="false">IFERROR(STDEV(DF82,DH82,DJ82,DL82,DN82,DP82,DR82,DT82,DV82,DX82,DZ82,EB82),0)</f>
        <v>11.1221386823032</v>
      </c>
      <c r="EE82" s="19" t="n">
        <f aca="false">STDEV(F82:AB82,AF82:BB82,BF82:CB82,CF82:DB82,DF82:EB82)</f>
        <v>728.566786207175</v>
      </c>
    </row>
    <row r="83" customFormat="false" ht="15" hidden="false" customHeight="true" outlineLevel="0" collapsed="false">
      <c r="A83" s="11" t="n">
        <v>78</v>
      </c>
      <c r="B83" s="12" t="s">
        <v>190</v>
      </c>
      <c r="C83" s="13" t="s">
        <v>191</v>
      </c>
      <c r="D83" s="14" t="s">
        <v>36</v>
      </c>
      <c r="E83" s="15" t="n">
        <v>3346</v>
      </c>
      <c r="F83" s="16" t="n">
        <f aca="false">E83/31</f>
        <v>107.935483870968</v>
      </c>
      <c r="G83" s="15" t="n">
        <v>3503</v>
      </c>
      <c r="H83" s="16" t="n">
        <f aca="false">G83/28</f>
        <v>125.107142857143</v>
      </c>
      <c r="I83" s="15" t="n">
        <v>2095</v>
      </c>
      <c r="J83" s="16" t="n">
        <f aca="false">I83/31</f>
        <v>67.5806451612903</v>
      </c>
      <c r="K83" s="15" t="n">
        <v>3578</v>
      </c>
      <c r="L83" s="16" t="n">
        <f aca="false">K83/30</f>
        <v>119.266666666667</v>
      </c>
      <c r="M83" s="15" t="n">
        <v>3269</v>
      </c>
      <c r="N83" s="16" t="n">
        <f aca="false">M83/31</f>
        <v>105.451612903226</v>
      </c>
      <c r="O83" s="15" t="n">
        <v>3011</v>
      </c>
      <c r="P83" s="16" t="n">
        <f aca="false">O83/30</f>
        <v>100.366666666667</v>
      </c>
      <c r="Q83" s="15" t="n">
        <v>3764</v>
      </c>
      <c r="R83" s="16" t="n">
        <f aca="false">Q83/31</f>
        <v>121.41935483871</v>
      </c>
      <c r="S83" s="15" t="n">
        <v>3054</v>
      </c>
      <c r="T83" s="16" t="n">
        <f aca="false">S83/31</f>
        <v>98.5161290322581</v>
      </c>
      <c r="U83" s="15" t="n">
        <v>2385</v>
      </c>
      <c r="V83" s="16" t="n">
        <f aca="false">U83/30</f>
        <v>79.5</v>
      </c>
      <c r="W83" s="15" t="n">
        <v>3362</v>
      </c>
      <c r="X83" s="16" t="n">
        <f aca="false">W83/31</f>
        <v>108.451612903226</v>
      </c>
      <c r="Y83" s="15" t="n">
        <v>3011</v>
      </c>
      <c r="Z83" s="16" t="n">
        <f aca="false">Y83/30</f>
        <v>100.366666666667</v>
      </c>
      <c r="AA83" s="15" t="n">
        <v>1881</v>
      </c>
      <c r="AB83" s="16" t="n">
        <f aca="false">AA83/31</f>
        <v>60.6774193548387</v>
      </c>
      <c r="AC83" s="17" t="n">
        <f aca="false">SUM(E83:AA83)</f>
        <v>37392.9619815668</v>
      </c>
      <c r="AD83" s="18" t="n">
        <f aca="false">IFERROR(STDEV(F83,H83,J83,L83,N83,P83,R83,T83,V83,X83,Z83,AB83),0)</f>
        <v>20.54283681156</v>
      </c>
      <c r="AE83" s="15" t="n">
        <v>1924</v>
      </c>
      <c r="AF83" s="16" t="n">
        <f aca="false">AE83/31</f>
        <v>62.0645161290323</v>
      </c>
      <c r="AG83" s="15" t="n">
        <v>3632</v>
      </c>
      <c r="AH83" s="16" t="n">
        <f aca="false">AG83/28</f>
        <v>129.714285714286</v>
      </c>
      <c r="AI83" s="15" t="n">
        <v>2622</v>
      </c>
      <c r="AJ83" s="16" t="n">
        <f aca="false">AI83/31</f>
        <v>84.5806451612903</v>
      </c>
      <c r="AK83" s="15" t="n">
        <v>3742</v>
      </c>
      <c r="AL83" s="16" t="n">
        <f aca="false">AK83/30</f>
        <v>124.733333333333</v>
      </c>
      <c r="AM83" s="15" t="n">
        <v>2785</v>
      </c>
      <c r="AN83" s="16" t="n">
        <f aca="false">AM83/31</f>
        <v>89.8387096774194</v>
      </c>
      <c r="AO83" s="15" t="n">
        <v>3863</v>
      </c>
      <c r="AP83" s="16" t="n">
        <f aca="false">AO83/30</f>
        <v>128.766666666667</v>
      </c>
      <c r="AQ83" s="15" t="n">
        <v>3868</v>
      </c>
      <c r="AR83" s="16" t="n">
        <f aca="false">AQ83/31</f>
        <v>124.774193548387</v>
      </c>
      <c r="AS83" s="15" t="n">
        <v>2332</v>
      </c>
      <c r="AT83" s="16" t="n">
        <f aca="false">AS83/31</f>
        <v>75.2258064516129</v>
      </c>
      <c r="AU83" s="15" t="n">
        <v>3350</v>
      </c>
      <c r="AV83" s="16" t="n">
        <f aca="false">AU83/30</f>
        <v>111.666666666667</v>
      </c>
      <c r="AW83" s="15" t="n">
        <v>3229</v>
      </c>
      <c r="AX83" s="16" t="n">
        <f aca="false">AW83/31</f>
        <v>104.161290322581</v>
      </c>
      <c r="AY83" s="15" t="n">
        <v>1818</v>
      </c>
      <c r="AZ83" s="16" t="n">
        <f aca="false">AY83/30</f>
        <v>60.6</v>
      </c>
      <c r="BA83" s="15" t="n">
        <v>3647</v>
      </c>
      <c r="BB83" s="16" t="n">
        <f aca="false">BA83/31</f>
        <v>117.645161290323</v>
      </c>
      <c r="BC83" s="17" t="n">
        <f aca="false">SUM(AE83:BA83)</f>
        <v>37908.1261136713</v>
      </c>
      <c r="BD83" s="18" t="n">
        <f aca="false">IFERROR(STDEV(AF83,AH83,AJ83,AL83,AN83,AP83,AR83,AT83,AV83,AX83,AZ83,BB83),0)</f>
        <v>25.8160686775088</v>
      </c>
      <c r="BE83" s="15" t="n">
        <v>3257</v>
      </c>
      <c r="BF83" s="16" t="n">
        <f aca="false">BE83/31</f>
        <v>105.064516129032</v>
      </c>
      <c r="BG83" s="15" t="n">
        <v>3034</v>
      </c>
      <c r="BH83" s="16" t="n">
        <f aca="false">BG83/28</f>
        <v>108.357142857143</v>
      </c>
      <c r="BI83" s="15" t="n">
        <v>2276</v>
      </c>
      <c r="BJ83" s="16" t="n">
        <f aca="false">BI83/31</f>
        <v>73.4193548387097</v>
      </c>
      <c r="BK83" s="15" t="n">
        <v>3710</v>
      </c>
      <c r="BL83" s="16" t="n">
        <f aca="false">BK83/30</f>
        <v>123.666666666667</v>
      </c>
      <c r="BM83" s="15" t="n">
        <v>2587</v>
      </c>
      <c r="BN83" s="16" t="n">
        <f aca="false">BM83/31</f>
        <v>83.4516129032258</v>
      </c>
      <c r="BO83" s="15" t="n">
        <v>3602</v>
      </c>
      <c r="BP83" s="16" t="n">
        <f aca="false">BO83/30</f>
        <v>120.066666666667</v>
      </c>
      <c r="BQ83" s="15" t="n">
        <v>2792</v>
      </c>
      <c r="BR83" s="16" t="n">
        <f aca="false">BQ83/31</f>
        <v>90.0645161290323</v>
      </c>
      <c r="BS83" s="15" t="n">
        <v>2303</v>
      </c>
      <c r="BT83" s="16" t="n">
        <f aca="false">BS83/31</f>
        <v>74.2903225806452</v>
      </c>
      <c r="BU83" s="15" t="n">
        <v>4261</v>
      </c>
      <c r="BV83" s="16" t="n">
        <f aca="false">BU83/30</f>
        <v>142.033333333333</v>
      </c>
      <c r="BW83" s="15" t="n">
        <v>3287</v>
      </c>
      <c r="BX83" s="16" t="n">
        <f aca="false">BW83/31</f>
        <v>106.032258064516</v>
      </c>
      <c r="BY83" s="15" t="n">
        <v>3439</v>
      </c>
      <c r="BZ83" s="16" t="n">
        <f aca="false">BY83/30</f>
        <v>114.633333333333</v>
      </c>
      <c r="CA83" s="15" t="n">
        <v>3869</v>
      </c>
      <c r="CB83" s="16" t="n">
        <f aca="false">CA83/31</f>
        <v>124.806451612903</v>
      </c>
      <c r="CC83" s="17" t="n">
        <f aca="false">SUM(BE83:CA83)</f>
        <v>39558.0797235023</v>
      </c>
      <c r="CD83" s="18" t="n">
        <f aca="false">IFERROR(STDEV(BF83,BH83,BJ83,BL83,BN83,BP83,BR83,BT83,BV83,BX83,BZ83,CB83),0)</f>
        <v>21.4672885966786</v>
      </c>
      <c r="CE83" s="15" t="n">
        <v>3091</v>
      </c>
      <c r="CF83" s="16" t="n">
        <f aca="false">CE83/31</f>
        <v>99.7096774193548</v>
      </c>
      <c r="CG83" s="15" t="n">
        <v>2394</v>
      </c>
      <c r="CH83" s="16" t="n">
        <f aca="false">CG83/28</f>
        <v>85.5</v>
      </c>
      <c r="CI83" s="15" t="n">
        <v>2561</v>
      </c>
      <c r="CJ83" s="16" t="n">
        <f aca="false">CI83/31</f>
        <v>82.6129032258065</v>
      </c>
      <c r="CK83" s="15" t="n">
        <v>2819</v>
      </c>
      <c r="CL83" s="16" t="n">
        <f aca="false">CK83/30</f>
        <v>93.9666666666667</v>
      </c>
      <c r="CM83" s="15" t="n">
        <v>2173</v>
      </c>
      <c r="CN83" s="16" t="n">
        <f aca="false">CM83/31</f>
        <v>70.0967741935484</v>
      </c>
      <c r="CO83" s="15" t="n">
        <v>2051</v>
      </c>
      <c r="CP83" s="16" t="n">
        <f aca="false">CO83/30</f>
        <v>68.3666666666667</v>
      </c>
      <c r="CQ83" s="15" t="n">
        <v>3255</v>
      </c>
      <c r="CR83" s="16" t="n">
        <f aca="false">CQ83/31</f>
        <v>105</v>
      </c>
      <c r="CS83" s="15" t="n">
        <v>1969</v>
      </c>
      <c r="CT83" s="16" t="n">
        <f aca="false">CS83/31</f>
        <v>63.5161290322581</v>
      </c>
      <c r="CU83" s="15" t="n">
        <v>2831</v>
      </c>
      <c r="CV83" s="16" t="n">
        <f aca="false">CU83/30</f>
        <v>94.3666666666667</v>
      </c>
      <c r="CW83" s="15" t="n">
        <v>2057</v>
      </c>
      <c r="CX83" s="16" t="n">
        <f aca="false">CW83/31</f>
        <v>66.3548387096774</v>
      </c>
      <c r="CY83" s="15" t="n">
        <v>3083</v>
      </c>
      <c r="CZ83" s="16" t="n">
        <f aca="false">CY83/30</f>
        <v>102.766666666667</v>
      </c>
      <c r="DA83" s="15" t="n">
        <v>3753</v>
      </c>
      <c r="DB83" s="16" t="n">
        <f aca="false">DA83/31</f>
        <v>121.064516129032</v>
      </c>
      <c r="DC83" s="17" t="n">
        <f aca="false">SUM(CE83:DA83)</f>
        <v>32969.2569892473</v>
      </c>
      <c r="DD83" s="18" t="n">
        <f aca="false">IFERROR(STDEV(CF83,CH83,CJ83,CL83,CN83,CP83,CR83,CT83,CV83,CX83,CZ83,DB83),0)</f>
        <v>18.1463944316266</v>
      </c>
      <c r="DE83" s="15" t="n">
        <v>2434</v>
      </c>
      <c r="DF83" s="16" t="n">
        <f aca="false">DE83/31</f>
        <v>78.5161290322581</v>
      </c>
      <c r="DG83" s="15" t="n">
        <v>2447</v>
      </c>
      <c r="DH83" s="16" t="n">
        <f aca="false">DG83/28</f>
        <v>87.3928571428571</v>
      </c>
      <c r="DI83" s="15" t="n">
        <v>3620</v>
      </c>
      <c r="DJ83" s="16" t="n">
        <f aca="false">DI83/31</f>
        <v>116.774193548387</v>
      </c>
      <c r="DK83" s="15" t="n">
        <v>3423</v>
      </c>
      <c r="DL83" s="16" t="n">
        <f aca="false">DK83/30</f>
        <v>114.1</v>
      </c>
      <c r="DM83" s="15" t="n">
        <v>3877</v>
      </c>
      <c r="DN83" s="16" t="n">
        <f aca="false">DM83/31</f>
        <v>125.064516129032</v>
      </c>
      <c r="DO83" s="15" t="n">
        <v>2616</v>
      </c>
      <c r="DP83" s="16" t="n">
        <f aca="false">DO83/30</f>
        <v>87.2</v>
      </c>
      <c r="DQ83" s="15" t="n">
        <v>3777</v>
      </c>
      <c r="DR83" s="16" t="n">
        <f aca="false">DQ83/31</f>
        <v>121.838709677419</v>
      </c>
      <c r="DS83" s="15" t="n">
        <v>4108</v>
      </c>
      <c r="DT83" s="16" t="n">
        <f aca="false">DS83/31</f>
        <v>132.516129032258</v>
      </c>
      <c r="DU83" s="15" t="n">
        <v>2755</v>
      </c>
      <c r="DV83" s="16" t="n">
        <f aca="false">DU83/30</f>
        <v>91.8333333333333</v>
      </c>
      <c r="DW83" s="15" t="n">
        <v>2272</v>
      </c>
      <c r="DX83" s="16" t="n">
        <f aca="false">DW83/31</f>
        <v>73.2903225806452</v>
      </c>
      <c r="DY83" s="15" t="n">
        <v>4222</v>
      </c>
      <c r="DZ83" s="16" t="n">
        <f aca="false">DY83/30</f>
        <v>140.733333333333</v>
      </c>
      <c r="EA83" s="15" t="n">
        <v>2968</v>
      </c>
      <c r="EB83" s="16" t="n">
        <f aca="false">EA83/31</f>
        <v>95.741935483871</v>
      </c>
      <c r="EC83" s="17" t="n">
        <f aca="false">SUM(DE83:EA83)</f>
        <v>39688.2595238095</v>
      </c>
      <c r="ED83" s="18" t="n">
        <f aca="false">IFERROR(STDEV(DF83,DH83,DJ83,DL83,DN83,DP83,DR83,DT83,DV83,DX83,DZ83,EB83),0)</f>
        <v>22.4262750038131</v>
      </c>
      <c r="EE83" s="19" t="n">
        <f aca="false">STDEV(F83:AB83,AF83:BB83,BF83:CB83,CF83:DB83,DF83:EB83)</f>
        <v>1551.64710577681</v>
      </c>
    </row>
    <row r="84" customFormat="false" ht="15" hidden="false" customHeight="true" outlineLevel="0" collapsed="false">
      <c r="A84" s="11" t="n">
        <v>79</v>
      </c>
      <c r="B84" s="12" t="s">
        <v>192</v>
      </c>
      <c r="C84" s="13" t="s">
        <v>193</v>
      </c>
      <c r="D84" s="14" t="s">
        <v>36</v>
      </c>
      <c r="E84" s="15" t="n">
        <v>4211</v>
      </c>
      <c r="F84" s="16" t="n">
        <f aca="false">E84/31</f>
        <v>135.838709677419</v>
      </c>
      <c r="G84" s="15" t="n">
        <v>2112</v>
      </c>
      <c r="H84" s="16" t="n">
        <f aca="false">G84/28</f>
        <v>75.4285714285714</v>
      </c>
      <c r="I84" s="15" t="n">
        <v>3576</v>
      </c>
      <c r="J84" s="16" t="n">
        <f aca="false">I84/31</f>
        <v>115.354838709677</v>
      </c>
      <c r="K84" s="15" t="n">
        <v>2952</v>
      </c>
      <c r="L84" s="16" t="n">
        <f aca="false">K84/30</f>
        <v>98.4</v>
      </c>
      <c r="M84" s="15" t="n">
        <v>2763</v>
      </c>
      <c r="N84" s="16" t="n">
        <f aca="false">M84/31</f>
        <v>89.1290322580645</v>
      </c>
      <c r="O84" s="15" t="n">
        <v>2693</v>
      </c>
      <c r="P84" s="16" t="n">
        <f aca="false">O84/30</f>
        <v>89.7666666666667</v>
      </c>
      <c r="Q84" s="15" t="n">
        <v>3380</v>
      </c>
      <c r="R84" s="16" t="n">
        <f aca="false">Q84/31</f>
        <v>109.032258064516</v>
      </c>
      <c r="S84" s="15" t="n">
        <v>1947</v>
      </c>
      <c r="T84" s="16" t="n">
        <f aca="false">S84/31</f>
        <v>62.8064516129032</v>
      </c>
      <c r="U84" s="15" t="n">
        <v>2653</v>
      </c>
      <c r="V84" s="16" t="n">
        <f aca="false">U84/30</f>
        <v>88.4333333333333</v>
      </c>
      <c r="W84" s="15" t="n">
        <v>4371</v>
      </c>
      <c r="X84" s="16" t="n">
        <f aca="false">W84/31</f>
        <v>141</v>
      </c>
      <c r="Y84" s="15" t="n">
        <v>3436</v>
      </c>
      <c r="Z84" s="16" t="n">
        <f aca="false">Y84/30</f>
        <v>114.533333333333</v>
      </c>
      <c r="AA84" s="15" t="n">
        <v>4377</v>
      </c>
      <c r="AB84" s="16" t="n">
        <f aca="false">AA84/31</f>
        <v>141.193548387097</v>
      </c>
      <c r="AC84" s="17" t="n">
        <f aca="false">SUM(E84:AA84)</f>
        <v>39590.7231950845</v>
      </c>
      <c r="AD84" s="18" t="n">
        <f aca="false">IFERROR(STDEV(F84,H84,J84,L84,N84,P84,R84,T84,V84,X84,Z84,AB84),0)</f>
        <v>25.6338139218585</v>
      </c>
      <c r="AE84" s="15" t="n">
        <v>3980</v>
      </c>
      <c r="AF84" s="16" t="n">
        <f aca="false">AE84/31</f>
        <v>128.387096774194</v>
      </c>
      <c r="AG84" s="15" t="n">
        <v>2990</v>
      </c>
      <c r="AH84" s="16" t="n">
        <f aca="false">AG84/28</f>
        <v>106.785714285714</v>
      </c>
      <c r="AI84" s="15" t="n">
        <v>2653</v>
      </c>
      <c r="AJ84" s="16" t="n">
        <f aca="false">AI84/31</f>
        <v>85.5806451612903</v>
      </c>
      <c r="AK84" s="15" t="n">
        <v>5235</v>
      </c>
      <c r="AL84" s="16" t="n">
        <f aca="false">AK84/30</f>
        <v>174.5</v>
      </c>
      <c r="AM84" s="15" t="n">
        <v>3170</v>
      </c>
      <c r="AN84" s="16" t="n">
        <f aca="false">AM84/31</f>
        <v>102.258064516129</v>
      </c>
      <c r="AO84" s="15" t="n">
        <v>3752</v>
      </c>
      <c r="AP84" s="16" t="n">
        <f aca="false">AO84/30</f>
        <v>125.066666666667</v>
      </c>
      <c r="AQ84" s="15" t="n">
        <v>5033</v>
      </c>
      <c r="AR84" s="16" t="n">
        <f aca="false">AQ84/31</f>
        <v>162.354838709677</v>
      </c>
      <c r="AS84" s="15" t="n">
        <v>5350</v>
      </c>
      <c r="AT84" s="16" t="n">
        <f aca="false">AS84/31</f>
        <v>172.58064516129</v>
      </c>
      <c r="AU84" s="15" t="n">
        <v>2879</v>
      </c>
      <c r="AV84" s="16" t="n">
        <f aca="false">AU84/30</f>
        <v>95.9666666666667</v>
      </c>
      <c r="AW84" s="15" t="n">
        <v>2686</v>
      </c>
      <c r="AX84" s="16" t="n">
        <f aca="false">AW84/31</f>
        <v>86.6451612903226</v>
      </c>
      <c r="AY84" s="15" t="n">
        <v>5671</v>
      </c>
      <c r="AZ84" s="16" t="n">
        <f aca="false">AY84/30</f>
        <v>189.033333333333</v>
      </c>
      <c r="BA84" s="15" t="n">
        <v>5597</v>
      </c>
      <c r="BB84" s="16" t="n">
        <f aca="false">BA84/31</f>
        <v>180.548387096774</v>
      </c>
      <c r="BC84" s="17" t="n">
        <f aca="false">SUM(AE84:BA84)</f>
        <v>50425.1588325653</v>
      </c>
      <c r="BD84" s="18" t="n">
        <f aca="false">IFERROR(STDEV(AF84,AH84,AJ84,AL84,AN84,AP84,AR84,AT84,AV84,AX84,AZ84,BB84),0)</f>
        <v>39.3363310602331</v>
      </c>
      <c r="BE84" s="15" t="n">
        <v>5649</v>
      </c>
      <c r="BF84" s="16" t="n">
        <f aca="false">BE84/31</f>
        <v>182.225806451613</v>
      </c>
      <c r="BG84" s="15" t="n">
        <v>5480</v>
      </c>
      <c r="BH84" s="16" t="n">
        <f aca="false">BG84/28</f>
        <v>195.714285714286</v>
      </c>
      <c r="BI84" s="15" t="n">
        <v>2665</v>
      </c>
      <c r="BJ84" s="16" t="n">
        <f aca="false">BI84/31</f>
        <v>85.9677419354839</v>
      </c>
      <c r="BK84" s="15" t="n">
        <v>5039</v>
      </c>
      <c r="BL84" s="16" t="n">
        <f aca="false">BK84/30</f>
        <v>167.966666666667</v>
      </c>
      <c r="BM84" s="15" t="n">
        <v>3006</v>
      </c>
      <c r="BN84" s="16" t="n">
        <f aca="false">BM84/31</f>
        <v>96.9677419354839</v>
      </c>
      <c r="BO84" s="15" t="n">
        <v>4188</v>
      </c>
      <c r="BP84" s="16" t="n">
        <f aca="false">BO84/30</f>
        <v>139.6</v>
      </c>
      <c r="BQ84" s="15" t="n">
        <v>2697</v>
      </c>
      <c r="BR84" s="16" t="n">
        <f aca="false">BQ84/31</f>
        <v>87</v>
      </c>
      <c r="BS84" s="15" t="n">
        <v>3347</v>
      </c>
      <c r="BT84" s="16" t="n">
        <f aca="false">BS84/31</f>
        <v>107.967741935484</v>
      </c>
      <c r="BU84" s="15" t="n">
        <v>4495</v>
      </c>
      <c r="BV84" s="16" t="n">
        <f aca="false">BU84/30</f>
        <v>149.833333333333</v>
      </c>
      <c r="BW84" s="15" t="n">
        <v>3329</v>
      </c>
      <c r="BX84" s="16" t="n">
        <f aca="false">BW84/31</f>
        <v>107.387096774194</v>
      </c>
      <c r="BY84" s="15" t="n">
        <v>4443</v>
      </c>
      <c r="BZ84" s="16" t="n">
        <f aca="false">BY84/30</f>
        <v>148.1</v>
      </c>
      <c r="CA84" s="15" t="n">
        <v>3520</v>
      </c>
      <c r="CB84" s="16" t="n">
        <f aca="false">CA84/31</f>
        <v>113.548387096774</v>
      </c>
      <c r="CC84" s="17" t="n">
        <f aca="false">SUM(BE84:CA84)</f>
        <v>49326.7304147465</v>
      </c>
      <c r="CD84" s="18" t="n">
        <f aca="false">IFERROR(STDEV(BF84,BH84,BJ84,BL84,BN84,BP84,BR84,BT84,BV84,BX84,BZ84,CB84),0)</f>
        <v>37.423289040857</v>
      </c>
      <c r="CE84" s="15" t="n">
        <v>3295</v>
      </c>
      <c r="CF84" s="16" t="n">
        <f aca="false">CE84/31</f>
        <v>106.290322580645</v>
      </c>
      <c r="CG84" s="15" t="n">
        <v>3955</v>
      </c>
      <c r="CH84" s="16" t="n">
        <f aca="false">CG84/28</f>
        <v>141.25</v>
      </c>
      <c r="CI84" s="15" t="n">
        <v>2382</v>
      </c>
      <c r="CJ84" s="16" t="n">
        <f aca="false">CI84/31</f>
        <v>76.8387096774194</v>
      </c>
      <c r="CK84" s="15" t="n">
        <v>3872</v>
      </c>
      <c r="CL84" s="16" t="n">
        <f aca="false">CK84/30</f>
        <v>129.066666666667</v>
      </c>
      <c r="CM84" s="15" t="n">
        <v>2054</v>
      </c>
      <c r="CN84" s="16" t="n">
        <f aca="false">CM84/31</f>
        <v>66.258064516129</v>
      </c>
      <c r="CO84" s="15" t="n">
        <v>3562</v>
      </c>
      <c r="CP84" s="16" t="n">
        <f aca="false">CO84/30</f>
        <v>118.733333333333</v>
      </c>
      <c r="CQ84" s="15" t="n">
        <v>3778</v>
      </c>
      <c r="CR84" s="16" t="n">
        <f aca="false">CQ84/31</f>
        <v>121.870967741935</v>
      </c>
      <c r="CS84" s="15" t="n">
        <v>2121</v>
      </c>
      <c r="CT84" s="16" t="n">
        <f aca="false">CS84/31</f>
        <v>68.4193548387097</v>
      </c>
      <c r="CU84" s="15" t="n">
        <v>2460</v>
      </c>
      <c r="CV84" s="16" t="n">
        <f aca="false">CU84/30</f>
        <v>82</v>
      </c>
      <c r="CW84" s="15" t="n">
        <v>2763</v>
      </c>
      <c r="CX84" s="16" t="n">
        <f aca="false">CW84/31</f>
        <v>89.1290322580645</v>
      </c>
      <c r="CY84" s="15" t="n">
        <v>4114</v>
      </c>
      <c r="CZ84" s="16" t="n">
        <f aca="false">CY84/30</f>
        <v>137.133333333333</v>
      </c>
      <c r="DA84" s="15" t="n">
        <v>3656</v>
      </c>
      <c r="DB84" s="16" t="n">
        <f aca="false">DA84/31</f>
        <v>117.935483870968</v>
      </c>
      <c r="DC84" s="17" t="n">
        <f aca="false">SUM(CE84:DA84)</f>
        <v>39148.9897849462</v>
      </c>
      <c r="DD84" s="18" t="n">
        <f aca="false">IFERROR(STDEV(CF84,CH84,CJ84,CL84,CN84,CP84,CR84,CT84,CV84,CX84,CZ84,DB84),0)</f>
        <v>26.9324486756364</v>
      </c>
      <c r="DE84" s="15" t="n">
        <v>2133</v>
      </c>
      <c r="DF84" s="16" t="n">
        <f aca="false">DE84/31</f>
        <v>68.8064516129032</v>
      </c>
      <c r="DG84" s="15" t="n">
        <v>3731</v>
      </c>
      <c r="DH84" s="16" t="n">
        <f aca="false">DG84/28</f>
        <v>133.25</v>
      </c>
      <c r="DI84" s="15" t="n">
        <v>2014</v>
      </c>
      <c r="DJ84" s="16" t="n">
        <f aca="false">DI84/31</f>
        <v>64.9677419354839</v>
      </c>
      <c r="DK84" s="15" t="n">
        <v>3024</v>
      </c>
      <c r="DL84" s="16" t="n">
        <f aca="false">DK84/30</f>
        <v>100.8</v>
      </c>
      <c r="DM84" s="15" t="n">
        <v>2712</v>
      </c>
      <c r="DN84" s="16" t="n">
        <f aca="false">DM84/31</f>
        <v>87.4838709677419</v>
      </c>
      <c r="DO84" s="15" t="n">
        <v>4255</v>
      </c>
      <c r="DP84" s="16" t="n">
        <f aca="false">DO84/30</f>
        <v>141.833333333333</v>
      </c>
      <c r="DQ84" s="15" t="n">
        <v>3745</v>
      </c>
      <c r="DR84" s="16" t="n">
        <f aca="false">DQ84/31</f>
        <v>120.806451612903</v>
      </c>
      <c r="DS84" s="15" t="n">
        <v>4287</v>
      </c>
      <c r="DT84" s="16" t="n">
        <f aca="false">DS84/31</f>
        <v>138.290322580645</v>
      </c>
      <c r="DU84" s="15" t="n">
        <v>2043</v>
      </c>
      <c r="DV84" s="16" t="n">
        <f aca="false">DU84/30</f>
        <v>68.1</v>
      </c>
      <c r="DW84" s="15" t="n">
        <v>4296</v>
      </c>
      <c r="DX84" s="16" t="n">
        <f aca="false">DW84/31</f>
        <v>138.58064516129</v>
      </c>
      <c r="DY84" s="15" t="n">
        <v>3717</v>
      </c>
      <c r="DZ84" s="16" t="n">
        <f aca="false">DY84/30</f>
        <v>123.9</v>
      </c>
      <c r="EA84" s="15" t="n">
        <v>2606</v>
      </c>
      <c r="EB84" s="16" t="n">
        <f aca="false">EA84/31</f>
        <v>84.0645161290323</v>
      </c>
      <c r="EC84" s="17" t="n">
        <f aca="false">SUM(DE84:EA84)</f>
        <v>39749.8188172043</v>
      </c>
      <c r="ED84" s="18" t="n">
        <f aca="false">IFERROR(STDEV(DF84,DH84,DJ84,DL84,DN84,DP84,DR84,DT84,DV84,DX84,DZ84,EB84),0)</f>
        <v>30.1884376979651</v>
      </c>
      <c r="EE84" s="19" t="n">
        <f aca="false">STDEV(F84:AB84,AF84:BB84,BF84:CB84,CF84:DB84,DF84:EB84)</f>
        <v>1833.44272263021</v>
      </c>
    </row>
    <row r="85" customFormat="false" ht="15" hidden="false" customHeight="true" outlineLevel="0" collapsed="false">
      <c r="A85" s="11" t="n">
        <v>80</v>
      </c>
      <c r="B85" s="12" t="s">
        <v>194</v>
      </c>
      <c r="C85" s="13" t="s">
        <v>195</v>
      </c>
      <c r="D85" s="14" t="s">
        <v>36</v>
      </c>
      <c r="E85" s="15" t="n">
        <v>2410</v>
      </c>
      <c r="F85" s="16" t="n">
        <f aca="false">E85/31</f>
        <v>77.741935483871</v>
      </c>
      <c r="G85" s="15" t="n">
        <v>3680</v>
      </c>
      <c r="H85" s="16" t="n">
        <f aca="false">G85/28</f>
        <v>131.428571428571</v>
      </c>
      <c r="I85" s="15" t="n">
        <v>1811</v>
      </c>
      <c r="J85" s="16" t="n">
        <f aca="false">I85/31</f>
        <v>58.4193548387097</v>
      </c>
      <c r="K85" s="15" t="n">
        <v>2271</v>
      </c>
      <c r="L85" s="16" t="n">
        <f aca="false">K85/30</f>
        <v>75.7</v>
      </c>
      <c r="M85" s="15" t="n">
        <v>3446</v>
      </c>
      <c r="N85" s="16" t="n">
        <f aca="false">M85/31</f>
        <v>111.161290322581</v>
      </c>
      <c r="O85" s="15" t="n">
        <v>2732</v>
      </c>
      <c r="P85" s="16" t="n">
        <f aca="false">O85/30</f>
        <v>91.0666666666667</v>
      </c>
      <c r="Q85" s="15" t="n">
        <v>1996</v>
      </c>
      <c r="R85" s="16" t="n">
        <f aca="false">Q85/31</f>
        <v>64.3870967741936</v>
      </c>
      <c r="S85" s="15" t="n">
        <v>2666</v>
      </c>
      <c r="T85" s="16" t="n">
        <f aca="false">S85/31</f>
        <v>86</v>
      </c>
      <c r="U85" s="15" t="n">
        <v>2575</v>
      </c>
      <c r="V85" s="16" t="n">
        <f aca="false">U85/30</f>
        <v>85.8333333333333</v>
      </c>
      <c r="W85" s="15" t="n">
        <v>3573</v>
      </c>
      <c r="X85" s="16" t="n">
        <f aca="false">W85/31</f>
        <v>115.258064516129</v>
      </c>
      <c r="Y85" s="15" t="n">
        <v>1644</v>
      </c>
      <c r="Z85" s="16" t="n">
        <f aca="false">Y85/30</f>
        <v>54.8</v>
      </c>
      <c r="AA85" s="15" t="n">
        <v>2126</v>
      </c>
      <c r="AB85" s="16" t="n">
        <f aca="false">AA85/31</f>
        <v>68.5806451612903</v>
      </c>
      <c r="AC85" s="17" t="n">
        <f aca="false">SUM(E85:AA85)</f>
        <v>31881.7963133641</v>
      </c>
      <c r="AD85" s="18" t="n">
        <f aca="false">IFERROR(STDEV(F85,H85,J85,L85,N85,P85,R85,T85,V85,X85,Z85,AB85),0)</f>
        <v>23.8294891074456</v>
      </c>
      <c r="AE85" s="15" t="n">
        <v>2731</v>
      </c>
      <c r="AF85" s="16" t="n">
        <f aca="false">AE85/31</f>
        <v>88.0967741935484</v>
      </c>
      <c r="AG85" s="15" t="n">
        <v>2313</v>
      </c>
      <c r="AH85" s="16" t="n">
        <f aca="false">AG85/28</f>
        <v>82.6071428571429</v>
      </c>
      <c r="AI85" s="15" t="n">
        <v>2441</v>
      </c>
      <c r="AJ85" s="16" t="n">
        <f aca="false">AI85/31</f>
        <v>78.741935483871</v>
      </c>
      <c r="AK85" s="15" t="n">
        <v>1936</v>
      </c>
      <c r="AL85" s="16" t="n">
        <f aca="false">AK85/30</f>
        <v>64.5333333333333</v>
      </c>
      <c r="AM85" s="15" t="n">
        <v>2341</v>
      </c>
      <c r="AN85" s="16" t="n">
        <f aca="false">AM85/31</f>
        <v>75.5161290322581</v>
      </c>
      <c r="AO85" s="15" t="n">
        <v>2352</v>
      </c>
      <c r="AP85" s="16" t="n">
        <f aca="false">AO85/30</f>
        <v>78.4</v>
      </c>
      <c r="AQ85" s="15" t="n">
        <v>2936</v>
      </c>
      <c r="AR85" s="16" t="n">
        <f aca="false">AQ85/31</f>
        <v>94.7096774193548</v>
      </c>
      <c r="AS85" s="15" t="n">
        <v>2105</v>
      </c>
      <c r="AT85" s="16" t="n">
        <f aca="false">AS85/31</f>
        <v>67.9032258064516</v>
      </c>
      <c r="AU85" s="15" t="n">
        <v>3689</v>
      </c>
      <c r="AV85" s="16" t="n">
        <f aca="false">AU85/30</f>
        <v>122.966666666667</v>
      </c>
      <c r="AW85" s="15" t="n">
        <v>2671</v>
      </c>
      <c r="AX85" s="16" t="n">
        <f aca="false">AW85/31</f>
        <v>86.1612903225806</v>
      </c>
      <c r="AY85" s="15" t="n">
        <v>3334</v>
      </c>
      <c r="AZ85" s="16" t="n">
        <f aca="false">AY85/30</f>
        <v>111.133333333333</v>
      </c>
      <c r="BA85" s="15" t="n">
        <v>2937</v>
      </c>
      <c r="BB85" s="16" t="n">
        <f aca="false">BA85/31</f>
        <v>94.741935483871</v>
      </c>
      <c r="BC85" s="17" t="n">
        <f aca="false">SUM(AE85:BA85)</f>
        <v>32736.7695084485</v>
      </c>
      <c r="BD85" s="18" t="n">
        <f aca="false">IFERROR(STDEV(AF85,AH85,AJ85,AL85,AN85,AP85,AR85,AT85,AV85,AX85,AZ85,BB85),0)</f>
        <v>16.9488041064797</v>
      </c>
      <c r="BE85" s="15" t="n">
        <v>3246</v>
      </c>
      <c r="BF85" s="16" t="n">
        <f aca="false">BE85/31</f>
        <v>104.709677419355</v>
      </c>
      <c r="BG85" s="15" t="n">
        <v>3269</v>
      </c>
      <c r="BH85" s="16" t="n">
        <f aca="false">BG85/28</f>
        <v>116.75</v>
      </c>
      <c r="BI85" s="15" t="n">
        <v>3119</v>
      </c>
      <c r="BJ85" s="16" t="n">
        <f aca="false">BI85/31</f>
        <v>100.612903225806</v>
      </c>
      <c r="BK85" s="15" t="n">
        <v>1553</v>
      </c>
      <c r="BL85" s="16" t="n">
        <f aca="false">BK85/30</f>
        <v>51.7666666666667</v>
      </c>
      <c r="BM85" s="15" t="n">
        <v>2601</v>
      </c>
      <c r="BN85" s="16" t="n">
        <f aca="false">BM85/31</f>
        <v>83.9032258064516</v>
      </c>
      <c r="BO85" s="15" t="n">
        <v>2053</v>
      </c>
      <c r="BP85" s="16" t="n">
        <f aca="false">BO85/30</f>
        <v>68.4333333333333</v>
      </c>
      <c r="BQ85" s="15" t="n">
        <v>1797</v>
      </c>
      <c r="BR85" s="16" t="n">
        <f aca="false">BQ85/31</f>
        <v>57.9677419354839</v>
      </c>
      <c r="BS85" s="15" t="n">
        <v>3283</v>
      </c>
      <c r="BT85" s="16" t="n">
        <f aca="false">BS85/31</f>
        <v>105.903225806452</v>
      </c>
      <c r="BU85" s="15" t="n">
        <v>2804</v>
      </c>
      <c r="BV85" s="16" t="n">
        <f aca="false">BU85/30</f>
        <v>93.4666666666667</v>
      </c>
      <c r="BW85" s="15" t="n">
        <v>1670</v>
      </c>
      <c r="BX85" s="16" t="n">
        <f aca="false">BW85/31</f>
        <v>53.8709677419355</v>
      </c>
      <c r="BY85" s="15" t="n">
        <v>2256</v>
      </c>
      <c r="BZ85" s="16" t="n">
        <f aca="false">BY85/30</f>
        <v>75.2</v>
      </c>
      <c r="CA85" s="15" t="n">
        <v>3409</v>
      </c>
      <c r="CB85" s="16" t="n">
        <f aca="false">CA85/31</f>
        <v>109.967741935484</v>
      </c>
      <c r="CC85" s="17" t="n">
        <f aca="false">SUM(BE85:CA85)</f>
        <v>31972.5844086022</v>
      </c>
      <c r="CD85" s="18" t="n">
        <f aca="false">IFERROR(STDEV(BF85,BH85,BJ85,BL85,BN85,BP85,BR85,BT85,BV85,BX85,BZ85,CB85),0)</f>
        <v>23.2529229845453</v>
      </c>
      <c r="CE85" s="15" t="n">
        <v>2765</v>
      </c>
      <c r="CF85" s="16" t="n">
        <f aca="false">CE85/31</f>
        <v>89.1935483870968</v>
      </c>
      <c r="CG85" s="15" t="n">
        <v>2791</v>
      </c>
      <c r="CH85" s="16" t="n">
        <f aca="false">CG85/28</f>
        <v>99.6785714285714</v>
      </c>
      <c r="CI85" s="15" t="n">
        <v>1983</v>
      </c>
      <c r="CJ85" s="16" t="n">
        <f aca="false">CI85/31</f>
        <v>63.9677419354839</v>
      </c>
      <c r="CK85" s="15" t="n">
        <v>2010</v>
      </c>
      <c r="CL85" s="16" t="n">
        <f aca="false">CK85/30</f>
        <v>67</v>
      </c>
      <c r="CM85" s="15" t="n">
        <v>1832</v>
      </c>
      <c r="CN85" s="16" t="n">
        <f aca="false">CM85/31</f>
        <v>59.0967741935484</v>
      </c>
      <c r="CO85" s="15" t="n">
        <v>3491</v>
      </c>
      <c r="CP85" s="16" t="n">
        <f aca="false">CO85/30</f>
        <v>116.366666666667</v>
      </c>
      <c r="CQ85" s="15" t="n">
        <v>3368</v>
      </c>
      <c r="CR85" s="16" t="n">
        <f aca="false">CQ85/31</f>
        <v>108.645161290323</v>
      </c>
      <c r="CS85" s="15" t="n">
        <v>2190</v>
      </c>
      <c r="CT85" s="16" t="n">
        <f aca="false">CS85/31</f>
        <v>70.6451612903226</v>
      </c>
      <c r="CU85" s="15" t="n">
        <v>2622</v>
      </c>
      <c r="CV85" s="16" t="n">
        <f aca="false">CU85/30</f>
        <v>87.4</v>
      </c>
      <c r="CW85" s="15" t="n">
        <v>1941</v>
      </c>
      <c r="CX85" s="16" t="n">
        <f aca="false">CW85/31</f>
        <v>62.6129032258065</v>
      </c>
      <c r="CY85" s="15" t="n">
        <v>1803</v>
      </c>
      <c r="CZ85" s="16" t="n">
        <f aca="false">CY85/30</f>
        <v>60.1</v>
      </c>
      <c r="DA85" s="15" t="n">
        <v>2620</v>
      </c>
      <c r="DB85" s="16" t="n">
        <f aca="false">DA85/31</f>
        <v>84.5161290322581</v>
      </c>
      <c r="DC85" s="17" t="n">
        <f aca="false">SUM(CE85:DA85)</f>
        <v>30300.7065284178</v>
      </c>
      <c r="DD85" s="18" t="n">
        <f aca="false">IFERROR(STDEV(CF85,CH85,CJ85,CL85,CN85,CP85,CR85,CT85,CV85,CX85,CZ85,DB85),0)</f>
        <v>19.8442270249368</v>
      </c>
      <c r="DE85" s="15" t="n">
        <v>2934</v>
      </c>
      <c r="DF85" s="16" t="n">
        <f aca="false">DE85/31</f>
        <v>94.6451612903226</v>
      </c>
      <c r="DG85" s="15" t="n">
        <v>3052</v>
      </c>
      <c r="DH85" s="16" t="n">
        <f aca="false">DG85/28</f>
        <v>109</v>
      </c>
      <c r="DI85" s="15" t="n">
        <v>2004</v>
      </c>
      <c r="DJ85" s="16" t="n">
        <f aca="false">DI85/31</f>
        <v>64.6451612903226</v>
      </c>
      <c r="DK85" s="15" t="n">
        <v>2754</v>
      </c>
      <c r="DL85" s="16" t="n">
        <f aca="false">DK85/30</f>
        <v>91.8</v>
      </c>
      <c r="DM85" s="15" t="n">
        <v>2411</v>
      </c>
      <c r="DN85" s="16" t="n">
        <f aca="false">DM85/31</f>
        <v>77.7741935483871</v>
      </c>
      <c r="DO85" s="15" t="n">
        <v>1675</v>
      </c>
      <c r="DP85" s="16" t="n">
        <f aca="false">DO85/30</f>
        <v>55.8333333333333</v>
      </c>
      <c r="DQ85" s="15" t="n">
        <v>3304</v>
      </c>
      <c r="DR85" s="16" t="n">
        <f aca="false">DQ85/31</f>
        <v>106.58064516129</v>
      </c>
      <c r="DS85" s="15" t="n">
        <v>3266</v>
      </c>
      <c r="DT85" s="16" t="n">
        <f aca="false">DS85/31</f>
        <v>105.354838709677</v>
      </c>
      <c r="DU85" s="15" t="n">
        <v>1694</v>
      </c>
      <c r="DV85" s="16" t="n">
        <f aca="false">DU85/30</f>
        <v>56.4666666666667</v>
      </c>
      <c r="DW85" s="15" t="n">
        <v>3185</v>
      </c>
      <c r="DX85" s="16" t="n">
        <f aca="false">DW85/31</f>
        <v>102.741935483871</v>
      </c>
      <c r="DY85" s="15" t="n">
        <v>3155</v>
      </c>
      <c r="DZ85" s="16" t="n">
        <f aca="false">DY85/30</f>
        <v>105.166666666667</v>
      </c>
      <c r="EA85" s="15" t="n">
        <v>2020</v>
      </c>
      <c r="EB85" s="16" t="n">
        <f aca="false">EA85/31</f>
        <v>65.1612903225806</v>
      </c>
      <c r="EC85" s="17" t="n">
        <f aca="false">SUM(DE85:EA85)</f>
        <v>32424.0086021505</v>
      </c>
      <c r="ED85" s="18" t="n">
        <f aca="false">IFERROR(STDEV(DF85,DH85,DJ85,DL85,DN85,DP85,DR85,DT85,DV85,DX85,DZ85,EB85),0)</f>
        <v>20.9383469836224</v>
      </c>
      <c r="EE85" s="19" t="n">
        <f aca="false">STDEV(F85:AB85,AF85:BB85,BF85:CB85,CF85:DB85,DF85:EB85)</f>
        <v>1311.74945072761</v>
      </c>
    </row>
    <row r="86" customFormat="false" ht="15" hidden="false" customHeight="true" outlineLevel="0" collapsed="false">
      <c r="A86" s="11" t="n">
        <v>81</v>
      </c>
      <c r="B86" s="12" t="s">
        <v>196</v>
      </c>
      <c r="C86" s="13" t="s">
        <v>197</v>
      </c>
      <c r="D86" s="14" t="s">
        <v>36</v>
      </c>
      <c r="E86" s="15" t="n">
        <v>80</v>
      </c>
      <c r="F86" s="16" t="n">
        <f aca="false">E86/31</f>
        <v>2.58064516129032</v>
      </c>
      <c r="G86" s="15" t="n">
        <v>104</v>
      </c>
      <c r="H86" s="16" t="n">
        <f aca="false">G86/28</f>
        <v>3.71428571428571</v>
      </c>
      <c r="I86" s="15" t="n">
        <v>53</v>
      </c>
      <c r="J86" s="16" t="n">
        <f aca="false">I86/31</f>
        <v>1.70967741935484</v>
      </c>
      <c r="K86" s="15" t="n">
        <v>65</v>
      </c>
      <c r="L86" s="16" t="n">
        <f aca="false">K86/30</f>
        <v>2.16666666666667</v>
      </c>
      <c r="M86" s="15" t="n">
        <v>99</v>
      </c>
      <c r="N86" s="16" t="n">
        <f aca="false">M86/31</f>
        <v>3.19354838709677</v>
      </c>
      <c r="O86" s="15" t="n">
        <v>90</v>
      </c>
      <c r="P86" s="16" t="n">
        <f aca="false">O86/30</f>
        <v>3</v>
      </c>
      <c r="Q86" s="15" t="n">
        <v>92</v>
      </c>
      <c r="R86" s="16" t="n">
        <f aca="false">Q86/31</f>
        <v>2.96774193548387</v>
      </c>
      <c r="S86" s="15" t="n">
        <v>99</v>
      </c>
      <c r="T86" s="16" t="n">
        <f aca="false">S86/31</f>
        <v>3.19354838709677</v>
      </c>
      <c r="U86" s="15" t="n">
        <v>71</v>
      </c>
      <c r="V86" s="16" t="n">
        <f aca="false">U86/30</f>
        <v>2.36666666666667</v>
      </c>
      <c r="W86" s="15" t="n">
        <v>71</v>
      </c>
      <c r="X86" s="16" t="n">
        <f aca="false">W86/31</f>
        <v>2.29032258064516</v>
      </c>
      <c r="Y86" s="15" t="n">
        <v>73</v>
      </c>
      <c r="Z86" s="16" t="n">
        <f aca="false">Y86/30</f>
        <v>2.43333333333333</v>
      </c>
      <c r="AA86" s="15" t="n">
        <v>103</v>
      </c>
      <c r="AB86" s="16" t="n">
        <f aca="false">AA86/31</f>
        <v>3.32258064516129</v>
      </c>
      <c r="AC86" s="17" t="n">
        <f aca="false">SUM(E86:AA86)</f>
        <v>1029.61643625192</v>
      </c>
      <c r="AD86" s="18" t="n">
        <f aca="false">IFERROR(STDEV(F86,H86,J86,L86,N86,P86,R86,T86,V86,X86,Z86,AB86),0)</f>
        <v>0.577653795289703</v>
      </c>
      <c r="AE86" s="15" t="n">
        <v>111</v>
      </c>
      <c r="AF86" s="16" t="n">
        <f aca="false">AE86/31</f>
        <v>3.58064516129032</v>
      </c>
      <c r="AG86" s="15" t="n">
        <v>113</v>
      </c>
      <c r="AH86" s="16" t="n">
        <f aca="false">AG86/28</f>
        <v>4.03571428571429</v>
      </c>
      <c r="AI86" s="15" t="n">
        <v>69</v>
      </c>
      <c r="AJ86" s="16" t="n">
        <f aca="false">AI86/31</f>
        <v>2.2258064516129</v>
      </c>
      <c r="AK86" s="15" t="n">
        <v>103</v>
      </c>
      <c r="AL86" s="16" t="n">
        <f aca="false">AK86/30</f>
        <v>3.43333333333333</v>
      </c>
      <c r="AM86" s="15" t="n">
        <v>58</v>
      </c>
      <c r="AN86" s="16" t="n">
        <f aca="false">AM86/31</f>
        <v>1.87096774193548</v>
      </c>
      <c r="AO86" s="15" t="n">
        <v>63</v>
      </c>
      <c r="AP86" s="16" t="n">
        <f aca="false">AO86/30</f>
        <v>2.1</v>
      </c>
      <c r="AQ86" s="15" t="n">
        <v>102</v>
      </c>
      <c r="AR86" s="16" t="n">
        <f aca="false">AQ86/31</f>
        <v>3.29032258064516</v>
      </c>
      <c r="AS86" s="15" t="n">
        <v>92</v>
      </c>
      <c r="AT86" s="16" t="n">
        <f aca="false">AS86/31</f>
        <v>2.96774193548387</v>
      </c>
      <c r="AU86" s="15" t="n">
        <v>69</v>
      </c>
      <c r="AV86" s="16" t="n">
        <f aca="false">AU86/30</f>
        <v>2.3</v>
      </c>
      <c r="AW86" s="15" t="n">
        <v>89</v>
      </c>
      <c r="AX86" s="16" t="n">
        <f aca="false">AW86/31</f>
        <v>2.87096774193548</v>
      </c>
      <c r="AY86" s="15" t="n">
        <v>66</v>
      </c>
      <c r="AZ86" s="16" t="n">
        <f aca="false">AY86/30</f>
        <v>2.2</v>
      </c>
      <c r="BA86" s="15" t="n">
        <v>66</v>
      </c>
      <c r="BB86" s="16" t="n">
        <f aca="false">BA86/31</f>
        <v>2.12903225806452</v>
      </c>
      <c r="BC86" s="17" t="n">
        <f aca="false">SUM(AE86:BA86)</f>
        <v>1031.87549923195</v>
      </c>
      <c r="BD86" s="18" t="n">
        <f aca="false">IFERROR(STDEV(AF86,AH86,AJ86,AL86,AN86,AP86,AR86,AT86,AV86,AX86,AZ86,BB86),0)</f>
        <v>0.708682907764596</v>
      </c>
      <c r="BE86" s="15" t="n">
        <v>95</v>
      </c>
      <c r="BF86" s="16" t="n">
        <f aca="false">BE86/31</f>
        <v>3.06451612903226</v>
      </c>
      <c r="BG86" s="15" t="n">
        <v>74</v>
      </c>
      <c r="BH86" s="16" t="n">
        <f aca="false">BG86/28</f>
        <v>2.64285714285714</v>
      </c>
      <c r="BI86" s="15" t="n">
        <v>95</v>
      </c>
      <c r="BJ86" s="16" t="n">
        <f aca="false">BI86/31</f>
        <v>3.06451612903226</v>
      </c>
      <c r="BK86" s="15" t="n">
        <v>81</v>
      </c>
      <c r="BL86" s="16" t="n">
        <f aca="false">BK86/30</f>
        <v>2.7</v>
      </c>
      <c r="BM86" s="15" t="n">
        <v>83</v>
      </c>
      <c r="BN86" s="16" t="n">
        <f aca="false">BM86/31</f>
        <v>2.67741935483871</v>
      </c>
      <c r="BO86" s="15" t="n">
        <v>90</v>
      </c>
      <c r="BP86" s="16" t="n">
        <f aca="false">BO86/30</f>
        <v>3</v>
      </c>
      <c r="BQ86" s="15" t="n">
        <v>97</v>
      </c>
      <c r="BR86" s="16" t="n">
        <f aca="false">BQ86/31</f>
        <v>3.12903225806452</v>
      </c>
      <c r="BS86" s="15" t="n">
        <v>75</v>
      </c>
      <c r="BT86" s="16" t="n">
        <f aca="false">BS86/31</f>
        <v>2.41935483870968</v>
      </c>
      <c r="BU86" s="15" t="n">
        <v>106</v>
      </c>
      <c r="BV86" s="16" t="n">
        <f aca="false">BU86/30</f>
        <v>3.53333333333333</v>
      </c>
      <c r="BW86" s="15" t="n">
        <v>82</v>
      </c>
      <c r="BX86" s="16" t="n">
        <f aca="false">BW86/31</f>
        <v>2.64516129032258</v>
      </c>
      <c r="BY86" s="15" t="n">
        <v>59</v>
      </c>
      <c r="BZ86" s="16" t="n">
        <f aca="false">BY86/30</f>
        <v>1.96666666666667</v>
      </c>
      <c r="CA86" s="15" t="n">
        <v>63</v>
      </c>
      <c r="CB86" s="16" t="n">
        <f aca="false">CA86/31</f>
        <v>2.03225806451613</v>
      </c>
      <c r="CC86" s="17" t="n">
        <f aca="false">SUM(BE86:CA86)</f>
        <v>1030.84285714286</v>
      </c>
      <c r="CD86" s="18" t="n">
        <f aca="false">IFERROR(STDEV(BF86,BH86,BJ86,BL86,BN86,BP86,BR86,BT86,BV86,BX86,BZ86,CB86),0)</f>
        <v>0.455735887130536</v>
      </c>
      <c r="CE86" s="15" t="n">
        <v>49</v>
      </c>
      <c r="CF86" s="16" t="n">
        <f aca="false">CE86/31</f>
        <v>1.58064516129032</v>
      </c>
      <c r="CG86" s="15" t="n">
        <v>96</v>
      </c>
      <c r="CH86" s="16" t="n">
        <f aca="false">CG86/28</f>
        <v>3.42857142857143</v>
      </c>
      <c r="CI86" s="15" t="n">
        <v>48</v>
      </c>
      <c r="CJ86" s="16" t="n">
        <f aca="false">CI86/31</f>
        <v>1.54838709677419</v>
      </c>
      <c r="CK86" s="15" t="n">
        <v>64</v>
      </c>
      <c r="CL86" s="16" t="n">
        <f aca="false">CK86/30</f>
        <v>2.13333333333333</v>
      </c>
      <c r="CM86" s="15" t="n">
        <v>73</v>
      </c>
      <c r="CN86" s="16" t="n">
        <f aca="false">CM86/31</f>
        <v>2.35483870967742</v>
      </c>
      <c r="CO86" s="15" t="n">
        <v>94</v>
      </c>
      <c r="CP86" s="16" t="n">
        <f aca="false">CO86/30</f>
        <v>3.13333333333333</v>
      </c>
      <c r="CQ86" s="15" t="n">
        <v>110</v>
      </c>
      <c r="CR86" s="16" t="n">
        <f aca="false">CQ86/31</f>
        <v>3.54838709677419</v>
      </c>
      <c r="CS86" s="15" t="n">
        <v>95</v>
      </c>
      <c r="CT86" s="16" t="n">
        <f aca="false">CS86/31</f>
        <v>3.06451612903226</v>
      </c>
      <c r="CU86" s="15" t="n">
        <v>52</v>
      </c>
      <c r="CV86" s="16" t="n">
        <f aca="false">CU86/30</f>
        <v>1.73333333333333</v>
      </c>
      <c r="CW86" s="15" t="n">
        <v>106</v>
      </c>
      <c r="CX86" s="16" t="n">
        <f aca="false">CW86/31</f>
        <v>3.41935483870968</v>
      </c>
      <c r="CY86" s="15" t="n">
        <v>110</v>
      </c>
      <c r="CZ86" s="16" t="n">
        <f aca="false">CY86/30</f>
        <v>3.66666666666667</v>
      </c>
      <c r="DA86" s="15" t="n">
        <v>102</v>
      </c>
      <c r="DB86" s="16" t="n">
        <f aca="false">DA86/31</f>
        <v>3.29032258064516</v>
      </c>
      <c r="DC86" s="17" t="n">
        <f aca="false">SUM(CE86:DA86)</f>
        <v>1028.6113671275</v>
      </c>
      <c r="DD86" s="18" t="n">
        <f aca="false">IFERROR(STDEV(CF86,CH86,CJ86,CL86,CN86,CP86,CR86,CT86,CV86,CX86,CZ86,DB86),0)</f>
        <v>0.814890309499909</v>
      </c>
      <c r="DE86" s="15" t="n">
        <v>86</v>
      </c>
      <c r="DF86" s="16" t="n">
        <f aca="false">DE86/31</f>
        <v>2.7741935483871</v>
      </c>
      <c r="DG86" s="15" t="n">
        <v>75</v>
      </c>
      <c r="DH86" s="16" t="n">
        <f aca="false">DG86/28</f>
        <v>2.67857142857143</v>
      </c>
      <c r="DI86" s="15" t="n">
        <v>84</v>
      </c>
      <c r="DJ86" s="16" t="n">
        <f aca="false">DI86/31</f>
        <v>2.70967741935484</v>
      </c>
      <c r="DK86" s="15" t="n">
        <v>69</v>
      </c>
      <c r="DL86" s="16" t="n">
        <f aca="false">DK86/30</f>
        <v>2.3</v>
      </c>
      <c r="DM86" s="15" t="n">
        <v>81</v>
      </c>
      <c r="DN86" s="16" t="n">
        <f aca="false">DM86/31</f>
        <v>2.61290322580645</v>
      </c>
      <c r="DO86" s="15" t="n">
        <v>55</v>
      </c>
      <c r="DP86" s="16" t="n">
        <f aca="false">DO86/30</f>
        <v>1.83333333333333</v>
      </c>
      <c r="DQ86" s="15" t="n">
        <v>104</v>
      </c>
      <c r="DR86" s="16" t="n">
        <f aca="false">DQ86/31</f>
        <v>3.35483870967742</v>
      </c>
      <c r="DS86" s="15" t="n">
        <v>79</v>
      </c>
      <c r="DT86" s="16" t="n">
        <f aca="false">DS86/31</f>
        <v>2.54838709677419</v>
      </c>
      <c r="DU86" s="15" t="n">
        <v>74</v>
      </c>
      <c r="DV86" s="16" t="n">
        <f aca="false">DU86/30</f>
        <v>2.46666666666667</v>
      </c>
      <c r="DW86" s="15" t="n">
        <v>95</v>
      </c>
      <c r="DX86" s="16" t="n">
        <f aca="false">DW86/31</f>
        <v>3.06451612903226</v>
      </c>
      <c r="DY86" s="15" t="n">
        <v>104</v>
      </c>
      <c r="DZ86" s="16" t="n">
        <f aca="false">DY86/30</f>
        <v>3.46666666666667</v>
      </c>
      <c r="EA86" s="15" t="n">
        <v>94</v>
      </c>
      <c r="EB86" s="16" t="n">
        <f aca="false">EA86/31</f>
        <v>3.03225806451613</v>
      </c>
      <c r="EC86" s="17" t="n">
        <f aca="false">SUM(DE86:EA86)</f>
        <v>1029.80975422427</v>
      </c>
      <c r="ED86" s="18" t="n">
        <f aca="false">IFERROR(STDEV(DF86,DH86,DJ86,DL86,DN86,DP86,DR86,DT86,DV86,DX86,DZ86,EB86),0)</f>
        <v>0.451840991682082</v>
      </c>
      <c r="EE86" s="19" t="n">
        <f aca="false">STDEV(F86:AB86,AF86:BB86,BF86:CB86,CF86:DB86,DF86:EB86)</f>
        <v>42.1631303067187</v>
      </c>
    </row>
    <row r="87" customFormat="false" ht="15" hidden="false" customHeight="true" outlineLevel="0" collapsed="false">
      <c r="A87" s="11" t="n">
        <v>82</v>
      </c>
      <c r="B87" s="12" t="s">
        <v>198</v>
      </c>
      <c r="C87" s="13" t="s">
        <v>199</v>
      </c>
      <c r="D87" s="14" t="s">
        <v>36</v>
      </c>
      <c r="E87" s="15" t="n">
        <v>2462</v>
      </c>
      <c r="F87" s="16" t="n">
        <f aca="false">E87/31</f>
        <v>79.4193548387097</v>
      </c>
      <c r="G87" s="15" t="n">
        <v>3139</v>
      </c>
      <c r="H87" s="16" t="n">
        <f aca="false">G87/28</f>
        <v>112.107142857143</v>
      </c>
      <c r="I87" s="15" t="n">
        <v>2967</v>
      </c>
      <c r="J87" s="16" t="n">
        <f aca="false">I87/31</f>
        <v>95.7096774193548</v>
      </c>
      <c r="K87" s="15" t="n">
        <v>2453</v>
      </c>
      <c r="L87" s="16" t="n">
        <f aca="false">K87/30</f>
        <v>81.7666666666667</v>
      </c>
      <c r="M87" s="15" t="n">
        <v>2320</v>
      </c>
      <c r="N87" s="16" t="n">
        <f aca="false">M87/31</f>
        <v>74.8387096774194</v>
      </c>
      <c r="O87" s="15" t="n">
        <v>3045</v>
      </c>
      <c r="P87" s="16" t="n">
        <f aca="false">O87/30</f>
        <v>101.5</v>
      </c>
      <c r="Q87" s="15" t="n">
        <v>1530</v>
      </c>
      <c r="R87" s="16" t="n">
        <f aca="false">Q87/31</f>
        <v>49.3548387096774</v>
      </c>
      <c r="S87" s="15" t="n">
        <v>3371</v>
      </c>
      <c r="T87" s="16" t="n">
        <f aca="false">S87/31</f>
        <v>108.741935483871</v>
      </c>
      <c r="U87" s="15" t="n">
        <v>2449</v>
      </c>
      <c r="V87" s="16" t="n">
        <f aca="false">U87/30</f>
        <v>81.6333333333333</v>
      </c>
      <c r="W87" s="15" t="n">
        <v>2212</v>
      </c>
      <c r="X87" s="16" t="n">
        <f aca="false">W87/31</f>
        <v>71.3548387096774</v>
      </c>
      <c r="Y87" s="15" t="n">
        <v>2867</v>
      </c>
      <c r="Z87" s="16" t="n">
        <f aca="false">Y87/30</f>
        <v>95.5666666666667</v>
      </c>
      <c r="AA87" s="15" t="n">
        <v>2525</v>
      </c>
      <c r="AB87" s="16" t="n">
        <f aca="false">AA87/31</f>
        <v>81.4516129032258</v>
      </c>
      <c r="AC87" s="17" t="n">
        <f aca="false">SUM(E87:AA87)</f>
        <v>32291.9931643625</v>
      </c>
      <c r="AD87" s="18" t="n">
        <f aca="false">IFERROR(STDEV(F87,H87,J87,L87,N87,P87,R87,T87,V87,X87,Z87,AB87),0)</f>
        <v>17.6005117117173</v>
      </c>
      <c r="AE87" s="15" t="n">
        <v>2863</v>
      </c>
      <c r="AF87" s="16" t="n">
        <f aca="false">AE87/31</f>
        <v>92.3548387096774</v>
      </c>
      <c r="AG87" s="15" t="n">
        <v>3122</v>
      </c>
      <c r="AH87" s="16" t="n">
        <f aca="false">AG87/28</f>
        <v>111.5</v>
      </c>
      <c r="AI87" s="15" t="n">
        <v>1808</v>
      </c>
      <c r="AJ87" s="16" t="n">
        <f aca="false">AI87/31</f>
        <v>58.3225806451613</v>
      </c>
      <c r="AK87" s="15" t="n">
        <v>2355</v>
      </c>
      <c r="AL87" s="16" t="n">
        <f aca="false">AK87/30</f>
        <v>78.5</v>
      </c>
      <c r="AM87" s="15" t="n">
        <v>2596</v>
      </c>
      <c r="AN87" s="16" t="n">
        <f aca="false">AM87/31</f>
        <v>83.741935483871</v>
      </c>
      <c r="AO87" s="15" t="n">
        <v>2385</v>
      </c>
      <c r="AP87" s="16" t="n">
        <f aca="false">AO87/30</f>
        <v>79.5</v>
      </c>
      <c r="AQ87" s="15" t="n">
        <v>3568</v>
      </c>
      <c r="AR87" s="16" t="n">
        <f aca="false">AQ87/31</f>
        <v>115.096774193548</v>
      </c>
      <c r="AS87" s="15" t="n">
        <v>2739</v>
      </c>
      <c r="AT87" s="16" t="n">
        <f aca="false">AS87/31</f>
        <v>88.3548387096774</v>
      </c>
      <c r="AU87" s="15" t="n">
        <v>2651</v>
      </c>
      <c r="AV87" s="16" t="n">
        <f aca="false">AU87/30</f>
        <v>88.3666666666667</v>
      </c>
      <c r="AW87" s="15" t="n">
        <v>3083</v>
      </c>
      <c r="AX87" s="16" t="n">
        <f aca="false">AW87/31</f>
        <v>99.4516129032258</v>
      </c>
      <c r="AY87" s="15" t="n">
        <v>1819</v>
      </c>
      <c r="AZ87" s="16" t="n">
        <f aca="false">AY87/30</f>
        <v>60.6333333333333</v>
      </c>
      <c r="BA87" s="15" t="n">
        <v>2865</v>
      </c>
      <c r="BB87" s="16" t="n">
        <f aca="false">BA87/31</f>
        <v>92.4193548387097</v>
      </c>
      <c r="BC87" s="17" t="n">
        <f aca="false">SUM(AE87:BA87)</f>
        <v>32809.8225806452</v>
      </c>
      <c r="BD87" s="18" t="n">
        <f aca="false">IFERROR(STDEV(AF87,AH87,AJ87,AL87,AN87,AP87,AR87,AT87,AV87,AX87,AZ87,BB87),0)</f>
        <v>17.219649001609</v>
      </c>
      <c r="BE87" s="15" t="n">
        <v>2349</v>
      </c>
      <c r="BF87" s="16" t="n">
        <f aca="false">BE87/31</f>
        <v>75.7741935483871</v>
      </c>
      <c r="BG87" s="15" t="n">
        <v>4159</v>
      </c>
      <c r="BH87" s="16" t="n">
        <f aca="false">BG87/28</f>
        <v>148.535714285714</v>
      </c>
      <c r="BI87" s="15" t="n">
        <v>3163</v>
      </c>
      <c r="BJ87" s="16" t="n">
        <f aca="false">BI87/31</f>
        <v>102.032258064516</v>
      </c>
      <c r="BK87" s="15" t="n">
        <v>3877</v>
      </c>
      <c r="BL87" s="16" t="n">
        <f aca="false">BK87/30</f>
        <v>129.233333333333</v>
      </c>
      <c r="BM87" s="15" t="n">
        <v>2272</v>
      </c>
      <c r="BN87" s="16" t="n">
        <f aca="false">BM87/31</f>
        <v>73.2903225806452</v>
      </c>
      <c r="BO87" s="15" t="n">
        <v>4024</v>
      </c>
      <c r="BP87" s="16" t="n">
        <f aca="false">BO87/30</f>
        <v>134.133333333333</v>
      </c>
      <c r="BQ87" s="15" t="n">
        <v>4443</v>
      </c>
      <c r="BR87" s="16" t="n">
        <f aca="false">BQ87/31</f>
        <v>143.322580645161</v>
      </c>
      <c r="BS87" s="15" t="n">
        <v>3807</v>
      </c>
      <c r="BT87" s="16" t="n">
        <f aca="false">BS87/31</f>
        <v>122.806451612903</v>
      </c>
      <c r="BU87" s="15" t="n">
        <v>2330</v>
      </c>
      <c r="BV87" s="16" t="n">
        <f aca="false">BU87/30</f>
        <v>77.6666666666667</v>
      </c>
      <c r="BW87" s="15" t="n">
        <v>3063</v>
      </c>
      <c r="BX87" s="16" t="n">
        <f aca="false">BW87/31</f>
        <v>98.8064516129032</v>
      </c>
      <c r="BY87" s="15" t="n">
        <v>3161</v>
      </c>
      <c r="BZ87" s="16" t="n">
        <f aca="false">BY87/30</f>
        <v>105.366666666667</v>
      </c>
      <c r="CA87" s="15" t="n">
        <v>2445</v>
      </c>
      <c r="CB87" s="16" t="n">
        <f aca="false">CA87/31</f>
        <v>78.8709677419355</v>
      </c>
      <c r="CC87" s="17" t="n">
        <f aca="false">SUM(BE87:CA87)</f>
        <v>40303.9679723502</v>
      </c>
      <c r="CD87" s="18" t="n">
        <f aca="false">IFERROR(STDEV(BF87,BH87,BJ87,BL87,BN87,BP87,BR87,BT87,BV87,BX87,BZ87,CB87),0)</f>
        <v>27.6004740391152</v>
      </c>
      <c r="CE87" s="15" t="n">
        <v>3010</v>
      </c>
      <c r="CF87" s="16" t="n">
        <f aca="false">CE87/31</f>
        <v>97.0967741935484</v>
      </c>
      <c r="CG87" s="15" t="n">
        <v>3284</v>
      </c>
      <c r="CH87" s="16" t="n">
        <f aca="false">CG87/28</f>
        <v>117.285714285714</v>
      </c>
      <c r="CI87" s="15" t="n">
        <v>2138</v>
      </c>
      <c r="CJ87" s="16" t="n">
        <f aca="false">CI87/31</f>
        <v>68.9677419354839</v>
      </c>
      <c r="CK87" s="15" t="n">
        <v>2705</v>
      </c>
      <c r="CL87" s="16" t="n">
        <f aca="false">CK87/30</f>
        <v>90.1666666666667</v>
      </c>
      <c r="CM87" s="15" t="n">
        <v>2246</v>
      </c>
      <c r="CN87" s="16" t="n">
        <f aca="false">CM87/31</f>
        <v>72.4516129032258</v>
      </c>
      <c r="CO87" s="15" t="n">
        <v>3237</v>
      </c>
      <c r="CP87" s="16" t="n">
        <f aca="false">CO87/30</f>
        <v>107.9</v>
      </c>
      <c r="CQ87" s="15" t="n">
        <v>3721</v>
      </c>
      <c r="CR87" s="16" t="n">
        <f aca="false">CQ87/31</f>
        <v>120.032258064516</v>
      </c>
      <c r="CS87" s="15" t="n">
        <v>3473</v>
      </c>
      <c r="CT87" s="16" t="n">
        <f aca="false">CS87/31</f>
        <v>112.032258064516</v>
      </c>
      <c r="CU87" s="15" t="n">
        <v>3297</v>
      </c>
      <c r="CV87" s="16" t="n">
        <f aca="false">CU87/30</f>
        <v>109.9</v>
      </c>
      <c r="CW87" s="15" t="n">
        <v>1962</v>
      </c>
      <c r="CX87" s="16" t="n">
        <f aca="false">CW87/31</f>
        <v>63.2903225806452</v>
      </c>
      <c r="CY87" s="15" t="n">
        <v>1941</v>
      </c>
      <c r="CZ87" s="16" t="n">
        <f aca="false">CY87/30</f>
        <v>64.7</v>
      </c>
      <c r="DA87" s="15" t="n">
        <v>2693</v>
      </c>
      <c r="DB87" s="16" t="n">
        <f aca="false">DA87/31</f>
        <v>86.8709677419355</v>
      </c>
      <c r="DC87" s="17" t="n">
        <f aca="false">SUM(CE87:DA87)</f>
        <v>34730.8233486943</v>
      </c>
      <c r="DD87" s="18" t="n">
        <f aca="false">IFERROR(STDEV(CF87,CH87,CJ87,CL87,CN87,CP87,CR87,CT87,CV87,CX87,CZ87,DB87),0)</f>
        <v>21.1783698193857</v>
      </c>
      <c r="DE87" s="15" t="n">
        <v>2251</v>
      </c>
      <c r="DF87" s="16" t="n">
        <f aca="false">DE87/31</f>
        <v>72.6129032258065</v>
      </c>
      <c r="DG87" s="15" t="n">
        <v>2576</v>
      </c>
      <c r="DH87" s="16" t="n">
        <f aca="false">DG87/28</f>
        <v>92</v>
      </c>
      <c r="DI87" s="15" t="n">
        <v>2294</v>
      </c>
      <c r="DJ87" s="16" t="n">
        <f aca="false">DI87/31</f>
        <v>74</v>
      </c>
      <c r="DK87" s="15" t="n">
        <v>3117</v>
      </c>
      <c r="DL87" s="16" t="n">
        <f aca="false">DK87/30</f>
        <v>103.9</v>
      </c>
      <c r="DM87" s="15" t="n">
        <v>2552</v>
      </c>
      <c r="DN87" s="16" t="n">
        <f aca="false">DM87/31</f>
        <v>82.3225806451613</v>
      </c>
      <c r="DO87" s="15" t="n">
        <v>3438</v>
      </c>
      <c r="DP87" s="16" t="n">
        <f aca="false">DO87/30</f>
        <v>114.6</v>
      </c>
      <c r="DQ87" s="15" t="n">
        <v>2283</v>
      </c>
      <c r="DR87" s="16" t="n">
        <f aca="false">DQ87/31</f>
        <v>73.6451612903226</v>
      </c>
      <c r="DS87" s="15" t="n">
        <v>2287</v>
      </c>
      <c r="DT87" s="16" t="n">
        <f aca="false">DS87/31</f>
        <v>73.7741935483871</v>
      </c>
      <c r="DU87" s="15" t="n">
        <v>3071</v>
      </c>
      <c r="DV87" s="16" t="n">
        <f aca="false">DU87/30</f>
        <v>102.366666666667</v>
      </c>
      <c r="DW87" s="15" t="n">
        <v>3362</v>
      </c>
      <c r="DX87" s="16" t="n">
        <f aca="false">DW87/31</f>
        <v>108.451612903226</v>
      </c>
      <c r="DY87" s="15" t="n">
        <v>2661</v>
      </c>
      <c r="DZ87" s="16" t="n">
        <f aca="false">DY87/30</f>
        <v>88.7</v>
      </c>
      <c r="EA87" s="15" t="n">
        <v>2851</v>
      </c>
      <c r="EB87" s="16" t="n">
        <f aca="false">EA87/31</f>
        <v>91.9677419354839</v>
      </c>
      <c r="EC87" s="17" t="n">
        <f aca="false">SUM(DE87:EA87)</f>
        <v>33729.3731182796</v>
      </c>
      <c r="ED87" s="18" t="n">
        <f aca="false">IFERROR(STDEV(DF87,DH87,DJ87,DL87,DN87,DP87,DR87,DT87,DV87,DX87,DZ87,EB87),0)</f>
        <v>14.9213407955531</v>
      </c>
      <c r="EE87" s="19" t="n">
        <f aca="false">STDEV(F87:AB87,AF87:BB87,BF87:CB87,CF87:DB87,DF87:EB87)</f>
        <v>1441.22097391004</v>
      </c>
    </row>
    <row r="88" customFormat="false" ht="15" hidden="false" customHeight="true" outlineLevel="0" collapsed="false">
      <c r="A88" s="11" t="n">
        <v>83</v>
      </c>
      <c r="B88" s="12" t="s">
        <v>200</v>
      </c>
      <c r="C88" s="13" t="s">
        <v>201</v>
      </c>
      <c r="D88" s="14" t="s">
        <v>36</v>
      </c>
      <c r="E88" s="15" t="n">
        <v>1207</v>
      </c>
      <c r="F88" s="16" t="n">
        <f aca="false">E88/31</f>
        <v>38.9354838709677</v>
      </c>
      <c r="G88" s="15" t="n">
        <v>2171</v>
      </c>
      <c r="H88" s="16" t="n">
        <f aca="false">G88/28</f>
        <v>77.5357142857143</v>
      </c>
      <c r="I88" s="15" t="n">
        <v>1246</v>
      </c>
      <c r="J88" s="16" t="n">
        <f aca="false">I88/31</f>
        <v>40.1935483870968</v>
      </c>
      <c r="K88" s="15" t="n">
        <v>1961</v>
      </c>
      <c r="L88" s="16" t="n">
        <f aca="false">K88/30</f>
        <v>65.3666666666667</v>
      </c>
      <c r="M88" s="15" t="n">
        <v>1569</v>
      </c>
      <c r="N88" s="16" t="n">
        <f aca="false">M88/31</f>
        <v>50.6129032258065</v>
      </c>
      <c r="O88" s="15" t="n">
        <v>1421</v>
      </c>
      <c r="P88" s="16" t="n">
        <f aca="false">O88/30</f>
        <v>47.3666666666667</v>
      </c>
      <c r="Q88" s="15" t="n">
        <v>2037</v>
      </c>
      <c r="R88" s="16" t="n">
        <f aca="false">Q88/31</f>
        <v>65.7096774193548</v>
      </c>
      <c r="S88" s="15" t="n">
        <v>1604</v>
      </c>
      <c r="T88" s="16" t="n">
        <f aca="false">S88/31</f>
        <v>51.741935483871</v>
      </c>
      <c r="U88" s="15" t="n">
        <v>1846</v>
      </c>
      <c r="V88" s="16" t="n">
        <f aca="false">U88/30</f>
        <v>61.5333333333333</v>
      </c>
      <c r="W88" s="15" t="n">
        <v>1164</v>
      </c>
      <c r="X88" s="16" t="n">
        <f aca="false">W88/31</f>
        <v>37.5483870967742</v>
      </c>
      <c r="Y88" s="15" t="n">
        <v>1182</v>
      </c>
      <c r="Z88" s="16" t="n">
        <f aca="false">Y88/30</f>
        <v>39.4</v>
      </c>
      <c r="AA88" s="15" t="n">
        <v>1278</v>
      </c>
      <c r="AB88" s="16" t="n">
        <f aca="false">AA88/31</f>
        <v>41.2258064516129</v>
      </c>
      <c r="AC88" s="17" t="n">
        <f aca="false">SUM(E88:AA88)</f>
        <v>19261.9443164363</v>
      </c>
      <c r="AD88" s="18" t="n">
        <f aca="false">IFERROR(STDEV(F88,H88,J88,L88,N88,P88,R88,T88,V88,X88,Z88,AB88),0)</f>
        <v>13.2215993009682</v>
      </c>
      <c r="AE88" s="15" t="n">
        <v>1478</v>
      </c>
      <c r="AF88" s="16" t="n">
        <f aca="false">AE88/31</f>
        <v>47.6774193548387</v>
      </c>
      <c r="AG88" s="15" t="n">
        <v>1080</v>
      </c>
      <c r="AH88" s="16" t="n">
        <f aca="false">AG88/28</f>
        <v>38.5714285714286</v>
      </c>
      <c r="AI88" s="15" t="n">
        <v>1301</v>
      </c>
      <c r="AJ88" s="16" t="n">
        <f aca="false">AI88/31</f>
        <v>41.9677419354839</v>
      </c>
      <c r="AK88" s="15" t="n">
        <v>1729</v>
      </c>
      <c r="AL88" s="16" t="n">
        <f aca="false">AK88/30</f>
        <v>57.6333333333333</v>
      </c>
      <c r="AM88" s="15" t="n">
        <v>1393</v>
      </c>
      <c r="AN88" s="16" t="n">
        <f aca="false">AM88/31</f>
        <v>44.9354838709677</v>
      </c>
      <c r="AO88" s="15" t="n">
        <v>814</v>
      </c>
      <c r="AP88" s="16" t="n">
        <f aca="false">AO88/30</f>
        <v>27.1333333333333</v>
      </c>
      <c r="AQ88" s="15" t="n">
        <v>1758</v>
      </c>
      <c r="AR88" s="16" t="n">
        <f aca="false">AQ88/31</f>
        <v>56.7096774193548</v>
      </c>
      <c r="AS88" s="15" t="n">
        <v>1064</v>
      </c>
      <c r="AT88" s="16" t="n">
        <f aca="false">AS88/31</f>
        <v>34.3225806451613</v>
      </c>
      <c r="AU88" s="15" t="n">
        <v>1442</v>
      </c>
      <c r="AV88" s="16" t="n">
        <f aca="false">AU88/30</f>
        <v>48.0666666666667</v>
      </c>
      <c r="AW88" s="15" t="n">
        <v>1320</v>
      </c>
      <c r="AX88" s="16" t="n">
        <f aca="false">AW88/31</f>
        <v>42.5806451612903</v>
      </c>
      <c r="AY88" s="15" t="n">
        <v>1249</v>
      </c>
      <c r="AZ88" s="16" t="n">
        <f aca="false">AY88/30</f>
        <v>41.6333333333333</v>
      </c>
      <c r="BA88" s="15" t="n">
        <v>893</v>
      </c>
      <c r="BB88" s="16" t="n">
        <f aca="false">BA88/31</f>
        <v>28.8064516129032</v>
      </c>
      <c r="BC88" s="17" t="n">
        <f aca="false">SUM(AE88:BA88)</f>
        <v>16002.2316436252</v>
      </c>
      <c r="BD88" s="18" t="n">
        <f aca="false">IFERROR(STDEV(AF88,AH88,AJ88,AL88,AN88,AP88,AR88,AT88,AV88,AX88,AZ88,BB88),0)</f>
        <v>9.54248922113805</v>
      </c>
      <c r="BE88" s="15" t="n">
        <v>1657</v>
      </c>
      <c r="BF88" s="16" t="n">
        <f aca="false">BE88/31</f>
        <v>53.4516129032258</v>
      </c>
      <c r="BG88" s="15" t="n">
        <v>1221</v>
      </c>
      <c r="BH88" s="16" t="n">
        <f aca="false">BG88/28</f>
        <v>43.6071428571429</v>
      </c>
      <c r="BI88" s="15" t="n">
        <v>1592</v>
      </c>
      <c r="BJ88" s="16" t="n">
        <f aca="false">BI88/31</f>
        <v>51.3548387096774</v>
      </c>
      <c r="BK88" s="15" t="n">
        <v>1681</v>
      </c>
      <c r="BL88" s="16" t="n">
        <f aca="false">BK88/30</f>
        <v>56.0333333333333</v>
      </c>
      <c r="BM88" s="15" t="n">
        <v>1605</v>
      </c>
      <c r="BN88" s="16" t="n">
        <f aca="false">BM88/31</f>
        <v>51.7741935483871</v>
      </c>
      <c r="BO88" s="15" t="n">
        <v>1934</v>
      </c>
      <c r="BP88" s="16" t="n">
        <f aca="false">BO88/30</f>
        <v>64.4666666666667</v>
      </c>
      <c r="BQ88" s="15" t="n">
        <v>981</v>
      </c>
      <c r="BR88" s="16" t="n">
        <f aca="false">BQ88/31</f>
        <v>31.6451612903226</v>
      </c>
      <c r="BS88" s="15" t="n">
        <v>1103</v>
      </c>
      <c r="BT88" s="16" t="n">
        <f aca="false">BS88/31</f>
        <v>35.5806451612903</v>
      </c>
      <c r="BU88" s="15" t="n">
        <v>1722</v>
      </c>
      <c r="BV88" s="16" t="n">
        <f aca="false">BU88/30</f>
        <v>57.4</v>
      </c>
      <c r="BW88" s="15" t="n">
        <v>966</v>
      </c>
      <c r="BX88" s="16" t="n">
        <f aca="false">BW88/31</f>
        <v>31.1612903225806</v>
      </c>
      <c r="BY88" s="15" t="n">
        <v>1969</v>
      </c>
      <c r="BZ88" s="16" t="n">
        <f aca="false">BY88/30</f>
        <v>65.6333333333333</v>
      </c>
      <c r="CA88" s="15" t="n">
        <v>1739</v>
      </c>
      <c r="CB88" s="16" t="n">
        <f aca="false">CA88/31</f>
        <v>56.0967741935484</v>
      </c>
      <c r="CC88" s="17" t="n">
        <f aca="false">SUM(BE88:CA88)</f>
        <v>18712.108218126</v>
      </c>
      <c r="CD88" s="18" t="n">
        <f aca="false">IFERROR(STDEV(BF88,BH88,BJ88,BL88,BN88,BP88,BR88,BT88,BV88,BX88,BZ88,CB88),0)</f>
        <v>11.8291984779757</v>
      </c>
      <c r="CE88" s="15" t="n">
        <v>1841</v>
      </c>
      <c r="CF88" s="16" t="n">
        <f aca="false">CE88/31</f>
        <v>59.3870967741936</v>
      </c>
      <c r="CG88" s="15" t="n">
        <v>1216</v>
      </c>
      <c r="CH88" s="16" t="n">
        <f aca="false">CG88/28</f>
        <v>43.4285714285714</v>
      </c>
      <c r="CI88" s="15" t="n">
        <v>1937</v>
      </c>
      <c r="CJ88" s="16" t="n">
        <f aca="false">CI88/31</f>
        <v>62.4838709677419</v>
      </c>
      <c r="CK88" s="15" t="n">
        <v>927</v>
      </c>
      <c r="CL88" s="16" t="n">
        <f aca="false">CK88/30</f>
        <v>30.9</v>
      </c>
      <c r="CM88" s="15" t="n">
        <v>1353</v>
      </c>
      <c r="CN88" s="16" t="n">
        <f aca="false">CM88/31</f>
        <v>43.6451612903226</v>
      </c>
      <c r="CO88" s="15" t="n">
        <v>1076</v>
      </c>
      <c r="CP88" s="16" t="n">
        <f aca="false">CO88/30</f>
        <v>35.8666666666667</v>
      </c>
      <c r="CQ88" s="15" t="n">
        <v>1649</v>
      </c>
      <c r="CR88" s="16" t="n">
        <f aca="false">CQ88/31</f>
        <v>53.1935483870968</v>
      </c>
      <c r="CS88" s="15" t="n">
        <v>1578</v>
      </c>
      <c r="CT88" s="16" t="n">
        <f aca="false">CS88/31</f>
        <v>50.9032258064516</v>
      </c>
      <c r="CU88" s="15" t="n">
        <v>1671</v>
      </c>
      <c r="CV88" s="16" t="n">
        <f aca="false">CU88/30</f>
        <v>55.7</v>
      </c>
      <c r="CW88" s="15" t="n">
        <v>1560</v>
      </c>
      <c r="CX88" s="16" t="n">
        <f aca="false">CW88/31</f>
        <v>50.3225806451613</v>
      </c>
      <c r="CY88" s="15" t="n">
        <v>1783</v>
      </c>
      <c r="CZ88" s="16" t="n">
        <f aca="false">CY88/30</f>
        <v>59.4333333333333</v>
      </c>
      <c r="DA88" s="15" t="n">
        <v>1075</v>
      </c>
      <c r="DB88" s="16" t="n">
        <f aca="false">DA88/31</f>
        <v>34.6774193548387</v>
      </c>
      <c r="DC88" s="17" t="n">
        <f aca="false">SUM(CE88:DA88)</f>
        <v>18211.2640552995</v>
      </c>
      <c r="DD88" s="18" t="n">
        <f aca="false">IFERROR(STDEV(CF88,CH88,CJ88,CL88,CN88,CP88,CR88,CT88,CV88,CX88,CZ88,DB88),0)</f>
        <v>10.5569561659016</v>
      </c>
      <c r="DE88" s="15" t="n">
        <v>1748</v>
      </c>
      <c r="DF88" s="16" t="n">
        <f aca="false">DE88/31</f>
        <v>56.3870967741936</v>
      </c>
      <c r="DG88" s="15" t="n">
        <v>1927</v>
      </c>
      <c r="DH88" s="16" t="n">
        <f aca="false">DG88/28</f>
        <v>68.8214285714286</v>
      </c>
      <c r="DI88" s="15" t="n">
        <v>2438</v>
      </c>
      <c r="DJ88" s="16" t="n">
        <f aca="false">DI88/31</f>
        <v>78.6451612903226</v>
      </c>
      <c r="DK88" s="15" t="n">
        <v>1223</v>
      </c>
      <c r="DL88" s="16" t="n">
        <f aca="false">DK88/30</f>
        <v>40.7666666666667</v>
      </c>
      <c r="DM88" s="15" t="n">
        <v>1522</v>
      </c>
      <c r="DN88" s="16" t="n">
        <f aca="false">DM88/31</f>
        <v>49.0967741935484</v>
      </c>
      <c r="DO88" s="15" t="n">
        <v>1622</v>
      </c>
      <c r="DP88" s="16" t="n">
        <f aca="false">DO88/30</f>
        <v>54.0666666666667</v>
      </c>
      <c r="DQ88" s="15" t="n">
        <v>1637</v>
      </c>
      <c r="DR88" s="16" t="n">
        <f aca="false">DQ88/31</f>
        <v>52.8064516129032</v>
      </c>
      <c r="DS88" s="15" t="n">
        <v>1186</v>
      </c>
      <c r="DT88" s="16" t="n">
        <f aca="false">DS88/31</f>
        <v>38.258064516129</v>
      </c>
      <c r="DU88" s="15" t="n">
        <v>1707</v>
      </c>
      <c r="DV88" s="16" t="n">
        <f aca="false">DU88/30</f>
        <v>56.9</v>
      </c>
      <c r="DW88" s="15" t="n">
        <v>1886</v>
      </c>
      <c r="DX88" s="16" t="n">
        <f aca="false">DW88/31</f>
        <v>60.8387096774194</v>
      </c>
      <c r="DY88" s="15" t="n">
        <v>1512</v>
      </c>
      <c r="DZ88" s="16" t="n">
        <f aca="false">DY88/30</f>
        <v>50.4</v>
      </c>
      <c r="EA88" s="15" t="n">
        <v>1283</v>
      </c>
      <c r="EB88" s="16" t="n">
        <f aca="false">EA88/31</f>
        <v>41.3870967741936</v>
      </c>
      <c r="EC88" s="17" t="n">
        <f aca="false">SUM(DE88:EA88)</f>
        <v>20297.9870199693</v>
      </c>
      <c r="ED88" s="18" t="n">
        <f aca="false">IFERROR(STDEV(DF88,DH88,DJ88,DL88,DN88,DP88,DR88,DT88,DV88,DX88,DZ88,EB88),0)</f>
        <v>11.7100144963529</v>
      </c>
      <c r="EE88" s="19" t="n">
        <f aca="false">STDEV(F88:AB88,AF88:BB88,BF88:CB88,CF88:DB88,DF88:EB88)</f>
        <v>762.217405251021</v>
      </c>
    </row>
    <row r="89" customFormat="false" ht="15" hidden="false" customHeight="true" outlineLevel="0" collapsed="false">
      <c r="A89" s="11" t="n">
        <v>84</v>
      </c>
      <c r="B89" s="12" t="s">
        <v>202</v>
      </c>
      <c r="C89" s="13" t="s">
        <v>203</v>
      </c>
      <c r="D89" s="14" t="s">
        <v>36</v>
      </c>
      <c r="E89" s="15" t="n">
        <v>4587</v>
      </c>
      <c r="F89" s="16" t="n">
        <f aca="false">E89/31</f>
        <v>147.967741935484</v>
      </c>
      <c r="G89" s="15" t="n">
        <v>3253</v>
      </c>
      <c r="H89" s="16" t="n">
        <f aca="false">G89/28</f>
        <v>116.178571428571</v>
      </c>
      <c r="I89" s="15" t="n">
        <v>4055</v>
      </c>
      <c r="J89" s="16" t="n">
        <f aca="false">I89/31</f>
        <v>130.806451612903</v>
      </c>
      <c r="K89" s="15" t="n">
        <v>4048</v>
      </c>
      <c r="L89" s="16" t="n">
        <f aca="false">K89/30</f>
        <v>134.933333333333</v>
      </c>
      <c r="M89" s="15" t="n">
        <v>4591</v>
      </c>
      <c r="N89" s="16" t="n">
        <f aca="false">M89/31</f>
        <v>148.096774193548</v>
      </c>
      <c r="O89" s="15" t="n">
        <v>4325</v>
      </c>
      <c r="P89" s="16" t="n">
        <f aca="false">O89/30</f>
        <v>144.166666666667</v>
      </c>
      <c r="Q89" s="15" t="n">
        <v>2729</v>
      </c>
      <c r="R89" s="16" t="n">
        <f aca="false">Q89/31</f>
        <v>88.0322580645161</v>
      </c>
      <c r="S89" s="15" t="n">
        <v>4699</v>
      </c>
      <c r="T89" s="16" t="n">
        <f aca="false">S89/31</f>
        <v>151.58064516129</v>
      </c>
      <c r="U89" s="15" t="n">
        <v>4379</v>
      </c>
      <c r="V89" s="16" t="n">
        <f aca="false">U89/30</f>
        <v>145.966666666667</v>
      </c>
      <c r="W89" s="15" t="n">
        <v>5516</v>
      </c>
      <c r="X89" s="16" t="n">
        <f aca="false">W89/31</f>
        <v>177.935483870968</v>
      </c>
      <c r="Y89" s="15" t="n">
        <v>3917</v>
      </c>
      <c r="Z89" s="16" t="n">
        <f aca="false">Y89/30</f>
        <v>130.566666666667</v>
      </c>
      <c r="AA89" s="15" t="n">
        <v>4568</v>
      </c>
      <c r="AB89" s="16" t="n">
        <f aca="false">AA89/31</f>
        <v>147.354838709677</v>
      </c>
      <c r="AC89" s="17" t="n">
        <f aca="false">SUM(E89:AA89)</f>
        <v>52183.2312596006</v>
      </c>
      <c r="AD89" s="18" t="n">
        <f aca="false">IFERROR(STDEV(F89,H89,J89,L89,N89,P89,R89,T89,V89,X89,Z89,AB89),0)</f>
        <v>21.8551977423659</v>
      </c>
      <c r="AE89" s="15" t="n">
        <v>4961</v>
      </c>
      <c r="AF89" s="16" t="n">
        <f aca="false">AE89/31</f>
        <v>160.032258064516</v>
      </c>
      <c r="AG89" s="15" t="n">
        <v>5116</v>
      </c>
      <c r="AH89" s="16" t="n">
        <f aca="false">AG89/28</f>
        <v>182.714285714286</v>
      </c>
      <c r="AI89" s="15" t="n">
        <v>3056</v>
      </c>
      <c r="AJ89" s="16" t="n">
        <f aca="false">AI89/31</f>
        <v>98.5806451612903</v>
      </c>
      <c r="AK89" s="15" t="n">
        <v>4004</v>
      </c>
      <c r="AL89" s="16" t="n">
        <f aca="false">AK89/30</f>
        <v>133.466666666667</v>
      </c>
      <c r="AM89" s="15" t="n">
        <v>3142</v>
      </c>
      <c r="AN89" s="16" t="n">
        <f aca="false">AM89/31</f>
        <v>101.354838709677</v>
      </c>
      <c r="AO89" s="15" t="n">
        <v>3758</v>
      </c>
      <c r="AP89" s="16" t="n">
        <f aca="false">AO89/30</f>
        <v>125.266666666667</v>
      </c>
      <c r="AQ89" s="15" t="n">
        <v>5141</v>
      </c>
      <c r="AR89" s="16" t="n">
        <f aca="false">AQ89/31</f>
        <v>165.838709677419</v>
      </c>
      <c r="AS89" s="15" t="n">
        <v>3252</v>
      </c>
      <c r="AT89" s="16" t="n">
        <f aca="false">AS89/31</f>
        <v>104.903225806452</v>
      </c>
      <c r="AU89" s="15" t="n">
        <v>2592</v>
      </c>
      <c r="AV89" s="16" t="n">
        <f aca="false">AU89/30</f>
        <v>86.4</v>
      </c>
      <c r="AW89" s="15" t="n">
        <v>3867</v>
      </c>
      <c r="AX89" s="16" t="n">
        <f aca="false">AW89/31</f>
        <v>124.741935483871</v>
      </c>
      <c r="AY89" s="15" t="n">
        <v>3741</v>
      </c>
      <c r="AZ89" s="16" t="n">
        <f aca="false">AY89/30</f>
        <v>124.7</v>
      </c>
      <c r="BA89" s="15" t="n">
        <v>4071</v>
      </c>
      <c r="BB89" s="16" t="n">
        <f aca="false">BA89/31</f>
        <v>131.322580645161</v>
      </c>
      <c r="BC89" s="17" t="n">
        <f aca="false">SUM(AE89:BA89)</f>
        <v>48108.9992319508</v>
      </c>
      <c r="BD89" s="18" t="n">
        <f aca="false">IFERROR(STDEV(AF89,AH89,AJ89,AL89,AN89,AP89,AR89,AT89,AV89,AX89,AZ89,BB89),0)</f>
        <v>29.1702699693973</v>
      </c>
      <c r="BE89" s="15" t="n">
        <v>3794</v>
      </c>
      <c r="BF89" s="16" t="n">
        <f aca="false">BE89/31</f>
        <v>122.387096774194</v>
      </c>
      <c r="BG89" s="15" t="n">
        <v>2840</v>
      </c>
      <c r="BH89" s="16" t="n">
        <f aca="false">BG89/28</f>
        <v>101.428571428571</v>
      </c>
      <c r="BI89" s="15" t="n">
        <v>4151</v>
      </c>
      <c r="BJ89" s="16" t="n">
        <f aca="false">BI89/31</f>
        <v>133.903225806452</v>
      </c>
      <c r="BK89" s="15" t="n">
        <v>4454</v>
      </c>
      <c r="BL89" s="16" t="n">
        <f aca="false">BK89/30</f>
        <v>148.466666666667</v>
      </c>
      <c r="BM89" s="15" t="n">
        <v>5281</v>
      </c>
      <c r="BN89" s="16" t="n">
        <f aca="false">BM89/31</f>
        <v>170.354838709677</v>
      </c>
      <c r="BO89" s="15" t="n">
        <v>2295</v>
      </c>
      <c r="BP89" s="16" t="n">
        <f aca="false">BO89/30</f>
        <v>76.5</v>
      </c>
      <c r="BQ89" s="15" t="n">
        <v>2363</v>
      </c>
      <c r="BR89" s="16" t="n">
        <f aca="false">BQ89/31</f>
        <v>76.2258064516129</v>
      </c>
      <c r="BS89" s="15" t="n">
        <v>4200</v>
      </c>
      <c r="BT89" s="16" t="n">
        <f aca="false">BS89/31</f>
        <v>135.483870967742</v>
      </c>
      <c r="BU89" s="15" t="n">
        <v>2650</v>
      </c>
      <c r="BV89" s="16" t="n">
        <f aca="false">BU89/30</f>
        <v>88.3333333333333</v>
      </c>
      <c r="BW89" s="15" t="n">
        <v>4880</v>
      </c>
      <c r="BX89" s="16" t="n">
        <f aca="false">BW89/31</f>
        <v>157.41935483871</v>
      </c>
      <c r="BY89" s="15" t="n">
        <v>4732</v>
      </c>
      <c r="BZ89" s="16" t="n">
        <f aca="false">BY89/30</f>
        <v>157.733333333333</v>
      </c>
      <c r="CA89" s="15" t="n">
        <v>5341</v>
      </c>
      <c r="CB89" s="16" t="n">
        <f aca="false">CA89/31</f>
        <v>172.290322580645</v>
      </c>
      <c r="CC89" s="17" t="n">
        <f aca="false">SUM(BE89:CA89)</f>
        <v>48349.2360983103</v>
      </c>
      <c r="CD89" s="18" t="n">
        <f aca="false">IFERROR(STDEV(BF89,BH89,BJ89,BL89,BN89,BP89,BR89,BT89,BV89,BX89,BZ89,CB89),0)</f>
        <v>35.235538771665</v>
      </c>
      <c r="CE89" s="15" t="n">
        <v>4112</v>
      </c>
      <c r="CF89" s="16" t="n">
        <f aca="false">CE89/31</f>
        <v>132.645161290323</v>
      </c>
      <c r="CG89" s="15" t="n">
        <v>3828</v>
      </c>
      <c r="CH89" s="16" t="n">
        <f aca="false">CG89/28</f>
        <v>136.714285714286</v>
      </c>
      <c r="CI89" s="15" t="n">
        <v>4629</v>
      </c>
      <c r="CJ89" s="16" t="n">
        <f aca="false">CI89/31</f>
        <v>149.322580645161</v>
      </c>
      <c r="CK89" s="15" t="n">
        <v>4901</v>
      </c>
      <c r="CL89" s="16" t="n">
        <f aca="false">CK89/30</f>
        <v>163.366666666667</v>
      </c>
      <c r="CM89" s="15" t="n">
        <v>2689</v>
      </c>
      <c r="CN89" s="16" t="n">
        <f aca="false">CM89/31</f>
        <v>86.741935483871</v>
      </c>
      <c r="CO89" s="15" t="n">
        <v>3360</v>
      </c>
      <c r="CP89" s="16" t="n">
        <f aca="false">CO89/30</f>
        <v>112</v>
      </c>
      <c r="CQ89" s="15" t="n">
        <v>3644</v>
      </c>
      <c r="CR89" s="16" t="n">
        <f aca="false">CQ89/31</f>
        <v>117.548387096774</v>
      </c>
      <c r="CS89" s="15" t="n">
        <v>5441</v>
      </c>
      <c r="CT89" s="16" t="n">
        <f aca="false">CS89/31</f>
        <v>175.516129032258</v>
      </c>
      <c r="CU89" s="15" t="n">
        <v>3736</v>
      </c>
      <c r="CV89" s="16" t="n">
        <f aca="false">CU89/30</f>
        <v>124.533333333333</v>
      </c>
      <c r="CW89" s="15" t="n">
        <v>4439</v>
      </c>
      <c r="CX89" s="16" t="n">
        <f aca="false">CW89/31</f>
        <v>143.193548387097</v>
      </c>
      <c r="CY89" s="15" t="n">
        <v>3794</v>
      </c>
      <c r="CZ89" s="16" t="n">
        <f aca="false">CY89/30</f>
        <v>126.466666666667</v>
      </c>
      <c r="DA89" s="15" t="n">
        <v>2671</v>
      </c>
      <c r="DB89" s="16" t="n">
        <f aca="false">DA89/31</f>
        <v>86.1612903225806</v>
      </c>
      <c r="DC89" s="17" t="n">
        <f aca="false">SUM(CE89:DA89)</f>
        <v>48712.0486943164</v>
      </c>
      <c r="DD89" s="18" t="n">
        <f aca="false">IFERROR(STDEV(CF89,CH89,CJ89,CL89,CN89,CP89,CR89,CT89,CV89,CX89,CZ89,DB89),0)</f>
        <v>27.1297777930147</v>
      </c>
      <c r="DE89" s="15" t="n">
        <v>4869</v>
      </c>
      <c r="DF89" s="16" t="n">
        <f aca="false">DE89/31</f>
        <v>157.064516129032</v>
      </c>
      <c r="DG89" s="15" t="n">
        <v>3701</v>
      </c>
      <c r="DH89" s="16" t="n">
        <f aca="false">DG89/28</f>
        <v>132.178571428571</v>
      </c>
      <c r="DI89" s="15" t="n">
        <v>5000</v>
      </c>
      <c r="DJ89" s="16" t="n">
        <f aca="false">DI89/31</f>
        <v>161.290322580645</v>
      </c>
      <c r="DK89" s="15" t="n">
        <v>4632</v>
      </c>
      <c r="DL89" s="16" t="n">
        <f aca="false">DK89/30</f>
        <v>154.4</v>
      </c>
      <c r="DM89" s="15" t="n">
        <v>2642</v>
      </c>
      <c r="DN89" s="16" t="n">
        <f aca="false">DM89/31</f>
        <v>85.2258064516129</v>
      </c>
      <c r="DO89" s="15" t="n">
        <v>3139</v>
      </c>
      <c r="DP89" s="16" t="n">
        <f aca="false">DO89/30</f>
        <v>104.633333333333</v>
      </c>
      <c r="DQ89" s="15" t="n">
        <v>3664</v>
      </c>
      <c r="DR89" s="16" t="n">
        <f aca="false">DQ89/31</f>
        <v>118.193548387097</v>
      </c>
      <c r="DS89" s="15" t="n">
        <v>3689</v>
      </c>
      <c r="DT89" s="16" t="n">
        <f aca="false">DS89/31</f>
        <v>119</v>
      </c>
      <c r="DU89" s="15" t="n">
        <v>4823</v>
      </c>
      <c r="DV89" s="16" t="n">
        <f aca="false">DU89/30</f>
        <v>160.766666666667</v>
      </c>
      <c r="DW89" s="15" t="n">
        <v>5650</v>
      </c>
      <c r="DX89" s="16" t="n">
        <f aca="false">DW89/31</f>
        <v>182.258064516129</v>
      </c>
      <c r="DY89" s="15" t="n">
        <v>5247</v>
      </c>
      <c r="DZ89" s="16" t="n">
        <f aca="false">DY89/30</f>
        <v>174.9</v>
      </c>
      <c r="EA89" s="15" t="n">
        <v>4733</v>
      </c>
      <c r="EB89" s="16" t="n">
        <f aca="false">EA89/31</f>
        <v>152.677419354839</v>
      </c>
      <c r="EC89" s="17" t="n">
        <f aca="false">SUM(DE89:EA89)</f>
        <v>53338.9108294931</v>
      </c>
      <c r="ED89" s="18" t="n">
        <f aca="false">IFERROR(STDEV(DF89,DH89,DJ89,DL89,DN89,DP89,DR89,DT89,DV89,DX89,DZ89,EB89),0)</f>
        <v>29.7470416459753</v>
      </c>
      <c r="EE89" s="19" t="n">
        <f aca="false">STDEV(F89:AB89,AF89:BB89,BF89:CB89,CF89:DB89,DF89:EB89)</f>
        <v>2046.1557338967</v>
      </c>
    </row>
    <row r="90" customFormat="false" ht="15" hidden="false" customHeight="true" outlineLevel="0" collapsed="false">
      <c r="A90" s="11" t="n">
        <v>85</v>
      </c>
      <c r="B90" s="12" t="s">
        <v>204</v>
      </c>
      <c r="C90" s="13" t="s">
        <v>205</v>
      </c>
      <c r="D90" s="14" t="s">
        <v>36</v>
      </c>
      <c r="E90" s="15" t="n">
        <v>2603</v>
      </c>
      <c r="F90" s="16" t="n">
        <f aca="false">E90/31</f>
        <v>83.9677419354839</v>
      </c>
      <c r="G90" s="15" t="n">
        <v>2911</v>
      </c>
      <c r="H90" s="16" t="n">
        <f aca="false">G90/28</f>
        <v>103.964285714286</v>
      </c>
      <c r="I90" s="15" t="n">
        <v>3471</v>
      </c>
      <c r="J90" s="16" t="n">
        <f aca="false">I90/31</f>
        <v>111.967741935484</v>
      </c>
      <c r="K90" s="15" t="n">
        <v>2721</v>
      </c>
      <c r="L90" s="16" t="n">
        <f aca="false">K90/30</f>
        <v>90.7</v>
      </c>
      <c r="M90" s="15" t="n">
        <v>2294</v>
      </c>
      <c r="N90" s="16" t="n">
        <f aca="false">M90/31</f>
        <v>74</v>
      </c>
      <c r="O90" s="15" t="n">
        <v>3243</v>
      </c>
      <c r="P90" s="16" t="n">
        <f aca="false">O90/30</f>
        <v>108.1</v>
      </c>
      <c r="Q90" s="15" t="n">
        <v>2461</v>
      </c>
      <c r="R90" s="16" t="n">
        <f aca="false">Q90/31</f>
        <v>79.3870967741936</v>
      </c>
      <c r="S90" s="15" t="n">
        <v>3155</v>
      </c>
      <c r="T90" s="16" t="n">
        <f aca="false">S90/31</f>
        <v>101.774193548387</v>
      </c>
      <c r="U90" s="15" t="n">
        <v>3351</v>
      </c>
      <c r="V90" s="16" t="n">
        <f aca="false">U90/30</f>
        <v>111.7</v>
      </c>
      <c r="W90" s="15" t="n">
        <v>2218</v>
      </c>
      <c r="X90" s="16" t="n">
        <f aca="false">W90/31</f>
        <v>71.5483870967742</v>
      </c>
      <c r="Y90" s="15" t="n">
        <v>3118</v>
      </c>
      <c r="Z90" s="16" t="n">
        <f aca="false">Y90/30</f>
        <v>103.933333333333</v>
      </c>
      <c r="AA90" s="15" t="n">
        <v>2253</v>
      </c>
      <c r="AB90" s="16" t="n">
        <f aca="false">AA90/31</f>
        <v>72.6774193548387</v>
      </c>
      <c r="AC90" s="17" t="n">
        <f aca="false">SUM(E90:AA90)</f>
        <v>34840.0427803379</v>
      </c>
      <c r="AD90" s="18" t="n">
        <f aca="false">IFERROR(STDEV(F90,H90,J90,L90,N90,P90,R90,T90,V90,X90,Z90,AB90),0)</f>
        <v>15.8405226085907</v>
      </c>
      <c r="AE90" s="15" t="n">
        <v>3185</v>
      </c>
      <c r="AF90" s="16" t="n">
        <f aca="false">AE90/31</f>
        <v>102.741935483871</v>
      </c>
      <c r="AG90" s="15" t="n">
        <v>2373</v>
      </c>
      <c r="AH90" s="16" t="n">
        <f aca="false">AG90/28</f>
        <v>84.75</v>
      </c>
      <c r="AI90" s="15" t="n">
        <v>3555</v>
      </c>
      <c r="AJ90" s="16" t="n">
        <f aca="false">AI90/31</f>
        <v>114.677419354839</v>
      </c>
      <c r="AK90" s="15" t="n">
        <v>3838</v>
      </c>
      <c r="AL90" s="16" t="n">
        <f aca="false">AK90/30</f>
        <v>127.933333333333</v>
      </c>
      <c r="AM90" s="15" t="n">
        <v>4057</v>
      </c>
      <c r="AN90" s="16" t="n">
        <f aca="false">AM90/31</f>
        <v>130.870967741936</v>
      </c>
      <c r="AO90" s="15" t="n">
        <v>2733</v>
      </c>
      <c r="AP90" s="16" t="n">
        <f aca="false">AO90/30</f>
        <v>91.1</v>
      </c>
      <c r="AQ90" s="15" t="n">
        <v>4259</v>
      </c>
      <c r="AR90" s="16" t="n">
        <f aca="false">AQ90/31</f>
        <v>137.387096774194</v>
      </c>
      <c r="AS90" s="15" t="n">
        <v>2552</v>
      </c>
      <c r="AT90" s="16" t="n">
        <f aca="false">AS90/31</f>
        <v>82.3225806451613</v>
      </c>
      <c r="AU90" s="15" t="n">
        <v>1935</v>
      </c>
      <c r="AV90" s="16" t="n">
        <f aca="false">AU90/30</f>
        <v>64.5</v>
      </c>
      <c r="AW90" s="15" t="n">
        <v>4294</v>
      </c>
      <c r="AX90" s="16" t="n">
        <f aca="false">AW90/31</f>
        <v>138.516129032258</v>
      </c>
      <c r="AY90" s="15" t="n">
        <v>3409</v>
      </c>
      <c r="AZ90" s="16" t="n">
        <f aca="false">AY90/30</f>
        <v>113.633333333333</v>
      </c>
      <c r="BA90" s="15" t="n">
        <v>3944</v>
      </c>
      <c r="BB90" s="16" t="n">
        <f aca="false">BA90/31</f>
        <v>127.225806451613</v>
      </c>
      <c r="BC90" s="17" t="n">
        <f aca="false">SUM(AE90:BA90)</f>
        <v>41322.4327956989</v>
      </c>
      <c r="BD90" s="18" t="n">
        <f aca="false">IFERROR(STDEV(AF90,AH90,AJ90,AL90,AN90,AP90,AR90,AT90,AV90,AX90,AZ90,BB90),0)</f>
        <v>24.3728669789882</v>
      </c>
      <c r="BE90" s="15" t="n">
        <v>3300</v>
      </c>
      <c r="BF90" s="16" t="n">
        <f aca="false">BE90/31</f>
        <v>106.451612903226</v>
      </c>
      <c r="BG90" s="15" t="n">
        <v>2847</v>
      </c>
      <c r="BH90" s="16" t="n">
        <f aca="false">BG90/28</f>
        <v>101.678571428571</v>
      </c>
      <c r="BI90" s="15" t="n">
        <v>3360</v>
      </c>
      <c r="BJ90" s="16" t="n">
        <f aca="false">BI90/31</f>
        <v>108.387096774194</v>
      </c>
      <c r="BK90" s="15" t="n">
        <v>4033</v>
      </c>
      <c r="BL90" s="16" t="n">
        <f aca="false">BK90/30</f>
        <v>134.433333333333</v>
      </c>
      <c r="BM90" s="15" t="n">
        <v>3751</v>
      </c>
      <c r="BN90" s="16" t="n">
        <f aca="false">BM90/31</f>
        <v>121</v>
      </c>
      <c r="BO90" s="15" t="n">
        <v>3635</v>
      </c>
      <c r="BP90" s="16" t="n">
        <f aca="false">BO90/30</f>
        <v>121.166666666667</v>
      </c>
      <c r="BQ90" s="15" t="n">
        <v>2659</v>
      </c>
      <c r="BR90" s="16" t="n">
        <f aca="false">BQ90/31</f>
        <v>85.7741935483871</v>
      </c>
      <c r="BS90" s="15" t="n">
        <v>1952</v>
      </c>
      <c r="BT90" s="16" t="n">
        <f aca="false">BS90/31</f>
        <v>62.9677419354839</v>
      </c>
      <c r="BU90" s="15" t="n">
        <v>2907</v>
      </c>
      <c r="BV90" s="16" t="n">
        <f aca="false">BU90/30</f>
        <v>96.9</v>
      </c>
      <c r="BW90" s="15" t="n">
        <v>3115</v>
      </c>
      <c r="BX90" s="16" t="n">
        <f aca="false">BW90/31</f>
        <v>100.483870967742</v>
      </c>
      <c r="BY90" s="15" t="n">
        <v>2467</v>
      </c>
      <c r="BZ90" s="16" t="n">
        <f aca="false">BY90/30</f>
        <v>82.2333333333333</v>
      </c>
      <c r="CA90" s="15" t="n">
        <v>3002</v>
      </c>
      <c r="CB90" s="16" t="n">
        <f aca="false">CA90/31</f>
        <v>96.8387096774194</v>
      </c>
      <c r="CC90" s="17" t="n">
        <f aca="false">SUM(BE90:CA90)</f>
        <v>38149.4764208909</v>
      </c>
      <c r="CD90" s="18" t="n">
        <f aca="false">IFERROR(STDEV(BF90,BH90,BJ90,BL90,BN90,BP90,BR90,BT90,BV90,BX90,BZ90,CB90),0)</f>
        <v>19.2371962068792</v>
      </c>
      <c r="CE90" s="15" t="n">
        <v>4597</v>
      </c>
      <c r="CF90" s="16" t="n">
        <f aca="false">CE90/31</f>
        <v>148.290322580645</v>
      </c>
      <c r="CG90" s="15" t="n">
        <v>2611</v>
      </c>
      <c r="CH90" s="16" t="n">
        <f aca="false">CG90/28</f>
        <v>93.25</v>
      </c>
      <c r="CI90" s="15" t="n">
        <v>2844</v>
      </c>
      <c r="CJ90" s="16" t="n">
        <f aca="false">CI90/31</f>
        <v>91.741935483871</v>
      </c>
      <c r="CK90" s="15" t="n">
        <v>2330</v>
      </c>
      <c r="CL90" s="16" t="n">
        <f aca="false">CK90/30</f>
        <v>77.6666666666667</v>
      </c>
      <c r="CM90" s="15" t="n">
        <v>4149</v>
      </c>
      <c r="CN90" s="16" t="n">
        <f aca="false">CM90/31</f>
        <v>133.838709677419</v>
      </c>
      <c r="CO90" s="15" t="n">
        <v>4129</v>
      </c>
      <c r="CP90" s="16" t="n">
        <f aca="false">CO90/30</f>
        <v>137.633333333333</v>
      </c>
      <c r="CQ90" s="15" t="n">
        <v>4496</v>
      </c>
      <c r="CR90" s="16" t="n">
        <f aca="false">CQ90/31</f>
        <v>145.032258064516</v>
      </c>
      <c r="CS90" s="15" t="n">
        <v>3227</v>
      </c>
      <c r="CT90" s="16" t="n">
        <f aca="false">CS90/31</f>
        <v>104.096774193548</v>
      </c>
      <c r="CU90" s="15" t="n">
        <v>2095</v>
      </c>
      <c r="CV90" s="16" t="n">
        <f aca="false">CU90/30</f>
        <v>69.8333333333333</v>
      </c>
      <c r="CW90" s="15" t="n">
        <v>3332</v>
      </c>
      <c r="CX90" s="16" t="n">
        <f aca="false">CW90/31</f>
        <v>107.483870967742</v>
      </c>
      <c r="CY90" s="15" t="n">
        <v>3379</v>
      </c>
      <c r="CZ90" s="16" t="n">
        <f aca="false">CY90/30</f>
        <v>112.633333333333</v>
      </c>
      <c r="DA90" s="15" t="n">
        <v>2541</v>
      </c>
      <c r="DB90" s="16" t="n">
        <f aca="false">DA90/31</f>
        <v>81.9677419354839</v>
      </c>
      <c r="DC90" s="17" t="n">
        <f aca="false">SUM(CE90:DA90)</f>
        <v>40951.5005376344</v>
      </c>
      <c r="DD90" s="18" t="n">
        <f aca="false">IFERROR(STDEV(CF90,CH90,CJ90,CL90,CN90,CP90,CR90,CT90,CV90,CX90,CZ90,DB90),0)</f>
        <v>27.1513672448171</v>
      </c>
      <c r="DE90" s="15" t="n">
        <v>3412</v>
      </c>
      <c r="DF90" s="16" t="n">
        <f aca="false">DE90/31</f>
        <v>110.064516129032</v>
      </c>
      <c r="DG90" s="15" t="n">
        <v>3022</v>
      </c>
      <c r="DH90" s="16" t="n">
        <f aca="false">DG90/28</f>
        <v>107.928571428571</v>
      </c>
      <c r="DI90" s="15" t="n">
        <v>2597</v>
      </c>
      <c r="DJ90" s="16" t="n">
        <f aca="false">DI90/31</f>
        <v>83.7741935483871</v>
      </c>
      <c r="DK90" s="15" t="n">
        <v>3110</v>
      </c>
      <c r="DL90" s="16" t="n">
        <f aca="false">DK90/30</f>
        <v>103.666666666667</v>
      </c>
      <c r="DM90" s="15" t="n">
        <v>1821</v>
      </c>
      <c r="DN90" s="16" t="n">
        <f aca="false">DM90/31</f>
        <v>58.741935483871</v>
      </c>
      <c r="DO90" s="15" t="n">
        <v>3306</v>
      </c>
      <c r="DP90" s="16" t="n">
        <f aca="false">DO90/30</f>
        <v>110.2</v>
      </c>
      <c r="DQ90" s="15" t="n">
        <v>3205</v>
      </c>
      <c r="DR90" s="16" t="n">
        <f aca="false">DQ90/31</f>
        <v>103.387096774194</v>
      </c>
      <c r="DS90" s="15" t="n">
        <v>3441</v>
      </c>
      <c r="DT90" s="16" t="n">
        <f aca="false">DS90/31</f>
        <v>111</v>
      </c>
      <c r="DU90" s="15" t="n">
        <v>2909</v>
      </c>
      <c r="DV90" s="16" t="n">
        <f aca="false">DU90/30</f>
        <v>96.9666666666667</v>
      </c>
      <c r="DW90" s="15" t="n">
        <v>1800</v>
      </c>
      <c r="DX90" s="16" t="n">
        <f aca="false">DW90/31</f>
        <v>58.0645161290323</v>
      </c>
      <c r="DY90" s="15" t="n">
        <v>3006</v>
      </c>
      <c r="DZ90" s="16" t="n">
        <f aca="false">DY90/30</f>
        <v>100.2</v>
      </c>
      <c r="EA90" s="15" t="n">
        <v>2466</v>
      </c>
      <c r="EB90" s="16" t="n">
        <f aca="false">EA90/31</f>
        <v>79.5483870967742</v>
      </c>
      <c r="EC90" s="17" t="n">
        <f aca="false">SUM(DE90:EA90)</f>
        <v>35138.9941628264</v>
      </c>
      <c r="ED90" s="18" t="n">
        <f aca="false">IFERROR(STDEV(DF90,DH90,DJ90,DL90,DN90,DP90,DR90,DT90,DV90,DX90,DZ90,EB90),0)</f>
        <v>19.2556190878657</v>
      </c>
      <c r="EE90" s="19" t="n">
        <f aca="false">STDEV(F90:AB90,AF90:BB90,BF90:CB90,CF90:DB90,DF90:EB90)</f>
        <v>1550.55951000877</v>
      </c>
    </row>
    <row r="91" customFormat="false" ht="15" hidden="false" customHeight="true" outlineLevel="0" collapsed="false">
      <c r="A91" s="11" t="n">
        <v>86</v>
      </c>
      <c r="B91" s="12" t="s">
        <v>206</v>
      </c>
      <c r="C91" s="13" t="s">
        <v>207</v>
      </c>
      <c r="D91" s="14" t="s">
        <v>36</v>
      </c>
      <c r="E91" s="15" t="n">
        <v>1764</v>
      </c>
      <c r="F91" s="16" t="n">
        <f aca="false">E91/31</f>
        <v>56.9032258064516</v>
      </c>
      <c r="G91" s="15" t="n">
        <v>1534</v>
      </c>
      <c r="H91" s="16" t="n">
        <f aca="false">G91/28</f>
        <v>54.7857142857143</v>
      </c>
      <c r="I91" s="15" t="n">
        <v>909</v>
      </c>
      <c r="J91" s="16" t="n">
        <f aca="false">I91/31</f>
        <v>29.3225806451613</v>
      </c>
      <c r="K91" s="15" t="n">
        <v>2028</v>
      </c>
      <c r="L91" s="16" t="n">
        <f aca="false">K91/30</f>
        <v>67.6</v>
      </c>
      <c r="M91" s="15" t="n">
        <v>1732</v>
      </c>
      <c r="N91" s="16" t="n">
        <f aca="false">M91/31</f>
        <v>55.8709677419355</v>
      </c>
      <c r="O91" s="15" t="n">
        <v>1620</v>
      </c>
      <c r="P91" s="16" t="n">
        <f aca="false">O91/30</f>
        <v>54</v>
      </c>
      <c r="Q91" s="15" t="n">
        <v>1009</v>
      </c>
      <c r="R91" s="16" t="n">
        <f aca="false">Q91/31</f>
        <v>32.5483870967742</v>
      </c>
      <c r="S91" s="15" t="n">
        <v>1467</v>
      </c>
      <c r="T91" s="16" t="n">
        <f aca="false">S91/31</f>
        <v>47.3225806451613</v>
      </c>
      <c r="U91" s="15" t="n">
        <v>960</v>
      </c>
      <c r="V91" s="16" t="n">
        <f aca="false">U91/30</f>
        <v>32</v>
      </c>
      <c r="W91" s="15" t="n">
        <v>1532</v>
      </c>
      <c r="X91" s="16" t="n">
        <f aca="false">W91/31</f>
        <v>49.4193548387097</v>
      </c>
      <c r="Y91" s="15" t="n">
        <v>1698</v>
      </c>
      <c r="Z91" s="16" t="n">
        <f aca="false">Y91/30</f>
        <v>56.6</v>
      </c>
      <c r="AA91" s="15" t="n">
        <v>1281</v>
      </c>
      <c r="AB91" s="16" t="n">
        <f aca="false">AA91/31</f>
        <v>41.3225806451613</v>
      </c>
      <c r="AC91" s="17" t="n">
        <f aca="false">SUM(E91:AA91)</f>
        <v>18070.3728110599</v>
      </c>
      <c r="AD91" s="18" t="n">
        <f aca="false">IFERROR(STDEV(F91,H91,J91,L91,N91,P91,R91,T91,V91,X91,Z91,AB91),0)</f>
        <v>11.9537201563957</v>
      </c>
      <c r="AE91" s="15" t="n">
        <v>1683</v>
      </c>
      <c r="AF91" s="16" t="n">
        <f aca="false">AE91/31</f>
        <v>54.2903225806452</v>
      </c>
      <c r="AG91" s="15" t="n">
        <v>1346</v>
      </c>
      <c r="AH91" s="16" t="n">
        <f aca="false">AG91/28</f>
        <v>48.0714285714286</v>
      </c>
      <c r="AI91" s="15" t="n">
        <v>2081</v>
      </c>
      <c r="AJ91" s="16" t="n">
        <f aca="false">AI91/31</f>
        <v>67.1290322580645</v>
      </c>
      <c r="AK91" s="15" t="n">
        <v>1357</v>
      </c>
      <c r="AL91" s="16" t="n">
        <f aca="false">AK91/30</f>
        <v>45.2333333333333</v>
      </c>
      <c r="AM91" s="15" t="n">
        <v>1195</v>
      </c>
      <c r="AN91" s="16" t="n">
        <f aca="false">AM91/31</f>
        <v>38.5483870967742</v>
      </c>
      <c r="AO91" s="15" t="n">
        <v>1301</v>
      </c>
      <c r="AP91" s="16" t="n">
        <f aca="false">AO91/30</f>
        <v>43.3666666666667</v>
      </c>
      <c r="AQ91" s="15" t="n">
        <v>1355</v>
      </c>
      <c r="AR91" s="16" t="n">
        <f aca="false">AQ91/31</f>
        <v>43.7096774193548</v>
      </c>
      <c r="AS91" s="15" t="n">
        <v>1510</v>
      </c>
      <c r="AT91" s="16" t="n">
        <f aca="false">AS91/31</f>
        <v>48.7096774193548</v>
      </c>
      <c r="AU91" s="15" t="n">
        <v>1100</v>
      </c>
      <c r="AV91" s="16" t="n">
        <f aca="false">AU91/30</f>
        <v>36.6666666666667</v>
      </c>
      <c r="AW91" s="15" t="n">
        <v>1140</v>
      </c>
      <c r="AX91" s="16" t="n">
        <f aca="false">AW91/31</f>
        <v>36.7741935483871</v>
      </c>
      <c r="AY91" s="15" t="n">
        <v>1297</v>
      </c>
      <c r="AZ91" s="16" t="n">
        <f aca="false">AY91/30</f>
        <v>43.2333333333333</v>
      </c>
      <c r="BA91" s="15" t="n">
        <v>970</v>
      </c>
      <c r="BB91" s="16" t="n">
        <f aca="false">BA91/31</f>
        <v>31.2903225806452</v>
      </c>
      <c r="BC91" s="17" t="n">
        <f aca="false">SUM(AE91:BA91)</f>
        <v>16840.732718894</v>
      </c>
      <c r="BD91" s="18" t="n">
        <f aca="false">IFERROR(STDEV(AF91,AH91,AJ91,AL91,AN91,AP91,AR91,AT91,AV91,AX91,AZ91,BB91),0)</f>
        <v>9.40336586144443</v>
      </c>
      <c r="BE91" s="15" t="n">
        <v>1672</v>
      </c>
      <c r="BF91" s="16" t="n">
        <f aca="false">BE91/31</f>
        <v>53.9354838709677</v>
      </c>
      <c r="BG91" s="15" t="n">
        <v>1539</v>
      </c>
      <c r="BH91" s="16" t="n">
        <f aca="false">BG91/28</f>
        <v>54.9642857142857</v>
      </c>
      <c r="BI91" s="15" t="n">
        <v>1165</v>
      </c>
      <c r="BJ91" s="16" t="n">
        <f aca="false">BI91/31</f>
        <v>37.5806451612903</v>
      </c>
      <c r="BK91" s="15" t="n">
        <v>1340</v>
      </c>
      <c r="BL91" s="16" t="n">
        <f aca="false">BK91/30</f>
        <v>44.6666666666667</v>
      </c>
      <c r="BM91" s="15" t="n">
        <v>1301</v>
      </c>
      <c r="BN91" s="16" t="n">
        <f aca="false">BM91/31</f>
        <v>41.9677419354839</v>
      </c>
      <c r="BO91" s="15" t="n">
        <v>1086</v>
      </c>
      <c r="BP91" s="16" t="n">
        <f aca="false">BO91/30</f>
        <v>36.2</v>
      </c>
      <c r="BQ91" s="15" t="n">
        <v>1771</v>
      </c>
      <c r="BR91" s="16" t="n">
        <f aca="false">BQ91/31</f>
        <v>57.1290322580645</v>
      </c>
      <c r="BS91" s="15" t="n">
        <v>1258</v>
      </c>
      <c r="BT91" s="16" t="n">
        <f aca="false">BS91/31</f>
        <v>40.5806451612903</v>
      </c>
      <c r="BU91" s="15" t="n">
        <v>1211</v>
      </c>
      <c r="BV91" s="16" t="n">
        <f aca="false">BU91/30</f>
        <v>40.3666666666667</v>
      </c>
      <c r="BW91" s="15" t="n">
        <v>1000</v>
      </c>
      <c r="BX91" s="16" t="n">
        <f aca="false">BW91/31</f>
        <v>32.258064516129</v>
      </c>
      <c r="BY91" s="15" t="n">
        <v>1660</v>
      </c>
      <c r="BZ91" s="16" t="n">
        <f aca="false">BY91/30</f>
        <v>55.3333333333333</v>
      </c>
      <c r="CA91" s="15" t="n">
        <v>1326</v>
      </c>
      <c r="CB91" s="16" t="n">
        <f aca="false">CA91/31</f>
        <v>42.7741935483871</v>
      </c>
      <c r="CC91" s="17" t="n">
        <f aca="false">SUM(BE91:CA91)</f>
        <v>16823.9825652842</v>
      </c>
      <c r="CD91" s="18" t="n">
        <f aca="false">IFERROR(STDEV(BF91,BH91,BJ91,BL91,BN91,BP91,BR91,BT91,BV91,BX91,BZ91,CB91),0)</f>
        <v>8.43533614333494</v>
      </c>
      <c r="CE91" s="15" t="n">
        <v>1171</v>
      </c>
      <c r="CF91" s="16" t="n">
        <f aca="false">CE91/31</f>
        <v>37.7741935483871</v>
      </c>
      <c r="CG91" s="15" t="n">
        <v>863</v>
      </c>
      <c r="CH91" s="16" t="n">
        <f aca="false">CG91/28</f>
        <v>30.8214285714286</v>
      </c>
      <c r="CI91" s="15" t="n">
        <v>1198</v>
      </c>
      <c r="CJ91" s="16" t="n">
        <f aca="false">CI91/31</f>
        <v>38.6451612903226</v>
      </c>
      <c r="CK91" s="15" t="n">
        <v>1398</v>
      </c>
      <c r="CL91" s="16" t="n">
        <f aca="false">CK91/30</f>
        <v>46.6</v>
      </c>
      <c r="CM91" s="15" t="n">
        <v>840</v>
      </c>
      <c r="CN91" s="16" t="n">
        <f aca="false">CM91/31</f>
        <v>27.0967741935484</v>
      </c>
      <c r="CO91" s="15" t="n">
        <v>789</v>
      </c>
      <c r="CP91" s="16" t="n">
        <f aca="false">CO91/30</f>
        <v>26.3</v>
      </c>
      <c r="CQ91" s="15" t="n">
        <v>1154</v>
      </c>
      <c r="CR91" s="16" t="n">
        <f aca="false">CQ91/31</f>
        <v>37.2258064516129</v>
      </c>
      <c r="CS91" s="15" t="n">
        <v>911</v>
      </c>
      <c r="CT91" s="16" t="n">
        <f aca="false">CS91/31</f>
        <v>29.3870967741935</v>
      </c>
      <c r="CU91" s="15" t="n">
        <v>1321</v>
      </c>
      <c r="CV91" s="16" t="n">
        <f aca="false">CU91/30</f>
        <v>44.0333333333333</v>
      </c>
      <c r="CW91" s="15" t="n">
        <v>1317</v>
      </c>
      <c r="CX91" s="16" t="n">
        <f aca="false">CW91/31</f>
        <v>42.4838709677419</v>
      </c>
      <c r="CY91" s="15" t="n">
        <v>1556</v>
      </c>
      <c r="CZ91" s="16" t="n">
        <f aca="false">CY91/30</f>
        <v>51.8666666666667</v>
      </c>
      <c r="DA91" s="15" t="n">
        <v>1422</v>
      </c>
      <c r="DB91" s="16" t="n">
        <f aca="false">DA91/31</f>
        <v>45.8709677419355</v>
      </c>
      <c r="DC91" s="17" t="n">
        <f aca="false">SUM(CE91:DA91)</f>
        <v>14352.2343317972</v>
      </c>
      <c r="DD91" s="18" t="n">
        <f aca="false">IFERROR(STDEV(CF91,CH91,CJ91,CL91,CN91,CP91,CR91,CT91,CV91,CX91,CZ91,DB91),0)</f>
        <v>8.34965622830466</v>
      </c>
      <c r="DE91" s="15" t="n">
        <v>1282</v>
      </c>
      <c r="DF91" s="16" t="n">
        <f aca="false">DE91/31</f>
        <v>41.3548387096774</v>
      </c>
      <c r="DG91" s="15" t="n">
        <v>997</v>
      </c>
      <c r="DH91" s="16" t="n">
        <f aca="false">DG91/28</f>
        <v>35.6071428571429</v>
      </c>
      <c r="DI91" s="15" t="n">
        <v>1470</v>
      </c>
      <c r="DJ91" s="16" t="n">
        <f aca="false">DI91/31</f>
        <v>47.4193548387097</v>
      </c>
      <c r="DK91" s="15" t="n">
        <v>1372</v>
      </c>
      <c r="DL91" s="16" t="n">
        <f aca="false">DK91/30</f>
        <v>45.7333333333333</v>
      </c>
      <c r="DM91" s="15" t="n">
        <v>1333</v>
      </c>
      <c r="DN91" s="16" t="n">
        <f aca="false">DM91/31</f>
        <v>43</v>
      </c>
      <c r="DO91" s="15" t="n">
        <v>1204</v>
      </c>
      <c r="DP91" s="16" t="n">
        <f aca="false">DO91/30</f>
        <v>40.1333333333333</v>
      </c>
      <c r="DQ91" s="15" t="n">
        <v>1617</v>
      </c>
      <c r="DR91" s="16" t="n">
        <f aca="false">DQ91/31</f>
        <v>52.1612903225807</v>
      </c>
      <c r="DS91" s="15" t="n">
        <v>1412</v>
      </c>
      <c r="DT91" s="16" t="n">
        <f aca="false">DS91/31</f>
        <v>45.5483870967742</v>
      </c>
      <c r="DU91" s="15" t="n">
        <v>1140</v>
      </c>
      <c r="DV91" s="16" t="n">
        <f aca="false">DU91/30</f>
        <v>38</v>
      </c>
      <c r="DW91" s="15" t="n">
        <v>827</v>
      </c>
      <c r="DX91" s="16" t="n">
        <f aca="false">DW91/31</f>
        <v>26.6774193548387</v>
      </c>
      <c r="DY91" s="15" t="n">
        <v>1466</v>
      </c>
      <c r="DZ91" s="16" t="n">
        <f aca="false">DY91/30</f>
        <v>48.8666666666667</v>
      </c>
      <c r="EA91" s="15" t="n">
        <v>1566</v>
      </c>
      <c r="EB91" s="16" t="n">
        <f aca="false">EA91/31</f>
        <v>50.5161290322581</v>
      </c>
      <c r="EC91" s="17" t="n">
        <f aca="false">SUM(DE91:EA91)</f>
        <v>16150.5017665131</v>
      </c>
      <c r="ED91" s="18" t="n">
        <f aca="false">IFERROR(STDEV(DF91,DH91,DJ91,DL91,DN91,DP91,DR91,DT91,DV91,DX91,DZ91,EB91),0)</f>
        <v>7.16849312522217</v>
      </c>
      <c r="EE91" s="19" t="n">
        <f aca="false">STDEV(F91:AB91,AF91:BB91,BF91:CB91,CF91:DB91,DF91:EB91)</f>
        <v>666.860714031221</v>
      </c>
    </row>
    <row r="92" customFormat="false" ht="15" hidden="false" customHeight="true" outlineLevel="0" collapsed="false">
      <c r="A92" s="11" t="n">
        <v>87</v>
      </c>
      <c r="B92" s="12" t="s">
        <v>208</v>
      </c>
      <c r="C92" s="13" t="s">
        <v>209</v>
      </c>
      <c r="D92" s="14" t="s">
        <v>36</v>
      </c>
      <c r="E92" s="15" t="n">
        <v>4184</v>
      </c>
      <c r="F92" s="16" t="n">
        <f aca="false">E92/31</f>
        <v>134.967741935484</v>
      </c>
      <c r="G92" s="15" t="n">
        <v>4140</v>
      </c>
      <c r="H92" s="16" t="n">
        <f aca="false">G92/28</f>
        <v>147.857142857143</v>
      </c>
      <c r="I92" s="15" t="n">
        <v>4926</v>
      </c>
      <c r="J92" s="16" t="n">
        <f aca="false">I92/31</f>
        <v>158.903225806452</v>
      </c>
      <c r="K92" s="15" t="n">
        <v>5015</v>
      </c>
      <c r="L92" s="16" t="n">
        <f aca="false">K92/30</f>
        <v>167.166666666667</v>
      </c>
      <c r="M92" s="15" t="n">
        <v>4174</v>
      </c>
      <c r="N92" s="16" t="n">
        <f aca="false">M92/31</f>
        <v>134.645161290323</v>
      </c>
      <c r="O92" s="15" t="n">
        <v>3371</v>
      </c>
      <c r="P92" s="16" t="n">
        <f aca="false">O92/30</f>
        <v>112.366666666667</v>
      </c>
      <c r="Q92" s="15" t="n">
        <v>3344</v>
      </c>
      <c r="R92" s="16" t="n">
        <f aca="false">Q92/31</f>
        <v>107.870967741935</v>
      </c>
      <c r="S92" s="15" t="n">
        <v>5533</v>
      </c>
      <c r="T92" s="16" t="n">
        <f aca="false">S92/31</f>
        <v>178.483870967742</v>
      </c>
      <c r="U92" s="15" t="n">
        <v>4694</v>
      </c>
      <c r="V92" s="16" t="n">
        <f aca="false">U92/30</f>
        <v>156.466666666667</v>
      </c>
      <c r="W92" s="15" t="n">
        <v>5710</v>
      </c>
      <c r="X92" s="16" t="n">
        <f aca="false">W92/31</f>
        <v>184.193548387097</v>
      </c>
      <c r="Y92" s="15" t="n">
        <v>3922</v>
      </c>
      <c r="Z92" s="16" t="n">
        <f aca="false">Y92/30</f>
        <v>130.733333333333</v>
      </c>
      <c r="AA92" s="15" t="n">
        <v>4978</v>
      </c>
      <c r="AB92" s="16" t="n">
        <f aca="false">AA92/31</f>
        <v>160.58064516129</v>
      </c>
      <c r="AC92" s="17" t="n">
        <f aca="false">SUM(E92:AA92)</f>
        <v>55604.6549923195</v>
      </c>
      <c r="AD92" s="18" t="n">
        <f aca="false">IFERROR(STDEV(F92,H92,J92,L92,N92,P92,R92,T92,V92,X92,Z92,AB92),0)</f>
        <v>24.2741946186549</v>
      </c>
      <c r="AE92" s="15" t="n">
        <v>5108</v>
      </c>
      <c r="AF92" s="16" t="n">
        <f aca="false">AE92/31</f>
        <v>164.774193548387</v>
      </c>
      <c r="AG92" s="15" t="n">
        <v>5554</v>
      </c>
      <c r="AH92" s="16" t="n">
        <f aca="false">AG92/28</f>
        <v>198.357142857143</v>
      </c>
      <c r="AI92" s="15" t="n">
        <v>5892</v>
      </c>
      <c r="AJ92" s="16" t="n">
        <f aca="false">AI92/31</f>
        <v>190.064516129032</v>
      </c>
      <c r="AK92" s="15" t="n">
        <v>4343</v>
      </c>
      <c r="AL92" s="16" t="n">
        <f aca="false">AK92/30</f>
        <v>144.766666666667</v>
      </c>
      <c r="AM92" s="15" t="n">
        <v>2816</v>
      </c>
      <c r="AN92" s="16" t="n">
        <f aca="false">AM92/31</f>
        <v>90.8387096774194</v>
      </c>
      <c r="AO92" s="15" t="n">
        <v>4423</v>
      </c>
      <c r="AP92" s="16" t="n">
        <f aca="false">AO92/30</f>
        <v>147.433333333333</v>
      </c>
      <c r="AQ92" s="15" t="n">
        <v>3976</v>
      </c>
      <c r="AR92" s="16" t="n">
        <f aca="false">AQ92/31</f>
        <v>128.258064516129</v>
      </c>
      <c r="AS92" s="15" t="n">
        <v>4372</v>
      </c>
      <c r="AT92" s="16" t="n">
        <f aca="false">AS92/31</f>
        <v>141.032258064516</v>
      </c>
      <c r="AU92" s="15" t="n">
        <v>3324</v>
      </c>
      <c r="AV92" s="16" t="n">
        <f aca="false">AU92/30</f>
        <v>110.8</v>
      </c>
      <c r="AW92" s="15" t="n">
        <v>5479</v>
      </c>
      <c r="AX92" s="16" t="n">
        <f aca="false">AW92/31</f>
        <v>176.741935483871</v>
      </c>
      <c r="AY92" s="15" t="n">
        <v>4889</v>
      </c>
      <c r="AZ92" s="16" t="n">
        <f aca="false">AY92/30</f>
        <v>162.966666666667</v>
      </c>
      <c r="BA92" s="15" t="n">
        <v>3167</v>
      </c>
      <c r="BB92" s="16" t="n">
        <f aca="false">BA92/31</f>
        <v>102.161290322581</v>
      </c>
      <c r="BC92" s="17" t="n">
        <f aca="false">SUM(AE92:BA92)</f>
        <v>54999.0334869432</v>
      </c>
      <c r="BD92" s="18" t="n">
        <f aca="false">IFERROR(STDEV(AF92,AH92,AJ92,AL92,AN92,AP92,AR92,AT92,AV92,AX92,AZ92,BB92),0)</f>
        <v>34.1278738063619</v>
      </c>
      <c r="BE92" s="15" t="n">
        <v>2763</v>
      </c>
      <c r="BF92" s="16" t="n">
        <f aca="false">BE92/31</f>
        <v>89.1290322580645</v>
      </c>
      <c r="BG92" s="15" t="n">
        <v>5078</v>
      </c>
      <c r="BH92" s="16" t="n">
        <f aca="false">BG92/28</f>
        <v>181.357142857143</v>
      </c>
      <c r="BI92" s="15" t="n">
        <v>5010</v>
      </c>
      <c r="BJ92" s="16" t="n">
        <f aca="false">BI92/31</f>
        <v>161.612903225806</v>
      </c>
      <c r="BK92" s="15" t="n">
        <v>3485</v>
      </c>
      <c r="BL92" s="16" t="n">
        <f aca="false">BK92/30</f>
        <v>116.166666666667</v>
      </c>
      <c r="BM92" s="15" t="n">
        <v>4533</v>
      </c>
      <c r="BN92" s="16" t="n">
        <f aca="false">BM92/31</f>
        <v>146.225806451613</v>
      </c>
      <c r="BO92" s="15" t="n">
        <v>4996</v>
      </c>
      <c r="BP92" s="16" t="n">
        <f aca="false">BO92/30</f>
        <v>166.533333333333</v>
      </c>
      <c r="BQ92" s="15" t="n">
        <v>4155</v>
      </c>
      <c r="BR92" s="16" t="n">
        <f aca="false">BQ92/31</f>
        <v>134.032258064516</v>
      </c>
      <c r="BS92" s="15" t="n">
        <v>3728</v>
      </c>
      <c r="BT92" s="16" t="n">
        <f aca="false">BS92/31</f>
        <v>120.258064516129</v>
      </c>
      <c r="BU92" s="15" t="n">
        <v>3769</v>
      </c>
      <c r="BV92" s="16" t="n">
        <f aca="false">BU92/30</f>
        <v>125.633333333333</v>
      </c>
      <c r="BW92" s="15" t="n">
        <v>4441</v>
      </c>
      <c r="BX92" s="16" t="n">
        <f aca="false">BW92/31</f>
        <v>143.258064516129</v>
      </c>
      <c r="BY92" s="15" t="n">
        <v>4204</v>
      </c>
      <c r="BZ92" s="16" t="n">
        <f aca="false">BY92/30</f>
        <v>140.133333333333</v>
      </c>
      <c r="CA92" s="15" t="n">
        <v>5584</v>
      </c>
      <c r="CB92" s="16" t="n">
        <f aca="false">CA92/31</f>
        <v>180.129032258065</v>
      </c>
      <c r="CC92" s="17" t="n">
        <f aca="false">SUM(BE92:CA92)</f>
        <v>53270.3399385561</v>
      </c>
      <c r="CD92" s="18" t="n">
        <f aca="false">IFERROR(STDEV(BF92,BH92,BJ92,BL92,BN92,BP92,BR92,BT92,BV92,BX92,BZ92,CB92),0)</f>
        <v>27.4342673648917</v>
      </c>
      <c r="CE92" s="15" t="n">
        <v>3311</v>
      </c>
      <c r="CF92" s="16" t="n">
        <f aca="false">CE92/31</f>
        <v>106.806451612903</v>
      </c>
      <c r="CG92" s="15" t="n">
        <v>3185</v>
      </c>
      <c r="CH92" s="16" t="n">
        <f aca="false">CG92/28</f>
        <v>113.75</v>
      </c>
      <c r="CI92" s="15" t="n">
        <v>4568</v>
      </c>
      <c r="CJ92" s="16" t="n">
        <f aca="false">CI92/31</f>
        <v>147.354838709677</v>
      </c>
      <c r="CK92" s="15" t="n">
        <v>3916</v>
      </c>
      <c r="CL92" s="16" t="n">
        <f aca="false">CK92/30</f>
        <v>130.533333333333</v>
      </c>
      <c r="CM92" s="15" t="n">
        <v>4481</v>
      </c>
      <c r="CN92" s="16" t="n">
        <f aca="false">CM92/31</f>
        <v>144.548387096774</v>
      </c>
      <c r="CO92" s="15" t="n">
        <v>3462</v>
      </c>
      <c r="CP92" s="16" t="n">
        <f aca="false">CO92/30</f>
        <v>115.4</v>
      </c>
      <c r="CQ92" s="15" t="n">
        <v>4490</v>
      </c>
      <c r="CR92" s="16" t="n">
        <f aca="false">CQ92/31</f>
        <v>144.838709677419</v>
      </c>
      <c r="CS92" s="15" t="n">
        <v>3781</v>
      </c>
      <c r="CT92" s="16" t="n">
        <f aca="false">CS92/31</f>
        <v>121.967741935484</v>
      </c>
      <c r="CU92" s="15" t="n">
        <v>2880</v>
      </c>
      <c r="CV92" s="16" t="n">
        <f aca="false">CU92/30</f>
        <v>96</v>
      </c>
      <c r="CW92" s="15" t="n">
        <v>4126</v>
      </c>
      <c r="CX92" s="16" t="n">
        <f aca="false">CW92/31</f>
        <v>133.096774193548</v>
      </c>
      <c r="CY92" s="15" t="n">
        <v>2418</v>
      </c>
      <c r="CZ92" s="16" t="n">
        <f aca="false">CY92/30</f>
        <v>80.6</v>
      </c>
      <c r="DA92" s="15" t="n">
        <v>4909</v>
      </c>
      <c r="DB92" s="16" t="n">
        <f aca="false">DA92/31</f>
        <v>158.354838709677</v>
      </c>
      <c r="DC92" s="17" t="n">
        <f aca="false">SUM(CE92:DA92)</f>
        <v>46861.8962365591</v>
      </c>
      <c r="DD92" s="18" t="n">
        <f aca="false">IFERROR(STDEV(CF92,CH92,CJ92,CL92,CN92,CP92,CR92,CT92,CV92,CX92,CZ92,DB92),0)</f>
        <v>23.0644552887183</v>
      </c>
      <c r="DE92" s="15" t="n">
        <v>4512</v>
      </c>
      <c r="DF92" s="16" t="n">
        <f aca="false">DE92/31</f>
        <v>145.548387096774</v>
      </c>
      <c r="DG92" s="15" t="n">
        <v>4214</v>
      </c>
      <c r="DH92" s="16" t="n">
        <f aca="false">DG92/28</f>
        <v>150.5</v>
      </c>
      <c r="DI92" s="15" t="n">
        <v>4574</v>
      </c>
      <c r="DJ92" s="16" t="n">
        <f aca="false">DI92/31</f>
        <v>147.548387096774</v>
      </c>
      <c r="DK92" s="15" t="n">
        <v>4133</v>
      </c>
      <c r="DL92" s="16" t="n">
        <f aca="false">DK92/30</f>
        <v>137.766666666667</v>
      </c>
      <c r="DM92" s="15" t="n">
        <v>4447</v>
      </c>
      <c r="DN92" s="16" t="n">
        <f aca="false">DM92/31</f>
        <v>143.451612903226</v>
      </c>
      <c r="DO92" s="15" t="n">
        <v>5357</v>
      </c>
      <c r="DP92" s="16" t="n">
        <f aca="false">DO92/30</f>
        <v>178.566666666667</v>
      </c>
      <c r="DQ92" s="15" t="n">
        <v>3156</v>
      </c>
      <c r="DR92" s="16" t="n">
        <f aca="false">DQ92/31</f>
        <v>101.806451612903</v>
      </c>
      <c r="DS92" s="15" t="n">
        <v>5813</v>
      </c>
      <c r="DT92" s="16" t="n">
        <f aca="false">DS92/31</f>
        <v>187.516129032258</v>
      </c>
      <c r="DU92" s="15" t="n">
        <v>2793</v>
      </c>
      <c r="DV92" s="16" t="n">
        <f aca="false">DU92/30</f>
        <v>93.1</v>
      </c>
      <c r="DW92" s="15" t="n">
        <v>2926</v>
      </c>
      <c r="DX92" s="16" t="n">
        <f aca="false">DW92/31</f>
        <v>94.3870967741936</v>
      </c>
      <c r="DY92" s="15" t="n">
        <v>5330</v>
      </c>
      <c r="DZ92" s="16" t="n">
        <f aca="false">DY92/30</f>
        <v>177.666666666667</v>
      </c>
      <c r="EA92" s="15" t="n">
        <v>5184</v>
      </c>
      <c r="EB92" s="16" t="n">
        <f aca="false">EA92/31</f>
        <v>167.225806451613</v>
      </c>
      <c r="EC92" s="17" t="n">
        <f aca="false">SUM(DE92:EA92)</f>
        <v>53996.8580645161</v>
      </c>
      <c r="ED92" s="18" t="n">
        <f aca="false">IFERROR(STDEV(DF92,DH92,DJ92,DL92,DN92,DP92,DR92,DT92,DV92,DX92,DZ92,EB92),0)</f>
        <v>32.5989699054874</v>
      </c>
      <c r="EE92" s="19" t="n">
        <f aca="false">STDEV(F92:AB92,AF92:BB92,BF92:CB92,CF92:DB92,DF92:EB92)</f>
        <v>2177.73578083191</v>
      </c>
    </row>
    <row r="93" customFormat="false" ht="15" hidden="false" customHeight="true" outlineLevel="0" collapsed="false">
      <c r="A93" s="11" t="n">
        <v>88</v>
      </c>
      <c r="B93" s="12" t="s">
        <v>210</v>
      </c>
      <c r="C93" s="13" t="s">
        <v>211</v>
      </c>
      <c r="D93" s="14" t="s">
        <v>36</v>
      </c>
      <c r="E93" s="15" t="n">
        <v>3324</v>
      </c>
      <c r="F93" s="16" t="n">
        <f aca="false">E93/31</f>
        <v>107.225806451613</v>
      </c>
      <c r="G93" s="15" t="n">
        <v>3664</v>
      </c>
      <c r="H93" s="16" t="n">
        <f aca="false">G93/28</f>
        <v>130.857142857143</v>
      </c>
      <c r="I93" s="15" t="n">
        <v>4152</v>
      </c>
      <c r="J93" s="16" t="n">
        <f aca="false">I93/31</f>
        <v>133.935483870968</v>
      </c>
      <c r="K93" s="15" t="n">
        <v>2475</v>
      </c>
      <c r="L93" s="16" t="n">
        <f aca="false">K93/30</f>
        <v>82.5</v>
      </c>
      <c r="M93" s="15" t="n">
        <v>4614</v>
      </c>
      <c r="N93" s="16" t="n">
        <f aca="false">M93/31</f>
        <v>148.838709677419</v>
      </c>
      <c r="O93" s="15" t="n">
        <v>4821</v>
      </c>
      <c r="P93" s="16" t="n">
        <f aca="false">O93/30</f>
        <v>160.7</v>
      </c>
      <c r="Q93" s="15" t="n">
        <v>4868</v>
      </c>
      <c r="R93" s="16" t="n">
        <f aca="false">Q93/31</f>
        <v>157.032258064516</v>
      </c>
      <c r="S93" s="15" t="n">
        <v>4081</v>
      </c>
      <c r="T93" s="16" t="n">
        <f aca="false">S93/31</f>
        <v>131.645161290323</v>
      </c>
      <c r="U93" s="15" t="n">
        <v>2209</v>
      </c>
      <c r="V93" s="16" t="n">
        <f aca="false">U93/30</f>
        <v>73.6333333333333</v>
      </c>
      <c r="W93" s="15" t="n">
        <v>2640</v>
      </c>
      <c r="X93" s="16" t="n">
        <f aca="false">W93/31</f>
        <v>85.1612903225806</v>
      </c>
      <c r="Y93" s="15" t="n">
        <v>2648</v>
      </c>
      <c r="Z93" s="16" t="n">
        <f aca="false">Y93/30</f>
        <v>88.2666666666667</v>
      </c>
      <c r="AA93" s="15" t="n">
        <v>3773</v>
      </c>
      <c r="AB93" s="16" t="n">
        <f aca="false">AA93/31</f>
        <v>121.709677419355</v>
      </c>
      <c r="AC93" s="17" t="n">
        <f aca="false">SUM(E93:AA93)</f>
        <v>44568.7958525346</v>
      </c>
      <c r="AD93" s="18" t="n">
        <f aca="false">IFERROR(STDEV(F93,H93,J93,L93,N93,P93,R93,T93,V93,X93,Z93,AB93),0)</f>
        <v>30.4835149237041</v>
      </c>
      <c r="AE93" s="15" t="n">
        <v>3498</v>
      </c>
      <c r="AF93" s="16" t="n">
        <f aca="false">AE93/31</f>
        <v>112.838709677419</v>
      </c>
      <c r="AG93" s="15" t="n">
        <v>4075</v>
      </c>
      <c r="AH93" s="16" t="n">
        <f aca="false">AG93/28</f>
        <v>145.535714285714</v>
      </c>
      <c r="AI93" s="15" t="n">
        <v>2902</v>
      </c>
      <c r="AJ93" s="16" t="n">
        <f aca="false">AI93/31</f>
        <v>93.6129032258065</v>
      </c>
      <c r="AK93" s="15" t="n">
        <v>4393</v>
      </c>
      <c r="AL93" s="16" t="n">
        <f aca="false">AK93/30</f>
        <v>146.433333333333</v>
      </c>
      <c r="AM93" s="15" t="n">
        <v>3273</v>
      </c>
      <c r="AN93" s="16" t="n">
        <f aca="false">AM93/31</f>
        <v>105.58064516129</v>
      </c>
      <c r="AO93" s="15" t="n">
        <v>4052</v>
      </c>
      <c r="AP93" s="16" t="n">
        <f aca="false">AO93/30</f>
        <v>135.066666666667</v>
      </c>
      <c r="AQ93" s="15" t="n">
        <v>5104</v>
      </c>
      <c r="AR93" s="16" t="n">
        <f aca="false">AQ93/31</f>
        <v>164.645161290323</v>
      </c>
      <c r="AS93" s="15" t="n">
        <v>3236</v>
      </c>
      <c r="AT93" s="16" t="n">
        <f aca="false">AS93/31</f>
        <v>104.387096774194</v>
      </c>
      <c r="AU93" s="15" t="n">
        <v>5197</v>
      </c>
      <c r="AV93" s="16" t="n">
        <f aca="false">AU93/30</f>
        <v>173.233333333333</v>
      </c>
      <c r="AW93" s="15" t="n">
        <v>3636</v>
      </c>
      <c r="AX93" s="16" t="n">
        <f aca="false">AW93/31</f>
        <v>117.290322580645</v>
      </c>
      <c r="AY93" s="15" t="n">
        <v>5317</v>
      </c>
      <c r="AZ93" s="16" t="n">
        <f aca="false">AY93/30</f>
        <v>177.233333333333</v>
      </c>
      <c r="BA93" s="15" t="n">
        <v>3358</v>
      </c>
      <c r="BB93" s="16" t="n">
        <f aca="false">BA93/31</f>
        <v>108.322580645161</v>
      </c>
      <c r="BC93" s="17" t="n">
        <f aca="false">SUM(AE93:BA93)</f>
        <v>49516.8572196621</v>
      </c>
      <c r="BD93" s="18" t="n">
        <f aca="false">IFERROR(STDEV(AF93,AH93,AJ93,AL93,AN93,AP93,AR93,AT93,AV93,AX93,AZ93,BB93),0)</f>
        <v>29.0627236694833</v>
      </c>
      <c r="BE93" s="15" t="n">
        <v>2818</v>
      </c>
      <c r="BF93" s="16" t="n">
        <f aca="false">BE93/31</f>
        <v>90.9032258064516</v>
      </c>
      <c r="BG93" s="15" t="n">
        <v>2545</v>
      </c>
      <c r="BH93" s="16" t="n">
        <f aca="false">BG93/28</f>
        <v>90.8928571428571</v>
      </c>
      <c r="BI93" s="15" t="n">
        <v>5829</v>
      </c>
      <c r="BJ93" s="16" t="n">
        <f aca="false">BI93/31</f>
        <v>188.032258064516</v>
      </c>
      <c r="BK93" s="15" t="n">
        <v>3875</v>
      </c>
      <c r="BL93" s="16" t="n">
        <f aca="false">BK93/30</f>
        <v>129.166666666667</v>
      </c>
      <c r="BM93" s="15" t="n">
        <v>2946</v>
      </c>
      <c r="BN93" s="16" t="n">
        <f aca="false">BM93/31</f>
        <v>95.0322580645161</v>
      </c>
      <c r="BO93" s="15" t="n">
        <v>3505</v>
      </c>
      <c r="BP93" s="16" t="n">
        <f aca="false">BO93/30</f>
        <v>116.833333333333</v>
      </c>
      <c r="BQ93" s="15" t="n">
        <v>3757</v>
      </c>
      <c r="BR93" s="16" t="n">
        <f aca="false">BQ93/31</f>
        <v>121.193548387097</v>
      </c>
      <c r="BS93" s="15" t="n">
        <v>4361</v>
      </c>
      <c r="BT93" s="16" t="n">
        <f aca="false">BS93/31</f>
        <v>140.677419354839</v>
      </c>
      <c r="BU93" s="15" t="n">
        <v>2696</v>
      </c>
      <c r="BV93" s="16" t="n">
        <f aca="false">BU93/30</f>
        <v>89.8666666666667</v>
      </c>
      <c r="BW93" s="15" t="n">
        <v>4879</v>
      </c>
      <c r="BX93" s="16" t="n">
        <f aca="false">BW93/31</f>
        <v>157.387096774194</v>
      </c>
      <c r="BY93" s="15" t="n">
        <v>5273</v>
      </c>
      <c r="BZ93" s="16" t="n">
        <f aca="false">BY93/30</f>
        <v>175.766666666667</v>
      </c>
      <c r="CA93" s="15" t="n">
        <v>3724</v>
      </c>
      <c r="CB93" s="16" t="n">
        <f aca="false">CA93/31</f>
        <v>120.129032258065</v>
      </c>
      <c r="CC93" s="17" t="n">
        <f aca="false">SUM(BE93:CA93)</f>
        <v>47603.7519969278</v>
      </c>
      <c r="CD93" s="18" t="n">
        <f aca="false">IFERROR(STDEV(BF93,BH93,BJ93,BL93,BN93,BP93,BR93,BT93,BV93,BX93,BZ93,CB93),0)</f>
        <v>33.5810865155282</v>
      </c>
      <c r="CE93" s="15" t="n">
        <v>4903</v>
      </c>
      <c r="CF93" s="16" t="n">
        <f aca="false">CE93/31</f>
        <v>158.161290322581</v>
      </c>
      <c r="CG93" s="15" t="n">
        <v>4916</v>
      </c>
      <c r="CH93" s="16" t="n">
        <f aca="false">CG93/28</f>
        <v>175.571428571429</v>
      </c>
      <c r="CI93" s="15" t="n">
        <v>2998</v>
      </c>
      <c r="CJ93" s="16" t="n">
        <f aca="false">CI93/31</f>
        <v>96.7096774193548</v>
      </c>
      <c r="CK93" s="15" t="n">
        <v>4419</v>
      </c>
      <c r="CL93" s="16" t="n">
        <f aca="false">CK93/30</f>
        <v>147.3</v>
      </c>
      <c r="CM93" s="15" t="n">
        <v>3482</v>
      </c>
      <c r="CN93" s="16" t="n">
        <f aca="false">CM93/31</f>
        <v>112.322580645161</v>
      </c>
      <c r="CO93" s="15" t="n">
        <v>3250</v>
      </c>
      <c r="CP93" s="16" t="n">
        <f aca="false">CO93/30</f>
        <v>108.333333333333</v>
      </c>
      <c r="CQ93" s="15" t="n">
        <v>3447</v>
      </c>
      <c r="CR93" s="16" t="n">
        <f aca="false">CQ93/31</f>
        <v>111.193548387097</v>
      </c>
      <c r="CS93" s="15" t="n">
        <v>3443</v>
      </c>
      <c r="CT93" s="16" t="n">
        <f aca="false">CS93/31</f>
        <v>111.064516129032</v>
      </c>
      <c r="CU93" s="15" t="n">
        <v>3941</v>
      </c>
      <c r="CV93" s="16" t="n">
        <f aca="false">CU93/30</f>
        <v>131.366666666667</v>
      </c>
      <c r="CW93" s="15" t="n">
        <v>4298</v>
      </c>
      <c r="CX93" s="16" t="n">
        <f aca="false">CW93/31</f>
        <v>138.645161290323</v>
      </c>
      <c r="CY93" s="15" t="n">
        <v>3727</v>
      </c>
      <c r="CZ93" s="16" t="n">
        <f aca="false">CY93/30</f>
        <v>124.233333333333</v>
      </c>
      <c r="DA93" s="15" t="n">
        <v>2855</v>
      </c>
      <c r="DB93" s="16" t="n">
        <f aca="false">DA93/31</f>
        <v>92.0967741935484</v>
      </c>
      <c r="DC93" s="17" t="n">
        <f aca="false">SUM(CE93:DA93)</f>
        <v>47093.9015360983</v>
      </c>
      <c r="DD93" s="18" t="n">
        <f aca="false">IFERROR(STDEV(CF93,CH93,CJ93,CL93,CN93,CP93,CR93,CT93,CV93,CX93,CZ93,DB93),0)</f>
        <v>25.3770422851238</v>
      </c>
      <c r="DE93" s="15" t="n">
        <v>3115</v>
      </c>
      <c r="DF93" s="16" t="n">
        <f aca="false">DE93/31</f>
        <v>100.483870967742</v>
      </c>
      <c r="DG93" s="15" t="n">
        <v>4597</v>
      </c>
      <c r="DH93" s="16" t="n">
        <f aca="false">DG93/28</f>
        <v>164.178571428571</v>
      </c>
      <c r="DI93" s="15" t="n">
        <v>4365</v>
      </c>
      <c r="DJ93" s="16" t="n">
        <f aca="false">DI93/31</f>
        <v>140.806451612903</v>
      </c>
      <c r="DK93" s="15" t="n">
        <v>2483</v>
      </c>
      <c r="DL93" s="16" t="n">
        <f aca="false">DK93/30</f>
        <v>82.7666666666667</v>
      </c>
      <c r="DM93" s="15" t="n">
        <v>4798</v>
      </c>
      <c r="DN93" s="16" t="n">
        <f aca="false">DM93/31</f>
        <v>154.774193548387</v>
      </c>
      <c r="DO93" s="15" t="n">
        <v>3899</v>
      </c>
      <c r="DP93" s="16" t="n">
        <f aca="false">DO93/30</f>
        <v>129.966666666667</v>
      </c>
      <c r="DQ93" s="15" t="n">
        <v>2428</v>
      </c>
      <c r="DR93" s="16" t="n">
        <f aca="false">DQ93/31</f>
        <v>78.3225806451613</v>
      </c>
      <c r="DS93" s="15" t="n">
        <v>2256</v>
      </c>
      <c r="DT93" s="16" t="n">
        <f aca="false">DS93/31</f>
        <v>72.7741935483871</v>
      </c>
      <c r="DU93" s="15" t="n">
        <v>2102</v>
      </c>
      <c r="DV93" s="16" t="n">
        <f aca="false">DU93/30</f>
        <v>70.0666666666667</v>
      </c>
      <c r="DW93" s="15" t="n">
        <v>4040</v>
      </c>
      <c r="DX93" s="16" t="n">
        <f aca="false">DW93/31</f>
        <v>130.322580645161</v>
      </c>
      <c r="DY93" s="15" t="n">
        <v>3395</v>
      </c>
      <c r="DZ93" s="16" t="n">
        <f aca="false">DY93/30</f>
        <v>113.166666666667</v>
      </c>
      <c r="EA93" s="15" t="n">
        <v>3258</v>
      </c>
      <c r="EB93" s="16" t="n">
        <f aca="false">EA93/31</f>
        <v>105.096774193548</v>
      </c>
      <c r="EC93" s="17" t="n">
        <f aca="false">SUM(DE93:EA93)</f>
        <v>41973.629109063</v>
      </c>
      <c r="ED93" s="18" t="n">
        <f aca="false">IFERROR(STDEV(DF93,DH93,DJ93,DL93,DN93,DP93,DR93,DT93,DV93,DX93,DZ93,EB93),0)</f>
        <v>32.3445807600697</v>
      </c>
      <c r="EE93" s="19" t="n">
        <f aca="false">STDEV(F93:AB93,AF93:BB93,BF93:CB93,CF93:DB93,DF93:EB93)</f>
        <v>1925.08042791206</v>
      </c>
    </row>
    <row r="94" customFormat="false" ht="15" hidden="false" customHeight="true" outlineLevel="0" collapsed="false">
      <c r="A94" s="11" t="n">
        <v>89</v>
      </c>
      <c r="B94" s="12" t="s">
        <v>212</v>
      </c>
      <c r="C94" s="13" t="s">
        <v>213</v>
      </c>
      <c r="D94" s="14" t="s">
        <v>36</v>
      </c>
      <c r="E94" s="15" t="n">
        <v>2845</v>
      </c>
      <c r="F94" s="16" t="n">
        <f aca="false">E94/31</f>
        <v>91.7741935483871</v>
      </c>
      <c r="G94" s="15" t="n">
        <v>1365</v>
      </c>
      <c r="H94" s="16" t="n">
        <f aca="false">G94/28</f>
        <v>48.75</v>
      </c>
      <c r="I94" s="15" t="n">
        <v>2276</v>
      </c>
      <c r="J94" s="16" t="n">
        <f aca="false">I94/31</f>
        <v>73.4193548387097</v>
      </c>
      <c r="K94" s="15" t="n">
        <v>1906</v>
      </c>
      <c r="L94" s="16" t="n">
        <f aca="false">K94/30</f>
        <v>63.5333333333333</v>
      </c>
      <c r="M94" s="15" t="n">
        <v>1972</v>
      </c>
      <c r="N94" s="16" t="n">
        <f aca="false">M94/31</f>
        <v>63.6129032258065</v>
      </c>
      <c r="O94" s="15" t="n">
        <v>2516</v>
      </c>
      <c r="P94" s="16" t="n">
        <f aca="false">O94/30</f>
        <v>83.8666666666667</v>
      </c>
      <c r="Q94" s="15" t="n">
        <v>2214</v>
      </c>
      <c r="R94" s="16" t="n">
        <f aca="false">Q94/31</f>
        <v>71.4193548387097</v>
      </c>
      <c r="S94" s="15" t="n">
        <v>1922</v>
      </c>
      <c r="T94" s="16" t="n">
        <f aca="false">S94/31</f>
        <v>62</v>
      </c>
      <c r="U94" s="15" t="n">
        <v>1520</v>
      </c>
      <c r="V94" s="16" t="n">
        <f aca="false">U94/30</f>
        <v>50.6666666666667</v>
      </c>
      <c r="W94" s="15" t="n">
        <v>2059</v>
      </c>
      <c r="X94" s="16" t="n">
        <f aca="false">W94/31</f>
        <v>66.4193548387097</v>
      </c>
      <c r="Y94" s="15" t="n">
        <v>2129</v>
      </c>
      <c r="Z94" s="16" t="n">
        <f aca="false">Y94/30</f>
        <v>70.9666666666667</v>
      </c>
      <c r="AA94" s="15" t="n">
        <v>1962</v>
      </c>
      <c r="AB94" s="16" t="n">
        <f aca="false">AA94/31</f>
        <v>63.2903225806452</v>
      </c>
      <c r="AC94" s="17" t="n">
        <f aca="false">SUM(E94:AA94)</f>
        <v>25432.4284946237</v>
      </c>
      <c r="AD94" s="18" t="n">
        <f aca="false">IFERROR(STDEV(F94,H94,J94,L94,N94,P94,R94,T94,V94,X94,Z94,AB94),0)</f>
        <v>12.1894973355175</v>
      </c>
      <c r="AE94" s="15" t="n">
        <v>2291</v>
      </c>
      <c r="AF94" s="16" t="n">
        <f aca="false">AE94/31</f>
        <v>73.9032258064516</v>
      </c>
      <c r="AG94" s="15" t="n">
        <v>1940</v>
      </c>
      <c r="AH94" s="16" t="n">
        <f aca="false">AG94/28</f>
        <v>69.2857142857143</v>
      </c>
      <c r="AI94" s="15" t="n">
        <v>2808</v>
      </c>
      <c r="AJ94" s="16" t="n">
        <f aca="false">AI94/31</f>
        <v>90.5806451612903</v>
      </c>
      <c r="AK94" s="15" t="n">
        <v>2753</v>
      </c>
      <c r="AL94" s="16" t="n">
        <f aca="false">AK94/30</f>
        <v>91.7666666666667</v>
      </c>
      <c r="AM94" s="15" t="n">
        <v>3310</v>
      </c>
      <c r="AN94" s="16" t="n">
        <f aca="false">AM94/31</f>
        <v>106.774193548387</v>
      </c>
      <c r="AO94" s="15" t="n">
        <v>2046</v>
      </c>
      <c r="AP94" s="16" t="n">
        <f aca="false">AO94/30</f>
        <v>68.2</v>
      </c>
      <c r="AQ94" s="15" t="n">
        <v>2595</v>
      </c>
      <c r="AR94" s="16" t="n">
        <f aca="false">AQ94/31</f>
        <v>83.7096774193548</v>
      </c>
      <c r="AS94" s="15" t="n">
        <v>2407</v>
      </c>
      <c r="AT94" s="16" t="n">
        <f aca="false">AS94/31</f>
        <v>77.6451612903226</v>
      </c>
      <c r="AU94" s="15" t="n">
        <v>2687</v>
      </c>
      <c r="AV94" s="16" t="n">
        <f aca="false">AU94/30</f>
        <v>89.5666666666667</v>
      </c>
      <c r="AW94" s="15" t="n">
        <v>2316</v>
      </c>
      <c r="AX94" s="16" t="n">
        <f aca="false">AW94/31</f>
        <v>74.7096774193548</v>
      </c>
      <c r="AY94" s="15" t="n">
        <v>3583</v>
      </c>
      <c r="AZ94" s="16" t="n">
        <f aca="false">AY94/30</f>
        <v>119.433333333333</v>
      </c>
      <c r="BA94" s="15" t="n">
        <v>2733</v>
      </c>
      <c r="BB94" s="16" t="n">
        <f aca="false">BA94/31</f>
        <v>88.1612903225806</v>
      </c>
      <c r="BC94" s="17" t="n">
        <f aca="false">SUM(AE94:BA94)</f>
        <v>32414.5749615975</v>
      </c>
      <c r="BD94" s="18" t="n">
        <f aca="false">IFERROR(STDEV(AF94,AH94,AJ94,AL94,AN94,AP94,AR94,AT94,AV94,AX94,AZ94,BB94),0)</f>
        <v>15.2726502636559</v>
      </c>
      <c r="BE94" s="15" t="n">
        <v>2168</v>
      </c>
      <c r="BF94" s="16" t="n">
        <f aca="false">BE94/31</f>
        <v>69.9354838709677</v>
      </c>
      <c r="BG94" s="15" t="n">
        <v>1286</v>
      </c>
      <c r="BH94" s="16" t="n">
        <f aca="false">BG94/28</f>
        <v>45.9285714285714</v>
      </c>
      <c r="BI94" s="15" t="n">
        <v>1835</v>
      </c>
      <c r="BJ94" s="16" t="n">
        <f aca="false">BI94/31</f>
        <v>59.1935483870968</v>
      </c>
      <c r="BK94" s="15" t="n">
        <v>2146</v>
      </c>
      <c r="BL94" s="16" t="n">
        <f aca="false">BK94/30</f>
        <v>71.5333333333333</v>
      </c>
      <c r="BM94" s="15" t="n">
        <v>1329</v>
      </c>
      <c r="BN94" s="16" t="n">
        <f aca="false">BM94/31</f>
        <v>42.8709677419355</v>
      </c>
      <c r="BO94" s="15" t="n">
        <v>2207</v>
      </c>
      <c r="BP94" s="16" t="n">
        <f aca="false">BO94/30</f>
        <v>73.5666666666667</v>
      </c>
      <c r="BQ94" s="15" t="n">
        <v>2583</v>
      </c>
      <c r="BR94" s="16" t="n">
        <f aca="false">BQ94/31</f>
        <v>83.3225806451613</v>
      </c>
      <c r="BS94" s="15" t="n">
        <v>2583</v>
      </c>
      <c r="BT94" s="16" t="n">
        <f aca="false">BS94/31</f>
        <v>83.3225806451613</v>
      </c>
      <c r="BU94" s="15" t="n">
        <v>2278</v>
      </c>
      <c r="BV94" s="16" t="n">
        <f aca="false">BU94/30</f>
        <v>75.9333333333333</v>
      </c>
      <c r="BW94" s="15" t="n">
        <v>1810</v>
      </c>
      <c r="BX94" s="16" t="n">
        <f aca="false">BW94/31</f>
        <v>58.3870967741936</v>
      </c>
      <c r="BY94" s="15" t="n">
        <v>1234</v>
      </c>
      <c r="BZ94" s="16" t="n">
        <f aca="false">BY94/30</f>
        <v>41.1333333333333</v>
      </c>
      <c r="CA94" s="15" t="n">
        <v>2443</v>
      </c>
      <c r="CB94" s="16" t="n">
        <f aca="false">CA94/31</f>
        <v>78.8064516129032</v>
      </c>
      <c r="CC94" s="17" t="n">
        <f aca="false">SUM(BE94:CA94)</f>
        <v>24607.1274961598</v>
      </c>
      <c r="CD94" s="18" t="n">
        <f aca="false">IFERROR(STDEV(BF94,BH94,BJ94,BL94,BN94,BP94,BR94,BT94,BV94,BX94,BZ94,CB94),0)</f>
        <v>15.4366976323108</v>
      </c>
      <c r="CE94" s="15" t="n">
        <v>1549</v>
      </c>
      <c r="CF94" s="16" t="n">
        <f aca="false">CE94/31</f>
        <v>49.9677419354839</v>
      </c>
      <c r="CG94" s="15" t="n">
        <v>2258</v>
      </c>
      <c r="CH94" s="16" t="n">
        <f aca="false">CG94/28</f>
        <v>80.6428571428571</v>
      </c>
      <c r="CI94" s="15" t="n">
        <v>2756</v>
      </c>
      <c r="CJ94" s="16" t="n">
        <f aca="false">CI94/31</f>
        <v>88.9032258064516</v>
      </c>
      <c r="CK94" s="15" t="n">
        <v>3160</v>
      </c>
      <c r="CL94" s="16" t="n">
        <f aca="false">CK94/30</f>
        <v>105.333333333333</v>
      </c>
      <c r="CM94" s="15" t="n">
        <v>1530</v>
      </c>
      <c r="CN94" s="16" t="n">
        <f aca="false">CM94/31</f>
        <v>49.3548387096774</v>
      </c>
      <c r="CO94" s="15" t="n">
        <v>2556</v>
      </c>
      <c r="CP94" s="16" t="n">
        <f aca="false">CO94/30</f>
        <v>85.2</v>
      </c>
      <c r="CQ94" s="15" t="n">
        <v>2860</v>
      </c>
      <c r="CR94" s="16" t="n">
        <f aca="false">CQ94/31</f>
        <v>92.258064516129</v>
      </c>
      <c r="CS94" s="15" t="n">
        <v>1963</v>
      </c>
      <c r="CT94" s="16" t="n">
        <f aca="false">CS94/31</f>
        <v>63.3225806451613</v>
      </c>
      <c r="CU94" s="15" t="n">
        <v>1483</v>
      </c>
      <c r="CV94" s="16" t="n">
        <f aca="false">CU94/30</f>
        <v>49.4333333333333</v>
      </c>
      <c r="CW94" s="15" t="n">
        <v>2020</v>
      </c>
      <c r="CX94" s="16" t="n">
        <f aca="false">CW94/31</f>
        <v>65.1612903225806</v>
      </c>
      <c r="CY94" s="15" t="n">
        <v>2824</v>
      </c>
      <c r="CZ94" s="16" t="n">
        <f aca="false">CY94/30</f>
        <v>94.1333333333333</v>
      </c>
      <c r="DA94" s="15" t="n">
        <v>2252</v>
      </c>
      <c r="DB94" s="16" t="n">
        <f aca="false">DA94/31</f>
        <v>72.6451612903226</v>
      </c>
      <c r="DC94" s="17" t="n">
        <f aca="false">SUM(CE94:DA94)</f>
        <v>28034.7105990783</v>
      </c>
      <c r="DD94" s="18" t="n">
        <f aca="false">IFERROR(STDEV(CF94,CH94,CJ94,CL94,CN94,CP94,CR94,CT94,CV94,CX94,CZ94,DB94),0)</f>
        <v>19.279667684324</v>
      </c>
      <c r="DE94" s="15" t="n">
        <v>2415</v>
      </c>
      <c r="DF94" s="16" t="n">
        <f aca="false">DE94/31</f>
        <v>77.9032258064516</v>
      </c>
      <c r="DG94" s="15" t="n">
        <v>2332</v>
      </c>
      <c r="DH94" s="16" t="n">
        <f aca="false">DG94/28</f>
        <v>83.2857142857143</v>
      </c>
      <c r="DI94" s="15" t="n">
        <v>2839</v>
      </c>
      <c r="DJ94" s="16" t="n">
        <f aca="false">DI94/31</f>
        <v>91.5806451612903</v>
      </c>
      <c r="DK94" s="15" t="n">
        <v>2240</v>
      </c>
      <c r="DL94" s="16" t="n">
        <f aca="false">DK94/30</f>
        <v>74.6666666666667</v>
      </c>
      <c r="DM94" s="15" t="n">
        <v>3272</v>
      </c>
      <c r="DN94" s="16" t="n">
        <f aca="false">DM94/31</f>
        <v>105.548387096774</v>
      </c>
      <c r="DO94" s="15" t="n">
        <v>2962</v>
      </c>
      <c r="DP94" s="16" t="n">
        <f aca="false">DO94/30</f>
        <v>98.7333333333333</v>
      </c>
      <c r="DQ94" s="15" t="n">
        <v>1988</v>
      </c>
      <c r="DR94" s="16" t="n">
        <f aca="false">DQ94/31</f>
        <v>64.1290322580645</v>
      </c>
      <c r="DS94" s="15" t="n">
        <v>1502</v>
      </c>
      <c r="DT94" s="16" t="n">
        <f aca="false">DS94/31</f>
        <v>48.4516129032258</v>
      </c>
      <c r="DU94" s="15" t="n">
        <v>3200</v>
      </c>
      <c r="DV94" s="16" t="n">
        <f aca="false">DU94/30</f>
        <v>106.666666666667</v>
      </c>
      <c r="DW94" s="15" t="n">
        <v>2868</v>
      </c>
      <c r="DX94" s="16" t="n">
        <f aca="false">DW94/31</f>
        <v>92.5161290322581</v>
      </c>
      <c r="DY94" s="15" t="n">
        <v>2825</v>
      </c>
      <c r="DZ94" s="16" t="n">
        <f aca="false">DY94/30</f>
        <v>94.1666666666667</v>
      </c>
      <c r="EA94" s="15" t="n">
        <v>2513</v>
      </c>
      <c r="EB94" s="16" t="n">
        <f aca="false">EA94/31</f>
        <v>81.0645161290323</v>
      </c>
      <c r="EC94" s="17" t="n">
        <f aca="false">SUM(DE94:EA94)</f>
        <v>31893.6480798771</v>
      </c>
      <c r="ED94" s="18" t="n">
        <f aca="false">IFERROR(STDEV(DF94,DH94,DJ94,DL94,DN94,DP94,DR94,DT94,DV94,DX94,DZ94,EB94),0)</f>
        <v>17.0851411580489</v>
      </c>
      <c r="EE94" s="19" t="n">
        <f aca="false">STDEV(F94:AB94,AF94:BB94,BF94:CB94,CF94:DB94,DF94:EB94)</f>
        <v>1183.40532306953</v>
      </c>
    </row>
    <row r="95" customFormat="false" ht="15" hidden="false" customHeight="true" outlineLevel="0" collapsed="false">
      <c r="A95" s="11" t="n">
        <v>90</v>
      </c>
      <c r="B95" s="12" t="s">
        <v>214</v>
      </c>
      <c r="C95" s="13" t="s">
        <v>215</v>
      </c>
      <c r="D95" s="14" t="s">
        <v>36</v>
      </c>
      <c r="E95" s="15" t="n">
        <v>2825</v>
      </c>
      <c r="F95" s="16" t="n">
        <f aca="false">E95/31</f>
        <v>91.1290322580645</v>
      </c>
      <c r="G95" s="15" t="n">
        <v>4259</v>
      </c>
      <c r="H95" s="16" t="n">
        <f aca="false">G95/28</f>
        <v>152.107142857143</v>
      </c>
      <c r="I95" s="15" t="n">
        <v>3200</v>
      </c>
      <c r="J95" s="16" t="n">
        <f aca="false">I95/31</f>
        <v>103.225806451613</v>
      </c>
      <c r="K95" s="15" t="n">
        <v>2791</v>
      </c>
      <c r="L95" s="16" t="n">
        <f aca="false">K95/30</f>
        <v>93.0333333333333</v>
      </c>
      <c r="M95" s="15" t="n">
        <v>6060</v>
      </c>
      <c r="N95" s="16" t="n">
        <f aca="false">M95/31</f>
        <v>195.483870967742</v>
      </c>
      <c r="O95" s="15" t="n">
        <v>5428</v>
      </c>
      <c r="P95" s="16" t="n">
        <f aca="false">O95/30</f>
        <v>180.933333333333</v>
      </c>
      <c r="Q95" s="15" t="n">
        <v>4785</v>
      </c>
      <c r="R95" s="16" t="n">
        <f aca="false">Q95/31</f>
        <v>154.354838709677</v>
      </c>
      <c r="S95" s="15" t="n">
        <v>3610</v>
      </c>
      <c r="T95" s="16" t="n">
        <f aca="false">S95/31</f>
        <v>116.451612903226</v>
      </c>
      <c r="U95" s="15" t="n">
        <v>2899</v>
      </c>
      <c r="V95" s="16" t="n">
        <f aca="false">U95/30</f>
        <v>96.6333333333333</v>
      </c>
      <c r="W95" s="15" t="n">
        <v>4372</v>
      </c>
      <c r="X95" s="16" t="n">
        <f aca="false">W95/31</f>
        <v>141.032258064516</v>
      </c>
      <c r="Y95" s="15" t="n">
        <v>5576</v>
      </c>
      <c r="Z95" s="16" t="n">
        <f aca="false">Y95/30</f>
        <v>185.866666666667</v>
      </c>
      <c r="AA95" s="15" t="n">
        <v>3579</v>
      </c>
      <c r="AB95" s="16" t="n">
        <f aca="false">AA95/31</f>
        <v>115.451612903226</v>
      </c>
      <c r="AC95" s="17" t="n">
        <f aca="false">SUM(E95:AA95)</f>
        <v>50894.2512288786</v>
      </c>
      <c r="AD95" s="18" t="n">
        <f aca="false">IFERROR(STDEV(F95,H95,J95,L95,N95,P95,R95,T95,V95,X95,Z95,AB95),0)</f>
        <v>38.0790745468599</v>
      </c>
      <c r="AE95" s="15" t="n">
        <v>2715</v>
      </c>
      <c r="AF95" s="16" t="n">
        <f aca="false">AE95/31</f>
        <v>87.5806451612903</v>
      </c>
      <c r="AG95" s="15" t="n">
        <v>3172</v>
      </c>
      <c r="AH95" s="16" t="n">
        <f aca="false">AG95/28</f>
        <v>113.285714285714</v>
      </c>
      <c r="AI95" s="15" t="n">
        <v>4947</v>
      </c>
      <c r="AJ95" s="16" t="n">
        <f aca="false">AI95/31</f>
        <v>159.58064516129</v>
      </c>
      <c r="AK95" s="15" t="n">
        <v>2351</v>
      </c>
      <c r="AL95" s="16" t="n">
        <f aca="false">AK95/30</f>
        <v>78.3666666666667</v>
      </c>
      <c r="AM95" s="15" t="n">
        <v>2651</v>
      </c>
      <c r="AN95" s="16" t="n">
        <f aca="false">AM95/31</f>
        <v>85.5161290322581</v>
      </c>
      <c r="AO95" s="15" t="n">
        <v>2845</v>
      </c>
      <c r="AP95" s="16" t="n">
        <f aca="false">AO95/30</f>
        <v>94.8333333333333</v>
      </c>
      <c r="AQ95" s="15" t="n">
        <v>4128</v>
      </c>
      <c r="AR95" s="16" t="n">
        <f aca="false">AQ95/31</f>
        <v>133.161290322581</v>
      </c>
      <c r="AS95" s="15" t="n">
        <v>2773</v>
      </c>
      <c r="AT95" s="16" t="n">
        <f aca="false">AS95/31</f>
        <v>89.4516129032258</v>
      </c>
      <c r="AU95" s="15" t="n">
        <v>3682</v>
      </c>
      <c r="AV95" s="16" t="n">
        <f aca="false">AU95/30</f>
        <v>122.733333333333</v>
      </c>
      <c r="AW95" s="15" t="n">
        <v>4793</v>
      </c>
      <c r="AX95" s="16" t="n">
        <f aca="false">AW95/31</f>
        <v>154.612903225806</v>
      </c>
      <c r="AY95" s="15" t="n">
        <v>3111</v>
      </c>
      <c r="AZ95" s="16" t="n">
        <f aca="false">AY95/30</f>
        <v>103.7</v>
      </c>
      <c r="BA95" s="15" t="n">
        <v>4464</v>
      </c>
      <c r="BB95" s="16" t="n">
        <f aca="false">BA95/31</f>
        <v>144</v>
      </c>
      <c r="BC95" s="17" t="n">
        <f aca="false">SUM(AE95:BA95)</f>
        <v>42854.8222734255</v>
      </c>
      <c r="BD95" s="18" t="n">
        <f aca="false">IFERROR(STDEV(AF95,AH95,AJ95,AL95,AN95,AP95,AR95,AT95,AV95,AX95,AZ95,BB95),0)</f>
        <v>28.4859550354834</v>
      </c>
      <c r="BE95" s="15" t="n">
        <v>2929</v>
      </c>
      <c r="BF95" s="16" t="n">
        <f aca="false">BE95/31</f>
        <v>94.4838709677419</v>
      </c>
      <c r="BG95" s="15" t="n">
        <v>3675</v>
      </c>
      <c r="BH95" s="16" t="n">
        <f aca="false">BG95/28</f>
        <v>131.25</v>
      </c>
      <c r="BI95" s="15" t="n">
        <v>3823</v>
      </c>
      <c r="BJ95" s="16" t="n">
        <f aca="false">BI95/31</f>
        <v>123.322580645161</v>
      </c>
      <c r="BK95" s="15" t="n">
        <v>2592</v>
      </c>
      <c r="BL95" s="16" t="n">
        <f aca="false">BK95/30</f>
        <v>86.4</v>
      </c>
      <c r="BM95" s="15" t="n">
        <v>1979</v>
      </c>
      <c r="BN95" s="16" t="n">
        <f aca="false">BM95/31</f>
        <v>63.8387096774194</v>
      </c>
      <c r="BO95" s="15" t="n">
        <v>2123</v>
      </c>
      <c r="BP95" s="16" t="n">
        <f aca="false">BO95/30</f>
        <v>70.7666666666667</v>
      </c>
      <c r="BQ95" s="15" t="n">
        <v>3994</v>
      </c>
      <c r="BR95" s="16" t="n">
        <f aca="false">BQ95/31</f>
        <v>128.838709677419</v>
      </c>
      <c r="BS95" s="15" t="n">
        <v>2145</v>
      </c>
      <c r="BT95" s="16" t="n">
        <f aca="false">BS95/31</f>
        <v>69.1935483870968</v>
      </c>
      <c r="BU95" s="15" t="n">
        <v>2955</v>
      </c>
      <c r="BV95" s="16" t="n">
        <f aca="false">BU95/30</f>
        <v>98.5</v>
      </c>
      <c r="BW95" s="15" t="n">
        <v>4136</v>
      </c>
      <c r="BX95" s="16" t="n">
        <f aca="false">BW95/31</f>
        <v>133.41935483871</v>
      </c>
      <c r="BY95" s="15" t="n">
        <v>3606</v>
      </c>
      <c r="BZ95" s="16" t="n">
        <f aca="false">BY95/30</f>
        <v>120.2</v>
      </c>
      <c r="CA95" s="15" t="n">
        <v>2343</v>
      </c>
      <c r="CB95" s="16" t="n">
        <f aca="false">CA95/31</f>
        <v>75.5806451612903</v>
      </c>
      <c r="CC95" s="17" t="n">
        <f aca="false">SUM(BE95:CA95)</f>
        <v>37420.2134408602</v>
      </c>
      <c r="CD95" s="18" t="n">
        <f aca="false">IFERROR(STDEV(BF95,BH95,BJ95,BL95,BN95,BP95,BR95,BT95,BV95,BX95,BZ95,CB95),0)</f>
        <v>26.6301304160494</v>
      </c>
      <c r="CE95" s="15" t="n">
        <v>3730</v>
      </c>
      <c r="CF95" s="16" t="n">
        <f aca="false">CE95/31</f>
        <v>120.322580645161</v>
      </c>
      <c r="CG95" s="15" t="n">
        <v>4348</v>
      </c>
      <c r="CH95" s="16" t="n">
        <f aca="false">CG95/28</f>
        <v>155.285714285714</v>
      </c>
      <c r="CI95" s="15" t="n">
        <v>3011</v>
      </c>
      <c r="CJ95" s="16" t="n">
        <f aca="false">CI95/31</f>
        <v>97.1290322580645</v>
      </c>
      <c r="CK95" s="15" t="n">
        <v>4652</v>
      </c>
      <c r="CL95" s="16" t="n">
        <f aca="false">CK95/30</f>
        <v>155.066666666667</v>
      </c>
      <c r="CM95" s="15" t="n">
        <v>3432</v>
      </c>
      <c r="CN95" s="16" t="n">
        <f aca="false">CM95/31</f>
        <v>110.709677419355</v>
      </c>
      <c r="CO95" s="15" t="n">
        <v>4363</v>
      </c>
      <c r="CP95" s="16" t="n">
        <f aca="false">CO95/30</f>
        <v>145.433333333333</v>
      </c>
      <c r="CQ95" s="15" t="n">
        <v>4718</v>
      </c>
      <c r="CR95" s="16" t="n">
        <f aca="false">CQ95/31</f>
        <v>152.193548387097</v>
      </c>
      <c r="CS95" s="15" t="n">
        <v>2714</v>
      </c>
      <c r="CT95" s="16" t="n">
        <f aca="false">CS95/31</f>
        <v>87.5483870967742</v>
      </c>
      <c r="CU95" s="15" t="n">
        <v>2876</v>
      </c>
      <c r="CV95" s="16" t="n">
        <f aca="false">CU95/30</f>
        <v>95.8666666666667</v>
      </c>
      <c r="CW95" s="15" t="n">
        <v>3600</v>
      </c>
      <c r="CX95" s="16" t="n">
        <f aca="false">CW95/31</f>
        <v>116.129032258065</v>
      </c>
      <c r="CY95" s="15" t="n">
        <v>3295</v>
      </c>
      <c r="CZ95" s="16" t="n">
        <f aca="false">CY95/30</f>
        <v>109.833333333333</v>
      </c>
      <c r="DA95" s="15" t="n">
        <v>4689</v>
      </c>
      <c r="DB95" s="16" t="n">
        <f aca="false">DA95/31</f>
        <v>151.258064516129</v>
      </c>
      <c r="DC95" s="17" t="n">
        <f aca="false">SUM(CE95:DA95)</f>
        <v>46773.5179723502</v>
      </c>
      <c r="DD95" s="18" t="n">
        <f aca="false">IFERROR(STDEV(CF95,CH95,CJ95,CL95,CN95,CP95,CR95,CT95,CV95,CX95,CZ95,DB95),0)</f>
        <v>25.6370427854527</v>
      </c>
      <c r="DE95" s="15" t="n">
        <v>3428</v>
      </c>
      <c r="DF95" s="16" t="n">
        <f aca="false">DE95/31</f>
        <v>110.58064516129</v>
      </c>
      <c r="DG95" s="15" t="n">
        <v>2926</v>
      </c>
      <c r="DH95" s="16" t="n">
        <f aca="false">DG95/28</f>
        <v>104.5</v>
      </c>
      <c r="DI95" s="15" t="n">
        <v>2577</v>
      </c>
      <c r="DJ95" s="16" t="n">
        <f aca="false">DI95/31</f>
        <v>83.1290322580645</v>
      </c>
      <c r="DK95" s="15" t="n">
        <v>3321</v>
      </c>
      <c r="DL95" s="16" t="n">
        <f aca="false">DK95/30</f>
        <v>110.7</v>
      </c>
      <c r="DM95" s="15" t="n">
        <v>2794</v>
      </c>
      <c r="DN95" s="16" t="n">
        <f aca="false">DM95/31</f>
        <v>90.1290322580645</v>
      </c>
      <c r="DO95" s="15" t="n">
        <v>2042</v>
      </c>
      <c r="DP95" s="16" t="n">
        <f aca="false">DO95/30</f>
        <v>68.0666666666667</v>
      </c>
      <c r="DQ95" s="15" t="n">
        <v>3696</v>
      </c>
      <c r="DR95" s="16" t="n">
        <f aca="false">DQ95/31</f>
        <v>119.225806451613</v>
      </c>
      <c r="DS95" s="15" t="n">
        <v>1738</v>
      </c>
      <c r="DT95" s="16" t="n">
        <f aca="false">DS95/31</f>
        <v>56.0645161290323</v>
      </c>
      <c r="DU95" s="15" t="n">
        <v>3826</v>
      </c>
      <c r="DV95" s="16" t="n">
        <f aca="false">DU95/30</f>
        <v>127.533333333333</v>
      </c>
      <c r="DW95" s="15" t="n">
        <v>2735</v>
      </c>
      <c r="DX95" s="16" t="n">
        <f aca="false">DW95/31</f>
        <v>88.2258064516129</v>
      </c>
      <c r="DY95" s="15" t="n">
        <v>3259</v>
      </c>
      <c r="DZ95" s="16" t="n">
        <f aca="false">DY95/30</f>
        <v>108.633333333333</v>
      </c>
      <c r="EA95" s="15" t="n">
        <v>3905</v>
      </c>
      <c r="EB95" s="16" t="n">
        <f aca="false">EA95/31</f>
        <v>125.967741935484</v>
      </c>
      <c r="EC95" s="17" t="n">
        <f aca="false">SUM(DE95:EA95)</f>
        <v>37313.788172043</v>
      </c>
      <c r="ED95" s="18" t="n">
        <f aca="false">IFERROR(STDEV(DF95,DH95,DJ95,DL95,DN95,DP95,DR95,DT95,DV95,DX95,DZ95,EB95),0)</f>
        <v>22.5421884108456</v>
      </c>
      <c r="EE95" s="19" t="n">
        <f aca="false">STDEV(F95:AB95,AF95:BB95,BF95:CB95,CF95:DB95,DF95:EB95)</f>
        <v>1833.13159390877</v>
      </c>
    </row>
    <row r="96" customFormat="false" ht="15" hidden="false" customHeight="true" outlineLevel="0" collapsed="false">
      <c r="A96" s="11" t="n">
        <v>91</v>
      </c>
      <c r="B96" s="12" t="s">
        <v>216</v>
      </c>
      <c r="C96" s="13" t="s">
        <v>217</v>
      </c>
      <c r="D96" s="14" t="s">
        <v>36</v>
      </c>
      <c r="E96" s="15" t="n">
        <v>1799</v>
      </c>
      <c r="F96" s="16" t="n">
        <f aca="false">E96/31</f>
        <v>58.0322580645161</v>
      </c>
      <c r="G96" s="15" t="n">
        <v>993</v>
      </c>
      <c r="H96" s="16" t="n">
        <f aca="false">G96/28</f>
        <v>35.4642857142857</v>
      </c>
      <c r="I96" s="15" t="n">
        <v>2094</v>
      </c>
      <c r="J96" s="16" t="n">
        <f aca="false">I96/31</f>
        <v>67.5483870967742</v>
      </c>
      <c r="K96" s="15" t="n">
        <v>1742</v>
      </c>
      <c r="L96" s="16" t="n">
        <f aca="false">K96/30</f>
        <v>58.0666666666667</v>
      </c>
      <c r="M96" s="15" t="n">
        <v>2142</v>
      </c>
      <c r="N96" s="16" t="n">
        <f aca="false">M96/31</f>
        <v>69.0967741935484</v>
      </c>
      <c r="O96" s="15" t="n">
        <v>1484</v>
      </c>
      <c r="P96" s="16" t="n">
        <f aca="false">O96/30</f>
        <v>49.4666666666667</v>
      </c>
      <c r="Q96" s="15" t="n">
        <v>2094</v>
      </c>
      <c r="R96" s="16" t="n">
        <f aca="false">Q96/31</f>
        <v>67.5483870967742</v>
      </c>
      <c r="S96" s="15" t="n">
        <v>2019</v>
      </c>
      <c r="T96" s="16" t="n">
        <f aca="false">S96/31</f>
        <v>65.1290322580645</v>
      </c>
      <c r="U96" s="15" t="n">
        <v>1362</v>
      </c>
      <c r="V96" s="16" t="n">
        <f aca="false">U96/30</f>
        <v>45.4</v>
      </c>
      <c r="W96" s="15" t="n">
        <v>1277</v>
      </c>
      <c r="X96" s="16" t="n">
        <f aca="false">W96/31</f>
        <v>41.1935483870968</v>
      </c>
      <c r="Y96" s="15" t="n">
        <v>1065</v>
      </c>
      <c r="Z96" s="16" t="n">
        <f aca="false">Y96/30</f>
        <v>35.5</v>
      </c>
      <c r="AA96" s="15" t="n">
        <v>1763</v>
      </c>
      <c r="AB96" s="16" t="n">
        <f aca="false">AA96/31</f>
        <v>56.8709677419355</v>
      </c>
      <c r="AC96" s="17" t="n">
        <f aca="false">SUM(E96:AA96)</f>
        <v>20426.4460061444</v>
      </c>
      <c r="AD96" s="18" t="n">
        <f aca="false">IFERROR(STDEV(F96,H96,J96,L96,N96,P96,R96,T96,V96,X96,Z96,AB96),0)</f>
        <v>12.4466839601421</v>
      </c>
      <c r="AE96" s="15" t="n">
        <v>1126</v>
      </c>
      <c r="AF96" s="16" t="n">
        <f aca="false">AE96/31</f>
        <v>36.3225806451613</v>
      </c>
      <c r="AG96" s="15" t="n">
        <v>1502</v>
      </c>
      <c r="AH96" s="16" t="n">
        <f aca="false">AG96/28</f>
        <v>53.6428571428571</v>
      </c>
      <c r="AI96" s="15" t="n">
        <v>1479</v>
      </c>
      <c r="AJ96" s="16" t="n">
        <f aca="false">AI96/31</f>
        <v>47.7096774193548</v>
      </c>
      <c r="AK96" s="15" t="n">
        <v>1464</v>
      </c>
      <c r="AL96" s="16" t="n">
        <f aca="false">AK96/30</f>
        <v>48.8</v>
      </c>
      <c r="AM96" s="15" t="n">
        <v>1321</v>
      </c>
      <c r="AN96" s="16" t="n">
        <f aca="false">AM96/31</f>
        <v>42.6129032258065</v>
      </c>
      <c r="AO96" s="15" t="n">
        <v>932</v>
      </c>
      <c r="AP96" s="16" t="n">
        <f aca="false">AO96/30</f>
        <v>31.0666666666667</v>
      </c>
      <c r="AQ96" s="15" t="n">
        <v>1073</v>
      </c>
      <c r="AR96" s="16" t="n">
        <f aca="false">AQ96/31</f>
        <v>34.6129032258065</v>
      </c>
      <c r="AS96" s="15" t="n">
        <v>1421</v>
      </c>
      <c r="AT96" s="16" t="n">
        <f aca="false">AS96/31</f>
        <v>45.8387096774194</v>
      </c>
      <c r="AU96" s="15" t="n">
        <v>917</v>
      </c>
      <c r="AV96" s="16" t="n">
        <f aca="false">AU96/30</f>
        <v>30.5666666666667</v>
      </c>
      <c r="AW96" s="15" t="n">
        <v>1280</v>
      </c>
      <c r="AX96" s="16" t="n">
        <f aca="false">AW96/31</f>
        <v>41.2903225806452</v>
      </c>
      <c r="AY96" s="15" t="n">
        <v>1403</v>
      </c>
      <c r="AZ96" s="16" t="n">
        <f aca="false">AY96/30</f>
        <v>46.7666666666667</v>
      </c>
      <c r="BA96" s="15" t="n">
        <v>1560</v>
      </c>
      <c r="BB96" s="16" t="n">
        <f aca="false">BA96/31</f>
        <v>50.3225806451613</v>
      </c>
      <c r="BC96" s="17" t="n">
        <f aca="false">SUM(AE96:BA96)</f>
        <v>15937.2299539171</v>
      </c>
      <c r="BD96" s="18" t="n">
        <f aca="false">IFERROR(STDEV(AF96,AH96,AJ96,AL96,AN96,AP96,AR96,AT96,AV96,AX96,AZ96,BB96),0)</f>
        <v>7.72534165731765</v>
      </c>
      <c r="BE96" s="15" t="n">
        <v>1088</v>
      </c>
      <c r="BF96" s="16" t="n">
        <f aca="false">BE96/31</f>
        <v>35.0967741935484</v>
      </c>
      <c r="BG96" s="15" t="n">
        <v>1211</v>
      </c>
      <c r="BH96" s="16" t="n">
        <f aca="false">BG96/28</f>
        <v>43.25</v>
      </c>
      <c r="BI96" s="15" t="n">
        <v>1220</v>
      </c>
      <c r="BJ96" s="16" t="n">
        <f aca="false">BI96/31</f>
        <v>39.3548387096774</v>
      </c>
      <c r="BK96" s="15" t="n">
        <v>1708</v>
      </c>
      <c r="BL96" s="16" t="n">
        <f aca="false">BK96/30</f>
        <v>56.9333333333333</v>
      </c>
      <c r="BM96" s="15" t="n">
        <v>1385</v>
      </c>
      <c r="BN96" s="16" t="n">
        <f aca="false">BM96/31</f>
        <v>44.6774193548387</v>
      </c>
      <c r="BO96" s="15" t="n">
        <v>1476</v>
      </c>
      <c r="BP96" s="16" t="n">
        <f aca="false">BO96/30</f>
        <v>49.2</v>
      </c>
      <c r="BQ96" s="15" t="n">
        <v>1347</v>
      </c>
      <c r="BR96" s="16" t="n">
        <f aca="false">BQ96/31</f>
        <v>43.4516129032258</v>
      </c>
      <c r="BS96" s="15" t="n">
        <v>1105</v>
      </c>
      <c r="BT96" s="16" t="n">
        <f aca="false">BS96/31</f>
        <v>35.6451612903226</v>
      </c>
      <c r="BU96" s="15" t="n">
        <v>1203</v>
      </c>
      <c r="BV96" s="16" t="n">
        <f aca="false">BU96/30</f>
        <v>40.1</v>
      </c>
      <c r="BW96" s="15" t="n">
        <v>2412</v>
      </c>
      <c r="BX96" s="16" t="n">
        <f aca="false">BW96/31</f>
        <v>77.8064516129032</v>
      </c>
      <c r="BY96" s="15" t="n">
        <v>2009</v>
      </c>
      <c r="BZ96" s="16" t="n">
        <f aca="false">BY96/30</f>
        <v>66.9666666666667</v>
      </c>
      <c r="CA96" s="15" t="n">
        <v>2265</v>
      </c>
      <c r="CB96" s="16" t="n">
        <f aca="false">CA96/31</f>
        <v>73.0645161290323</v>
      </c>
      <c r="CC96" s="17" t="n">
        <f aca="false">SUM(BE96:CA96)</f>
        <v>18961.4822580645</v>
      </c>
      <c r="CD96" s="18" t="n">
        <f aca="false">IFERROR(STDEV(BF96,BH96,BJ96,BL96,BN96,BP96,BR96,BT96,BV96,BX96,BZ96,CB96),0)</f>
        <v>14.7569902803235</v>
      </c>
      <c r="CE96" s="15" t="n">
        <v>1695</v>
      </c>
      <c r="CF96" s="16" t="n">
        <f aca="false">CE96/31</f>
        <v>54.6774193548387</v>
      </c>
      <c r="CG96" s="15" t="n">
        <v>1384</v>
      </c>
      <c r="CH96" s="16" t="n">
        <f aca="false">CG96/28</f>
        <v>49.4285714285714</v>
      </c>
      <c r="CI96" s="15" t="n">
        <v>1454</v>
      </c>
      <c r="CJ96" s="16" t="n">
        <f aca="false">CI96/31</f>
        <v>46.9032258064516</v>
      </c>
      <c r="CK96" s="15" t="n">
        <v>867</v>
      </c>
      <c r="CL96" s="16" t="n">
        <f aca="false">CK96/30</f>
        <v>28.9</v>
      </c>
      <c r="CM96" s="15" t="n">
        <v>1602</v>
      </c>
      <c r="CN96" s="16" t="n">
        <f aca="false">CM96/31</f>
        <v>51.6774193548387</v>
      </c>
      <c r="CO96" s="15" t="n">
        <v>877</v>
      </c>
      <c r="CP96" s="16" t="n">
        <f aca="false">CO96/30</f>
        <v>29.2333333333333</v>
      </c>
      <c r="CQ96" s="15" t="n">
        <v>1402</v>
      </c>
      <c r="CR96" s="16" t="n">
        <f aca="false">CQ96/31</f>
        <v>45.2258064516129</v>
      </c>
      <c r="CS96" s="15" t="n">
        <v>1645</v>
      </c>
      <c r="CT96" s="16" t="n">
        <f aca="false">CS96/31</f>
        <v>53.0645161290323</v>
      </c>
      <c r="CU96" s="15" t="n">
        <v>1312</v>
      </c>
      <c r="CV96" s="16" t="n">
        <f aca="false">CU96/30</f>
        <v>43.7333333333333</v>
      </c>
      <c r="CW96" s="15" t="n">
        <v>1712</v>
      </c>
      <c r="CX96" s="16" t="n">
        <f aca="false">CW96/31</f>
        <v>55.2258064516129</v>
      </c>
      <c r="CY96" s="15" t="n">
        <v>1641</v>
      </c>
      <c r="CZ96" s="16" t="n">
        <f aca="false">CY96/30</f>
        <v>54.7</v>
      </c>
      <c r="DA96" s="15" t="n">
        <v>1441</v>
      </c>
      <c r="DB96" s="16" t="n">
        <f aca="false">DA96/31</f>
        <v>46.4838709677419</v>
      </c>
      <c r="DC96" s="17" t="n">
        <f aca="false">SUM(CE96:DA96)</f>
        <v>17544.7694316436</v>
      </c>
      <c r="DD96" s="18" t="n">
        <f aca="false">IFERROR(STDEV(CF96,CH96,CJ96,CL96,CN96,CP96,CR96,CT96,CV96,CX96,CZ96,DB96),0)</f>
        <v>9.07510433029769</v>
      </c>
      <c r="DE96" s="15" t="n">
        <v>1313</v>
      </c>
      <c r="DF96" s="16" t="n">
        <f aca="false">DE96/31</f>
        <v>42.3548387096774</v>
      </c>
      <c r="DG96" s="15" t="n">
        <v>1592</v>
      </c>
      <c r="DH96" s="16" t="n">
        <f aca="false">DG96/28</f>
        <v>56.8571428571429</v>
      </c>
      <c r="DI96" s="15" t="n">
        <v>2206</v>
      </c>
      <c r="DJ96" s="16" t="n">
        <f aca="false">DI96/31</f>
        <v>71.1612903225806</v>
      </c>
      <c r="DK96" s="15" t="n">
        <v>1817</v>
      </c>
      <c r="DL96" s="16" t="n">
        <f aca="false">DK96/30</f>
        <v>60.5666666666667</v>
      </c>
      <c r="DM96" s="15" t="n">
        <v>2188</v>
      </c>
      <c r="DN96" s="16" t="n">
        <f aca="false">DM96/31</f>
        <v>70.5806451612903</v>
      </c>
      <c r="DO96" s="15" t="n">
        <v>1343</v>
      </c>
      <c r="DP96" s="16" t="n">
        <f aca="false">DO96/30</f>
        <v>44.7666666666667</v>
      </c>
      <c r="DQ96" s="15" t="n">
        <v>1540</v>
      </c>
      <c r="DR96" s="16" t="n">
        <f aca="false">DQ96/31</f>
        <v>49.6774193548387</v>
      </c>
      <c r="DS96" s="15" t="n">
        <v>2163</v>
      </c>
      <c r="DT96" s="16" t="n">
        <f aca="false">DS96/31</f>
        <v>69.7741935483871</v>
      </c>
      <c r="DU96" s="15" t="n">
        <v>1988</v>
      </c>
      <c r="DV96" s="16" t="n">
        <f aca="false">DU96/30</f>
        <v>66.2666666666667</v>
      </c>
      <c r="DW96" s="15" t="n">
        <v>1404</v>
      </c>
      <c r="DX96" s="16" t="n">
        <f aca="false">DW96/31</f>
        <v>45.2903225806452</v>
      </c>
      <c r="DY96" s="15" t="n">
        <v>1193</v>
      </c>
      <c r="DZ96" s="16" t="n">
        <f aca="false">DY96/30</f>
        <v>39.7666666666667</v>
      </c>
      <c r="EA96" s="15" t="n">
        <v>1078</v>
      </c>
      <c r="EB96" s="16" t="n">
        <f aca="false">EA96/31</f>
        <v>34.7741935483871</v>
      </c>
      <c r="EC96" s="17" t="n">
        <f aca="false">SUM(DE96:EA96)</f>
        <v>20442.0625192012</v>
      </c>
      <c r="ED96" s="18" t="n">
        <f aca="false">IFERROR(STDEV(DF96,DH96,DJ96,DL96,DN96,DP96,DR96,DT96,DV96,DX96,DZ96,EB96),0)</f>
        <v>13.1647203252704</v>
      </c>
      <c r="EE96" s="19" t="n">
        <f aca="false">STDEV(F96:AB96,AF96:BB96,BF96:CB96,CF96:DB96,DF96:EB96)</f>
        <v>784.442008082448</v>
      </c>
    </row>
    <row r="97" customFormat="false" ht="15" hidden="false" customHeight="true" outlineLevel="0" collapsed="false">
      <c r="A97" s="11" t="n">
        <v>92</v>
      </c>
      <c r="B97" s="12" t="s">
        <v>218</v>
      </c>
      <c r="C97" s="13" t="s">
        <v>219</v>
      </c>
      <c r="D97" s="14" t="s">
        <v>36</v>
      </c>
      <c r="E97" s="15" t="n">
        <v>667</v>
      </c>
      <c r="F97" s="16" t="n">
        <f aca="false">E97/31</f>
        <v>21.5161290322581</v>
      </c>
      <c r="G97" s="15" t="n">
        <v>495</v>
      </c>
      <c r="H97" s="16" t="n">
        <f aca="false">G97/28</f>
        <v>17.6785714285714</v>
      </c>
      <c r="I97" s="15" t="n">
        <v>473</v>
      </c>
      <c r="J97" s="16" t="n">
        <f aca="false">I97/31</f>
        <v>15.258064516129</v>
      </c>
      <c r="K97" s="15" t="n">
        <v>354</v>
      </c>
      <c r="L97" s="16" t="n">
        <f aca="false">K97/30</f>
        <v>11.8</v>
      </c>
      <c r="M97" s="15" t="n">
        <v>746</v>
      </c>
      <c r="N97" s="16" t="n">
        <f aca="false">M97/31</f>
        <v>24.0645161290323</v>
      </c>
      <c r="O97" s="15" t="n">
        <v>443</v>
      </c>
      <c r="P97" s="16" t="n">
        <f aca="false">O97/30</f>
        <v>14.7666666666667</v>
      </c>
      <c r="Q97" s="15" t="n">
        <v>520</v>
      </c>
      <c r="R97" s="16" t="n">
        <f aca="false">Q97/31</f>
        <v>16.7741935483871</v>
      </c>
      <c r="S97" s="15" t="n">
        <v>543</v>
      </c>
      <c r="T97" s="16" t="n">
        <f aca="false">S97/31</f>
        <v>17.5161290322581</v>
      </c>
      <c r="U97" s="15" t="n">
        <v>734</v>
      </c>
      <c r="V97" s="16" t="n">
        <f aca="false">U97/30</f>
        <v>24.4666666666667</v>
      </c>
      <c r="W97" s="15" t="n">
        <v>595</v>
      </c>
      <c r="X97" s="16" t="n">
        <f aca="false">W97/31</f>
        <v>19.1935483870968</v>
      </c>
      <c r="Y97" s="15" t="n">
        <v>406</v>
      </c>
      <c r="Z97" s="16" t="n">
        <f aca="false">Y97/30</f>
        <v>13.5333333333333</v>
      </c>
      <c r="AA97" s="15" t="n">
        <v>543</v>
      </c>
      <c r="AB97" s="16" t="n">
        <f aca="false">AA97/31</f>
        <v>17.5161290322581</v>
      </c>
      <c r="AC97" s="17" t="n">
        <f aca="false">SUM(E97:AA97)</f>
        <v>6715.5678187404</v>
      </c>
      <c r="AD97" s="18" t="n">
        <f aca="false">IFERROR(STDEV(F97,H97,J97,L97,N97,P97,R97,T97,V97,X97,Z97,AB97),0)</f>
        <v>3.93718707308181</v>
      </c>
      <c r="AE97" s="15" t="n">
        <v>397</v>
      </c>
      <c r="AF97" s="16" t="n">
        <f aca="false">AE97/31</f>
        <v>12.8064516129032</v>
      </c>
      <c r="AG97" s="15" t="n">
        <v>675</v>
      </c>
      <c r="AH97" s="16" t="n">
        <f aca="false">AG97/28</f>
        <v>24.1071428571429</v>
      </c>
      <c r="AI97" s="15" t="n">
        <v>431</v>
      </c>
      <c r="AJ97" s="16" t="n">
        <f aca="false">AI97/31</f>
        <v>13.9032258064516</v>
      </c>
      <c r="AK97" s="15" t="n">
        <v>619</v>
      </c>
      <c r="AL97" s="16" t="n">
        <f aca="false">AK97/30</f>
        <v>20.6333333333333</v>
      </c>
      <c r="AM97" s="15" t="n">
        <v>739</v>
      </c>
      <c r="AN97" s="16" t="n">
        <f aca="false">AM97/31</f>
        <v>23.8387096774194</v>
      </c>
      <c r="AO97" s="15" t="n">
        <v>651</v>
      </c>
      <c r="AP97" s="16" t="n">
        <f aca="false">AO97/30</f>
        <v>21.7</v>
      </c>
      <c r="AQ97" s="15" t="n">
        <v>379</v>
      </c>
      <c r="AR97" s="16" t="n">
        <f aca="false">AQ97/31</f>
        <v>12.2258064516129</v>
      </c>
      <c r="AS97" s="15" t="n">
        <v>366</v>
      </c>
      <c r="AT97" s="16" t="n">
        <f aca="false">AS97/31</f>
        <v>11.8064516129032</v>
      </c>
      <c r="AU97" s="15" t="n">
        <v>587</v>
      </c>
      <c r="AV97" s="16" t="n">
        <f aca="false">AU97/30</f>
        <v>19.5666666666667</v>
      </c>
      <c r="AW97" s="15" t="n">
        <v>445</v>
      </c>
      <c r="AX97" s="16" t="n">
        <f aca="false">AW97/31</f>
        <v>14.3548387096774</v>
      </c>
      <c r="AY97" s="15" t="n">
        <v>532</v>
      </c>
      <c r="AZ97" s="16" t="n">
        <f aca="false">AY97/30</f>
        <v>17.7333333333333</v>
      </c>
      <c r="BA97" s="15" t="n">
        <v>732</v>
      </c>
      <c r="BB97" s="16" t="n">
        <f aca="false">BA97/31</f>
        <v>23.6129032258065</v>
      </c>
      <c r="BC97" s="17" t="n">
        <f aca="false">SUM(AE97:BA97)</f>
        <v>6745.67596006144</v>
      </c>
      <c r="BD97" s="18" t="n">
        <f aca="false">IFERROR(STDEV(AF97,AH97,AJ97,AL97,AN97,AP97,AR97,AT97,AV97,AX97,AZ97,BB97),0)</f>
        <v>4.81267749074507</v>
      </c>
      <c r="BE97" s="15" t="n">
        <v>397</v>
      </c>
      <c r="BF97" s="16" t="n">
        <f aca="false">BE97/31</f>
        <v>12.8064516129032</v>
      </c>
      <c r="BG97" s="15" t="n">
        <v>614</v>
      </c>
      <c r="BH97" s="16" t="n">
        <f aca="false">BG97/28</f>
        <v>21.9285714285714</v>
      </c>
      <c r="BI97" s="15" t="n">
        <v>743</v>
      </c>
      <c r="BJ97" s="16" t="n">
        <f aca="false">BI97/31</f>
        <v>23.9677419354839</v>
      </c>
      <c r="BK97" s="15" t="n">
        <v>625</v>
      </c>
      <c r="BL97" s="16" t="n">
        <f aca="false">BK97/30</f>
        <v>20.8333333333333</v>
      </c>
      <c r="BM97" s="15" t="n">
        <v>449</v>
      </c>
      <c r="BN97" s="16" t="n">
        <f aca="false">BM97/31</f>
        <v>14.4838709677419</v>
      </c>
      <c r="BO97" s="15" t="n">
        <v>641</v>
      </c>
      <c r="BP97" s="16" t="n">
        <f aca="false">BO97/30</f>
        <v>21.3666666666667</v>
      </c>
      <c r="BQ97" s="15" t="n">
        <v>731</v>
      </c>
      <c r="BR97" s="16" t="n">
        <f aca="false">BQ97/31</f>
        <v>23.5806451612903</v>
      </c>
      <c r="BS97" s="15" t="n">
        <v>585</v>
      </c>
      <c r="BT97" s="16" t="n">
        <f aca="false">BS97/31</f>
        <v>18.8709677419355</v>
      </c>
      <c r="BU97" s="15" t="n">
        <v>559</v>
      </c>
      <c r="BV97" s="16" t="n">
        <f aca="false">BU97/30</f>
        <v>18.6333333333333</v>
      </c>
      <c r="BW97" s="15" t="n">
        <v>747</v>
      </c>
      <c r="BX97" s="16" t="n">
        <f aca="false">BW97/31</f>
        <v>24.0967741935484</v>
      </c>
      <c r="BY97" s="15" t="n">
        <v>548</v>
      </c>
      <c r="BZ97" s="16" t="n">
        <f aca="false">BY97/30</f>
        <v>18.2666666666667</v>
      </c>
      <c r="CA97" s="15" t="n">
        <v>524</v>
      </c>
      <c r="CB97" s="16" t="n">
        <f aca="false">CA97/31</f>
        <v>16.9032258064516</v>
      </c>
      <c r="CC97" s="17" t="n">
        <f aca="false">SUM(BE97:CA97)</f>
        <v>7381.83502304147</v>
      </c>
      <c r="CD97" s="18" t="n">
        <f aca="false">IFERROR(STDEV(BF97,BH97,BJ97,BL97,BN97,BP97,BR97,BT97,BV97,BX97,BZ97,CB97),0)</f>
        <v>3.66838316379082</v>
      </c>
      <c r="CE97" s="15" t="n">
        <v>730</v>
      </c>
      <c r="CF97" s="16" t="n">
        <f aca="false">CE97/31</f>
        <v>23.5483870967742</v>
      </c>
      <c r="CG97" s="15" t="n">
        <v>701</v>
      </c>
      <c r="CH97" s="16" t="n">
        <f aca="false">CG97/28</f>
        <v>25.0357142857143</v>
      </c>
      <c r="CI97" s="15" t="n">
        <v>703</v>
      </c>
      <c r="CJ97" s="16" t="n">
        <f aca="false">CI97/31</f>
        <v>22.6774193548387</v>
      </c>
      <c r="CK97" s="15" t="n">
        <v>591</v>
      </c>
      <c r="CL97" s="16" t="n">
        <f aca="false">CK97/30</f>
        <v>19.7</v>
      </c>
      <c r="CM97" s="15" t="n">
        <v>345</v>
      </c>
      <c r="CN97" s="16" t="n">
        <f aca="false">CM97/31</f>
        <v>11.1290322580645</v>
      </c>
      <c r="CO97" s="15" t="n">
        <v>780</v>
      </c>
      <c r="CP97" s="16" t="n">
        <f aca="false">CO97/30</f>
        <v>26</v>
      </c>
      <c r="CQ97" s="15" t="n">
        <v>718</v>
      </c>
      <c r="CR97" s="16" t="n">
        <f aca="false">CQ97/31</f>
        <v>23.1612903225806</v>
      </c>
      <c r="CS97" s="15" t="n">
        <v>564</v>
      </c>
      <c r="CT97" s="16" t="n">
        <f aca="false">CS97/31</f>
        <v>18.1935483870968</v>
      </c>
      <c r="CU97" s="15" t="n">
        <v>603</v>
      </c>
      <c r="CV97" s="16" t="n">
        <f aca="false">CU97/30</f>
        <v>20.1</v>
      </c>
      <c r="CW97" s="15" t="n">
        <v>772</v>
      </c>
      <c r="CX97" s="16" t="n">
        <f aca="false">CW97/31</f>
        <v>24.9032258064516</v>
      </c>
      <c r="CY97" s="15" t="n">
        <v>508</v>
      </c>
      <c r="CZ97" s="16" t="n">
        <f aca="false">CY97/30</f>
        <v>16.9333333333333</v>
      </c>
      <c r="DA97" s="15" t="n">
        <v>656</v>
      </c>
      <c r="DB97" s="16" t="n">
        <f aca="false">DA97/31</f>
        <v>21.1612903225806</v>
      </c>
      <c r="DC97" s="17" t="n">
        <f aca="false">SUM(CE97:DA97)</f>
        <v>7902.38195084485</v>
      </c>
      <c r="DD97" s="18" t="n">
        <f aca="false">IFERROR(STDEV(CF97,CH97,CJ97,CL97,CN97,CP97,CR97,CT97,CV97,CX97,CZ97,DB97),0)</f>
        <v>4.20878652799847</v>
      </c>
      <c r="DE97" s="15" t="n">
        <v>616</v>
      </c>
      <c r="DF97" s="16" t="n">
        <f aca="false">DE97/31</f>
        <v>19.8709677419355</v>
      </c>
      <c r="DG97" s="15" t="n">
        <v>741</v>
      </c>
      <c r="DH97" s="16" t="n">
        <f aca="false">DG97/28</f>
        <v>26.4642857142857</v>
      </c>
      <c r="DI97" s="15" t="n">
        <v>916</v>
      </c>
      <c r="DJ97" s="16" t="n">
        <f aca="false">DI97/31</f>
        <v>29.5483870967742</v>
      </c>
      <c r="DK97" s="15" t="n">
        <v>450</v>
      </c>
      <c r="DL97" s="16" t="n">
        <f aca="false">DK97/30</f>
        <v>15</v>
      </c>
      <c r="DM97" s="15" t="n">
        <v>688</v>
      </c>
      <c r="DN97" s="16" t="n">
        <f aca="false">DM97/31</f>
        <v>22.1935483870968</v>
      </c>
      <c r="DO97" s="15" t="n">
        <v>917</v>
      </c>
      <c r="DP97" s="16" t="n">
        <f aca="false">DO97/30</f>
        <v>30.5666666666667</v>
      </c>
      <c r="DQ97" s="15" t="n">
        <v>445</v>
      </c>
      <c r="DR97" s="16" t="n">
        <f aca="false">DQ97/31</f>
        <v>14.3548387096774</v>
      </c>
      <c r="DS97" s="15" t="n">
        <v>648</v>
      </c>
      <c r="DT97" s="16" t="n">
        <f aca="false">DS97/31</f>
        <v>20.9032258064516</v>
      </c>
      <c r="DU97" s="15" t="n">
        <v>813</v>
      </c>
      <c r="DV97" s="16" t="n">
        <f aca="false">DU97/30</f>
        <v>27.1</v>
      </c>
      <c r="DW97" s="15" t="n">
        <v>749</v>
      </c>
      <c r="DX97" s="16" t="n">
        <f aca="false">DW97/31</f>
        <v>24.1612903225806</v>
      </c>
      <c r="DY97" s="15" t="n">
        <v>496</v>
      </c>
      <c r="DZ97" s="16" t="n">
        <f aca="false">DY97/30</f>
        <v>16.5333333333333</v>
      </c>
      <c r="EA97" s="15" t="n">
        <v>423</v>
      </c>
      <c r="EB97" s="16" t="n">
        <f aca="false">EA97/31</f>
        <v>13.6451612903226</v>
      </c>
      <c r="EC97" s="17" t="n">
        <f aca="false">SUM(DE97:EA97)</f>
        <v>8148.6965437788</v>
      </c>
      <c r="ED97" s="18" t="n">
        <f aca="false">IFERROR(STDEV(DF97,DH97,DJ97,DL97,DN97,DP97,DR97,DT97,DV97,DX97,DZ97,EB97),0)</f>
        <v>5.9754886191808</v>
      </c>
      <c r="EE97" s="19" t="n">
        <f aca="false">STDEV(F97:AB97,AF97:BB97,BF97:CB97,CF97:DB97,DF97:EB97)</f>
        <v>306.814328325235</v>
      </c>
    </row>
    <row r="98" customFormat="false" ht="15" hidden="false" customHeight="true" outlineLevel="0" collapsed="false">
      <c r="A98" s="11" t="n">
        <v>93</v>
      </c>
      <c r="B98" s="12" t="s">
        <v>220</v>
      </c>
      <c r="C98" s="13" t="s">
        <v>221</v>
      </c>
      <c r="D98" s="14" t="s">
        <v>36</v>
      </c>
      <c r="E98" s="15" t="n">
        <v>100</v>
      </c>
      <c r="F98" s="16" t="n">
        <f aca="false">E98/31</f>
        <v>3.2258064516129</v>
      </c>
      <c r="G98" s="15" t="n">
        <v>83</v>
      </c>
      <c r="H98" s="16" t="n">
        <f aca="false">G98/28</f>
        <v>2.96428571428571</v>
      </c>
      <c r="I98" s="15" t="n">
        <v>128</v>
      </c>
      <c r="J98" s="16" t="n">
        <f aca="false">I98/31</f>
        <v>4.12903225806452</v>
      </c>
      <c r="K98" s="15" t="n">
        <v>146</v>
      </c>
      <c r="L98" s="16" t="n">
        <f aca="false">K98/30</f>
        <v>4.86666666666667</v>
      </c>
      <c r="M98" s="15" t="n">
        <v>122</v>
      </c>
      <c r="N98" s="16" t="n">
        <f aca="false">M98/31</f>
        <v>3.93548387096774</v>
      </c>
      <c r="O98" s="15" t="n">
        <v>98</v>
      </c>
      <c r="P98" s="16" t="n">
        <f aca="false">O98/30</f>
        <v>3.26666666666667</v>
      </c>
      <c r="Q98" s="15" t="n">
        <v>74</v>
      </c>
      <c r="R98" s="16" t="n">
        <f aca="false">Q98/31</f>
        <v>2.38709677419355</v>
      </c>
      <c r="S98" s="15" t="n">
        <v>123</v>
      </c>
      <c r="T98" s="16" t="n">
        <f aca="false">S98/31</f>
        <v>3.96774193548387</v>
      </c>
      <c r="U98" s="15" t="n">
        <v>132</v>
      </c>
      <c r="V98" s="16" t="n">
        <f aca="false">U98/30</f>
        <v>4.4</v>
      </c>
      <c r="W98" s="15" t="n">
        <v>79</v>
      </c>
      <c r="X98" s="16" t="n">
        <f aca="false">W98/31</f>
        <v>2.54838709677419</v>
      </c>
      <c r="Y98" s="15" t="n">
        <v>84</v>
      </c>
      <c r="Z98" s="16" t="n">
        <f aca="false">Y98/30</f>
        <v>2.8</v>
      </c>
      <c r="AA98" s="15" t="n">
        <v>130</v>
      </c>
      <c r="AB98" s="16" t="n">
        <f aca="false">AA98/31</f>
        <v>4.19354838709677</v>
      </c>
      <c r="AC98" s="17" t="n">
        <f aca="false">SUM(E98:AA98)</f>
        <v>1337.49116743472</v>
      </c>
      <c r="AD98" s="18" t="n">
        <f aca="false">IFERROR(STDEV(F98,H98,J98,L98,N98,P98,R98,T98,V98,X98,Z98,AB98),0)</f>
        <v>0.796273414003733</v>
      </c>
      <c r="AE98" s="15" t="n">
        <v>102</v>
      </c>
      <c r="AF98" s="16" t="n">
        <f aca="false">AE98/31</f>
        <v>3.29032258064516</v>
      </c>
      <c r="AG98" s="15" t="n">
        <v>95</v>
      </c>
      <c r="AH98" s="16" t="n">
        <f aca="false">AG98/28</f>
        <v>3.39285714285714</v>
      </c>
      <c r="AI98" s="15" t="n">
        <v>62</v>
      </c>
      <c r="AJ98" s="16" t="n">
        <f aca="false">AI98/31</f>
        <v>2</v>
      </c>
      <c r="AK98" s="15" t="n">
        <v>98</v>
      </c>
      <c r="AL98" s="16" t="n">
        <f aca="false">AK98/30</f>
        <v>3.26666666666667</v>
      </c>
      <c r="AM98" s="15" t="n">
        <v>81</v>
      </c>
      <c r="AN98" s="16" t="n">
        <f aca="false">AM98/31</f>
        <v>2.61290322580645</v>
      </c>
      <c r="AO98" s="15" t="n">
        <v>98</v>
      </c>
      <c r="AP98" s="16" t="n">
        <f aca="false">AO98/30</f>
        <v>3.26666666666667</v>
      </c>
      <c r="AQ98" s="15" t="n">
        <v>121</v>
      </c>
      <c r="AR98" s="16" t="n">
        <f aca="false">AQ98/31</f>
        <v>3.90322580645161</v>
      </c>
      <c r="AS98" s="15" t="n">
        <v>92</v>
      </c>
      <c r="AT98" s="16" t="n">
        <f aca="false">AS98/31</f>
        <v>2.96774193548387</v>
      </c>
      <c r="AU98" s="15" t="n">
        <v>133</v>
      </c>
      <c r="AV98" s="16" t="n">
        <f aca="false">AU98/30</f>
        <v>4.43333333333333</v>
      </c>
      <c r="AW98" s="15" t="n">
        <v>60</v>
      </c>
      <c r="AX98" s="16" t="n">
        <f aca="false">AW98/31</f>
        <v>1.93548387096774</v>
      </c>
      <c r="AY98" s="15" t="n">
        <v>62</v>
      </c>
      <c r="AZ98" s="16" t="n">
        <f aca="false">AY98/30</f>
        <v>2.06666666666667</v>
      </c>
      <c r="BA98" s="15" t="n">
        <v>117</v>
      </c>
      <c r="BB98" s="16" t="n">
        <f aca="false">BA98/31</f>
        <v>3.7741935483871</v>
      </c>
      <c r="BC98" s="17" t="n">
        <f aca="false">SUM(AE98:BA98)</f>
        <v>1154.13586789555</v>
      </c>
      <c r="BD98" s="18" t="n">
        <f aca="false">IFERROR(STDEV(AF98,AH98,AJ98,AL98,AN98,AP98,AR98,AT98,AV98,AX98,AZ98,BB98),0)</f>
        <v>0.794106453405984</v>
      </c>
      <c r="BE98" s="15" t="n">
        <v>63</v>
      </c>
      <c r="BF98" s="16" t="n">
        <f aca="false">BE98/31</f>
        <v>2.03225806451613</v>
      </c>
      <c r="BG98" s="15" t="n">
        <v>69</v>
      </c>
      <c r="BH98" s="16" t="n">
        <f aca="false">BG98/28</f>
        <v>2.46428571428571</v>
      </c>
      <c r="BI98" s="15" t="n">
        <v>123</v>
      </c>
      <c r="BJ98" s="16" t="n">
        <f aca="false">BI98/31</f>
        <v>3.96774193548387</v>
      </c>
      <c r="BK98" s="15" t="n">
        <v>112</v>
      </c>
      <c r="BL98" s="16" t="n">
        <f aca="false">BK98/30</f>
        <v>3.73333333333333</v>
      </c>
      <c r="BM98" s="15" t="n">
        <v>96</v>
      </c>
      <c r="BN98" s="16" t="n">
        <f aca="false">BM98/31</f>
        <v>3.09677419354839</v>
      </c>
      <c r="BO98" s="15" t="n">
        <v>113</v>
      </c>
      <c r="BP98" s="16" t="n">
        <f aca="false">BO98/30</f>
        <v>3.76666666666667</v>
      </c>
      <c r="BQ98" s="15" t="n">
        <v>129</v>
      </c>
      <c r="BR98" s="16" t="n">
        <f aca="false">BQ98/31</f>
        <v>4.16129032258065</v>
      </c>
      <c r="BS98" s="15" t="n">
        <v>71</v>
      </c>
      <c r="BT98" s="16" t="n">
        <f aca="false">BS98/31</f>
        <v>2.29032258064516</v>
      </c>
      <c r="BU98" s="15" t="n">
        <v>105</v>
      </c>
      <c r="BV98" s="16" t="n">
        <f aca="false">BU98/30</f>
        <v>3.5</v>
      </c>
      <c r="BW98" s="15" t="n">
        <v>133</v>
      </c>
      <c r="BX98" s="16" t="n">
        <f aca="false">BW98/31</f>
        <v>4.29032258064516</v>
      </c>
      <c r="BY98" s="15" t="n">
        <v>62</v>
      </c>
      <c r="BZ98" s="16" t="n">
        <f aca="false">BY98/30</f>
        <v>2.06666666666667</v>
      </c>
      <c r="CA98" s="15" t="n">
        <v>71</v>
      </c>
      <c r="CB98" s="16" t="n">
        <f aca="false">CA98/31</f>
        <v>2.29032258064516</v>
      </c>
      <c r="CC98" s="17" t="n">
        <f aca="false">SUM(BE98:CA98)</f>
        <v>1182.36966205837</v>
      </c>
      <c r="CD98" s="18" t="n">
        <f aca="false">IFERROR(STDEV(BF98,BH98,BJ98,BL98,BN98,BP98,BR98,BT98,BV98,BX98,BZ98,CB98),0)</f>
        <v>0.863778864038478</v>
      </c>
      <c r="CE98" s="15" t="n">
        <v>102</v>
      </c>
      <c r="CF98" s="16" t="n">
        <f aca="false">CE98/31</f>
        <v>3.29032258064516</v>
      </c>
      <c r="CG98" s="15" t="n">
        <v>89</v>
      </c>
      <c r="CH98" s="16" t="n">
        <f aca="false">CG98/28</f>
        <v>3.17857142857143</v>
      </c>
      <c r="CI98" s="15" t="n">
        <v>122</v>
      </c>
      <c r="CJ98" s="16" t="n">
        <f aca="false">CI98/31</f>
        <v>3.93548387096774</v>
      </c>
      <c r="CK98" s="15" t="n">
        <v>58</v>
      </c>
      <c r="CL98" s="16" t="n">
        <f aca="false">CK98/30</f>
        <v>1.93333333333333</v>
      </c>
      <c r="CM98" s="15" t="n">
        <v>106</v>
      </c>
      <c r="CN98" s="16" t="n">
        <f aca="false">CM98/31</f>
        <v>3.41935483870968</v>
      </c>
      <c r="CO98" s="15" t="n">
        <v>64</v>
      </c>
      <c r="CP98" s="16" t="n">
        <f aca="false">CO98/30</f>
        <v>2.13333333333333</v>
      </c>
      <c r="CQ98" s="15" t="n">
        <v>67</v>
      </c>
      <c r="CR98" s="16" t="n">
        <f aca="false">CQ98/31</f>
        <v>2.16129032258065</v>
      </c>
      <c r="CS98" s="15" t="n">
        <v>58</v>
      </c>
      <c r="CT98" s="16" t="n">
        <f aca="false">CS98/31</f>
        <v>1.87096774193548</v>
      </c>
      <c r="CU98" s="15" t="n">
        <v>77</v>
      </c>
      <c r="CV98" s="16" t="n">
        <f aca="false">CU98/30</f>
        <v>2.56666666666667</v>
      </c>
      <c r="CW98" s="15" t="n">
        <v>113</v>
      </c>
      <c r="CX98" s="16" t="n">
        <f aca="false">CW98/31</f>
        <v>3.64516129032258</v>
      </c>
      <c r="CY98" s="15" t="n">
        <v>88</v>
      </c>
      <c r="CZ98" s="16" t="n">
        <f aca="false">CY98/30</f>
        <v>2.93333333333333</v>
      </c>
      <c r="DA98" s="15" t="n">
        <v>67</v>
      </c>
      <c r="DB98" s="16" t="n">
        <f aca="false">DA98/31</f>
        <v>2.16129032258065</v>
      </c>
      <c r="DC98" s="17" t="n">
        <f aca="false">SUM(CE98:DA98)</f>
        <v>1042.0678187404</v>
      </c>
      <c r="DD98" s="18" t="n">
        <f aca="false">IFERROR(STDEV(CF98,CH98,CJ98,CL98,CN98,CP98,CR98,CT98,CV98,CX98,CZ98,DB98),0)</f>
        <v>0.720244256643372</v>
      </c>
      <c r="DE98" s="15" t="n">
        <v>115</v>
      </c>
      <c r="DF98" s="16" t="n">
        <f aca="false">DE98/31</f>
        <v>3.70967741935484</v>
      </c>
      <c r="DG98" s="15" t="n">
        <v>135</v>
      </c>
      <c r="DH98" s="16" t="n">
        <f aca="false">DG98/28</f>
        <v>4.82142857142857</v>
      </c>
      <c r="DI98" s="15" t="n">
        <v>74</v>
      </c>
      <c r="DJ98" s="16" t="n">
        <f aca="false">DI98/31</f>
        <v>2.38709677419355</v>
      </c>
      <c r="DK98" s="15" t="n">
        <v>107</v>
      </c>
      <c r="DL98" s="16" t="n">
        <f aca="false">DK98/30</f>
        <v>3.56666666666667</v>
      </c>
      <c r="DM98" s="15" t="n">
        <v>133</v>
      </c>
      <c r="DN98" s="16" t="n">
        <f aca="false">DM98/31</f>
        <v>4.29032258064516</v>
      </c>
      <c r="DO98" s="15" t="n">
        <v>84</v>
      </c>
      <c r="DP98" s="16" t="n">
        <f aca="false">DO98/30</f>
        <v>2.8</v>
      </c>
      <c r="DQ98" s="15" t="n">
        <v>134</v>
      </c>
      <c r="DR98" s="16" t="n">
        <f aca="false">DQ98/31</f>
        <v>4.32258064516129</v>
      </c>
      <c r="DS98" s="15" t="n">
        <v>101</v>
      </c>
      <c r="DT98" s="16" t="n">
        <f aca="false">DS98/31</f>
        <v>3.25806451612903</v>
      </c>
      <c r="DU98" s="15" t="n">
        <v>134</v>
      </c>
      <c r="DV98" s="16" t="n">
        <f aca="false">DU98/30</f>
        <v>4.46666666666667</v>
      </c>
      <c r="DW98" s="15" t="n">
        <v>149</v>
      </c>
      <c r="DX98" s="16" t="n">
        <f aca="false">DW98/31</f>
        <v>4.80645161290323</v>
      </c>
      <c r="DY98" s="15" t="n">
        <v>123</v>
      </c>
      <c r="DZ98" s="16" t="n">
        <f aca="false">DY98/30</f>
        <v>4.1</v>
      </c>
      <c r="EA98" s="15" t="n">
        <v>93</v>
      </c>
      <c r="EB98" s="16" t="n">
        <f aca="false">EA98/31</f>
        <v>3</v>
      </c>
      <c r="EC98" s="17" t="n">
        <f aca="false">SUM(DE98:EA98)</f>
        <v>1424.52895545315</v>
      </c>
      <c r="ED98" s="18" t="n">
        <f aca="false">IFERROR(STDEV(DF98,DH98,DJ98,DL98,DN98,DP98,DR98,DT98,DV98,DX98,DZ98,EB98),0)</f>
        <v>0.803197246262111</v>
      </c>
      <c r="EE98" s="19" t="n">
        <f aca="false">STDEV(F98:AB98,AF98:BB98,BF98:CB98,CF98:DB98,DF98:EB98)</f>
        <v>51.6883148175946</v>
      </c>
    </row>
    <row r="99" customFormat="false" ht="15" hidden="false" customHeight="true" outlineLevel="0" collapsed="false">
      <c r="A99" s="11" t="n">
        <v>94</v>
      </c>
      <c r="B99" s="12" t="s">
        <v>222</v>
      </c>
      <c r="C99" s="13" t="s">
        <v>223</v>
      </c>
      <c r="D99" s="14" t="s">
        <v>36</v>
      </c>
      <c r="E99" s="15" t="n">
        <v>243</v>
      </c>
      <c r="F99" s="16" t="n">
        <f aca="false">E99/31</f>
        <v>7.83870967741936</v>
      </c>
      <c r="G99" s="15" t="n">
        <v>187</v>
      </c>
      <c r="H99" s="16" t="n">
        <f aca="false">G99/28</f>
        <v>6.67857142857143</v>
      </c>
      <c r="I99" s="15" t="n">
        <v>125</v>
      </c>
      <c r="J99" s="16" t="n">
        <f aca="false">I99/31</f>
        <v>4.03225806451613</v>
      </c>
      <c r="K99" s="15" t="n">
        <v>224</v>
      </c>
      <c r="L99" s="16" t="n">
        <f aca="false">K99/30</f>
        <v>7.46666666666667</v>
      </c>
      <c r="M99" s="15" t="n">
        <v>217</v>
      </c>
      <c r="N99" s="16" t="n">
        <f aca="false">M99/31</f>
        <v>7</v>
      </c>
      <c r="O99" s="15" t="n">
        <v>213</v>
      </c>
      <c r="P99" s="16" t="n">
        <f aca="false">O99/30</f>
        <v>7.1</v>
      </c>
      <c r="Q99" s="15" t="n">
        <v>189</v>
      </c>
      <c r="R99" s="16" t="n">
        <f aca="false">Q99/31</f>
        <v>6.09677419354839</v>
      </c>
      <c r="S99" s="15" t="n">
        <v>153</v>
      </c>
      <c r="T99" s="16" t="n">
        <f aca="false">S99/31</f>
        <v>4.93548387096774</v>
      </c>
      <c r="U99" s="15" t="n">
        <v>123</v>
      </c>
      <c r="V99" s="16" t="n">
        <f aca="false">U99/30</f>
        <v>4.1</v>
      </c>
      <c r="W99" s="15" t="n">
        <v>126</v>
      </c>
      <c r="X99" s="16" t="n">
        <f aca="false">W99/31</f>
        <v>4.06451612903226</v>
      </c>
      <c r="Y99" s="15" t="n">
        <v>164</v>
      </c>
      <c r="Z99" s="16" t="n">
        <f aca="false">Y99/30</f>
        <v>5.46666666666667</v>
      </c>
      <c r="AA99" s="15" t="n">
        <v>204</v>
      </c>
      <c r="AB99" s="16" t="n">
        <f aca="false">AA99/31</f>
        <v>6.58064516129032</v>
      </c>
      <c r="AC99" s="17" t="n">
        <f aca="false">SUM(E99:AA99)</f>
        <v>2232.77964669739</v>
      </c>
      <c r="AD99" s="18" t="n">
        <f aca="false">IFERROR(STDEV(F99,H99,J99,L99,N99,P99,R99,T99,V99,X99,Z99,AB99),0)</f>
        <v>1.38697121240689</v>
      </c>
      <c r="AE99" s="15" t="n">
        <v>181</v>
      </c>
      <c r="AF99" s="16" t="n">
        <f aca="false">AE99/31</f>
        <v>5.83870967741936</v>
      </c>
      <c r="AG99" s="15" t="n">
        <v>165</v>
      </c>
      <c r="AH99" s="16" t="n">
        <f aca="false">AG99/28</f>
        <v>5.89285714285714</v>
      </c>
      <c r="AI99" s="15" t="n">
        <v>233</v>
      </c>
      <c r="AJ99" s="16" t="n">
        <f aca="false">AI99/31</f>
        <v>7.51612903225807</v>
      </c>
      <c r="AK99" s="15" t="n">
        <v>110</v>
      </c>
      <c r="AL99" s="16" t="n">
        <f aca="false">AK99/30</f>
        <v>3.66666666666667</v>
      </c>
      <c r="AM99" s="15" t="n">
        <v>118</v>
      </c>
      <c r="AN99" s="16" t="n">
        <f aca="false">AM99/31</f>
        <v>3.80645161290323</v>
      </c>
      <c r="AO99" s="15" t="n">
        <v>222</v>
      </c>
      <c r="AP99" s="16" t="n">
        <f aca="false">AO99/30</f>
        <v>7.4</v>
      </c>
      <c r="AQ99" s="15" t="n">
        <v>189</v>
      </c>
      <c r="AR99" s="16" t="n">
        <f aca="false">AQ99/31</f>
        <v>6.09677419354839</v>
      </c>
      <c r="AS99" s="15" t="n">
        <v>212</v>
      </c>
      <c r="AT99" s="16" t="n">
        <f aca="false">AS99/31</f>
        <v>6.83870967741936</v>
      </c>
      <c r="AU99" s="15" t="n">
        <v>106</v>
      </c>
      <c r="AV99" s="16" t="n">
        <f aca="false">AU99/30</f>
        <v>3.53333333333333</v>
      </c>
      <c r="AW99" s="15" t="n">
        <v>172</v>
      </c>
      <c r="AX99" s="16" t="n">
        <f aca="false">AW99/31</f>
        <v>5.54838709677419</v>
      </c>
      <c r="AY99" s="15" t="n">
        <v>105</v>
      </c>
      <c r="AZ99" s="16" t="n">
        <f aca="false">AY99/30</f>
        <v>3.5</v>
      </c>
      <c r="BA99" s="15" t="n">
        <v>129</v>
      </c>
      <c r="BB99" s="16" t="n">
        <f aca="false">BA99/31</f>
        <v>4.16129032258065</v>
      </c>
      <c r="BC99" s="17" t="n">
        <f aca="false">SUM(AE99:BA99)</f>
        <v>2001.63801843318</v>
      </c>
      <c r="BD99" s="18" t="n">
        <f aca="false">IFERROR(STDEV(AF99,AH99,AJ99,AL99,AN99,AP99,AR99,AT99,AV99,AX99,AZ99,BB99),0)</f>
        <v>1.52494451177714</v>
      </c>
      <c r="BE99" s="15" t="n">
        <v>119</v>
      </c>
      <c r="BF99" s="16" t="n">
        <f aca="false">BE99/31</f>
        <v>3.83870967741936</v>
      </c>
      <c r="BG99" s="15" t="n">
        <v>199</v>
      </c>
      <c r="BH99" s="16" t="n">
        <f aca="false">BG99/28</f>
        <v>7.10714285714286</v>
      </c>
      <c r="BI99" s="15" t="n">
        <v>232</v>
      </c>
      <c r="BJ99" s="16" t="n">
        <f aca="false">BI99/31</f>
        <v>7.48387096774194</v>
      </c>
      <c r="BK99" s="15" t="n">
        <v>165</v>
      </c>
      <c r="BL99" s="16" t="n">
        <f aca="false">BK99/30</f>
        <v>5.5</v>
      </c>
      <c r="BM99" s="15" t="n">
        <v>221</v>
      </c>
      <c r="BN99" s="16" t="n">
        <f aca="false">BM99/31</f>
        <v>7.12903225806452</v>
      </c>
      <c r="BO99" s="15" t="n">
        <v>216</v>
      </c>
      <c r="BP99" s="16" t="n">
        <f aca="false">BO99/30</f>
        <v>7.2</v>
      </c>
      <c r="BQ99" s="15" t="n">
        <v>204</v>
      </c>
      <c r="BR99" s="16" t="n">
        <f aca="false">BQ99/31</f>
        <v>6.58064516129032</v>
      </c>
      <c r="BS99" s="15" t="n">
        <v>135</v>
      </c>
      <c r="BT99" s="16" t="n">
        <f aca="false">BS99/31</f>
        <v>4.35483870967742</v>
      </c>
      <c r="BU99" s="15" t="n">
        <v>197</v>
      </c>
      <c r="BV99" s="16" t="n">
        <f aca="false">BU99/30</f>
        <v>6.56666666666667</v>
      </c>
      <c r="BW99" s="15" t="n">
        <v>180</v>
      </c>
      <c r="BX99" s="16" t="n">
        <f aca="false">BW99/31</f>
        <v>5.80645161290323</v>
      </c>
      <c r="BY99" s="15" t="n">
        <v>165</v>
      </c>
      <c r="BZ99" s="16" t="n">
        <f aca="false">BY99/30</f>
        <v>5.5</v>
      </c>
      <c r="CA99" s="15" t="n">
        <v>239</v>
      </c>
      <c r="CB99" s="16" t="n">
        <f aca="false">CA99/31</f>
        <v>7.70967741935484</v>
      </c>
      <c r="CC99" s="17" t="n">
        <f aca="false">SUM(BE99:CA99)</f>
        <v>2339.06735791091</v>
      </c>
      <c r="CD99" s="18" t="n">
        <f aca="false">IFERROR(STDEV(BF99,BH99,BJ99,BL99,BN99,BP99,BR99,BT99,BV99,BX99,BZ99,CB99),0)</f>
        <v>1.243022016181</v>
      </c>
      <c r="CE99" s="15" t="n">
        <v>193</v>
      </c>
      <c r="CF99" s="16" t="n">
        <f aca="false">CE99/31</f>
        <v>6.2258064516129</v>
      </c>
      <c r="CG99" s="15" t="n">
        <v>111</v>
      </c>
      <c r="CH99" s="16" t="n">
        <f aca="false">CG99/28</f>
        <v>3.96428571428571</v>
      </c>
      <c r="CI99" s="15" t="n">
        <v>132</v>
      </c>
      <c r="CJ99" s="16" t="n">
        <f aca="false">CI99/31</f>
        <v>4.25806451612903</v>
      </c>
      <c r="CK99" s="15" t="n">
        <v>177</v>
      </c>
      <c r="CL99" s="16" t="n">
        <f aca="false">CK99/30</f>
        <v>5.9</v>
      </c>
      <c r="CM99" s="15" t="n">
        <v>241</v>
      </c>
      <c r="CN99" s="16" t="n">
        <f aca="false">CM99/31</f>
        <v>7.7741935483871</v>
      </c>
      <c r="CO99" s="15" t="n">
        <v>195</v>
      </c>
      <c r="CP99" s="16" t="n">
        <f aca="false">CO99/30</f>
        <v>6.5</v>
      </c>
      <c r="CQ99" s="15" t="n">
        <v>217</v>
      </c>
      <c r="CR99" s="16" t="n">
        <f aca="false">CQ99/31</f>
        <v>7</v>
      </c>
      <c r="CS99" s="15" t="n">
        <v>155</v>
      </c>
      <c r="CT99" s="16" t="n">
        <f aca="false">CS99/31</f>
        <v>5</v>
      </c>
      <c r="CU99" s="15" t="n">
        <v>107</v>
      </c>
      <c r="CV99" s="16" t="n">
        <f aca="false">CU99/30</f>
        <v>3.56666666666667</v>
      </c>
      <c r="CW99" s="15" t="n">
        <v>140</v>
      </c>
      <c r="CX99" s="16" t="n">
        <f aca="false">CW99/31</f>
        <v>4.51612903225807</v>
      </c>
      <c r="CY99" s="15" t="n">
        <v>123</v>
      </c>
      <c r="CZ99" s="16" t="n">
        <f aca="false">CY99/30</f>
        <v>4.1</v>
      </c>
      <c r="DA99" s="15" t="n">
        <v>181</v>
      </c>
      <c r="DB99" s="16" t="n">
        <f aca="false">DA99/31</f>
        <v>5.83870967741936</v>
      </c>
      <c r="DC99" s="17" t="n">
        <f aca="false">SUM(CE99:DA99)</f>
        <v>2030.80514592934</v>
      </c>
      <c r="DD99" s="18" t="n">
        <f aca="false">IFERROR(STDEV(CF99,CH99,CJ99,CL99,CN99,CP99,CR99,CT99,CV99,CX99,CZ99,DB99),0)</f>
        <v>1.34457890955036</v>
      </c>
      <c r="DE99" s="15" t="n">
        <v>149</v>
      </c>
      <c r="DF99" s="16" t="n">
        <f aca="false">DE99/31</f>
        <v>4.80645161290323</v>
      </c>
      <c r="DG99" s="15" t="n">
        <v>196</v>
      </c>
      <c r="DH99" s="16" t="n">
        <f aca="false">DG99/28</f>
        <v>7</v>
      </c>
      <c r="DI99" s="15" t="n">
        <v>266</v>
      </c>
      <c r="DJ99" s="16" t="n">
        <f aca="false">DI99/31</f>
        <v>8.58064516129032</v>
      </c>
      <c r="DK99" s="15" t="n">
        <v>227</v>
      </c>
      <c r="DL99" s="16" t="n">
        <f aca="false">DK99/30</f>
        <v>7.56666666666667</v>
      </c>
      <c r="DM99" s="15" t="n">
        <v>171</v>
      </c>
      <c r="DN99" s="16" t="n">
        <f aca="false">DM99/31</f>
        <v>5.51612903225807</v>
      </c>
      <c r="DO99" s="15" t="n">
        <v>268</v>
      </c>
      <c r="DP99" s="16" t="n">
        <f aca="false">DO99/30</f>
        <v>8.93333333333333</v>
      </c>
      <c r="DQ99" s="15" t="n">
        <v>248</v>
      </c>
      <c r="DR99" s="16" t="n">
        <f aca="false">DQ99/31</f>
        <v>8</v>
      </c>
      <c r="DS99" s="15" t="n">
        <v>181</v>
      </c>
      <c r="DT99" s="16" t="n">
        <f aca="false">DS99/31</f>
        <v>5.83870967741936</v>
      </c>
      <c r="DU99" s="15" t="n">
        <v>166</v>
      </c>
      <c r="DV99" s="16" t="n">
        <f aca="false">DU99/30</f>
        <v>5.53333333333333</v>
      </c>
      <c r="DW99" s="15" t="n">
        <v>273</v>
      </c>
      <c r="DX99" s="16" t="n">
        <f aca="false">DW99/31</f>
        <v>8.80645161290323</v>
      </c>
      <c r="DY99" s="15" t="n">
        <v>253</v>
      </c>
      <c r="DZ99" s="16" t="n">
        <f aca="false">DY99/30</f>
        <v>8.43333333333333</v>
      </c>
      <c r="EA99" s="15" t="n">
        <v>303</v>
      </c>
      <c r="EB99" s="16" t="n">
        <f aca="false">EA99/31</f>
        <v>9.7741935483871</v>
      </c>
      <c r="EC99" s="17" t="n">
        <f aca="false">SUM(DE99:EA99)</f>
        <v>2780.01505376344</v>
      </c>
      <c r="ED99" s="18" t="n">
        <f aca="false">IFERROR(STDEV(DF99,DH99,DJ99,DL99,DN99,DP99,DR99,DT99,DV99,DX99,DZ99,EB99),0)</f>
        <v>1.62852460132428</v>
      </c>
      <c r="EE99" s="19" t="n">
        <f aca="false">STDEV(F99:AB99,AF99:BB99,BF99:CB99,CF99:DB99,DF99:EB99)</f>
        <v>95.8849170478154</v>
      </c>
    </row>
    <row r="100" customFormat="false" ht="15" hidden="false" customHeight="true" outlineLevel="0" collapsed="false">
      <c r="A100" s="11" t="n">
        <v>95</v>
      </c>
      <c r="B100" s="12" t="s">
        <v>224</v>
      </c>
      <c r="C100" s="13" t="s">
        <v>225</v>
      </c>
      <c r="D100" s="14" t="s">
        <v>36</v>
      </c>
      <c r="E100" s="15" t="n">
        <v>1759</v>
      </c>
      <c r="F100" s="16" t="n">
        <f aca="false">E100/31</f>
        <v>56.741935483871</v>
      </c>
      <c r="G100" s="15" t="n">
        <v>1331</v>
      </c>
      <c r="H100" s="16" t="n">
        <f aca="false">G100/28</f>
        <v>47.5357142857143</v>
      </c>
      <c r="I100" s="15" t="n">
        <v>2040</v>
      </c>
      <c r="J100" s="16" t="n">
        <f aca="false">I100/31</f>
        <v>65.8064516129032</v>
      </c>
      <c r="K100" s="15" t="n">
        <v>1140</v>
      </c>
      <c r="L100" s="16" t="n">
        <f aca="false">K100/30</f>
        <v>38</v>
      </c>
      <c r="M100" s="15" t="n">
        <v>2004</v>
      </c>
      <c r="N100" s="16" t="n">
        <f aca="false">M100/31</f>
        <v>64.6451612903226</v>
      </c>
      <c r="O100" s="15" t="n">
        <v>1487</v>
      </c>
      <c r="P100" s="16" t="n">
        <f aca="false">O100/30</f>
        <v>49.5666666666667</v>
      </c>
      <c r="Q100" s="15" t="n">
        <v>1702</v>
      </c>
      <c r="R100" s="16" t="n">
        <f aca="false">Q100/31</f>
        <v>54.9032258064516</v>
      </c>
      <c r="S100" s="15" t="n">
        <v>1558</v>
      </c>
      <c r="T100" s="16" t="n">
        <f aca="false">S100/31</f>
        <v>50.258064516129</v>
      </c>
      <c r="U100" s="15" t="n">
        <v>2234</v>
      </c>
      <c r="V100" s="16" t="n">
        <f aca="false">U100/30</f>
        <v>74.4666666666667</v>
      </c>
      <c r="W100" s="15" t="n">
        <v>2167</v>
      </c>
      <c r="X100" s="16" t="n">
        <f aca="false">W100/31</f>
        <v>69.9032258064516</v>
      </c>
      <c r="Y100" s="15" t="n">
        <v>1140</v>
      </c>
      <c r="Z100" s="16" t="n">
        <f aca="false">Y100/30</f>
        <v>38</v>
      </c>
      <c r="AA100" s="15" t="n">
        <v>2141</v>
      </c>
      <c r="AB100" s="16" t="n">
        <f aca="false">AA100/31</f>
        <v>69.0645161290323</v>
      </c>
      <c r="AC100" s="17" t="n">
        <f aca="false">SUM(E100:AA100)</f>
        <v>21312.8271121352</v>
      </c>
      <c r="AD100" s="18" t="n">
        <f aca="false">IFERROR(STDEV(F100,H100,J100,L100,N100,P100,R100,T100,V100,X100,Z100,AB100),0)</f>
        <v>12.3129702174795</v>
      </c>
      <c r="AE100" s="15" t="n">
        <v>2073</v>
      </c>
      <c r="AF100" s="16" t="n">
        <f aca="false">AE100/31</f>
        <v>66.8709677419355</v>
      </c>
      <c r="AG100" s="15" t="n">
        <v>1146</v>
      </c>
      <c r="AH100" s="16" t="n">
        <f aca="false">AG100/28</f>
        <v>40.9285714285714</v>
      </c>
      <c r="AI100" s="15" t="n">
        <v>1901</v>
      </c>
      <c r="AJ100" s="16" t="n">
        <f aca="false">AI100/31</f>
        <v>61.3225806451613</v>
      </c>
      <c r="AK100" s="15" t="n">
        <v>1529</v>
      </c>
      <c r="AL100" s="16" t="n">
        <f aca="false">AK100/30</f>
        <v>50.9666666666667</v>
      </c>
      <c r="AM100" s="15" t="n">
        <v>1072</v>
      </c>
      <c r="AN100" s="16" t="n">
        <f aca="false">AM100/31</f>
        <v>34.5806451612903</v>
      </c>
      <c r="AO100" s="15" t="n">
        <v>2036</v>
      </c>
      <c r="AP100" s="16" t="n">
        <f aca="false">AO100/30</f>
        <v>67.8666666666667</v>
      </c>
      <c r="AQ100" s="15" t="n">
        <v>1821</v>
      </c>
      <c r="AR100" s="16" t="n">
        <f aca="false">AQ100/31</f>
        <v>58.741935483871</v>
      </c>
      <c r="AS100" s="15" t="n">
        <v>1662</v>
      </c>
      <c r="AT100" s="16" t="n">
        <f aca="false">AS100/31</f>
        <v>53.6129032258065</v>
      </c>
      <c r="AU100" s="15" t="n">
        <v>1332</v>
      </c>
      <c r="AV100" s="16" t="n">
        <f aca="false">AU100/30</f>
        <v>44.4</v>
      </c>
      <c r="AW100" s="15" t="n">
        <v>1174</v>
      </c>
      <c r="AX100" s="16" t="n">
        <f aca="false">AW100/31</f>
        <v>37.8709677419355</v>
      </c>
      <c r="AY100" s="15" t="n">
        <v>1766</v>
      </c>
      <c r="AZ100" s="16" t="n">
        <f aca="false">AY100/30</f>
        <v>58.8666666666667</v>
      </c>
      <c r="BA100" s="15" t="n">
        <v>1331</v>
      </c>
      <c r="BB100" s="16" t="n">
        <f aca="false">BA100/31</f>
        <v>42.9354838709677</v>
      </c>
      <c r="BC100" s="17" t="n">
        <f aca="false">SUM(AE100:BA100)</f>
        <v>19419.0285714286</v>
      </c>
      <c r="BD100" s="18" t="n">
        <f aca="false">IFERROR(STDEV(AF100,AH100,AJ100,AL100,AN100,AP100,AR100,AT100,AV100,AX100,AZ100,BB100),0)</f>
        <v>11.3599512092619</v>
      </c>
      <c r="BE100" s="15" t="n">
        <v>1888</v>
      </c>
      <c r="BF100" s="16" t="n">
        <f aca="false">BE100/31</f>
        <v>60.9032258064516</v>
      </c>
      <c r="BG100" s="15" t="n">
        <v>1329</v>
      </c>
      <c r="BH100" s="16" t="n">
        <f aca="false">BG100/28</f>
        <v>47.4642857142857</v>
      </c>
      <c r="BI100" s="15" t="n">
        <v>1047</v>
      </c>
      <c r="BJ100" s="16" t="n">
        <f aca="false">BI100/31</f>
        <v>33.7741935483871</v>
      </c>
      <c r="BK100" s="15" t="n">
        <v>1837</v>
      </c>
      <c r="BL100" s="16" t="n">
        <f aca="false">BK100/30</f>
        <v>61.2333333333333</v>
      </c>
      <c r="BM100" s="15" t="n">
        <v>2000</v>
      </c>
      <c r="BN100" s="16" t="n">
        <f aca="false">BM100/31</f>
        <v>64.5161290322581</v>
      </c>
      <c r="BO100" s="15" t="n">
        <v>1390</v>
      </c>
      <c r="BP100" s="16" t="n">
        <f aca="false">BO100/30</f>
        <v>46.3333333333333</v>
      </c>
      <c r="BQ100" s="15" t="n">
        <v>1198</v>
      </c>
      <c r="BR100" s="16" t="n">
        <f aca="false">BQ100/31</f>
        <v>38.6451612903226</v>
      </c>
      <c r="BS100" s="15" t="n">
        <v>1507</v>
      </c>
      <c r="BT100" s="16" t="n">
        <f aca="false">BS100/31</f>
        <v>48.6129032258065</v>
      </c>
      <c r="BU100" s="15" t="n">
        <v>1524</v>
      </c>
      <c r="BV100" s="16" t="n">
        <f aca="false">BU100/30</f>
        <v>50.8</v>
      </c>
      <c r="BW100" s="15" t="n">
        <v>2025</v>
      </c>
      <c r="BX100" s="16" t="n">
        <f aca="false">BW100/31</f>
        <v>65.3225806451613</v>
      </c>
      <c r="BY100" s="15" t="n">
        <v>1105</v>
      </c>
      <c r="BZ100" s="16" t="n">
        <f aca="false">BY100/30</f>
        <v>36.8333333333333</v>
      </c>
      <c r="CA100" s="15" t="n">
        <v>2072</v>
      </c>
      <c r="CB100" s="16" t="n">
        <f aca="false">CA100/31</f>
        <v>66.8387096774194</v>
      </c>
      <c r="CC100" s="17" t="n">
        <f aca="false">SUM(BE100:CA100)</f>
        <v>19476.4384792627</v>
      </c>
      <c r="CD100" s="18" t="n">
        <f aca="false">IFERROR(STDEV(BF100,BH100,BJ100,BL100,BN100,BP100,BR100,BT100,BV100,BX100,BZ100,CB100),0)</f>
        <v>11.7720461149486</v>
      </c>
      <c r="CE100" s="15" t="n">
        <v>1684</v>
      </c>
      <c r="CF100" s="16" t="n">
        <f aca="false">CE100/31</f>
        <v>54.3225806451613</v>
      </c>
      <c r="CG100" s="15" t="n">
        <v>1589</v>
      </c>
      <c r="CH100" s="16" t="n">
        <f aca="false">CG100/28</f>
        <v>56.75</v>
      </c>
      <c r="CI100" s="15" t="n">
        <v>1239</v>
      </c>
      <c r="CJ100" s="16" t="n">
        <f aca="false">CI100/31</f>
        <v>39.9677419354839</v>
      </c>
      <c r="CK100" s="15" t="n">
        <v>2054</v>
      </c>
      <c r="CL100" s="16" t="n">
        <f aca="false">CK100/30</f>
        <v>68.4666666666667</v>
      </c>
      <c r="CM100" s="15" t="n">
        <v>1931</v>
      </c>
      <c r="CN100" s="16" t="n">
        <f aca="false">CM100/31</f>
        <v>62.2903225806452</v>
      </c>
      <c r="CO100" s="15" t="n">
        <v>2411</v>
      </c>
      <c r="CP100" s="16" t="n">
        <f aca="false">CO100/30</f>
        <v>80.3666666666667</v>
      </c>
      <c r="CQ100" s="15" t="n">
        <v>1331</v>
      </c>
      <c r="CR100" s="16" t="n">
        <f aca="false">CQ100/31</f>
        <v>42.9354838709677</v>
      </c>
      <c r="CS100" s="15" t="n">
        <v>1226</v>
      </c>
      <c r="CT100" s="16" t="n">
        <f aca="false">CS100/31</f>
        <v>39.5483870967742</v>
      </c>
      <c r="CU100" s="15" t="n">
        <v>2015</v>
      </c>
      <c r="CV100" s="16" t="n">
        <f aca="false">CU100/30</f>
        <v>67.1666666666667</v>
      </c>
      <c r="CW100" s="15" t="n">
        <v>1131</v>
      </c>
      <c r="CX100" s="16" t="n">
        <f aca="false">CW100/31</f>
        <v>36.4838709677419</v>
      </c>
      <c r="CY100" s="15" t="n">
        <v>1239</v>
      </c>
      <c r="CZ100" s="16" t="n">
        <f aca="false">CY100/30</f>
        <v>41.3</v>
      </c>
      <c r="DA100" s="15" t="n">
        <v>2238</v>
      </c>
      <c r="DB100" s="16" t="n">
        <f aca="false">DA100/31</f>
        <v>72.1935483870968</v>
      </c>
      <c r="DC100" s="17" t="n">
        <f aca="false">SUM(CE100:DA100)</f>
        <v>20677.5983870968</v>
      </c>
      <c r="DD100" s="18" t="n">
        <f aca="false">IFERROR(STDEV(CF100,CH100,CJ100,CL100,CN100,CP100,CR100,CT100,CV100,CX100,CZ100,DB100),0)</f>
        <v>14.9717251530697</v>
      </c>
      <c r="DE100" s="15" t="n">
        <v>1743</v>
      </c>
      <c r="DF100" s="16" t="n">
        <f aca="false">DE100/31</f>
        <v>56.2258064516129</v>
      </c>
      <c r="DG100" s="15" t="n">
        <v>1328</v>
      </c>
      <c r="DH100" s="16" t="n">
        <f aca="false">DG100/28</f>
        <v>47.4285714285714</v>
      </c>
      <c r="DI100" s="15" t="n">
        <v>1577</v>
      </c>
      <c r="DJ100" s="16" t="n">
        <f aca="false">DI100/31</f>
        <v>50.8709677419355</v>
      </c>
      <c r="DK100" s="15" t="n">
        <v>2360</v>
      </c>
      <c r="DL100" s="16" t="n">
        <f aca="false">DK100/30</f>
        <v>78.6666666666667</v>
      </c>
      <c r="DM100" s="15" t="n">
        <v>1952</v>
      </c>
      <c r="DN100" s="16" t="n">
        <f aca="false">DM100/31</f>
        <v>62.9677419354839</v>
      </c>
      <c r="DO100" s="15" t="n">
        <v>2220</v>
      </c>
      <c r="DP100" s="16" t="n">
        <f aca="false">DO100/30</f>
        <v>74</v>
      </c>
      <c r="DQ100" s="15" t="n">
        <v>2002</v>
      </c>
      <c r="DR100" s="16" t="n">
        <f aca="false">DQ100/31</f>
        <v>64.5806451612903</v>
      </c>
      <c r="DS100" s="15" t="n">
        <v>1963</v>
      </c>
      <c r="DT100" s="16" t="n">
        <f aca="false">DS100/31</f>
        <v>63.3225806451613</v>
      </c>
      <c r="DU100" s="15" t="n">
        <v>1327</v>
      </c>
      <c r="DV100" s="16" t="n">
        <f aca="false">DU100/30</f>
        <v>44.2333333333333</v>
      </c>
      <c r="DW100" s="15" t="n">
        <v>2481</v>
      </c>
      <c r="DX100" s="16" t="n">
        <f aca="false">DW100/31</f>
        <v>80.0322580645161</v>
      </c>
      <c r="DY100" s="15" t="n">
        <v>2315</v>
      </c>
      <c r="DZ100" s="16" t="n">
        <f aca="false">DY100/30</f>
        <v>77.1666666666667</v>
      </c>
      <c r="EA100" s="15" t="n">
        <v>1206</v>
      </c>
      <c r="EB100" s="16" t="n">
        <f aca="false">EA100/31</f>
        <v>38.9032258064516</v>
      </c>
      <c r="EC100" s="17" t="n">
        <f aca="false">SUM(DE100:EA100)</f>
        <v>23173.4952380952</v>
      </c>
      <c r="ED100" s="18" t="n">
        <f aca="false">IFERROR(STDEV(DF100,DH100,DJ100,DL100,DN100,DP100,DR100,DT100,DV100,DX100,DZ100,EB100),0)</f>
        <v>14.1496457265127</v>
      </c>
      <c r="EE100" s="19" t="n">
        <f aca="false">STDEV(F100:AB100,AF100:BB100,BF100:CB100,CF100:DB100,DF100:EB100)</f>
        <v>860.21699441291</v>
      </c>
    </row>
    <row r="101" customFormat="false" ht="15" hidden="false" customHeight="true" outlineLevel="0" collapsed="false">
      <c r="A101" s="11" t="n">
        <v>96</v>
      </c>
      <c r="B101" s="12" t="s">
        <v>226</v>
      </c>
      <c r="C101" s="13" t="s">
        <v>227</v>
      </c>
      <c r="D101" s="14" t="s">
        <v>36</v>
      </c>
      <c r="E101" s="15" t="n">
        <v>3886</v>
      </c>
      <c r="F101" s="16" t="n">
        <f aca="false">E101/31</f>
        <v>125.354838709677</v>
      </c>
      <c r="G101" s="15" t="n">
        <v>2996</v>
      </c>
      <c r="H101" s="16" t="n">
        <f aca="false">G101/28</f>
        <v>107</v>
      </c>
      <c r="I101" s="15" t="n">
        <v>4221</v>
      </c>
      <c r="J101" s="16" t="n">
        <f aca="false">I101/31</f>
        <v>136.161290322581</v>
      </c>
      <c r="K101" s="15" t="n">
        <v>3244</v>
      </c>
      <c r="L101" s="16" t="n">
        <f aca="false">K101/30</f>
        <v>108.133333333333</v>
      </c>
      <c r="M101" s="15" t="n">
        <v>3837</v>
      </c>
      <c r="N101" s="16" t="n">
        <f aca="false">M101/31</f>
        <v>123.774193548387</v>
      </c>
      <c r="O101" s="15" t="n">
        <v>2488</v>
      </c>
      <c r="P101" s="16" t="n">
        <f aca="false">O101/30</f>
        <v>82.9333333333333</v>
      </c>
      <c r="Q101" s="15" t="n">
        <v>3579</v>
      </c>
      <c r="R101" s="16" t="n">
        <f aca="false">Q101/31</f>
        <v>115.451612903226</v>
      </c>
      <c r="S101" s="15" t="n">
        <v>3594</v>
      </c>
      <c r="T101" s="16" t="n">
        <f aca="false">S101/31</f>
        <v>115.935483870968</v>
      </c>
      <c r="U101" s="15" t="n">
        <v>2410</v>
      </c>
      <c r="V101" s="16" t="n">
        <f aca="false">U101/30</f>
        <v>80.3333333333333</v>
      </c>
      <c r="W101" s="15" t="n">
        <v>2605</v>
      </c>
      <c r="X101" s="16" t="n">
        <f aca="false">W101/31</f>
        <v>84.0322580645161</v>
      </c>
      <c r="Y101" s="15" t="n">
        <v>3215</v>
      </c>
      <c r="Z101" s="16" t="n">
        <f aca="false">Y101/30</f>
        <v>107.166666666667</v>
      </c>
      <c r="AA101" s="15" t="n">
        <v>3970</v>
      </c>
      <c r="AB101" s="16" t="n">
        <f aca="false">AA101/31</f>
        <v>128.064516129032</v>
      </c>
      <c r="AC101" s="17" t="n">
        <f aca="false">SUM(E101:AA101)</f>
        <v>41231.276344086</v>
      </c>
      <c r="AD101" s="18" t="n">
        <f aca="false">IFERROR(STDEV(F101,H101,J101,L101,N101,P101,R101,T101,V101,X101,Z101,AB101),0)</f>
        <v>18.6012510897334</v>
      </c>
      <c r="AE101" s="15" t="n">
        <v>3168</v>
      </c>
      <c r="AF101" s="16" t="n">
        <f aca="false">AE101/31</f>
        <v>102.193548387097</v>
      </c>
      <c r="AG101" s="15" t="n">
        <v>2122</v>
      </c>
      <c r="AH101" s="16" t="n">
        <f aca="false">AG101/28</f>
        <v>75.7857142857143</v>
      </c>
      <c r="AI101" s="15" t="n">
        <v>3125</v>
      </c>
      <c r="AJ101" s="16" t="n">
        <f aca="false">AI101/31</f>
        <v>100.806451612903</v>
      </c>
      <c r="AK101" s="15" t="n">
        <v>1783</v>
      </c>
      <c r="AL101" s="16" t="n">
        <f aca="false">AK101/30</f>
        <v>59.4333333333333</v>
      </c>
      <c r="AM101" s="15" t="n">
        <v>4084</v>
      </c>
      <c r="AN101" s="16" t="n">
        <f aca="false">AM101/31</f>
        <v>131.741935483871</v>
      </c>
      <c r="AO101" s="15" t="n">
        <v>1865</v>
      </c>
      <c r="AP101" s="16" t="n">
        <f aca="false">AO101/30</f>
        <v>62.1666666666667</v>
      </c>
      <c r="AQ101" s="15" t="n">
        <v>2882</v>
      </c>
      <c r="AR101" s="16" t="n">
        <f aca="false">AQ101/31</f>
        <v>92.9677419354839</v>
      </c>
      <c r="AS101" s="15" t="n">
        <v>3585</v>
      </c>
      <c r="AT101" s="16" t="n">
        <f aca="false">AS101/31</f>
        <v>115.645161290323</v>
      </c>
      <c r="AU101" s="15" t="n">
        <v>1850</v>
      </c>
      <c r="AV101" s="16" t="n">
        <f aca="false">AU101/30</f>
        <v>61.6666666666667</v>
      </c>
      <c r="AW101" s="15" t="n">
        <v>3024</v>
      </c>
      <c r="AX101" s="16" t="n">
        <f aca="false">AW101/31</f>
        <v>97.5483870967742</v>
      </c>
      <c r="AY101" s="15" t="n">
        <v>2902</v>
      </c>
      <c r="AZ101" s="16" t="n">
        <f aca="false">AY101/30</f>
        <v>96.7333333333333</v>
      </c>
      <c r="BA101" s="15" t="n">
        <v>3654</v>
      </c>
      <c r="BB101" s="16" t="n">
        <f aca="false">BA101/31</f>
        <v>117.870967741935</v>
      </c>
      <c r="BC101" s="17" t="n">
        <f aca="false">SUM(AE101:BA101)</f>
        <v>35040.6889400922</v>
      </c>
      <c r="BD101" s="18" t="n">
        <f aca="false">IFERROR(STDEV(AF101,AH101,AJ101,AL101,AN101,AP101,AR101,AT101,AV101,AX101,AZ101,BB101),0)</f>
        <v>23.6791944301331</v>
      </c>
      <c r="BE101" s="15" t="n">
        <v>4280</v>
      </c>
      <c r="BF101" s="16" t="n">
        <f aca="false">BE101/31</f>
        <v>138.064516129032</v>
      </c>
      <c r="BG101" s="15" t="n">
        <v>3275</v>
      </c>
      <c r="BH101" s="16" t="n">
        <f aca="false">BG101/28</f>
        <v>116.964285714286</v>
      </c>
      <c r="BI101" s="15" t="n">
        <v>2698</v>
      </c>
      <c r="BJ101" s="16" t="n">
        <f aca="false">BI101/31</f>
        <v>87.0322580645161</v>
      </c>
      <c r="BK101" s="15" t="n">
        <v>3564</v>
      </c>
      <c r="BL101" s="16" t="n">
        <f aca="false">BK101/30</f>
        <v>118.8</v>
      </c>
      <c r="BM101" s="15" t="n">
        <v>2077</v>
      </c>
      <c r="BN101" s="16" t="n">
        <f aca="false">BM101/31</f>
        <v>67</v>
      </c>
      <c r="BO101" s="15" t="n">
        <v>4036</v>
      </c>
      <c r="BP101" s="16" t="n">
        <f aca="false">BO101/30</f>
        <v>134.533333333333</v>
      </c>
      <c r="BQ101" s="15" t="n">
        <v>4630</v>
      </c>
      <c r="BR101" s="16" t="n">
        <f aca="false">BQ101/31</f>
        <v>149.354838709677</v>
      </c>
      <c r="BS101" s="15" t="n">
        <v>2404</v>
      </c>
      <c r="BT101" s="16" t="n">
        <f aca="false">BS101/31</f>
        <v>77.5483870967742</v>
      </c>
      <c r="BU101" s="15" t="n">
        <v>2848</v>
      </c>
      <c r="BV101" s="16" t="n">
        <f aca="false">BU101/30</f>
        <v>94.9333333333333</v>
      </c>
      <c r="BW101" s="15" t="n">
        <v>3807</v>
      </c>
      <c r="BX101" s="16" t="n">
        <f aca="false">BW101/31</f>
        <v>122.806451612903</v>
      </c>
      <c r="BY101" s="15" t="n">
        <v>2290</v>
      </c>
      <c r="BZ101" s="16" t="n">
        <f aca="false">BY101/30</f>
        <v>76.3333333333333</v>
      </c>
      <c r="CA101" s="15" t="n">
        <v>3349</v>
      </c>
      <c r="CB101" s="16" t="n">
        <f aca="false">CA101/31</f>
        <v>108.032258064516</v>
      </c>
      <c r="CC101" s="17" t="n">
        <f aca="false">SUM(BE101:CA101)</f>
        <v>40441.3707373272</v>
      </c>
      <c r="CD101" s="18" t="n">
        <f aca="false">IFERROR(STDEV(BF101,BH101,BJ101,BL101,BN101,BP101,BR101,BT101,BV101,BX101,BZ101,CB101),0)</f>
        <v>26.8904300467519</v>
      </c>
      <c r="CE101" s="15" t="n">
        <v>2107</v>
      </c>
      <c r="CF101" s="16" t="n">
        <f aca="false">CE101/31</f>
        <v>67.9677419354839</v>
      </c>
      <c r="CG101" s="15" t="n">
        <v>2903</v>
      </c>
      <c r="CH101" s="16" t="n">
        <f aca="false">CG101/28</f>
        <v>103.678571428571</v>
      </c>
      <c r="CI101" s="15" t="n">
        <v>3212</v>
      </c>
      <c r="CJ101" s="16" t="n">
        <f aca="false">CI101/31</f>
        <v>103.612903225806</v>
      </c>
      <c r="CK101" s="15" t="n">
        <v>2991</v>
      </c>
      <c r="CL101" s="16" t="n">
        <f aca="false">CK101/30</f>
        <v>99.7</v>
      </c>
      <c r="CM101" s="15" t="n">
        <v>1547</v>
      </c>
      <c r="CN101" s="16" t="n">
        <f aca="false">CM101/31</f>
        <v>49.9032258064516</v>
      </c>
      <c r="CO101" s="15" t="n">
        <v>2407</v>
      </c>
      <c r="CP101" s="16" t="n">
        <f aca="false">CO101/30</f>
        <v>80.2333333333333</v>
      </c>
      <c r="CQ101" s="15" t="n">
        <v>3040</v>
      </c>
      <c r="CR101" s="16" t="n">
        <f aca="false">CQ101/31</f>
        <v>98.0645161290323</v>
      </c>
      <c r="CS101" s="15" t="n">
        <v>3244</v>
      </c>
      <c r="CT101" s="16" t="n">
        <f aca="false">CS101/31</f>
        <v>104.645161290323</v>
      </c>
      <c r="CU101" s="15" t="n">
        <v>2308</v>
      </c>
      <c r="CV101" s="16" t="n">
        <f aca="false">CU101/30</f>
        <v>76.9333333333333</v>
      </c>
      <c r="CW101" s="15" t="n">
        <v>3076</v>
      </c>
      <c r="CX101" s="16" t="n">
        <f aca="false">CW101/31</f>
        <v>99.2258064516129</v>
      </c>
      <c r="CY101" s="15" t="n">
        <v>2238</v>
      </c>
      <c r="CZ101" s="16" t="n">
        <f aca="false">CY101/30</f>
        <v>74.6</v>
      </c>
      <c r="DA101" s="15" t="n">
        <v>2426</v>
      </c>
      <c r="DB101" s="16" t="n">
        <f aca="false">DA101/31</f>
        <v>78.258064516129</v>
      </c>
      <c r="DC101" s="17" t="n">
        <f aca="false">SUM(CE101:DA101)</f>
        <v>32457.5645929339</v>
      </c>
      <c r="DD101" s="18" t="n">
        <f aca="false">IFERROR(STDEV(CF101,CH101,CJ101,CL101,CN101,CP101,CR101,CT101,CV101,CX101,CZ101,DB101),0)</f>
        <v>17.6071021732519</v>
      </c>
      <c r="DE101" s="15" t="n">
        <v>3467</v>
      </c>
      <c r="DF101" s="16" t="n">
        <f aca="false">DE101/31</f>
        <v>111.838709677419</v>
      </c>
      <c r="DG101" s="15" t="n">
        <v>4036</v>
      </c>
      <c r="DH101" s="16" t="n">
        <f aca="false">DG101/28</f>
        <v>144.142857142857</v>
      </c>
      <c r="DI101" s="15" t="n">
        <v>2057</v>
      </c>
      <c r="DJ101" s="16" t="n">
        <f aca="false">DI101/31</f>
        <v>66.3548387096774</v>
      </c>
      <c r="DK101" s="15" t="n">
        <v>4119</v>
      </c>
      <c r="DL101" s="16" t="n">
        <f aca="false">DK101/30</f>
        <v>137.3</v>
      </c>
      <c r="DM101" s="15" t="n">
        <v>2714</v>
      </c>
      <c r="DN101" s="16" t="n">
        <f aca="false">DM101/31</f>
        <v>87.5483870967742</v>
      </c>
      <c r="DO101" s="15" t="n">
        <v>1962</v>
      </c>
      <c r="DP101" s="16" t="n">
        <f aca="false">DO101/30</f>
        <v>65.4</v>
      </c>
      <c r="DQ101" s="15" t="n">
        <v>2947</v>
      </c>
      <c r="DR101" s="16" t="n">
        <f aca="false">DQ101/31</f>
        <v>95.0645161290323</v>
      </c>
      <c r="DS101" s="15" t="n">
        <v>2556</v>
      </c>
      <c r="DT101" s="16" t="n">
        <f aca="false">DS101/31</f>
        <v>82.4516129032258</v>
      </c>
      <c r="DU101" s="15" t="n">
        <v>4251</v>
      </c>
      <c r="DV101" s="16" t="n">
        <f aca="false">DU101/30</f>
        <v>141.7</v>
      </c>
      <c r="DW101" s="15" t="n">
        <v>3239</v>
      </c>
      <c r="DX101" s="16" t="n">
        <f aca="false">DW101/31</f>
        <v>104.483870967742</v>
      </c>
      <c r="DY101" s="15" t="n">
        <v>3871</v>
      </c>
      <c r="DZ101" s="16" t="n">
        <f aca="false">DY101/30</f>
        <v>129.033333333333</v>
      </c>
      <c r="EA101" s="15" t="n">
        <v>3854</v>
      </c>
      <c r="EB101" s="16" t="n">
        <f aca="false">EA101/31</f>
        <v>124.322580645161</v>
      </c>
      <c r="EC101" s="17" t="n">
        <f aca="false">SUM(DE101:EA101)</f>
        <v>40238.3181259601</v>
      </c>
      <c r="ED101" s="18" t="n">
        <f aca="false">IFERROR(STDEV(DF101,DH101,DJ101,DL101,DN101,DP101,DR101,DT101,DV101,DX101,DZ101,EB101),0)</f>
        <v>28.3170963975345</v>
      </c>
      <c r="EE101" s="19" t="n">
        <f aca="false">STDEV(F101:AB101,AF101:BB101,BF101:CB101,CF101:DB101,DF101:EB101)</f>
        <v>1559.36425067912</v>
      </c>
    </row>
    <row r="102" customFormat="false" ht="15" hidden="false" customHeight="true" outlineLevel="0" collapsed="false">
      <c r="A102" s="11" t="n">
        <v>97</v>
      </c>
      <c r="B102" s="12" t="s">
        <v>228</v>
      </c>
      <c r="C102" s="13" t="s">
        <v>229</v>
      </c>
      <c r="D102" s="14" t="s">
        <v>36</v>
      </c>
      <c r="E102" s="15" t="n">
        <v>1228</v>
      </c>
      <c r="F102" s="16" t="n">
        <f aca="false">E102/31</f>
        <v>39.6129032258065</v>
      </c>
      <c r="G102" s="15" t="n">
        <v>2410</v>
      </c>
      <c r="H102" s="16" t="n">
        <f aca="false">G102/28</f>
        <v>86.0714285714286</v>
      </c>
      <c r="I102" s="15" t="n">
        <v>2195</v>
      </c>
      <c r="J102" s="16" t="n">
        <f aca="false">I102/31</f>
        <v>70.8064516129032</v>
      </c>
      <c r="K102" s="15" t="n">
        <v>1189</v>
      </c>
      <c r="L102" s="16" t="n">
        <f aca="false">K102/30</f>
        <v>39.6333333333333</v>
      </c>
      <c r="M102" s="15" t="n">
        <v>2505</v>
      </c>
      <c r="N102" s="16" t="n">
        <f aca="false">M102/31</f>
        <v>80.8064516129032</v>
      </c>
      <c r="O102" s="15" t="n">
        <v>2105</v>
      </c>
      <c r="P102" s="16" t="n">
        <f aca="false">O102/30</f>
        <v>70.1666666666667</v>
      </c>
      <c r="Q102" s="15" t="n">
        <v>2420</v>
      </c>
      <c r="R102" s="16" t="n">
        <f aca="false">Q102/31</f>
        <v>78.0645161290323</v>
      </c>
      <c r="S102" s="15" t="n">
        <v>1272</v>
      </c>
      <c r="T102" s="16" t="n">
        <f aca="false">S102/31</f>
        <v>41.0322580645161</v>
      </c>
      <c r="U102" s="15" t="n">
        <v>1649</v>
      </c>
      <c r="V102" s="16" t="n">
        <f aca="false">U102/30</f>
        <v>54.9666666666667</v>
      </c>
      <c r="W102" s="15" t="n">
        <v>2023</v>
      </c>
      <c r="X102" s="16" t="n">
        <f aca="false">W102/31</f>
        <v>65.258064516129</v>
      </c>
      <c r="Y102" s="15" t="n">
        <v>1648</v>
      </c>
      <c r="Z102" s="16" t="n">
        <f aca="false">Y102/30</f>
        <v>54.9333333333333</v>
      </c>
      <c r="AA102" s="15" t="n">
        <v>1367</v>
      </c>
      <c r="AB102" s="16" t="n">
        <f aca="false">AA102/31</f>
        <v>44.0967741935484</v>
      </c>
      <c r="AC102" s="17" t="n">
        <f aca="false">SUM(E102:AA102)</f>
        <v>22692.3520737327</v>
      </c>
      <c r="AD102" s="18" t="n">
        <f aca="false">IFERROR(STDEV(F102,H102,J102,L102,N102,P102,R102,T102,V102,X102,Z102,AB102),0)</f>
        <v>16.9983858972559</v>
      </c>
      <c r="AE102" s="15" t="n">
        <v>2435</v>
      </c>
      <c r="AF102" s="16" t="n">
        <f aca="false">AE102/31</f>
        <v>78.5483870967742</v>
      </c>
      <c r="AG102" s="15" t="n">
        <v>1520</v>
      </c>
      <c r="AH102" s="16" t="n">
        <f aca="false">AG102/28</f>
        <v>54.2857142857143</v>
      </c>
      <c r="AI102" s="15" t="n">
        <v>2715</v>
      </c>
      <c r="AJ102" s="16" t="n">
        <f aca="false">AI102/31</f>
        <v>87.5806451612903</v>
      </c>
      <c r="AK102" s="15" t="n">
        <v>1776</v>
      </c>
      <c r="AL102" s="16" t="n">
        <f aca="false">AK102/30</f>
        <v>59.2</v>
      </c>
      <c r="AM102" s="15" t="n">
        <v>3221</v>
      </c>
      <c r="AN102" s="16" t="n">
        <f aca="false">AM102/31</f>
        <v>103.903225806452</v>
      </c>
      <c r="AO102" s="15" t="n">
        <v>1839</v>
      </c>
      <c r="AP102" s="16" t="n">
        <f aca="false">AO102/30</f>
        <v>61.3</v>
      </c>
      <c r="AQ102" s="15" t="n">
        <v>1606</v>
      </c>
      <c r="AR102" s="16" t="n">
        <f aca="false">AQ102/31</f>
        <v>51.8064516129032</v>
      </c>
      <c r="AS102" s="15" t="n">
        <v>2285</v>
      </c>
      <c r="AT102" s="16" t="n">
        <f aca="false">AS102/31</f>
        <v>73.7096774193548</v>
      </c>
      <c r="AU102" s="15" t="n">
        <v>3142</v>
      </c>
      <c r="AV102" s="16" t="n">
        <f aca="false">AU102/30</f>
        <v>104.733333333333</v>
      </c>
      <c r="AW102" s="15" t="n">
        <v>2474</v>
      </c>
      <c r="AX102" s="16" t="n">
        <f aca="false">AW102/31</f>
        <v>79.8064516129032</v>
      </c>
      <c r="AY102" s="15" t="n">
        <v>3179</v>
      </c>
      <c r="AZ102" s="16" t="n">
        <f aca="false">AY102/30</f>
        <v>105.966666666667</v>
      </c>
      <c r="BA102" s="15" t="n">
        <v>1786</v>
      </c>
      <c r="BB102" s="16" t="n">
        <f aca="false">BA102/31</f>
        <v>57.6129032258065</v>
      </c>
      <c r="BC102" s="17" t="n">
        <f aca="false">SUM(AE102:BA102)</f>
        <v>28838.8405529954</v>
      </c>
      <c r="BD102" s="18" t="n">
        <f aca="false">IFERROR(STDEV(AF102,AH102,AJ102,AL102,AN102,AP102,AR102,AT102,AV102,AX102,AZ102,BB102),0)</f>
        <v>20.3432333188205</v>
      </c>
      <c r="BE102" s="15" t="n">
        <v>2871</v>
      </c>
      <c r="BF102" s="16" t="n">
        <f aca="false">BE102/31</f>
        <v>92.6129032258065</v>
      </c>
      <c r="BG102" s="15" t="n">
        <v>1873</v>
      </c>
      <c r="BH102" s="16" t="n">
        <f aca="false">BG102/28</f>
        <v>66.8928571428571</v>
      </c>
      <c r="BI102" s="15" t="n">
        <v>2117</v>
      </c>
      <c r="BJ102" s="16" t="n">
        <f aca="false">BI102/31</f>
        <v>68.2903225806452</v>
      </c>
      <c r="BK102" s="15" t="n">
        <v>1953</v>
      </c>
      <c r="BL102" s="16" t="n">
        <f aca="false">BK102/30</f>
        <v>65.1</v>
      </c>
      <c r="BM102" s="15" t="n">
        <v>2746</v>
      </c>
      <c r="BN102" s="16" t="n">
        <f aca="false">BM102/31</f>
        <v>88.5806451612903</v>
      </c>
      <c r="BO102" s="15" t="n">
        <v>1972</v>
      </c>
      <c r="BP102" s="16" t="n">
        <f aca="false">BO102/30</f>
        <v>65.7333333333333</v>
      </c>
      <c r="BQ102" s="15" t="n">
        <v>1562</v>
      </c>
      <c r="BR102" s="16" t="n">
        <f aca="false">BQ102/31</f>
        <v>50.3870967741936</v>
      </c>
      <c r="BS102" s="15" t="n">
        <v>2103</v>
      </c>
      <c r="BT102" s="16" t="n">
        <f aca="false">BS102/31</f>
        <v>67.8387096774194</v>
      </c>
      <c r="BU102" s="15" t="n">
        <v>2374</v>
      </c>
      <c r="BV102" s="16" t="n">
        <f aca="false">BU102/30</f>
        <v>79.1333333333333</v>
      </c>
      <c r="BW102" s="15" t="n">
        <v>2451</v>
      </c>
      <c r="BX102" s="16" t="n">
        <f aca="false">BW102/31</f>
        <v>79.0645161290323</v>
      </c>
      <c r="BY102" s="15" t="n">
        <v>1676</v>
      </c>
      <c r="BZ102" s="16" t="n">
        <f aca="false">BY102/30</f>
        <v>55.8666666666667</v>
      </c>
      <c r="CA102" s="15" t="n">
        <v>2803</v>
      </c>
      <c r="CB102" s="16" t="n">
        <f aca="false">CA102/31</f>
        <v>90.4193548387097</v>
      </c>
      <c r="CC102" s="17" t="n">
        <f aca="false">SUM(BE102:CA102)</f>
        <v>27280.5003840246</v>
      </c>
      <c r="CD102" s="18" t="n">
        <f aca="false">IFERROR(STDEV(BF102,BH102,BJ102,BL102,BN102,BP102,BR102,BT102,BV102,BX102,BZ102,CB102),0)</f>
        <v>13.5122767619418</v>
      </c>
      <c r="CE102" s="15" t="n">
        <v>2183</v>
      </c>
      <c r="CF102" s="16" t="n">
        <f aca="false">CE102/31</f>
        <v>70.4193548387097</v>
      </c>
      <c r="CG102" s="15" t="n">
        <v>1961</v>
      </c>
      <c r="CH102" s="16" t="n">
        <f aca="false">CG102/28</f>
        <v>70.0357142857143</v>
      </c>
      <c r="CI102" s="15" t="n">
        <v>1593</v>
      </c>
      <c r="CJ102" s="16" t="n">
        <f aca="false">CI102/31</f>
        <v>51.3870967741936</v>
      </c>
      <c r="CK102" s="15" t="n">
        <v>2095</v>
      </c>
      <c r="CL102" s="16" t="n">
        <f aca="false">CK102/30</f>
        <v>69.8333333333333</v>
      </c>
      <c r="CM102" s="15" t="n">
        <v>2369</v>
      </c>
      <c r="CN102" s="16" t="n">
        <f aca="false">CM102/31</f>
        <v>76.4193548387097</v>
      </c>
      <c r="CO102" s="15" t="n">
        <v>2591</v>
      </c>
      <c r="CP102" s="16" t="n">
        <f aca="false">CO102/30</f>
        <v>86.3666666666667</v>
      </c>
      <c r="CQ102" s="15" t="n">
        <v>2382</v>
      </c>
      <c r="CR102" s="16" t="n">
        <f aca="false">CQ102/31</f>
        <v>76.8387096774194</v>
      </c>
      <c r="CS102" s="15" t="n">
        <v>2584</v>
      </c>
      <c r="CT102" s="16" t="n">
        <f aca="false">CS102/31</f>
        <v>83.3548387096774</v>
      </c>
      <c r="CU102" s="15" t="n">
        <v>1247</v>
      </c>
      <c r="CV102" s="16" t="n">
        <f aca="false">CU102/30</f>
        <v>41.5666666666667</v>
      </c>
      <c r="CW102" s="15" t="n">
        <v>2509</v>
      </c>
      <c r="CX102" s="16" t="n">
        <f aca="false">CW102/31</f>
        <v>80.9354838709677</v>
      </c>
      <c r="CY102" s="15" t="n">
        <v>1846</v>
      </c>
      <c r="CZ102" s="16" t="n">
        <f aca="false">CY102/30</f>
        <v>61.5333333333333</v>
      </c>
      <c r="DA102" s="15" t="n">
        <v>1269</v>
      </c>
      <c r="DB102" s="16" t="n">
        <f aca="false">DA102/31</f>
        <v>40.9354838709677</v>
      </c>
      <c r="DC102" s="17" t="n">
        <f aca="false">SUM(CE102:DA102)</f>
        <v>25397.6905529954</v>
      </c>
      <c r="DD102" s="18" t="n">
        <f aca="false">IFERROR(STDEV(CF102,CH102,CJ102,CL102,CN102,CP102,CR102,CT102,CV102,CX102,CZ102,DB102),0)</f>
        <v>15.5166449164372</v>
      </c>
      <c r="DE102" s="15" t="n">
        <v>2634</v>
      </c>
      <c r="DF102" s="16" t="n">
        <f aca="false">DE102/31</f>
        <v>84.9677419354839</v>
      </c>
      <c r="DG102" s="15" t="n">
        <v>1660</v>
      </c>
      <c r="DH102" s="16" t="n">
        <f aca="false">DG102/28</f>
        <v>59.2857142857143</v>
      </c>
      <c r="DI102" s="15" t="n">
        <v>2728</v>
      </c>
      <c r="DJ102" s="16" t="n">
        <f aca="false">DI102/31</f>
        <v>88</v>
      </c>
      <c r="DK102" s="15" t="n">
        <v>1374</v>
      </c>
      <c r="DL102" s="16" t="n">
        <f aca="false">DK102/30</f>
        <v>45.8</v>
      </c>
      <c r="DM102" s="15" t="n">
        <v>1640</v>
      </c>
      <c r="DN102" s="16" t="n">
        <f aca="false">DM102/31</f>
        <v>52.9032258064516</v>
      </c>
      <c r="DO102" s="15" t="n">
        <v>2313</v>
      </c>
      <c r="DP102" s="16" t="n">
        <f aca="false">DO102/30</f>
        <v>77.1</v>
      </c>
      <c r="DQ102" s="15" t="n">
        <v>1992</v>
      </c>
      <c r="DR102" s="16" t="n">
        <f aca="false">DQ102/31</f>
        <v>64.258064516129</v>
      </c>
      <c r="DS102" s="15" t="n">
        <v>2598</v>
      </c>
      <c r="DT102" s="16" t="n">
        <f aca="false">DS102/31</f>
        <v>83.8064516129032</v>
      </c>
      <c r="DU102" s="15" t="n">
        <v>2031</v>
      </c>
      <c r="DV102" s="16" t="n">
        <f aca="false">DU102/30</f>
        <v>67.7</v>
      </c>
      <c r="DW102" s="15" t="n">
        <v>2202</v>
      </c>
      <c r="DX102" s="16" t="n">
        <f aca="false">DW102/31</f>
        <v>71.0322580645161</v>
      </c>
      <c r="DY102" s="15" t="n">
        <v>1668</v>
      </c>
      <c r="DZ102" s="16" t="n">
        <f aca="false">DY102/30</f>
        <v>55.6</v>
      </c>
      <c r="EA102" s="15" t="n">
        <v>2749</v>
      </c>
      <c r="EB102" s="16" t="n">
        <f aca="false">EA102/31</f>
        <v>88.6774193548387</v>
      </c>
      <c r="EC102" s="17" t="n">
        <f aca="false">SUM(DE102:EA102)</f>
        <v>26339.4534562212</v>
      </c>
      <c r="ED102" s="18" t="n">
        <f aca="false">IFERROR(STDEV(DF102,DH102,DJ102,DL102,DN102,DP102,DR102,DT102,DV102,DX102,DZ102,EB102),0)</f>
        <v>14.7008516650105</v>
      </c>
      <c r="EE102" s="19" t="n">
        <f aca="false">STDEV(F102:AB102,AF102:BB102,BF102:CB102,CF102:DB102,DF102:EB102)</f>
        <v>1077.13118142183</v>
      </c>
    </row>
    <row r="103" customFormat="false" ht="15" hidden="false" customHeight="true" outlineLevel="0" collapsed="false">
      <c r="A103" s="11" t="n">
        <v>98</v>
      </c>
      <c r="B103" s="12" t="s">
        <v>230</v>
      </c>
      <c r="C103" s="13" t="s">
        <v>231</v>
      </c>
      <c r="D103" s="14" t="s">
        <v>36</v>
      </c>
      <c r="E103" s="15" t="n">
        <v>1220</v>
      </c>
      <c r="F103" s="16" t="n">
        <f aca="false">E103/31</f>
        <v>39.3548387096774</v>
      </c>
      <c r="G103" s="15" t="n">
        <v>833</v>
      </c>
      <c r="H103" s="16" t="n">
        <f aca="false">G103/28</f>
        <v>29.75</v>
      </c>
      <c r="I103" s="15" t="n">
        <v>1036</v>
      </c>
      <c r="J103" s="16" t="n">
        <f aca="false">I103/31</f>
        <v>33.4193548387097</v>
      </c>
      <c r="K103" s="15" t="n">
        <v>1128</v>
      </c>
      <c r="L103" s="16" t="n">
        <f aca="false">K103/30</f>
        <v>37.6</v>
      </c>
      <c r="M103" s="15" t="n">
        <v>1318</v>
      </c>
      <c r="N103" s="16" t="n">
        <f aca="false">M103/31</f>
        <v>42.5161290322581</v>
      </c>
      <c r="O103" s="15" t="n">
        <v>984</v>
      </c>
      <c r="P103" s="16" t="n">
        <f aca="false">O103/30</f>
        <v>32.8</v>
      </c>
      <c r="Q103" s="15" t="n">
        <v>768</v>
      </c>
      <c r="R103" s="16" t="n">
        <f aca="false">Q103/31</f>
        <v>24.7741935483871</v>
      </c>
      <c r="S103" s="15" t="n">
        <v>1532</v>
      </c>
      <c r="T103" s="16" t="n">
        <f aca="false">S103/31</f>
        <v>49.4193548387097</v>
      </c>
      <c r="U103" s="15" t="n">
        <v>928</v>
      </c>
      <c r="V103" s="16" t="n">
        <f aca="false">U103/30</f>
        <v>30.9333333333333</v>
      </c>
      <c r="W103" s="15" t="n">
        <v>1604</v>
      </c>
      <c r="X103" s="16" t="n">
        <f aca="false">W103/31</f>
        <v>51.741935483871</v>
      </c>
      <c r="Y103" s="15" t="n">
        <v>1318</v>
      </c>
      <c r="Z103" s="16" t="n">
        <f aca="false">Y103/30</f>
        <v>43.9333333333333</v>
      </c>
      <c r="AA103" s="15" t="n">
        <v>1098</v>
      </c>
      <c r="AB103" s="16" t="n">
        <f aca="false">AA103/31</f>
        <v>35.4193548387097</v>
      </c>
      <c r="AC103" s="17" t="n">
        <f aca="false">SUM(E103:AA103)</f>
        <v>14183.2424731183</v>
      </c>
      <c r="AD103" s="18" t="n">
        <f aca="false">IFERROR(STDEV(F103,H103,J103,L103,N103,P103,R103,T103,V103,X103,Z103,AB103),0)</f>
        <v>8.10652863612133</v>
      </c>
      <c r="AE103" s="15" t="n">
        <v>793</v>
      </c>
      <c r="AF103" s="16" t="n">
        <f aca="false">AE103/31</f>
        <v>25.5806451612903</v>
      </c>
      <c r="AG103" s="15" t="n">
        <v>1014</v>
      </c>
      <c r="AH103" s="16" t="n">
        <f aca="false">AG103/28</f>
        <v>36.2142857142857</v>
      </c>
      <c r="AI103" s="15" t="n">
        <v>781</v>
      </c>
      <c r="AJ103" s="16" t="n">
        <f aca="false">AI103/31</f>
        <v>25.1935483870968</v>
      </c>
      <c r="AK103" s="15" t="n">
        <v>975</v>
      </c>
      <c r="AL103" s="16" t="n">
        <f aca="false">AK103/30</f>
        <v>32.5</v>
      </c>
      <c r="AM103" s="15" t="n">
        <v>1050</v>
      </c>
      <c r="AN103" s="16" t="n">
        <f aca="false">AM103/31</f>
        <v>33.8709677419355</v>
      </c>
      <c r="AO103" s="15" t="n">
        <v>1156</v>
      </c>
      <c r="AP103" s="16" t="n">
        <f aca="false">AO103/30</f>
        <v>38.5333333333333</v>
      </c>
      <c r="AQ103" s="15" t="n">
        <v>868</v>
      </c>
      <c r="AR103" s="16" t="n">
        <f aca="false">AQ103/31</f>
        <v>28</v>
      </c>
      <c r="AS103" s="15" t="n">
        <v>765</v>
      </c>
      <c r="AT103" s="16" t="n">
        <f aca="false">AS103/31</f>
        <v>24.6774193548387</v>
      </c>
      <c r="AU103" s="15" t="n">
        <v>640</v>
      </c>
      <c r="AV103" s="16" t="n">
        <f aca="false">AU103/30</f>
        <v>21.3333333333333</v>
      </c>
      <c r="AW103" s="15" t="n">
        <v>1118</v>
      </c>
      <c r="AX103" s="16" t="n">
        <f aca="false">AW103/31</f>
        <v>36.0645161290323</v>
      </c>
      <c r="AY103" s="15" t="n">
        <v>669</v>
      </c>
      <c r="AZ103" s="16" t="n">
        <f aca="false">AY103/30</f>
        <v>22.3</v>
      </c>
      <c r="BA103" s="15" t="n">
        <v>733</v>
      </c>
      <c r="BB103" s="16" t="n">
        <f aca="false">BA103/31</f>
        <v>23.6451612903226</v>
      </c>
      <c r="BC103" s="17" t="n">
        <f aca="false">SUM(AE103:BA103)</f>
        <v>10886.2680491551</v>
      </c>
      <c r="BD103" s="18" t="n">
        <f aca="false">IFERROR(STDEV(AF103,AH103,AJ103,AL103,AN103,AP103,AR103,AT103,AV103,AX103,AZ103,BB103),0)</f>
        <v>6.08292162311555</v>
      </c>
      <c r="BE103" s="15" t="n">
        <v>1065</v>
      </c>
      <c r="BF103" s="16" t="n">
        <f aca="false">BE103/31</f>
        <v>34.3548387096774</v>
      </c>
      <c r="BG103" s="15" t="n">
        <v>1484</v>
      </c>
      <c r="BH103" s="16" t="n">
        <f aca="false">BG103/28</f>
        <v>53</v>
      </c>
      <c r="BI103" s="15" t="n">
        <v>1311</v>
      </c>
      <c r="BJ103" s="16" t="n">
        <f aca="false">BI103/31</f>
        <v>42.2903225806452</v>
      </c>
      <c r="BK103" s="15" t="n">
        <v>688</v>
      </c>
      <c r="BL103" s="16" t="n">
        <f aca="false">BK103/30</f>
        <v>22.9333333333333</v>
      </c>
      <c r="BM103" s="15" t="n">
        <v>952</v>
      </c>
      <c r="BN103" s="16" t="n">
        <f aca="false">BM103/31</f>
        <v>30.7096774193548</v>
      </c>
      <c r="BO103" s="15" t="n">
        <v>1040</v>
      </c>
      <c r="BP103" s="16" t="n">
        <f aca="false">BO103/30</f>
        <v>34.6666666666667</v>
      </c>
      <c r="BQ103" s="15" t="n">
        <v>790</v>
      </c>
      <c r="BR103" s="16" t="n">
        <f aca="false">BQ103/31</f>
        <v>25.4838709677419</v>
      </c>
      <c r="BS103" s="15" t="n">
        <v>1444</v>
      </c>
      <c r="BT103" s="16" t="n">
        <f aca="false">BS103/31</f>
        <v>46.5806451612903</v>
      </c>
      <c r="BU103" s="15" t="n">
        <v>1261</v>
      </c>
      <c r="BV103" s="16" t="n">
        <f aca="false">BU103/30</f>
        <v>42.0333333333333</v>
      </c>
      <c r="BW103" s="15" t="n">
        <v>893</v>
      </c>
      <c r="BX103" s="16" t="n">
        <f aca="false">BW103/31</f>
        <v>28.8064516129032</v>
      </c>
      <c r="BY103" s="15" t="n">
        <v>1486</v>
      </c>
      <c r="BZ103" s="16" t="n">
        <f aca="false">BY103/30</f>
        <v>49.5333333333333</v>
      </c>
      <c r="CA103" s="15" t="n">
        <v>1371</v>
      </c>
      <c r="CB103" s="16" t="n">
        <f aca="false">CA103/31</f>
        <v>44.2258064516129</v>
      </c>
      <c r="CC103" s="17" t="n">
        <f aca="false">SUM(BE103:CA103)</f>
        <v>14195.3924731183</v>
      </c>
      <c r="CD103" s="18" t="n">
        <f aca="false">IFERROR(STDEV(BF103,BH103,BJ103,BL103,BN103,BP103,BR103,BT103,BV103,BX103,BZ103,CB103),0)</f>
        <v>9.77309778017184</v>
      </c>
      <c r="CE103" s="15" t="n">
        <v>1155</v>
      </c>
      <c r="CF103" s="16" t="n">
        <f aca="false">CE103/31</f>
        <v>37.258064516129</v>
      </c>
      <c r="CG103" s="15" t="n">
        <v>1134</v>
      </c>
      <c r="CH103" s="16" t="n">
        <f aca="false">CG103/28</f>
        <v>40.5</v>
      </c>
      <c r="CI103" s="15" t="n">
        <v>723</v>
      </c>
      <c r="CJ103" s="16" t="n">
        <f aca="false">CI103/31</f>
        <v>23.3225806451613</v>
      </c>
      <c r="CK103" s="15" t="n">
        <v>791</v>
      </c>
      <c r="CL103" s="16" t="n">
        <f aca="false">CK103/30</f>
        <v>26.3666666666667</v>
      </c>
      <c r="CM103" s="15" t="n">
        <v>633</v>
      </c>
      <c r="CN103" s="16" t="n">
        <f aca="false">CM103/31</f>
        <v>20.4193548387097</v>
      </c>
      <c r="CO103" s="15" t="n">
        <v>854</v>
      </c>
      <c r="CP103" s="16" t="n">
        <f aca="false">CO103/30</f>
        <v>28.4666666666667</v>
      </c>
      <c r="CQ103" s="15" t="n">
        <v>702</v>
      </c>
      <c r="CR103" s="16" t="n">
        <f aca="false">CQ103/31</f>
        <v>22.6451612903226</v>
      </c>
      <c r="CS103" s="15" t="n">
        <v>809</v>
      </c>
      <c r="CT103" s="16" t="n">
        <f aca="false">CS103/31</f>
        <v>26.0967741935484</v>
      </c>
      <c r="CU103" s="15" t="n">
        <v>748</v>
      </c>
      <c r="CV103" s="16" t="n">
        <f aca="false">CU103/30</f>
        <v>24.9333333333333</v>
      </c>
      <c r="CW103" s="15" t="n">
        <v>1051</v>
      </c>
      <c r="CX103" s="16" t="n">
        <f aca="false">CW103/31</f>
        <v>33.9032258064516</v>
      </c>
      <c r="CY103" s="15" t="n">
        <v>628</v>
      </c>
      <c r="CZ103" s="16" t="n">
        <f aca="false">CY103/30</f>
        <v>20.9333333333333</v>
      </c>
      <c r="DA103" s="15" t="n">
        <v>854</v>
      </c>
      <c r="DB103" s="16" t="n">
        <f aca="false">DA103/31</f>
        <v>27.5483870967742</v>
      </c>
      <c r="DC103" s="17" t="n">
        <f aca="false">SUM(CE103:DA103)</f>
        <v>10386.8451612903</v>
      </c>
      <c r="DD103" s="18" t="n">
        <f aca="false">IFERROR(STDEV(CF103,CH103,CJ103,CL103,CN103,CP103,CR103,CT103,CV103,CX103,CZ103,DB103),0)</f>
        <v>6.39459068291295</v>
      </c>
      <c r="DE103" s="15" t="n">
        <v>1063</v>
      </c>
      <c r="DF103" s="16" t="n">
        <f aca="false">DE103/31</f>
        <v>34.2903225806452</v>
      </c>
      <c r="DG103" s="15" t="n">
        <v>1091</v>
      </c>
      <c r="DH103" s="16" t="n">
        <f aca="false">DG103/28</f>
        <v>38.9642857142857</v>
      </c>
      <c r="DI103" s="15" t="n">
        <v>1253</v>
      </c>
      <c r="DJ103" s="16" t="n">
        <f aca="false">DI103/31</f>
        <v>40.4193548387097</v>
      </c>
      <c r="DK103" s="15" t="n">
        <v>887</v>
      </c>
      <c r="DL103" s="16" t="n">
        <f aca="false">DK103/30</f>
        <v>29.5666666666667</v>
      </c>
      <c r="DM103" s="15" t="n">
        <v>1022</v>
      </c>
      <c r="DN103" s="16" t="n">
        <f aca="false">DM103/31</f>
        <v>32.9677419354839</v>
      </c>
      <c r="DO103" s="15" t="n">
        <v>1623</v>
      </c>
      <c r="DP103" s="16" t="n">
        <f aca="false">DO103/30</f>
        <v>54.1</v>
      </c>
      <c r="DQ103" s="15" t="n">
        <v>1122</v>
      </c>
      <c r="DR103" s="16" t="n">
        <f aca="false">DQ103/31</f>
        <v>36.1935483870968</v>
      </c>
      <c r="DS103" s="15" t="n">
        <v>1214</v>
      </c>
      <c r="DT103" s="16" t="n">
        <f aca="false">DS103/31</f>
        <v>39.1612903225807</v>
      </c>
      <c r="DU103" s="15" t="n">
        <v>870</v>
      </c>
      <c r="DV103" s="16" t="n">
        <f aca="false">DU103/30</f>
        <v>29</v>
      </c>
      <c r="DW103" s="15" t="n">
        <v>1174</v>
      </c>
      <c r="DX103" s="16" t="n">
        <f aca="false">DW103/31</f>
        <v>37.8709677419355</v>
      </c>
      <c r="DY103" s="15" t="n">
        <v>1040</v>
      </c>
      <c r="DZ103" s="16" t="n">
        <f aca="false">DY103/30</f>
        <v>34.6666666666667</v>
      </c>
      <c r="EA103" s="15" t="n">
        <v>733</v>
      </c>
      <c r="EB103" s="16" t="n">
        <f aca="false">EA103/31</f>
        <v>23.6451612903226</v>
      </c>
      <c r="EC103" s="17" t="n">
        <f aca="false">SUM(DE103:EA103)</f>
        <v>13499.2008448541</v>
      </c>
      <c r="ED103" s="18" t="n">
        <f aca="false">IFERROR(STDEV(DF103,DH103,DJ103,DL103,DN103,DP103,DR103,DT103,DV103,DX103,DZ103,EB103),0)</f>
        <v>7.54545998690427</v>
      </c>
      <c r="EE103" s="19" t="n">
        <f aca="false">STDEV(F103:AB103,AF103:BB103,BF103:CB103,CF103:DB103,DF103:EB103)</f>
        <v>526.97802110933</v>
      </c>
    </row>
    <row r="104" customFormat="false" ht="15" hidden="false" customHeight="true" outlineLevel="0" collapsed="false">
      <c r="A104" s="11" t="n">
        <v>99</v>
      </c>
      <c r="B104" s="12" t="s">
        <v>232</v>
      </c>
      <c r="C104" s="13" t="s">
        <v>233</v>
      </c>
      <c r="D104" s="14" t="s">
        <v>36</v>
      </c>
      <c r="E104" s="15" t="n">
        <v>3639</v>
      </c>
      <c r="F104" s="16" t="n">
        <f aca="false">E104/31</f>
        <v>117.387096774194</v>
      </c>
      <c r="G104" s="15" t="n">
        <v>4218</v>
      </c>
      <c r="H104" s="16" t="n">
        <f aca="false">G104/28</f>
        <v>150.642857142857</v>
      </c>
      <c r="I104" s="15" t="n">
        <v>2643</v>
      </c>
      <c r="J104" s="16" t="n">
        <f aca="false">I104/31</f>
        <v>85.258064516129</v>
      </c>
      <c r="K104" s="15" t="n">
        <v>3558</v>
      </c>
      <c r="L104" s="16" t="n">
        <f aca="false">K104/30</f>
        <v>118.6</v>
      </c>
      <c r="M104" s="15" t="n">
        <v>2992</v>
      </c>
      <c r="N104" s="16" t="n">
        <f aca="false">M104/31</f>
        <v>96.5161290322581</v>
      </c>
      <c r="O104" s="15" t="n">
        <v>2542</v>
      </c>
      <c r="P104" s="16" t="n">
        <f aca="false">O104/30</f>
        <v>84.7333333333333</v>
      </c>
      <c r="Q104" s="15" t="n">
        <v>4141</v>
      </c>
      <c r="R104" s="16" t="n">
        <f aca="false">Q104/31</f>
        <v>133.58064516129</v>
      </c>
      <c r="S104" s="15" t="n">
        <v>4231</v>
      </c>
      <c r="T104" s="16" t="n">
        <f aca="false">S104/31</f>
        <v>136.483870967742</v>
      </c>
      <c r="U104" s="15" t="n">
        <v>3236</v>
      </c>
      <c r="V104" s="16" t="n">
        <f aca="false">U104/30</f>
        <v>107.866666666667</v>
      </c>
      <c r="W104" s="15" t="n">
        <v>2193</v>
      </c>
      <c r="X104" s="16" t="n">
        <f aca="false">W104/31</f>
        <v>70.741935483871</v>
      </c>
      <c r="Y104" s="15" t="n">
        <v>3215</v>
      </c>
      <c r="Z104" s="16" t="n">
        <f aca="false">Y104/30</f>
        <v>107.166666666667</v>
      </c>
      <c r="AA104" s="15" t="n">
        <v>4050</v>
      </c>
      <c r="AB104" s="16" t="n">
        <f aca="false">AA104/31</f>
        <v>130.645161290323</v>
      </c>
      <c r="AC104" s="17" t="n">
        <f aca="false">SUM(E104:AA104)</f>
        <v>41866.977265745</v>
      </c>
      <c r="AD104" s="18" t="n">
        <f aca="false">IFERROR(STDEV(F104,H104,J104,L104,N104,P104,R104,T104,V104,X104,Z104,AB104),0)</f>
        <v>24.1550040770783</v>
      </c>
      <c r="AE104" s="15" t="n">
        <v>3772</v>
      </c>
      <c r="AF104" s="16" t="n">
        <f aca="false">AE104/31</f>
        <v>121.677419354839</v>
      </c>
      <c r="AG104" s="15" t="n">
        <v>4554</v>
      </c>
      <c r="AH104" s="16" t="n">
        <f aca="false">AG104/28</f>
        <v>162.642857142857</v>
      </c>
      <c r="AI104" s="15" t="n">
        <v>4688</v>
      </c>
      <c r="AJ104" s="16" t="n">
        <f aca="false">AI104/31</f>
        <v>151.225806451613</v>
      </c>
      <c r="AK104" s="15" t="n">
        <v>5222</v>
      </c>
      <c r="AL104" s="16" t="n">
        <f aca="false">AK104/30</f>
        <v>174.066666666667</v>
      </c>
      <c r="AM104" s="15" t="n">
        <v>2814</v>
      </c>
      <c r="AN104" s="16" t="n">
        <f aca="false">AM104/31</f>
        <v>90.7741935483871</v>
      </c>
      <c r="AO104" s="15" t="n">
        <v>4117</v>
      </c>
      <c r="AP104" s="16" t="n">
        <f aca="false">AO104/30</f>
        <v>137.233333333333</v>
      </c>
      <c r="AQ104" s="15" t="n">
        <v>3348</v>
      </c>
      <c r="AR104" s="16" t="n">
        <f aca="false">AQ104/31</f>
        <v>108</v>
      </c>
      <c r="AS104" s="15" t="n">
        <v>3644</v>
      </c>
      <c r="AT104" s="16" t="n">
        <f aca="false">AS104/31</f>
        <v>117.548387096774</v>
      </c>
      <c r="AU104" s="15" t="n">
        <v>5034</v>
      </c>
      <c r="AV104" s="16" t="n">
        <f aca="false">AU104/30</f>
        <v>167.8</v>
      </c>
      <c r="AW104" s="15" t="n">
        <v>3785</v>
      </c>
      <c r="AX104" s="16" t="n">
        <f aca="false">AW104/31</f>
        <v>122.096774193548</v>
      </c>
      <c r="AY104" s="15" t="n">
        <v>2666</v>
      </c>
      <c r="AZ104" s="16" t="n">
        <f aca="false">AY104/30</f>
        <v>88.8666666666667</v>
      </c>
      <c r="BA104" s="15" t="n">
        <v>2547</v>
      </c>
      <c r="BB104" s="16" t="n">
        <f aca="false">BA104/31</f>
        <v>82.1612903225806</v>
      </c>
      <c r="BC104" s="17" t="n">
        <f aca="false">SUM(AE104:BA104)</f>
        <v>47632.9321044547</v>
      </c>
      <c r="BD104" s="18" t="n">
        <f aca="false">IFERROR(STDEV(AF104,AH104,AJ104,AL104,AN104,AP104,AR104,AT104,AV104,AX104,AZ104,BB104),0)</f>
        <v>31.7970967558357</v>
      </c>
      <c r="BE104" s="15" t="n">
        <v>4713</v>
      </c>
      <c r="BF104" s="16" t="n">
        <f aca="false">BE104/31</f>
        <v>152.032258064516</v>
      </c>
      <c r="BG104" s="15" t="n">
        <v>4517</v>
      </c>
      <c r="BH104" s="16" t="n">
        <f aca="false">BG104/28</f>
        <v>161.321428571429</v>
      </c>
      <c r="BI104" s="15" t="n">
        <v>3293</v>
      </c>
      <c r="BJ104" s="16" t="n">
        <f aca="false">BI104/31</f>
        <v>106.225806451613</v>
      </c>
      <c r="BK104" s="15" t="n">
        <v>5710</v>
      </c>
      <c r="BL104" s="16" t="n">
        <f aca="false">BK104/30</f>
        <v>190.333333333333</v>
      </c>
      <c r="BM104" s="15" t="n">
        <v>3482</v>
      </c>
      <c r="BN104" s="16" t="n">
        <f aca="false">BM104/31</f>
        <v>112.322580645161</v>
      </c>
      <c r="BO104" s="15" t="n">
        <v>2617</v>
      </c>
      <c r="BP104" s="16" t="n">
        <f aca="false">BO104/30</f>
        <v>87.2333333333333</v>
      </c>
      <c r="BQ104" s="15" t="n">
        <v>4365</v>
      </c>
      <c r="BR104" s="16" t="n">
        <f aca="false">BQ104/31</f>
        <v>140.806451612903</v>
      </c>
      <c r="BS104" s="15" t="n">
        <v>4050</v>
      </c>
      <c r="BT104" s="16" t="n">
        <f aca="false">BS104/31</f>
        <v>130.645161290323</v>
      </c>
      <c r="BU104" s="15" t="n">
        <v>4816</v>
      </c>
      <c r="BV104" s="16" t="n">
        <f aca="false">BU104/30</f>
        <v>160.533333333333</v>
      </c>
      <c r="BW104" s="15" t="n">
        <v>2837</v>
      </c>
      <c r="BX104" s="16" t="n">
        <f aca="false">BW104/31</f>
        <v>91.5161290322581</v>
      </c>
      <c r="BY104" s="15" t="n">
        <v>4274</v>
      </c>
      <c r="BZ104" s="16" t="n">
        <f aca="false">BY104/30</f>
        <v>142.466666666667</v>
      </c>
      <c r="CA104" s="15" t="n">
        <v>3199</v>
      </c>
      <c r="CB104" s="16" t="n">
        <f aca="false">CA104/31</f>
        <v>103.193548387097</v>
      </c>
      <c r="CC104" s="17" t="n">
        <f aca="false">SUM(BE104:CA104)</f>
        <v>49348.4364823349</v>
      </c>
      <c r="CD104" s="18" t="n">
        <f aca="false">IFERROR(STDEV(BF104,BH104,BJ104,BL104,BN104,BP104,BR104,BT104,BV104,BX104,BZ104,CB104),0)</f>
        <v>31.8930363731762</v>
      </c>
      <c r="CE104" s="15" t="n">
        <v>3466</v>
      </c>
      <c r="CF104" s="16" t="n">
        <f aca="false">CE104/31</f>
        <v>111.806451612903</v>
      </c>
      <c r="CG104" s="15" t="n">
        <v>4398</v>
      </c>
      <c r="CH104" s="16" t="n">
        <f aca="false">CG104/28</f>
        <v>157.071428571429</v>
      </c>
      <c r="CI104" s="15" t="n">
        <v>5496</v>
      </c>
      <c r="CJ104" s="16" t="n">
        <f aca="false">CI104/31</f>
        <v>177.290322580645</v>
      </c>
      <c r="CK104" s="15" t="n">
        <v>5383</v>
      </c>
      <c r="CL104" s="16" t="n">
        <f aca="false">CK104/30</f>
        <v>179.433333333333</v>
      </c>
      <c r="CM104" s="15" t="n">
        <v>3606</v>
      </c>
      <c r="CN104" s="16" t="n">
        <f aca="false">CM104/31</f>
        <v>116.322580645161</v>
      </c>
      <c r="CO104" s="15" t="n">
        <v>2914</v>
      </c>
      <c r="CP104" s="16" t="n">
        <f aca="false">CO104/30</f>
        <v>97.1333333333333</v>
      </c>
      <c r="CQ104" s="15" t="n">
        <v>5205</v>
      </c>
      <c r="CR104" s="16" t="n">
        <f aca="false">CQ104/31</f>
        <v>167.903225806452</v>
      </c>
      <c r="CS104" s="15" t="n">
        <v>3634</v>
      </c>
      <c r="CT104" s="16" t="n">
        <f aca="false">CS104/31</f>
        <v>117.225806451613</v>
      </c>
      <c r="CU104" s="15" t="n">
        <v>3644</v>
      </c>
      <c r="CV104" s="16" t="n">
        <f aca="false">CU104/30</f>
        <v>121.466666666667</v>
      </c>
      <c r="CW104" s="15" t="n">
        <v>3358</v>
      </c>
      <c r="CX104" s="16" t="n">
        <f aca="false">CW104/31</f>
        <v>108.322580645161</v>
      </c>
      <c r="CY104" s="15" t="n">
        <v>3575</v>
      </c>
      <c r="CZ104" s="16" t="n">
        <f aca="false">CY104/30</f>
        <v>119.166666666667</v>
      </c>
      <c r="DA104" s="15" t="n">
        <v>5607</v>
      </c>
      <c r="DB104" s="16" t="n">
        <f aca="false">DA104/31</f>
        <v>180.870967741936</v>
      </c>
      <c r="DC104" s="17" t="n">
        <f aca="false">SUM(CE104:DA104)</f>
        <v>51759.1423963134</v>
      </c>
      <c r="DD104" s="18" t="n">
        <f aca="false">IFERROR(STDEV(CF104,CH104,CJ104,CL104,CN104,CP104,CR104,CT104,CV104,CX104,CZ104,DB104),0)</f>
        <v>31.798259910552</v>
      </c>
      <c r="DE104" s="15" t="n">
        <v>5191</v>
      </c>
      <c r="DF104" s="16" t="n">
        <f aca="false">DE104/31</f>
        <v>167.451612903226</v>
      </c>
      <c r="DG104" s="15" t="n">
        <v>2677</v>
      </c>
      <c r="DH104" s="16" t="n">
        <f aca="false">DG104/28</f>
        <v>95.6071428571429</v>
      </c>
      <c r="DI104" s="15" t="n">
        <v>4723</v>
      </c>
      <c r="DJ104" s="16" t="n">
        <f aca="false">DI104/31</f>
        <v>152.354838709677</v>
      </c>
      <c r="DK104" s="15" t="n">
        <v>3817</v>
      </c>
      <c r="DL104" s="16" t="n">
        <f aca="false">DK104/30</f>
        <v>127.233333333333</v>
      </c>
      <c r="DM104" s="15" t="n">
        <v>5569</v>
      </c>
      <c r="DN104" s="16" t="n">
        <f aca="false">DM104/31</f>
        <v>179.645161290323</v>
      </c>
      <c r="DO104" s="15" t="n">
        <v>4966</v>
      </c>
      <c r="DP104" s="16" t="n">
        <f aca="false">DO104/30</f>
        <v>165.533333333333</v>
      </c>
      <c r="DQ104" s="15" t="n">
        <v>3319</v>
      </c>
      <c r="DR104" s="16" t="n">
        <f aca="false">DQ104/31</f>
        <v>107.064516129032</v>
      </c>
      <c r="DS104" s="15" t="n">
        <v>4972</v>
      </c>
      <c r="DT104" s="16" t="n">
        <f aca="false">DS104/31</f>
        <v>160.387096774194</v>
      </c>
      <c r="DU104" s="15" t="n">
        <v>5498</v>
      </c>
      <c r="DV104" s="16" t="n">
        <f aca="false">DU104/30</f>
        <v>183.266666666667</v>
      </c>
      <c r="DW104" s="15" t="n">
        <v>3752</v>
      </c>
      <c r="DX104" s="16" t="n">
        <f aca="false">DW104/31</f>
        <v>121.032258064516</v>
      </c>
      <c r="DY104" s="15" t="n">
        <v>5262</v>
      </c>
      <c r="DZ104" s="16" t="n">
        <f aca="false">DY104/30</f>
        <v>175.4</v>
      </c>
      <c r="EA104" s="15" t="n">
        <v>2843</v>
      </c>
      <c r="EB104" s="16" t="n">
        <f aca="false">EA104/31</f>
        <v>91.7096774193548</v>
      </c>
      <c r="EC104" s="17" t="n">
        <f aca="false">SUM(DE104:EA104)</f>
        <v>54223.9759600614</v>
      </c>
      <c r="ED104" s="18" t="n">
        <f aca="false">IFERROR(STDEV(DF104,DH104,DJ104,DL104,DN104,DP104,DR104,DT104,DV104,DX104,DZ104,EB104),0)</f>
        <v>33.5739106537228</v>
      </c>
      <c r="EE104" s="19" t="n">
        <f aca="false">STDEV(F104:AB104,AF104:BB104,BF104:CB104,CF104:DB104,DF104:EB104)</f>
        <v>2024.93634787191</v>
      </c>
    </row>
    <row r="105" customFormat="false" ht="15" hidden="false" customHeight="true" outlineLevel="0" collapsed="false">
      <c r="A105" s="11" t="n">
        <v>100</v>
      </c>
      <c r="B105" s="12" t="s">
        <v>234</v>
      </c>
      <c r="C105" s="13" t="s">
        <v>235</v>
      </c>
      <c r="D105" s="14" t="s">
        <v>36</v>
      </c>
      <c r="E105" s="15" t="n">
        <v>2890</v>
      </c>
      <c r="F105" s="16" t="n">
        <f aca="false">E105/31</f>
        <v>93.2258064516129</v>
      </c>
      <c r="G105" s="15" t="n">
        <v>1807</v>
      </c>
      <c r="H105" s="16" t="n">
        <f aca="false">G105/28</f>
        <v>64.5357142857143</v>
      </c>
      <c r="I105" s="15" t="n">
        <v>2070</v>
      </c>
      <c r="J105" s="16" t="n">
        <f aca="false">I105/31</f>
        <v>66.7741935483871</v>
      </c>
      <c r="K105" s="15" t="n">
        <v>2646</v>
      </c>
      <c r="L105" s="16" t="n">
        <f aca="false">K105/30</f>
        <v>88.2</v>
      </c>
      <c r="M105" s="15" t="n">
        <v>3495</v>
      </c>
      <c r="N105" s="16" t="n">
        <f aca="false">M105/31</f>
        <v>112.741935483871</v>
      </c>
      <c r="O105" s="15" t="n">
        <v>3753</v>
      </c>
      <c r="P105" s="16" t="n">
        <f aca="false">O105/30</f>
        <v>125.1</v>
      </c>
      <c r="Q105" s="15" t="n">
        <v>1764</v>
      </c>
      <c r="R105" s="16" t="n">
        <f aca="false">Q105/31</f>
        <v>56.9032258064516</v>
      </c>
      <c r="S105" s="15" t="n">
        <v>3695</v>
      </c>
      <c r="T105" s="16" t="n">
        <f aca="false">S105/31</f>
        <v>119.193548387097</v>
      </c>
      <c r="U105" s="15" t="n">
        <v>3255</v>
      </c>
      <c r="V105" s="16" t="n">
        <f aca="false">U105/30</f>
        <v>108.5</v>
      </c>
      <c r="W105" s="15" t="n">
        <v>1812</v>
      </c>
      <c r="X105" s="16" t="n">
        <f aca="false">W105/31</f>
        <v>58.4516129032258</v>
      </c>
      <c r="Y105" s="15" t="n">
        <v>2506</v>
      </c>
      <c r="Z105" s="16" t="n">
        <f aca="false">Y105/30</f>
        <v>83.5333333333333</v>
      </c>
      <c r="AA105" s="15" t="n">
        <v>3597</v>
      </c>
      <c r="AB105" s="16" t="n">
        <f aca="false">AA105/31</f>
        <v>116.032258064516</v>
      </c>
      <c r="AC105" s="17" t="n">
        <f aca="false">SUM(E105:AA105)</f>
        <v>34267.1593701997</v>
      </c>
      <c r="AD105" s="18" t="n">
        <f aca="false">IFERROR(STDEV(F105,H105,J105,L105,N105,P105,R105,T105,V105,X105,Z105,AB105),0)</f>
        <v>25.1195767491709</v>
      </c>
      <c r="AE105" s="15" t="n">
        <v>2627</v>
      </c>
      <c r="AF105" s="16" t="n">
        <f aca="false">AE105/31</f>
        <v>84.741935483871</v>
      </c>
      <c r="AG105" s="15" t="n">
        <v>2945</v>
      </c>
      <c r="AH105" s="16" t="n">
        <f aca="false">AG105/28</f>
        <v>105.178571428571</v>
      </c>
      <c r="AI105" s="15" t="n">
        <v>3294</v>
      </c>
      <c r="AJ105" s="16" t="n">
        <f aca="false">AI105/31</f>
        <v>106.258064516129</v>
      </c>
      <c r="AK105" s="15" t="n">
        <v>3395</v>
      </c>
      <c r="AL105" s="16" t="n">
        <f aca="false">AK105/30</f>
        <v>113.166666666667</v>
      </c>
      <c r="AM105" s="15" t="n">
        <v>2001</v>
      </c>
      <c r="AN105" s="16" t="n">
        <f aca="false">AM105/31</f>
        <v>64.5483870967742</v>
      </c>
      <c r="AO105" s="15" t="n">
        <v>2111</v>
      </c>
      <c r="AP105" s="16" t="n">
        <f aca="false">AO105/30</f>
        <v>70.3666666666667</v>
      </c>
      <c r="AQ105" s="15" t="n">
        <v>2553</v>
      </c>
      <c r="AR105" s="16" t="n">
        <f aca="false">AQ105/31</f>
        <v>82.3548387096774</v>
      </c>
      <c r="AS105" s="15" t="n">
        <v>2941</v>
      </c>
      <c r="AT105" s="16" t="n">
        <f aca="false">AS105/31</f>
        <v>94.8709677419355</v>
      </c>
      <c r="AU105" s="15" t="n">
        <v>1787</v>
      </c>
      <c r="AV105" s="16" t="n">
        <f aca="false">AU105/30</f>
        <v>59.5666666666667</v>
      </c>
      <c r="AW105" s="15" t="n">
        <v>3555</v>
      </c>
      <c r="AX105" s="16" t="n">
        <f aca="false">AW105/31</f>
        <v>114.677419354839</v>
      </c>
      <c r="AY105" s="15" t="n">
        <v>3574</v>
      </c>
      <c r="AZ105" s="16" t="n">
        <f aca="false">AY105/30</f>
        <v>119.133333333333</v>
      </c>
      <c r="BA105" s="15" t="n">
        <v>2377</v>
      </c>
      <c r="BB105" s="16" t="n">
        <f aca="false">BA105/31</f>
        <v>76.6774193548387</v>
      </c>
      <c r="BC105" s="17" t="n">
        <f aca="false">SUM(AE105:BA105)</f>
        <v>34174.8635176651</v>
      </c>
      <c r="BD105" s="18" t="n">
        <f aca="false">IFERROR(STDEV(AF105,AH105,AJ105,AL105,AN105,AP105,AR105,AT105,AV105,AX105,AZ105,BB105),0)</f>
        <v>20.7250138912478</v>
      </c>
      <c r="BE105" s="15" t="n">
        <v>2342</v>
      </c>
      <c r="BF105" s="16" t="n">
        <f aca="false">BE105/31</f>
        <v>75.5483870967742</v>
      </c>
      <c r="BG105" s="15" t="n">
        <v>2171</v>
      </c>
      <c r="BH105" s="16" t="n">
        <f aca="false">BG105/28</f>
        <v>77.5357142857143</v>
      </c>
      <c r="BI105" s="15" t="n">
        <v>1390</v>
      </c>
      <c r="BJ105" s="16" t="n">
        <f aca="false">BI105/31</f>
        <v>44.8387096774194</v>
      </c>
      <c r="BK105" s="15" t="n">
        <v>1346</v>
      </c>
      <c r="BL105" s="16" t="n">
        <f aca="false">BK105/30</f>
        <v>44.8666666666667</v>
      </c>
      <c r="BM105" s="15" t="n">
        <v>1812</v>
      </c>
      <c r="BN105" s="16" t="n">
        <f aca="false">BM105/31</f>
        <v>58.4516129032258</v>
      </c>
      <c r="BO105" s="15" t="n">
        <v>3052</v>
      </c>
      <c r="BP105" s="16" t="n">
        <f aca="false">BO105/30</f>
        <v>101.733333333333</v>
      </c>
      <c r="BQ105" s="15" t="n">
        <v>2834</v>
      </c>
      <c r="BR105" s="16" t="n">
        <f aca="false">BQ105/31</f>
        <v>91.4193548387097</v>
      </c>
      <c r="BS105" s="15" t="n">
        <v>2187</v>
      </c>
      <c r="BT105" s="16" t="n">
        <f aca="false">BS105/31</f>
        <v>70.5483870967742</v>
      </c>
      <c r="BU105" s="15" t="n">
        <v>2511</v>
      </c>
      <c r="BV105" s="16" t="n">
        <f aca="false">BU105/30</f>
        <v>83.7</v>
      </c>
      <c r="BW105" s="15" t="n">
        <v>2939</v>
      </c>
      <c r="BX105" s="16" t="n">
        <f aca="false">BW105/31</f>
        <v>94.8064516129032</v>
      </c>
      <c r="BY105" s="15" t="n">
        <v>2088</v>
      </c>
      <c r="BZ105" s="16" t="n">
        <f aca="false">BY105/30</f>
        <v>69.6</v>
      </c>
      <c r="CA105" s="15" t="n">
        <v>2222</v>
      </c>
      <c r="CB105" s="16" t="n">
        <f aca="false">CA105/31</f>
        <v>71.6774193548387</v>
      </c>
      <c r="CC105" s="17" t="n">
        <f aca="false">SUM(BE105:CA105)</f>
        <v>27707.0486175115</v>
      </c>
      <c r="CD105" s="18" t="n">
        <f aca="false">IFERROR(STDEV(BF105,BH105,BJ105,BL105,BN105,BP105,BR105,BT105,BV105,BX105,BZ105,CB105),0)</f>
        <v>18.0683751585641</v>
      </c>
      <c r="CE105" s="15" t="n">
        <v>2544</v>
      </c>
      <c r="CF105" s="16" t="n">
        <f aca="false">CE105/31</f>
        <v>82.0645161290323</v>
      </c>
      <c r="CG105" s="15" t="n">
        <v>1760</v>
      </c>
      <c r="CH105" s="16" t="n">
        <f aca="false">CG105/28</f>
        <v>62.8571428571429</v>
      </c>
      <c r="CI105" s="15" t="n">
        <v>1538</v>
      </c>
      <c r="CJ105" s="16" t="n">
        <f aca="false">CI105/31</f>
        <v>49.6129032258065</v>
      </c>
      <c r="CK105" s="15" t="n">
        <v>1817</v>
      </c>
      <c r="CL105" s="16" t="n">
        <f aca="false">CK105/30</f>
        <v>60.5666666666667</v>
      </c>
      <c r="CM105" s="15" t="n">
        <v>3086</v>
      </c>
      <c r="CN105" s="16" t="n">
        <f aca="false">CM105/31</f>
        <v>99.5483870967742</v>
      </c>
      <c r="CO105" s="15" t="n">
        <v>1445</v>
      </c>
      <c r="CP105" s="16" t="n">
        <f aca="false">CO105/30</f>
        <v>48.1666666666667</v>
      </c>
      <c r="CQ105" s="15" t="n">
        <v>2646</v>
      </c>
      <c r="CR105" s="16" t="n">
        <f aca="false">CQ105/31</f>
        <v>85.3548387096774</v>
      </c>
      <c r="CS105" s="15" t="n">
        <v>2355</v>
      </c>
      <c r="CT105" s="16" t="n">
        <f aca="false">CS105/31</f>
        <v>75.9677419354839</v>
      </c>
      <c r="CU105" s="15" t="n">
        <v>2327</v>
      </c>
      <c r="CV105" s="16" t="n">
        <f aca="false">CU105/30</f>
        <v>77.5666666666667</v>
      </c>
      <c r="CW105" s="15" t="n">
        <v>2863</v>
      </c>
      <c r="CX105" s="16" t="n">
        <f aca="false">CW105/31</f>
        <v>92.3548387096774</v>
      </c>
      <c r="CY105" s="15" t="n">
        <v>2438</v>
      </c>
      <c r="CZ105" s="16" t="n">
        <f aca="false">CY105/30</f>
        <v>81.2666666666667</v>
      </c>
      <c r="DA105" s="15" t="n">
        <v>2169</v>
      </c>
      <c r="DB105" s="16" t="n">
        <f aca="false">DA105/31</f>
        <v>69.9677419354839</v>
      </c>
      <c r="DC105" s="17" t="n">
        <f aca="false">SUM(CE105:DA105)</f>
        <v>27803.3270353303</v>
      </c>
      <c r="DD105" s="18" t="n">
        <f aca="false">IFERROR(STDEV(CF105,CH105,CJ105,CL105,CN105,CP105,CR105,CT105,CV105,CX105,CZ105,DB105),0)</f>
        <v>16.0548635968109</v>
      </c>
      <c r="DE105" s="15" t="n">
        <v>3500</v>
      </c>
      <c r="DF105" s="16" t="n">
        <f aca="false">DE105/31</f>
        <v>112.903225806452</v>
      </c>
      <c r="DG105" s="15" t="n">
        <v>2107</v>
      </c>
      <c r="DH105" s="16" t="n">
        <f aca="false">DG105/28</f>
        <v>75.25</v>
      </c>
      <c r="DI105" s="15" t="n">
        <v>3060</v>
      </c>
      <c r="DJ105" s="16" t="n">
        <f aca="false">DI105/31</f>
        <v>98.7096774193548</v>
      </c>
      <c r="DK105" s="15" t="n">
        <v>3212</v>
      </c>
      <c r="DL105" s="16" t="n">
        <f aca="false">DK105/30</f>
        <v>107.066666666667</v>
      </c>
      <c r="DM105" s="15" t="n">
        <v>3866</v>
      </c>
      <c r="DN105" s="16" t="n">
        <f aca="false">DM105/31</f>
        <v>124.709677419355</v>
      </c>
      <c r="DO105" s="15" t="n">
        <v>2212</v>
      </c>
      <c r="DP105" s="16" t="n">
        <f aca="false">DO105/30</f>
        <v>73.7333333333333</v>
      </c>
      <c r="DQ105" s="15" t="n">
        <v>1959</v>
      </c>
      <c r="DR105" s="16" t="n">
        <f aca="false">DQ105/31</f>
        <v>63.1935483870968</v>
      </c>
      <c r="DS105" s="15" t="n">
        <v>2592</v>
      </c>
      <c r="DT105" s="16" t="n">
        <f aca="false">DS105/31</f>
        <v>83.6129032258065</v>
      </c>
      <c r="DU105" s="15" t="n">
        <v>3946</v>
      </c>
      <c r="DV105" s="16" t="n">
        <f aca="false">DU105/30</f>
        <v>131.533333333333</v>
      </c>
      <c r="DW105" s="15" t="n">
        <v>2146</v>
      </c>
      <c r="DX105" s="16" t="n">
        <f aca="false">DW105/31</f>
        <v>69.2258064516129</v>
      </c>
      <c r="DY105" s="15" t="n">
        <v>2213</v>
      </c>
      <c r="DZ105" s="16" t="n">
        <f aca="false">DY105/30</f>
        <v>73.7666666666667</v>
      </c>
      <c r="EA105" s="15" t="n">
        <v>2478</v>
      </c>
      <c r="EB105" s="16" t="n">
        <f aca="false">EA105/31</f>
        <v>79.9354838709677</v>
      </c>
      <c r="EC105" s="17" t="n">
        <f aca="false">SUM(DE105:EA105)</f>
        <v>34304.7048387097</v>
      </c>
      <c r="ED105" s="18" t="n">
        <f aca="false">IFERROR(STDEV(DF105,DH105,DJ105,DL105,DN105,DP105,DR105,DT105,DV105,DX105,DZ105,EB105),0)</f>
        <v>23.0491421121965</v>
      </c>
      <c r="EE105" s="19" t="n">
        <f aca="false">STDEV(F105:AB105,AF105:BB105,BF105:CB105,CF105:DB105,DF105:EB105)</f>
        <v>1320.81073636522</v>
      </c>
    </row>
  </sheetData>
  <mergeCells count="82">
    <mergeCell ref="A1:BZ1"/>
    <mergeCell ref="A2:BZ2"/>
    <mergeCell ref="A3:A5"/>
    <mergeCell ref="B3:B5"/>
    <mergeCell ref="C3:C5"/>
    <mergeCell ref="D3:D5"/>
    <mergeCell ref="E3:AD3"/>
    <mergeCell ref="AE3:BD3"/>
    <mergeCell ref="BE3:CD3"/>
    <mergeCell ref="CE3:DD3"/>
    <mergeCell ref="DE3:ED3"/>
    <mergeCell ref="EE3:EE5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C5"/>
    <mergeCell ref="AD4:AD5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C5"/>
    <mergeCell ref="BD4:BD5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C5"/>
    <mergeCell ref="CD4:CD5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C5"/>
    <mergeCell ref="DD4:DD5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C5"/>
    <mergeCell ref="ED4:E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15"/>
  <sheetViews>
    <sheetView showFormulas="false" showGridLines="false" showRowColHeaders="true" showZeros="true" rightToLeft="false" tabSelected="false" showOutlineSymbols="true" defaultGridColor="true" view="normal" topLeftCell="L1" colorId="64" zoomScale="100" zoomScaleNormal="100" zoomScalePageLayoutView="100" workbookViewId="0">
      <pane xSplit="0" ySplit="6" topLeftCell="A9" activePane="bottomLeft" state="frozen"/>
      <selection pane="topLeft" activeCell="L1" activeCellId="0" sqref="L1"/>
      <selection pane="bottomLeft" activeCell="V9" activeCellId="0" sqref="V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4" min="3" style="1" width="9"/>
    <col collapsed="false" customWidth="true" hidden="false" outlineLevel="0" max="5" min="5" style="1" width="26"/>
    <col collapsed="false" customWidth="true" hidden="false" outlineLevel="0" max="6" min="6" style="1" width="7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1" min="10" style="1" width="17"/>
    <col collapsed="false" customWidth="true" hidden="false" outlineLevel="0" max="12" min="12" style="1" width="14"/>
    <col collapsed="false" customWidth="true" hidden="false" outlineLevel="0" max="14" min="13" style="1" width="18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9" min="17" style="1" width="14"/>
    <col collapsed="false" customWidth="true" hidden="false" outlineLevel="0" max="20" min="20" style="1" width="12"/>
    <col collapsed="false" customWidth="true" hidden="false" outlineLevel="0" max="21" min="21" style="1" width="16"/>
    <col collapsed="false" customWidth="true" hidden="false" outlineLevel="0" max="22" min="22" style="1" width="14"/>
  </cols>
  <sheetData>
    <row r="1" customFormat="false" ht="24" hidden="false" customHeight="true" outlineLevel="0" collapsed="false">
      <c r="A1" s="20" t="s">
        <v>236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customFormat="false" ht="13.5" hidden="false" customHeight="true" outlineLevel="0" collapsed="false">
      <c r="A2" s="21" t="s">
        <v>237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</row>
    <row r="3" customFormat="false" ht="13.5" hidden="false" customHeight="true" outlineLevel="0" collapsed="false">
      <c r="A3" s="22" t="s">
        <v>238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customFormat="false" ht="4.5" hidden="false" customHeight="true" outlineLevel="0" collapsed="false">
      <c r="A4" s="23" t="s">
        <v>239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customFormat="false" ht="24" hidden="false" customHeight="true" outlineLevel="0" collapsed="false">
      <c r="A5" s="24" t="s">
        <v>240</v>
      </c>
      <c r="B5" s="24"/>
      <c r="C5" s="24"/>
      <c r="D5" s="24"/>
      <c r="E5" s="24"/>
      <c r="F5" s="24"/>
      <c r="G5" s="24"/>
      <c r="H5" s="24"/>
      <c r="I5" s="25" t="s">
        <v>241</v>
      </c>
      <c r="J5" s="25"/>
      <c r="K5" s="25"/>
      <c r="L5" s="25"/>
      <c r="M5" s="26" t="s">
        <v>242</v>
      </c>
      <c r="N5" s="26"/>
      <c r="O5" s="26"/>
      <c r="P5" s="26"/>
      <c r="Q5" s="27" t="s">
        <v>243</v>
      </c>
      <c r="R5" s="27"/>
      <c r="S5" s="27"/>
      <c r="T5" s="28" t="s">
        <v>244</v>
      </c>
      <c r="U5" s="28"/>
      <c r="V5" s="28"/>
    </row>
    <row r="6" customFormat="false" ht="42" hidden="false" customHeight="true" outlineLevel="0" collapsed="false">
      <c r="A6" s="29" t="s">
        <v>2</v>
      </c>
      <c r="B6" s="29" t="s">
        <v>245</v>
      </c>
      <c r="C6" s="29" t="s">
        <v>246</v>
      </c>
      <c r="D6" s="29" t="s">
        <v>3</v>
      </c>
      <c r="E6" s="29" t="s">
        <v>4</v>
      </c>
      <c r="F6" s="29" t="s">
        <v>5</v>
      </c>
      <c r="G6" s="29" t="s">
        <v>247</v>
      </c>
      <c r="H6" s="29" t="s">
        <v>248</v>
      </c>
      <c r="I6" s="30" t="s">
        <v>249</v>
      </c>
      <c r="J6" s="30" t="s">
        <v>250</v>
      </c>
      <c r="K6" s="30" t="s">
        <v>251</v>
      </c>
      <c r="L6" s="30" t="s">
        <v>252</v>
      </c>
      <c r="M6" s="31" t="s">
        <v>253</v>
      </c>
      <c r="N6" s="31" t="s">
        <v>254</v>
      </c>
      <c r="O6" s="31" t="s">
        <v>255</v>
      </c>
      <c r="P6" s="31" t="s">
        <v>256</v>
      </c>
      <c r="Q6" s="32" t="s">
        <v>257</v>
      </c>
      <c r="R6" s="32" t="s">
        <v>258</v>
      </c>
      <c r="S6" s="32" t="s">
        <v>259</v>
      </c>
      <c r="T6" s="33" t="s">
        <v>260</v>
      </c>
      <c r="U6" s="33" t="s">
        <v>261</v>
      </c>
      <c r="V6" s="33" t="s">
        <v>262</v>
      </c>
    </row>
    <row r="7" customFormat="false" ht="15" hidden="false" customHeight="true" outlineLevel="0" collapsed="false">
      <c r="A7" s="34" t="n">
        <v>1</v>
      </c>
      <c r="B7" s="35" t="n">
        <v>2021</v>
      </c>
      <c r="C7" s="34" t="s">
        <v>263</v>
      </c>
      <c r="D7" s="34" t="s">
        <v>34</v>
      </c>
      <c r="E7" s="36" t="s">
        <v>35</v>
      </c>
      <c r="F7" s="34" t="s">
        <v>36</v>
      </c>
      <c r="G7" s="37" t="n">
        <v>0</v>
      </c>
      <c r="H7" s="37" t="n">
        <v>6</v>
      </c>
      <c r="I7" s="37" t="n">
        <f aca="false">IFERROR(ROUND('Data Bulanan'!AC6,0),0)</f>
        <v>37912</v>
      </c>
      <c r="J7" s="37" t="n">
        <v>2168498</v>
      </c>
      <c r="K7" s="37" t="n">
        <v>87265</v>
      </c>
      <c r="L7" s="38" t="n">
        <f aca="false">IFERROR(ROUND(SQRT(2*I7*J7/K7),0),0)</f>
        <v>1373</v>
      </c>
      <c r="M7" s="39" t="n">
        <f aca="false">IFERROR(AVERAGE('Data Bulanan'!F6,'Data Bulanan'!H6,'Data Bulanan'!J6,'Data Bulanan'!L6,'Data Bulanan'!N6,'Data Bulanan'!P6,'Data Bulanan'!R6,'Data Bulanan'!T6,'Data Bulanan'!V6,'Data Bulanan'!X6,'Data Bulanan'!Z6,'Data Bulanan'!AB6),0)</f>
        <v>100.648950332821</v>
      </c>
      <c r="N7" s="40" t="n">
        <f aca="false">'Data Bulanan'!AD6</f>
        <v>24.8659215529356</v>
      </c>
      <c r="O7" s="41" t="n">
        <f aca="false">IFERROR(N7*SQRT(H7),0)</f>
        <v>60.908819788767</v>
      </c>
      <c r="P7" s="42" t="n">
        <f aca="false">IFERROR(ROUND(1.65*O7,0),0)</f>
        <v>100</v>
      </c>
      <c r="Q7" s="43" t="n">
        <f aca="false">IFERROR(ROUND(M7*H7+P7,0),0)</f>
        <v>704</v>
      </c>
      <c r="R7" s="44" t="n">
        <f aca="false">G7-Q7</f>
        <v>-704</v>
      </c>
      <c r="S7" s="45" t="str">
        <f aca="false">IF(G7=0,"Stockout ⚠",IF(G7&lt;Q7,"Reorder 🔄",IF(G7&gt;Q7+L7,"Overstock 📦","Aman ✅")))</f>
        <v>Stockout ⚠</v>
      </c>
      <c r="T7" s="46" t="n">
        <f aca="false">IFERROR(N7/AVERAGE(M7:M11),0)</f>
        <v>0.251760569288777</v>
      </c>
      <c r="U7" s="47" t="n">
        <v>-826.12</v>
      </c>
      <c r="V7" s="48" t="n">
        <v>0.1498</v>
      </c>
    </row>
    <row r="8" customFormat="false" ht="15" hidden="false" customHeight="true" outlineLevel="0" collapsed="false">
      <c r="A8" s="34" t="n">
        <v>2</v>
      </c>
      <c r="B8" s="35" t="n">
        <v>2022</v>
      </c>
      <c r="C8" s="34" t="s">
        <v>263</v>
      </c>
      <c r="D8" s="34" t="s">
        <v>34</v>
      </c>
      <c r="E8" s="36" t="s">
        <v>35</v>
      </c>
      <c r="F8" s="34" t="s">
        <v>36</v>
      </c>
      <c r="G8" s="37" t="n">
        <v>611</v>
      </c>
      <c r="H8" s="37" t="n">
        <v>6</v>
      </c>
      <c r="I8" s="37" t="n">
        <f aca="false">IFERROR(ROUND('Data Bulanan'!BC6,0),0)</f>
        <v>36654</v>
      </c>
      <c r="J8" s="37" t="n">
        <v>2246093</v>
      </c>
      <c r="K8" s="37" t="n">
        <v>88264</v>
      </c>
      <c r="L8" s="38" t="n">
        <f aca="false">IFERROR(ROUND(SQRT(2*I8*J8/K8),0),0)</f>
        <v>1366</v>
      </c>
      <c r="M8" s="39" t="n">
        <f aca="false">IFERROR(AVERAGE('Data Bulanan'!AF6,'Data Bulanan'!AH6,'Data Bulanan'!AJ6,'Data Bulanan'!AL6,'Data Bulanan'!AN6,'Data Bulanan'!AP6,'Data Bulanan'!AR6,'Data Bulanan'!AT6,'Data Bulanan'!AV6,'Data Bulanan'!AX6,'Data Bulanan'!AZ6,'Data Bulanan'!BB6),0)</f>
        <v>97.4756912442396</v>
      </c>
      <c r="N8" s="40" t="n">
        <f aca="false">'Data Bulanan'!BD6</f>
        <v>24.5333398310398</v>
      </c>
      <c r="O8" s="41" t="n">
        <f aca="false">IFERROR(N8*SQRT(H8),0)</f>
        <v>60.094164272346</v>
      </c>
      <c r="P8" s="42" t="n">
        <f aca="false">IFERROR(ROUND(1.65*O8,0),0)</f>
        <v>99</v>
      </c>
      <c r="Q8" s="43" t="n">
        <f aca="false">IFERROR(ROUND(M8*H8+P8,0),0)</f>
        <v>684</v>
      </c>
      <c r="R8" s="44" t="n">
        <f aca="false">G8-Q8</f>
        <v>-73</v>
      </c>
      <c r="S8" s="45" t="str">
        <f aca="false">IF(G8=0,"Stockout ⚠",IF(G8&lt;Q8,"Reorder 🔄",IF(G8&gt;Q8+L8,"Overstock 📦","Aman ✅")))</f>
        <v>Reorder 🔄</v>
      </c>
      <c r="T8" s="46" t="n">
        <f aca="false">IFERROR(N8/AVERAGE(M7:M11),0)</f>
        <v>0.248393271460652</v>
      </c>
      <c r="U8" s="47" t="n">
        <v>-826.12</v>
      </c>
      <c r="V8" s="48" t="n">
        <v>0.1498</v>
      </c>
    </row>
    <row r="9" customFormat="false" ht="15" hidden="false" customHeight="true" outlineLevel="0" collapsed="false">
      <c r="A9" s="34" t="n">
        <v>3</v>
      </c>
      <c r="B9" s="35" t="n">
        <v>2023</v>
      </c>
      <c r="C9" s="34" t="s">
        <v>263</v>
      </c>
      <c r="D9" s="34" t="s">
        <v>34</v>
      </c>
      <c r="E9" s="36" t="s">
        <v>35</v>
      </c>
      <c r="F9" s="34" t="s">
        <v>36</v>
      </c>
      <c r="G9" s="37" t="n">
        <v>5530</v>
      </c>
      <c r="H9" s="37" t="n">
        <v>6</v>
      </c>
      <c r="I9" s="37" t="n">
        <f aca="false">IFERROR(ROUND('Data Bulanan'!CC6,0),0)</f>
        <v>38822</v>
      </c>
      <c r="J9" s="37" t="n">
        <v>2073806</v>
      </c>
      <c r="K9" s="37" t="n">
        <v>84691</v>
      </c>
      <c r="L9" s="38" t="n">
        <f aca="false">IFERROR(ROUND(SQRT(2*I9*J9/K9),0),0)</f>
        <v>1379</v>
      </c>
      <c r="M9" s="39" t="n">
        <f aca="false">IFERROR(AVERAGE('Data Bulanan'!BF6,'Data Bulanan'!BH6,'Data Bulanan'!BJ6,'Data Bulanan'!BL6,'Data Bulanan'!BN6,'Data Bulanan'!BP6,'Data Bulanan'!BR6,'Data Bulanan'!BT6,'Data Bulanan'!BV6,'Data Bulanan'!BX6,'Data Bulanan'!BZ6,'Data Bulanan'!CB6),0)</f>
        <v>103.024513568868</v>
      </c>
      <c r="N9" s="40" t="n">
        <f aca="false">'Data Bulanan'!CD6</f>
        <v>22.2308428382978</v>
      </c>
      <c r="O9" s="41" t="n">
        <f aca="false">IFERROR(N9*SQRT(H9),0)</f>
        <v>54.4542215058354</v>
      </c>
      <c r="P9" s="42" t="n">
        <f aca="false">IFERROR(ROUND(1.65*O9,0),0)</f>
        <v>90</v>
      </c>
      <c r="Q9" s="43" t="n">
        <f aca="false">IFERROR(ROUND(M9*H9+P9,0),0)</f>
        <v>708</v>
      </c>
      <c r="R9" s="44" t="n">
        <f aca="false">G9-Q9</f>
        <v>4822</v>
      </c>
      <c r="S9" s="45" t="str">
        <f aca="false">IF(G9=0,"Stockout ⚠",IF(G9&lt;Q9,"Reorder 🔄",IF(G9&gt;Q9+L9,"Overstock 📦","Aman ✅")))</f>
        <v>Overstock 📦</v>
      </c>
      <c r="T9" s="46" t="n">
        <f aca="false">IFERROR(N9/AVERAGE(M7:M11),0)</f>
        <v>0.225081127068803</v>
      </c>
      <c r="U9" s="47" t="n">
        <v>-826.12</v>
      </c>
      <c r="V9" s="48" t="n">
        <v>0.1498</v>
      </c>
    </row>
    <row r="10" customFormat="false" ht="15" hidden="false" customHeight="true" outlineLevel="0" collapsed="false">
      <c r="A10" s="34" t="n">
        <v>4</v>
      </c>
      <c r="B10" s="35" t="n">
        <v>2024</v>
      </c>
      <c r="C10" s="34" t="s">
        <v>263</v>
      </c>
      <c r="D10" s="34" t="s">
        <v>34</v>
      </c>
      <c r="E10" s="36" t="s">
        <v>35</v>
      </c>
      <c r="F10" s="34" t="s">
        <v>36</v>
      </c>
      <c r="G10" s="37" t="n">
        <v>0</v>
      </c>
      <c r="H10" s="37" t="n">
        <v>6</v>
      </c>
      <c r="I10" s="37" t="n">
        <f aca="false">IFERROR(ROUND('Data Bulanan'!DC6,0),0)</f>
        <v>40721</v>
      </c>
      <c r="J10" s="37" t="n">
        <v>2187510</v>
      </c>
      <c r="K10" s="37" t="n">
        <v>76011</v>
      </c>
      <c r="L10" s="38" t="n">
        <f aca="false">IFERROR(ROUND(SQRT(2*I10*J10/K10),0),0)</f>
        <v>1531</v>
      </c>
      <c r="M10" s="39" t="n">
        <f aca="false">IFERROR(AVERAGE('Data Bulanan'!CF6,'Data Bulanan'!CH6,'Data Bulanan'!CJ6,'Data Bulanan'!CL6,'Data Bulanan'!CN6,'Data Bulanan'!CP6,'Data Bulanan'!CR6,'Data Bulanan'!CT6,'Data Bulanan'!CV6,'Data Bulanan'!CX6,'Data Bulanan'!CZ6,'Data Bulanan'!DB6),0)</f>
        <v>108.323566308244</v>
      </c>
      <c r="N10" s="40" t="n">
        <f aca="false">'Data Bulanan'!DD6</f>
        <v>27.9664879436853</v>
      </c>
      <c r="O10" s="41" t="n">
        <f aca="false">IFERROR(N10*SQRT(H10),0)</f>
        <v>68.5036253597265</v>
      </c>
      <c r="P10" s="42" t="n">
        <f aca="false">IFERROR(ROUND(1.65*O10,0),0)</f>
        <v>113</v>
      </c>
      <c r="Q10" s="43" t="n">
        <f aca="false">IFERROR(ROUND(M10*H10+P10,0),0)</f>
        <v>763</v>
      </c>
      <c r="R10" s="44" t="n">
        <f aca="false">G10-Q10</f>
        <v>-763</v>
      </c>
      <c r="S10" s="45" t="str">
        <f aca="false">IF(G10=0,"Stockout ⚠",IF(G10&lt;Q10,"Reorder 🔄",IF(G10&gt;Q10+L10,"Overstock 📦","Aman ✅")))</f>
        <v>Stockout ⚠</v>
      </c>
      <c r="T10" s="46" t="n">
        <f aca="false">IFERROR(N10/AVERAGE(M7:M11),0)</f>
        <v>0.283152945315984</v>
      </c>
      <c r="U10" s="47" t="n">
        <v>-826.12</v>
      </c>
      <c r="V10" s="48" t="n">
        <v>0.1498</v>
      </c>
    </row>
    <row r="11" customFormat="false" ht="15" hidden="false" customHeight="true" outlineLevel="0" collapsed="false">
      <c r="A11" s="34" t="n">
        <v>5</v>
      </c>
      <c r="B11" s="35" t="n">
        <v>2025</v>
      </c>
      <c r="C11" s="34" t="s">
        <v>263</v>
      </c>
      <c r="D11" s="34" t="s">
        <v>34</v>
      </c>
      <c r="E11" s="36" t="s">
        <v>35</v>
      </c>
      <c r="F11" s="34" t="s">
        <v>36</v>
      </c>
      <c r="G11" s="37" t="n">
        <v>4121</v>
      </c>
      <c r="H11" s="37" t="n">
        <v>6</v>
      </c>
      <c r="I11" s="37" t="n">
        <f aca="false">IFERROR(ROUND('Data Bulanan'!EC6,0),0)</f>
        <v>31748</v>
      </c>
      <c r="J11" s="37" t="n">
        <v>2141357</v>
      </c>
      <c r="K11" s="37" t="n">
        <v>84902</v>
      </c>
      <c r="L11" s="38" t="n">
        <f aca="false">IFERROR(ROUND(SQRT(2*I11*J11/K11),0),0)</f>
        <v>1265</v>
      </c>
      <c r="M11" s="39" t="n">
        <f aca="false">IFERROR(AVERAGE('Data Bulanan'!DF6,'Data Bulanan'!DH6,'Data Bulanan'!DJ6,'Data Bulanan'!DL6,'Data Bulanan'!DN6,'Data Bulanan'!DP6,'Data Bulanan'!DR6,'Data Bulanan'!DT6,'Data Bulanan'!DV6,'Data Bulanan'!DX6,'Data Bulanan'!DZ6,'Data Bulanan'!EB6),0)</f>
        <v>84.3679467485919</v>
      </c>
      <c r="N11" s="40" t="n">
        <f aca="false">'Data Bulanan'!ED6</f>
        <v>17.0371347004709</v>
      </c>
      <c r="O11" s="41" t="n">
        <f aca="false">IFERROR(N11*SQRT(H11),0)</f>
        <v>41.7322866952189</v>
      </c>
      <c r="P11" s="42" t="n">
        <f aca="false">IFERROR(ROUND(1.65*O11,0),0)</f>
        <v>69</v>
      </c>
      <c r="Q11" s="43" t="n">
        <f aca="false">IFERROR(ROUND(M11*H11+P11,0),0)</f>
        <v>575</v>
      </c>
      <c r="R11" s="44" t="n">
        <f aca="false">G11-Q11</f>
        <v>3546</v>
      </c>
      <c r="S11" s="45" t="str">
        <f aca="false">IF(G11=0,"Stockout ⚠",IF(G11&lt;Q11,"Reorder 🔄",IF(G11&gt;Q11+L11,"Overstock 📦","Aman ✅")))</f>
        <v>Overstock 📦</v>
      </c>
      <c r="T11" s="46" t="n">
        <f aca="false">IFERROR(N11/AVERAGE(M7:M11),0)</f>
        <v>0.172496270532702</v>
      </c>
      <c r="U11" s="47" t="n">
        <v>-826.12</v>
      </c>
      <c r="V11" s="48" t="n">
        <v>0.1498</v>
      </c>
    </row>
    <row r="12" customFormat="false" ht="15" hidden="false" customHeight="true" outlineLevel="0" collapsed="false">
      <c r="A12" s="49" t="n">
        <v>1</v>
      </c>
      <c r="B12" s="35" t="n">
        <v>2021</v>
      </c>
      <c r="C12" s="49" t="s">
        <v>263</v>
      </c>
      <c r="D12" s="49" t="s">
        <v>37</v>
      </c>
      <c r="E12" s="50" t="s">
        <v>38</v>
      </c>
      <c r="F12" s="49" t="s">
        <v>36</v>
      </c>
      <c r="G12" s="37" t="n">
        <v>15322</v>
      </c>
      <c r="H12" s="37" t="n">
        <v>41</v>
      </c>
      <c r="I12" s="37" t="n">
        <f aca="false">IFERROR(ROUND('Data Bulanan'!AC7,0),0)</f>
        <v>40423</v>
      </c>
      <c r="J12" s="37" t="n">
        <v>10459221</v>
      </c>
      <c r="K12" s="37" t="n">
        <v>103961</v>
      </c>
      <c r="L12" s="38" t="n">
        <f aca="false">IFERROR(ROUND(SQRT(2*I12*J12/K12),0),0)</f>
        <v>2852</v>
      </c>
      <c r="M12" s="39" t="n">
        <f aca="false">IFERROR(AVERAGE('Data Bulanan'!F7,'Data Bulanan'!H7,'Data Bulanan'!J7,'Data Bulanan'!L7,'Data Bulanan'!N7,'Data Bulanan'!P7,'Data Bulanan'!R7,'Data Bulanan'!T7,'Data Bulanan'!V7,'Data Bulanan'!X7,'Data Bulanan'!Z7,'Data Bulanan'!AB7),0)</f>
        <v>107.709779825909</v>
      </c>
      <c r="N12" s="40" t="n">
        <f aca="false">'Data Bulanan'!AD7</f>
        <v>26.8091311049332</v>
      </c>
      <c r="O12" s="41" t="n">
        <f aca="false">IFERROR(N12*SQRT(H12),0)</f>
        <v>171.662197162512</v>
      </c>
      <c r="P12" s="42" t="n">
        <f aca="false">IFERROR(ROUND(1.65*O12,0),0)</f>
        <v>283</v>
      </c>
      <c r="Q12" s="43" t="n">
        <f aca="false">IFERROR(ROUND(M12*H12+P12,0),0)</f>
        <v>4699</v>
      </c>
      <c r="R12" s="44" t="n">
        <f aca="false">G12-Q12</f>
        <v>10623</v>
      </c>
      <c r="S12" s="45" t="str">
        <f aca="false">IF(G12=0,"Stockout ⚠",IF(G12&lt;Q12,"Reorder 🔄",IF(G12&gt;Q12+L12,"Overstock 📦","Aman ✅")))</f>
        <v>Overstock 📦</v>
      </c>
      <c r="T12" s="46" t="n">
        <f aca="false">IFERROR(N12/AVERAGE(M12:M16),0)</f>
        <v>0.24972803085788</v>
      </c>
      <c r="U12" s="47" t="n">
        <v>-2010.59</v>
      </c>
      <c r="V12" s="48" t="n">
        <v>0.428</v>
      </c>
    </row>
    <row r="13" customFormat="false" ht="15" hidden="false" customHeight="true" outlineLevel="0" collapsed="false">
      <c r="A13" s="49" t="n">
        <v>2</v>
      </c>
      <c r="B13" s="35" t="n">
        <v>2022</v>
      </c>
      <c r="C13" s="49" t="s">
        <v>263</v>
      </c>
      <c r="D13" s="49" t="s">
        <v>37</v>
      </c>
      <c r="E13" s="50" t="s">
        <v>38</v>
      </c>
      <c r="F13" s="49" t="s">
        <v>36</v>
      </c>
      <c r="G13" s="37" t="n">
        <v>6496</v>
      </c>
      <c r="H13" s="37" t="n">
        <v>41</v>
      </c>
      <c r="I13" s="37" t="n">
        <f aca="false">IFERROR(ROUND('Data Bulanan'!BC7,0),0)</f>
        <v>45365</v>
      </c>
      <c r="J13" s="37" t="n">
        <v>10897733</v>
      </c>
      <c r="K13" s="37" t="n">
        <v>103809</v>
      </c>
      <c r="L13" s="38" t="n">
        <f aca="false">IFERROR(ROUND(SQRT(2*I13*J13/K13),0),0)</f>
        <v>3086</v>
      </c>
      <c r="M13" s="39" t="n">
        <f aca="false">IFERROR(AVERAGE('Data Bulanan'!AF7,'Data Bulanan'!AH7,'Data Bulanan'!AJ7,'Data Bulanan'!AL7,'Data Bulanan'!AN7,'Data Bulanan'!AP7,'Data Bulanan'!AR7,'Data Bulanan'!AT7,'Data Bulanan'!AV7,'Data Bulanan'!AX7,'Data Bulanan'!AZ7,'Data Bulanan'!BB7),0)</f>
        <v>120.620020481311</v>
      </c>
      <c r="N13" s="40" t="n">
        <f aca="false">'Data Bulanan'!BD7</f>
        <v>22.668063059471</v>
      </c>
      <c r="O13" s="41" t="n">
        <f aca="false">IFERROR(N13*SQRT(H13),0)</f>
        <v>145.146423991755</v>
      </c>
      <c r="P13" s="42" t="n">
        <f aca="false">IFERROR(ROUND(1.65*O13,0),0)</f>
        <v>239</v>
      </c>
      <c r="Q13" s="43" t="n">
        <f aca="false">IFERROR(ROUND(M13*H13+P13,0),0)</f>
        <v>5184</v>
      </c>
      <c r="R13" s="44" t="n">
        <f aca="false">G13-Q13</f>
        <v>1312</v>
      </c>
      <c r="S13" s="45" t="str">
        <f aca="false">IF(G13=0,"Stockout ⚠",IF(G13&lt;Q13,"Reorder 🔄",IF(G13&gt;Q13+L13,"Overstock 📦","Aman ✅")))</f>
        <v>Aman ✅</v>
      </c>
      <c r="T13" s="46" t="n">
        <f aca="false">IFERROR(N13/AVERAGE(M12:M16),0)</f>
        <v>0.211153831470587</v>
      </c>
      <c r="U13" s="47" t="n">
        <v>-2010.59</v>
      </c>
      <c r="V13" s="48" t="n">
        <v>0.428</v>
      </c>
    </row>
    <row r="14" customFormat="false" ht="15" hidden="false" customHeight="true" outlineLevel="0" collapsed="false">
      <c r="A14" s="49" t="n">
        <v>3</v>
      </c>
      <c r="B14" s="35" t="n">
        <v>2023</v>
      </c>
      <c r="C14" s="49" t="s">
        <v>263</v>
      </c>
      <c r="D14" s="49" t="s">
        <v>37</v>
      </c>
      <c r="E14" s="50" t="s">
        <v>38</v>
      </c>
      <c r="F14" s="49" t="s">
        <v>36</v>
      </c>
      <c r="G14" s="37" t="n">
        <v>16278</v>
      </c>
      <c r="H14" s="37" t="n">
        <v>41</v>
      </c>
      <c r="I14" s="37" t="n">
        <f aca="false">IFERROR(ROUND('Data Bulanan'!CC7,0),0)</f>
        <v>45017</v>
      </c>
      <c r="J14" s="37" t="n">
        <v>10242342</v>
      </c>
      <c r="K14" s="37" t="n">
        <v>124568</v>
      </c>
      <c r="L14" s="38" t="n">
        <f aca="false">IFERROR(ROUND(SQRT(2*I14*J14/K14),0),0)</f>
        <v>2721</v>
      </c>
      <c r="M14" s="39" t="n">
        <f aca="false">IFERROR(AVERAGE('Data Bulanan'!BF7,'Data Bulanan'!BH7,'Data Bulanan'!BJ7,'Data Bulanan'!BL7,'Data Bulanan'!BN7,'Data Bulanan'!BP7,'Data Bulanan'!BR7,'Data Bulanan'!BT7,'Data Bulanan'!BV7,'Data Bulanan'!BX7,'Data Bulanan'!BZ7,'Data Bulanan'!CB7),0)</f>
        <v>119.625582437276</v>
      </c>
      <c r="N14" s="40" t="n">
        <f aca="false">'Data Bulanan'!CD7</f>
        <v>31.3617821200439</v>
      </c>
      <c r="O14" s="41" t="n">
        <f aca="false">IFERROR(N14*SQRT(H14),0)</f>
        <v>200.813387221941</v>
      </c>
      <c r="P14" s="42" t="n">
        <f aca="false">IFERROR(ROUND(1.65*O14,0),0)</f>
        <v>331</v>
      </c>
      <c r="Q14" s="43" t="n">
        <f aca="false">IFERROR(ROUND(M14*H14+P14,0),0)</f>
        <v>5236</v>
      </c>
      <c r="R14" s="44" t="n">
        <f aca="false">G14-Q14</f>
        <v>11042</v>
      </c>
      <c r="S14" s="45" t="str">
        <f aca="false">IF(G14=0,"Stockout ⚠",IF(G14&lt;Q14,"Reorder 🔄",IF(G14&gt;Q14+L14,"Overstock 📦","Aman ✅")))</f>
        <v>Overstock 📦</v>
      </c>
      <c r="T14" s="46" t="n">
        <f aca="false">IFERROR(N14/AVERAGE(M12:M16),0)</f>
        <v>0.292136140570079</v>
      </c>
      <c r="U14" s="47" t="n">
        <v>-2010.59</v>
      </c>
      <c r="V14" s="48" t="n">
        <v>0.428</v>
      </c>
    </row>
    <row r="15" customFormat="false" ht="15" hidden="false" customHeight="true" outlineLevel="0" collapsed="false">
      <c r="A15" s="49" t="n">
        <v>4</v>
      </c>
      <c r="B15" s="35" t="n">
        <v>2024</v>
      </c>
      <c r="C15" s="49" t="s">
        <v>263</v>
      </c>
      <c r="D15" s="49" t="s">
        <v>37</v>
      </c>
      <c r="E15" s="50" t="s">
        <v>38</v>
      </c>
      <c r="F15" s="49" t="s">
        <v>36</v>
      </c>
      <c r="G15" s="37" t="n">
        <v>23217</v>
      </c>
      <c r="H15" s="37" t="n">
        <v>41</v>
      </c>
      <c r="I15" s="37" t="n">
        <f aca="false">IFERROR(ROUND('Data Bulanan'!DC7,0),0)</f>
        <v>35851</v>
      </c>
      <c r="J15" s="37" t="n">
        <v>10188565</v>
      </c>
      <c r="K15" s="37" t="n">
        <v>116830</v>
      </c>
      <c r="L15" s="38" t="n">
        <f aca="false">IFERROR(ROUND(SQRT(2*I15*J15/K15),0),0)</f>
        <v>2501</v>
      </c>
      <c r="M15" s="39" t="n">
        <f aca="false">IFERROR(AVERAGE('Data Bulanan'!CF7,'Data Bulanan'!CH7,'Data Bulanan'!CJ7,'Data Bulanan'!CL7,'Data Bulanan'!CN7,'Data Bulanan'!CP7,'Data Bulanan'!CR7,'Data Bulanan'!CT7,'Data Bulanan'!CV7,'Data Bulanan'!CX7,'Data Bulanan'!CZ7,'Data Bulanan'!DB7),0)</f>
        <v>95.3210509472606</v>
      </c>
      <c r="N15" s="40" t="n">
        <f aca="false">'Data Bulanan'!DD7</f>
        <v>22.6357742571775</v>
      </c>
      <c r="O15" s="41" t="n">
        <f aca="false">IFERROR(N15*SQRT(H15),0)</f>
        <v>144.939674779192</v>
      </c>
      <c r="P15" s="42" t="n">
        <f aca="false">IFERROR(ROUND(1.65*O15,0),0)</f>
        <v>239</v>
      </c>
      <c r="Q15" s="43" t="n">
        <f aca="false">IFERROR(ROUND(M15*H15+P15,0),0)</f>
        <v>4147</v>
      </c>
      <c r="R15" s="44" t="n">
        <f aca="false">G15-Q15</f>
        <v>19070</v>
      </c>
      <c r="S15" s="45" t="str">
        <f aca="false">IF(G15=0,"Stockout ⚠",IF(G15&lt;Q15,"Reorder 🔄",IF(G15&gt;Q15+L15,"Overstock 📦","Aman ✅")))</f>
        <v>Overstock 📦</v>
      </c>
      <c r="T15" s="46" t="n">
        <f aca="false">IFERROR(N15/AVERAGE(M12:M16),0)</f>
        <v>0.210853060103401</v>
      </c>
      <c r="U15" s="47" t="n">
        <v>-2010.59</v>
      </c>
      <c r="V15" s="48" t="n">
        <v>0.428</v>
      </c>
    </row>
    <row r="16" customFormat="false" ht="15" hidden="false" customHeight="true" outlineLevel="0" collapsed="false">
      <c r="A16" s="49" t="n">
        <v>5</v>
      </c>
      <c r="B16" s="35" t="n">
        <v>2025</v>
      </c>
      <c r="C16" s="49" t="s">
        <v>263</v>
      </c>
      <c r="D16" s="49" t="s">
        <v>37</v>
      </c>
      <c r="E16" s="50" t="s">
        <v>38</v>
      </c>
      <c r="F16" s="49" t="s">
        <v>36</v>
      </c>
      <c r="G16" s="37" t="n">
        <v>12645</v>
      </c>
      <c r="H16" s="37" t="n">
        <v>41</v>
      </c>
      <c r="I16" s="37" t="n">
        <f aca="false">IFERROR(ROUND('Data Bulanan'!EC7,0),0)</f>
        <v>35127</v>
      </c>
      <c r="J16" s="37" t="n">
        <v>11280718</v>
      </c>
      <c r="K16" s="37" t="n">
        <v>117450</v>
      </c>
      <c r="L16" s="38" t="n">
        <f aca="false">IFERROR(ROUND(SQRT(2*I16*J16/K16),0),0)</f>
        <v>2598</v>
      </c>
      <c r="M16" s="39" t="n">
        <f aca="false">IFERROR(AVERAGE('Data Bulanan'!DF7,'Data Bulanan'!DH7,'Data Bulanan'!DJ7,'Data Bulanan'!DL7,'Data Bulanan'!DN7,'Data Bulanan'!DP7,'Data Bulanan'!DR7,'Data Bulanan'!DT7,'Data Bulanan'!DV7,'Data Bulanan'!DX7,'Data Bulanan'!DZ7,'Data Bulanan'!EB7),0)</f>
        <v>93.4901241679468</v>
      </c>
      <c r="N16" s="40" t="n">
        <f aca="false">'Data Bulanan'!ED7</f>
        <v>21.9543597290249</v>
      </c>
      <c r="O16" s="41" t="n">
        <f aca="false">IFERROR(N16*SQRT(H16),0)</f>
        <v>140.576492898239</v>
      </c>
      <c r="P16" s="42" t="n">
        <f aca="false">IFERROR(ROUND(1.65*O16,0),0)</f>
        <v>232</v>
      </c>
      <c r="Q16" s="43" t="n">
        <f aca="false">IFERROR(ROUND(M16*H16+P16,0),0)</f>
        <v>4065</v>
      </c>
      <c r="R16" s="44" t="n">
        <f aca="false">G16-Q16</f>
        <v>8580</v>
      </c>
      <c r="S16" s="45" t="str">
        <f aca="false">IF(G16=0,"Stockout ⚠",IF(G16&lt;Q16,"Reorder 🔄",IF(G16&gt;Q16+L16,"Overstock 📦","Aman ✅")))</f>
        <v>Overstock 📦</v>
      </c>
      <c r="T16" s="46" t="n">
        <f aca="false">IFERROR(N16/AVERAGE(M12:M16),0)</f>
        <v>0.20450565900161</v>
      </c>
      <c r="U16" s="47" t="n">
        <v>-2010.59</v>
      </c>
      <c r="V16" s="48" t="n">
        <v>0.428</v>
      </c>
    </row>
    <row r="17" customFormat="false" ht="15" hidden="false" customHeight="true" outlineLevel="0" collapsed="false">
      <c r="A17" s="34" t="n">
        <v>1</v>
      </c>
      <c r="B17" s="35" t="n">
        <v>2021</v>
      </c>
      <c r="C17" s="34" t="s">
        <v>263</v>
      </c>
      <c r="D17" s="34" t="s">
        <v>39</v>
      </c>
      <c r="E17" s="36" t="s">
        <v>40</v>
      </c>
      <c r="F17" s="34" t="s">
        <v>36</v>
      </c>
      <c r="G17" s="37" t="n">
        <v>2265</v>
      </c>
      <c r="H17" s="37" t="n">
        <v>9</v>
      </c>
      <c r="I17" s="37" t="n">
        <f aca="false">IFERROR(ROUND('Data Bulanan'!AC8,0),0)</f>
        <v>35615</v>
      </c>
      <c r="J17" s="37" t="n">
        <v>732974</v>
      </c>
      <c r="K17" s="37" t="n">
        <v>417580</v>
      </c>
      <c r="L17" s="38" t="n">
        <f aca="false">IFERROR(ROUND(SQRT(2*I17*J17/K17),0),0)</f>
        <v>354</v>
      </c>
      <c r="M17" s="39" t="n">
        <f aca="false">IFERROR(AVERAGE('Data Bulanan'!F8,'Data Bulanan'!H8,'Data Bulanan'!J8,'Data Bulanan'!L8,'Data Bulanan'!N8,'Data Bulanan'!P8,'Data Bulanan'!R8,'Data Bulanan'!T8,'Data Bulanan'!V8,'Data Bulanan'!X8,'Data Bulanan'!Z8,'Data Bulanan'!AB8),0)</f>
        <v>94.7442588325653</v>
      </c>
      <c r="N17" s="40" t="n">
        <f aca="false">'Data Bulanan'!AD8</f>
        <v>26.3758422988684</v>
      </c>
      <c r="O17" s="41" t="n">
        <f aca="false">IFERROR(N17*SQRT(H17),0)</f>
        <v>79.1275268966051</v>
      </c>
      <c r="P17" s="42" t="n">
        <f aca="false">IFERROR(ROUND(1.65*O17,0),0)</f>
        <v>131</v>
      </c>
      <c r="Q17" s="43" t="n">
        <f aca="false">IFERROR(ROUND(M17*H17+P17,0),0)</f>
        <v>984</v>
      </c>
      <c r="R17" s="44" t="n">
        <f aca="false">G17-Q17</f>
        <v>1281</v>
      </c>
      <c r="S17" s="45" t="str">
        <f aca="false">IF(G17=0,"Stockout ⚠",IF(G17&lt;Q17,"Reorder 🔄",IF(G17&gt;Q17+L17,"Overstock 📦","Aman ✅")))</f>
        <v>Overstock 📦</v>
      </c>
      <c r="T17" s="46" t="n">
        <f aca="false">IFERROR(N17/AVERAGE(M17:M21),0)</f>
        <v>0.323432629052171</v>
      </c>
      <c r="U17" s="47" t="n">
        <v>-706.58</v>
      </c>
      <c r="V17" s="48" t="n">
        <v>0.1042</v>
      </c>
    </row>
    <row r="18" customFormat="false" ht="15" hidden="false" customHeight="true" outlineLevel="0" collapsed="false">
      <c r="A18" s="34" t="n">
        <v>2</v>
      </c>
      <c r="B18" s="35" t="n">
        <v>2022</v>
      </c>
      <c r="C18" s="34" t="s">
        <v>263</v>
      </c>
      <c r="D18" s="34" t="s">
        <v>39</v>
      </c>
      <c r="E18" s="36" t="s">
        <v>40</v>
      </c>
      <c r="F18" s="34" t="s">
        <v>36</v>
      </c>
      <c r="G18" s="37" t="n">
        <v>1928</v>
      </c>
      <c r="H18" s="37" t="n">
        <v>9</v>
      </c>
      <c r="I18" s="37" t="n">
        <f aca="false">IFERROR(ROUND('Data Bulanan'!BC8,0),0)</f>
        <v>28394</v>
      </c>
      <c r="J18" s="37" t="n">
        <v>760393</v>
      </c>
      <c r="K18" s="37" t="n">
        <v>402234</v>
      </c>
      <c r="L18" s="38" t="n">
        <f aca="false">IFERROR(ROUND(SQRT(2*I18*J18/K18),0),0)</f>
        <v>328</v>
      </c>
      <c r="M18" s="39" t="n">
        <f aca="false">IFERROR(AVERAGE('Data Bulanan'!AF8,'Data Bulanan'!AH8,'Data Bulanan'!AJ8,'Data Bulanan'!AL8,'Data Bulanan'!AN8,'Data Bulanan'!AP8,'Data Bulanan'!AR8,'Data Bulanan'!AT8,'Data Bulanan'!AV8,'Data Bulanan'!AX8,'Data Bulanan'!AZ8,'Data Bulanan'!BB8),0)</f>
        <v>75.8253712237583</v>
      </c>
      <c r="N18" s="40" t="n">
        <f aca="false">'Data Bulanan'!BD8</f>
        <v>20.3959679895098</v>
      </c>
      <c r="O18" s="41" t="n">
        <f aca="false">IFERROR(N18*SQRT(H18),0)</f>
        <v>61.1879039685293</v>
      </c>
      <c r="P18" s="42" t="n">
        <f aca="false">IFERROR(ROUND(1.65*O18,0),0)</f>
        <v>101</v>
      </c>
      <c r="Q18" s="43" t="n">
        <f aca="false">IFERROR(ROUND(M18*H18+P18,0),0)</f>
        <v>783</v>
      </c>
      <c r="R18" s="44" t="n">
        <f aca="false">G18-Q18</f>
        <v>1145</v>
      </c>
      <c r="S18" s="45" t="str">
        <f aca="false">IF(G18=0,"Stockout ⚠",IF(G18&lt;Q18,"Reorder 🔄",IF(G18&gt;Q18+L18,"Overstock 📦","Aman ✅")))</f>
        <v>Overstock 📦</v>
      </c>
      <c r="T18" s="46" t="n">
        <f aca="false">IFERROR(N18/AVERAGE(M17:M21),0)</f>
        <v>0.250104678143079</v>
      </c>
      <c r="U18" s="47" t="n">
        <v>-706.58</v>
      </c>
      <c r="V18" s="48" t="n">
        <v>0.1042</v>
      </c>
    </row>
    <row r="19" customFormat="false" ht="15" hidden="false" customHeight="true" outlineLevel="0" collapsed="false">
      <c r="A19" s="34" t="n">
        <v>3</v>
      </c>
      <c r="B19" s="35" t="n">
        <v>2023</v>
      </c>
      <c r="C19" s="34" t="s">
        <v>263</v>
      </c>
      <c r="D19" s="34" t="s">
        <v>39</v>
      </c>
      <c r="E19" s="36" t="s">
        <v>40</v>
      </c>
      <c r="F19" s="34" t="s">
        <v>36</v>
      </c>
      <c r="G19" s="37" t="n">
        <v>1837</v>
      </c>
      <c r="H19" s="37" t="n">
        <v>9</v>
      </c>
      <c r="I19" s="37" t="n">
        <f aca="false">IFERROR(ROUND('Data Bulanan'!CC8,0),0)</f>
        <v>29339</v>
      </c>
      <c r="J19" s="37" t="n">
        <v>703207</v>
      </c>
      <c r="K19" s="37" t="n">
        <v>390435</v>
      </c>
      <c r="L19" s="38" t="n">
        <f aca="false">IFERROR(ROUND(SQRT(2*I19*J19/K19),0),0)</f>
        <v>325</v>
      </c>
      <c r="M19" s="39" t="n">
        <f aca="false">IFERROR(AVERAGE('Data Bulanan'!BF8,'Data Bulanan'!BH8,'Data Bulanan'!BJ8,'Data Bulanan'!BL8,'Data Bulanan'!BN8,'Data Bulanan'!BP8,'Data Bulanan'!BR8,'Data Bulanan'!BT8,'Data Bulanan'!BV8,'Data Bulanan'!BX8,'Data Bulanan'!BZ8,'Data Bulanan'!CB8),0)</f>
        <v>77.8901817716334</v>
      </c>
      <c r="N19" s="40" t="n">
        <f aca="false">'Data Bulanan'!CD8</f>
        <v>15.9817442368021</v>
      </c>
      <c r="O19" s="41" t="n">
        <f aca="false">IFERROR(N19*SQRT(H19),0)</f>
        <v>47.9452327104063</v>
      </c>
      <c r="P19" s="42" t="n">
        <f aca="false">IFERROR(ROUND(1.65*O19,0),0)</f>
        <v>79</v>
      </c>
      <c r="Q19" s="43" t="n">
        <f aca="false">IFERROR(ROUND(M19*H19+P19,0),0)</f>
        <v>780</v>
      </c>
      <c r="R19" s="44" t="n">
        <f aca="false">G19-Q19</f>
        <v>1057</v>
      </c>
      <c r="S19" s="45" t="str">
        <f aca="false">IF(G19=0,"Stockout ⚠",IF(G19&lt;Q19,"Reorder 🔄",IF(G19&gt;Q19+L19,"Overstock 📦","Aman ✅")))</f>
        <v>Overstock 📦</v>
      </c>
      <c r="T19" s="46" t="n">
        <f aca="false">IFERROR(N19/AVERAGE(M17:M21),0)</f>
        <v>0.195975449685262</v>
      </c>
      <c r="U19" s="47" t="n">
        <v>-706.58</v>
      </c>
      <c r="V19" s="48" t="n">
        <v>0.1042</v>
      </c>
    </row>
    <row r="20" customFormat="false" ht="15" hidden="false" customHeight="true" outlineLevel="0" collapsed="false">
      <c r="A20" s="34" t="n">
        <v>4</v>
      </c>
      <c r="B20" s="35" t="n">
        <v>2024</v>
      </c>
      <c r="C20" s="34" t="s">
        <v>263</v>
      </c>
      <c r="D20" s="34" t="s">
        <v>39</v>
      </c>
      <c r="E20" s="36" t="s">
        <v>40</v>
      </c>
      <c r="F20" s="34" t="s">
        <v>36</v>
      </c>
      <c r="G20" s="37" t="n">
        <v>0</v>
      </c>
      <c r="H20" s="37" t="n">
        <v>9</v>
      </c>
      <c r="I20" s="37" t="n">
        <f aca="false">IFERROR(ROUND('Data Bulanan'!DC8,0),0)</f>
        <v>27151</v>
      </c>
      <c r="J20" s="37" t="n">
        <v>710824</v>
      </c>
      <c r="K20" s="37" t="n">
        <v>443142</v>
      </c>
      <c r="L20" s="38" t="n">
        <f aca="false">IFERROR(ROUND(SQRT(2*I20*J20/K20),0),0)</f>
        <v>295</v>
      </c>
      <c r="M20" s="39" t="n">
        <f aca="false">IFERROR(AVERAGE('Data Bulanan'!CF8,'Data Bulanan'!CH8,'Data Bulanan'!CJ8,'Data Bulanan'!CL8,'Data Bulanan'!CN8,'Data Bulanan'!CP8,'Data Bulanan'!CR8,'Data Bulanan'!CT8,'Data Bulanan'!CV8,'Data Bulanan'!CX8,'Data Bulanan'!CZ8,'Data Bulanan'!DB8),0)</f>
        <v>72.437192780338</v>
      </c>
      <c r="N20" s="40" t="n">
        <f aca="false">'Data Bulanan'!DD8</f>
        <v>18.8747283672229</v>
      </c>
      <c r="O20" s="41" t="n">
        <f aca="false">IFERROR(N20*SQRT(H20),0)</f>
        <v>56.6241851016688</v>
      </c>
      <c r="P20" s="42" t="n">
        <f aca="false">IFERROR(ROUND(1.65*O20,0),0)</f>
        <v>93</v>
      </c>
      <c r="Q20" s="43" t="n">
        <f aca="false">IFERROR(ROUND(M20*H20+P20,0),0)</f>
        <v>745</v>
      </c>
      <c r="R20" s="44" t="n">
        <f aca="false">G20-Q20</f>
        <v>-745</v>
      </c>
      <c r="S20" s="45" t="str">
        <f aca="false">IF(G20=0,"Stockout ⚠",IF(G20&lt;Q20,"Reorder 🔄",IF(G20&gt;Q20+L20,"Overstock 📦","Aman ✅")))</f>
        <v>Stockout ⚠</v>
      </c>
      <c r="T20" s="46" t="n">
        <f aca="false">IFERROR(N20/AVERAGE(M17:M21),0)</f>
        <v>0.23145054285976</v>
      </c>
      <c r="U20" s="47" t="n">
        <v>-706.58</v>
      </c>
      <c r="V20" s="48" t="n">
        <v>0.1042</v>
      </c>
    </row>
    <row r="21" customFormat="false" ht="15" hidden="false" customHeight="true" outlineLevel="0" collapsed="false">
      <c r="A21" s="34" t="n">
        <v>5</v>
      </c>
      <c r="B21" s="35" t="n">
        <v>2025</v>
      </c>
      <c r="C21" s="34" t="s">
        <v>263</v>
      </c>
      <c r="D21" s="34" t="s">
        <v>39</v>
      </c>
      <c r="E21" s="36" t="s">
        <v>40</v>
      </c>
      <c r="F21" s="34" t="s">
        <v>36</v>
      </c>
      <c r="G21" s="37" t="n">
        <v>1365</v>
      </c>
      <c r="H21" s="37" t="n">
        <v>9</v>
      </c>
      <c r="I21" s="37" t="n">
        <f aca="false">IFERROR(ROUND('Data Bulanan'!EC8,0),0)</f>
        <v>32703</v>
      </c>
      <c r="J21" s="37" t="n">
        <v>753745</v>
      </c>
      <c r="K21" s="37" t="n">
        <v>450334</v>
      </c>
      <c r="L21" s="38" t="n">
        <f aca="false">IFERROR(ROUND(SQRT(2*I21*J21/K21),0),0)</f>
        <v>331</v>
      </c>
      <c r="M21" s="39" t="n">
        <f aca="false">IFERROR(AVERAGE('Data Bulanan'!DF8,'Data Bulanan'!DH8,'Data Bulanan'!DJ8,'Data Bulanan'!DL8,'Data Bulanan'!DN8,'Data Bulanan'!DP8,'Data Bulanan'!DR8,'Data Bulanan'!DT8,'Data Bulanan'!DV8,'Data Bulanan'!DX8,'Data Bulanan'!DZ8,'Data Bulanan'!EB8),0)</f>
        <v>86.8516257040451</v>
      </c>
      <c r="N21" s="40" t="n">
        <f aca="false">'Data Bulanan'!ED8</f>
        <v>19.094294052307</v>
      </c>
      <c r="O21" s="41" t="n">
        <f aca="false">IFERROR(N21*SQRT(H21),0)</f>
        <v>57.2828821569211</v>
      </c>
      <c r="P21" s="42" t="n">
        <f aca="false">IFERROR(ROUND(1.65*O21,0),0)</f>
        <v>95</v>
      </c>
      <c r="Q21" s="43" t="n">
        <f aca="false">IFERROR(ROUND(M21*H21+P21,0),0)</f>
        <v>877</v>
      </c>
      <c r="R21" s="44" t="n">
        <f aca="false">G21-Q21</f>
        <v>488</v>
      </c>
      <c r="S21" s="45" t="str">
        <f aca="false">IF(G21=0,"Stockout ⚠",IF(G21&lt;Q21,"Reorder 🔄",IF(G21&gt;Q21+L21,"Overstock 📦","Aman ✅")))</f>
        <v>Overstock 📦</v>
      </c>
      <c r="T21" s="46" t="n">
        <f aca="false">IFERROR(N21/AVERAGE(M17:M21),0)</f>
        <v>0.234142957607001</v>
      </c>
      <c r="U21" s="47" t="n">
        <v>-706.58</v>
      </c>
      <c r="V21" s="48" t="n">
        <v>0.1042</v>
      </c>
    </row>
    <row r="22" customFormat="false" ht="15" hidden="false" customHeight="true" outlineLevel="0" collapsed="false">
      <c r="A22" s="49" t="n">
        <v>1</v>
      </c>
      <c r="B22" s="35" t="n">
        <v>2021</v>
      </c>
      <c r="C22" s="49" t="s">
        <v>263</v>
      </c>
      <c r="D22" s="49" t="s">
        <v>41</v>
      </c>
      <c r="E22" s="50" t="s">
        <v>42</v>
      </c>
      <c r="F22" s="49" t="s">
        <v>36</v>
      </c>
      <c r="G22" s="37" t="n">
        <v>0</v>
      </c>
      <c r="H22" s="37" t="n">
        <v>7</v>
      </c>
      <c r="I22" s="37" t="n">
        <f aca="false">IFERROR(ROUND('Data Bulanan'!AC9,0),0)</f>
        <v>36990</v>
      </c>
      <c r="J22" s="37" t="n">
        <v>2367078</v>
      </c>
      <c r="K22" s="37" t="n">
        <v>157936</v>
      </c>
      <c r="L22" s="38" t="n">
        <f aca="false">IFERROR(ROUND(SQRT(2*I22*J22/K22),0),0)</f>
        <v>1053</v>
      </c>
      <c r="M22" s="39" t="n">
        <f aca="false">IFERROR(AVERAGE('Data Bulanan'!F9,'Data Bulanan'!H9,'Data Bulanan'!J9,'Data Bulanan'!L9,'Data Bulanan'!N9,'Data Bulanan'!P9,'Data Bulanan'!R9,'Data Bulanan'!T9,'Data Bulanan'!V9,'Data Bulanan'!X9,'Data Bulanan'!Z9,'Data Bulanan'!AB9),0)</f>
        <v>98.3712301587302</v>
      </c>
      <c r="N22" s="40" t="n">
        <f aca="false">'Data Bulanan'!AD9</f>
        <v>22.3386197728989</v>
      </c>
      <c r="O22" s="41" t="n">
        <f aca="false">IFERROR(N22*SQRT(H22),0)</f>
        <v>59.1024325515207</v>
      </c>
      <c r="P22" s="42" t="n">
        <f aca="false">IFERROR(ROUND(1.65*O22,0),0)</f>
        <v>98</v>
      </c>
      <c r="Q22" s="43" t="n">
        <f aca="false">IFERROR(ROUND(M22*H22+P22,0),0)</f>
        <v>787</v>
      </c>
      <c r="R22" s="44" t="n">
        <f aca="false">G22-Q22</f>
        <v>-787</v>
      </c>
      <c r="S22" s="45" t="str">
        <f aca="false">IF(G22=0,"Stockout ⚠",IF(G22&lt;Q22,"Reorder 🔄",IF(G22&gt;Q22+L22,"Overstock 📦","Aman ✅")))</f>
        <v>Stockout ⚠</v>
      </c>
      <c r="T22" s="46" t="n">
        <f aca="false">IFERROR(N22/AVERAGE(M22:M26),0)</f>
        <v>0.225811357364359</v>
      </c>
      <c r="U22" s="47" t="n">
        <v>-1118.42</v>
      </c>
      <c r="V22" s="48" t="n">
        <v>0.3911</v>
      </c>
    </row>
    <row r="23" customFormat="false" ht="15" hidden="false" customHeight="true" outlineLevel="0" collapsed="false">
      <c r="A23" s="49" t="n">
        <v>2</v>
      </c>
      <c r="B23" s="35" t="n">
        <v>2022</v>
      </c>
      <c r="C23" s="49" t="s">
        <v>263</v>
      </c>
      <c r="D23" s="49" t="s">
        <v>41</v>
      </c>
      <c r="E23" s="50" t="s">
        <v>42</v>
      </c>
      <c r="F23" s="49" t="s">
        <v>36</v>
      </c>
      <c r="G23" s="37" t="n">
        <v>3034</v>
      </c>
      <c r="H23" s="37" t="n">
        <v>7</v>
      </c>
      <c r="I23" s="37" t="n">
        <f aca="false">IFERROR(ROUND('Data Bulanan'!BC9,0),0)</f>
        <v>40631</v>
      </c>
      <c r="J23" s="37" t="n">
        <v>2351416</v>
      </c>
      <c r="K23" s="37" t="n">
        <v>158162</v>
      </c>
      <c r="L23" s="38" t="n">
        <f aca="false">IFERROR(ROUND(SQRT(2*I23*J23/K23),0),0)</f>
        <v>1099</v>
      </c>
      <c r="M23" s="39" t="n">
        <f aca="false">IFERROR(AVERAGE('Data Bulanan'!AF9,'Data Bulanan'!AH9,'Data Bulanan'!AJ9,'Data Bulanan'!AL9,'Data Bulanan'!AN9,'Data Bulanan'!AP9,'Data Bulanan'!AR9,'Data Bulanan'!AT9,'Data Bulanan'!AV9,'Data Bulanan'!AX9,'Data Bulanan'!AZ9,'Data Bulanan'!BB9),0)</f>
        <v>108.247830261137</v>
      </c>
      <c r="N23" s="40" t="n">
        <f aca="false">'Data Bulanan'!BD9</f>
        <v>27.6686516384317</v>
      </c>
      <c r="O23" s="41" t="n">
        <f aca="false">IFERROR(N23*SQRT(H23),0)</f>
        <v>73.2043713477701</v>
      </c>
      <c r="P23" s="42" t="n">
        <f aca="false">IFERROR(ROUND(1.65*O23,0),0)</f>
        <v>121</v>
      </c>
      <c r="Q23" s="43" t="n">
        <f aca="false">IFERROR(ROUND(M23*H23+P23,0),0)</f>
        <v>879</v>
      </c>
      <c r="R23" s="44" t="n">
        <f aca="false">G23-Q23</f>
        <v>2155</v>
      </c>
      <c r="S23" s="45" t="str">
        <f aca="false">IF(G23=0,"Stockout ⚠",IF(G23&lt;Q23,"Reorder 🔄",IF(G23&gt;Q23+L23,"Overstock 📦","Aman ✅")))</f>
        <v>Overstock 📦</v>
      </c>
      <c r="T23" s="46" t="n">
        <f aca="false">IFERROR(N23/AVERAGE(M22:M26),0)</f>
        <v>0.279690323145917</v>
      </c>
      <c r="U23" s="47" t="n">
        <v>-1118.42</v>
      </c>
      <c r="V23" s="48" t="n">
        <v>0.3911</v>
      </c>
    </row>
    <row r="24" customFormat="false" ht="15" hidden="false" customHeight="true" outlineLevel="0" collapsed="false">
      <c r="A24" s="49" t="n">
        <v>3</v>
      </c>
      <c r="B24" s="35" t="n">
        <v>2023</v>
      </c>
      <c r="C24" s="49" t="s">
        <v>263</v>
      </c>
      <c r="D24" s="49" t="s">
        <v>41</v>
      </c>
      <c r="E24" s="50" t="s">
        <v>42</v>
      </c>
      <c r="F24" s="49" t="s">
        <v>36</v>
      </c>
      <c r="G24" s="37" t="n">
        <v>1488</v>
      </c>
      <c r="H24" s="37" t="n">
        <v>7</v>
      </c>
      <c r="I24" s="37" t="n">
        <f aca="false">IFERROR(ROUND('Data Bulanan'!CC9,0),0)</f>
        <v>39262</v>
      </c>
      <c r="J24" s="37" t="n">
        <v>1956089</v>
      </c>
      <c r="K24" s="37" t="n">
        <v>156198</v>
      </c>
      <c r="L24" s="38" t="n">
        <f aca="false">IFERROR(ROUND(SQRT(2*I24*J24/K24),0),0)</f>
        <v>992</v>
      </c>
      <c r="M24" s="39" t="n">
        <f aca="false">IFERROR(AVERAGE('Data Bulanan'!BF9,'Data Bulanan'!BH9,'Data Bulanan'!BJ9,'Data Bulanan'!BL9,'Data Bulanan'!BN9,'Data Bulanan'!BP9,'Data Bulanan'!BR9,'Data Bulanan'!BT9,'Data Bulanan'!BV9,'Data Bulanan'!BX9,'Data Bulanan'!BZ9,'Data Bulanan'!CB9),0)</f>
        <v>104.446729390681</v>
      </c>
      <c r="N24" s="40" t="n">
        <f aca="false">'Data Bulanan'!CD9</f>
        <v>25.6845744375655</v>
      </c>
      <c r="O24" s="41" t="n">
        <f aca="false">IFERROR(N24*SQRT(H24),0)</f>
        <v>67.9549964923251</v>
      </c>
      <c r="P24" s="42" t="n">
        <f aca="false">IFERROR(ROUND(1.65*O24,0),0)</f>
        <v>112</v>
      </c>
      <c r="Q24" s="43" t="n">
        <f aca="false">IFERROR(ROUND(M24*H24+P24,0),0)</f>
        <v>843</v>
      </c>
      <c r="R24" s="44" t="n">
        <f aca="false">G24-Q24</f>
        <v>645</v>
      </c>
      <c r="S24" s="45" t="str">
        <f aca="false">IF(G24=0,"Stockout ⚠",IF(G24&lt;Q24,"Reorder 🔄",IF(G24&gt;Q24+L24,"Overstock 📦","Aman ✅")))</f>
        <v>Aman ✅</v>
      </c>
      <c r="T24" s="46" t="n">
        <f aca="false">IFERROR(N24/AVERAGE(M22:M26),0)</f>
        <v>0.259634152693219</v>
      </c>
      <c r="U24" s="47" t="n">
        <v>-1118.42</v>
      </c>
      <c r="V24" s="48" t="n">
        <v>0.3911</v>
      </c>
    </row>
    <row r="25" customFormat="false" ht="15" hidden="false" customHeight="true" outlineLevel="0" collapsed="false">
      <c r="A25" s="49" t="n">
        <v>4</v>
      </c>
      <c r="B25" s="35" t="n">
        <v>2024</v>
      </c>
      <c r="C25" s="49" t="s">
        <v>263</v>
      </c>
      <c r="D25" s="49" t="s">
        <v>41</v>
      </c>
      <c r="E25" s="50" t="s">
        <v>42</v>
      </c>
      <c r="F25" s="49" t="s">
        <v>36</v>
      </c>
      <c r="G25" s="37" t="n">
        <v>0</v>
      </c>
      <c r="H25" s="37" t="n">
        <v>7</v>
      </c>
      <c r="I25" s="37" t="n">
        <f aca="false">IFERROR(ROUND('Data Bulanan'!DC9,0),0)</f>
        <v>34129</v>
      </c>
      <c r="J25" s="37" t="n">
        <v>2321241</v>
      </c>
      <c r="K25" s="37" t="n">
        <v>172692</v>
      </c>
      <c r="L25" s="38" t="n">
        <f aca="false">IFERROR(ROUND(SQRT(2*I25*J25/K25),0),0)</f>
        <v>958</v>
      </c>
      <c r="M25" s="39" t="n">
        <f aca="false">IFERROR(AVERAGE('Data Bulanan'!CF9,'Data Bulanan'!CH9,'Data Bulanan'!CJ9,'Data Bulanan'!CL9,'Data Bulanan'!CN9,'Data Bulanan'!CP9,'Data Bulanan'!CR9,'Data Bulanan'!CT9,'Data Bulanan'!CV9,'Data Bulanan'!CX9,'Data Bulanan'!CZ9,'Data Bulanan'!DB9),0)</f>
        <v>90.8580005120328</v>
      </c>
      <c r="N25" s="40" t="n">
        <f aca="false">'Data Bulanan'!DD9</f>
        <v>18.9182250003899</v>
      </c>
      <c r="O25" s="41" t="n">
        <f aca="false">IFERROR(N25*SQRT(H25),0)</f>
        <v>50.0529185977965</v>
      </c>
      <c r="P25" s="42" t="n">
        <f aca="false">IFERROR(ROUND(1.65*O25,0),0)</f>
        <v>83</v>
      </c>
      <c r="Q25" s="43" t="n">
        <f aca="false">IFERROR(ROUND(M25*H25+P25,0),0)</f>
        <v>719</v>
      </c>
      <c r="R25" s="44" t="n">
        <f aca="false">G25-Q25</f>
        <v>-719</v>
      </c>
      <c r="S25" s="45" t="str">
        <f aca="false">IF(G25=0,"Stockout ⚠",IF(G25&lt;Q25,"Reorder 🔄",IF(G25&gt;Q25+L25,"Overstock 📦","Aman ✅")))</f>
        <v>Stockout ⚠</v>
      </c>
      <c r="T25" s="46" t="n">
        <f aca="false">IFERROR(N25/AVERAGE(M22:M26),0)</f>
        <v>0.19123607947547</v>
      </c>
      <c r="U25" s="47" t="n">
        <v>-1118.42</v>
      </c>
      <c r="V25" s="48" t="n">
        <v>0.3911</v>
      </c>
    </row>
    <row r="26" customFormat="false" ht="15" hidden="false" customHeight="true" outlineLevel="0" collapsed="false">
      <c r="A26" s="49" t="n">
        <v>5</v>
      </c>
      <c r="B26" s="35" t="n">
        <v>2025</v>
      </c>
      <c r="C26" s="49" t="s">
        <v>263</v>
      </c>
      <c r="D26" s="49" t="s">
        <v>41</v>
      </c>
      <c r="E26" s="50" t="s">
        <v>42</v>
      </c>
      <c r="F26" s="49" t="s">
        <v>36</v>
      </c>
      <c r="G26" s="37" t="n">
        <v>518</v>
      </c>
      <c r="H26" s="37" t="n">
        <v>7</v>
      </c>
      <c r="I26" s="37" t="n">
        <f aca="false">IFERROR(ROUND('Data Bulanan'!EC9,0),0)</f>
        <v>34649</v>
      </c>
      <c r="J26" s="37" t="n">
        <v>2352427</v>
      </c>
      <c r="K26" s="37" t="n">
        <v>163758</v>
      </c>
      <c r="L26" s="38" t="n">
        <f aca="false">IFERROR(ROUND(SQRT(2*I26*J26/K26),0),0)</f>
        <v>998</v>
      </c>
      <c r="M26" s="39" t="n">
        <f aca="false">IFERROR(AVERAGE('Data Bulanan'!DF9,'Data Bulanan'!DH9,'Data Bulanan'!DJ9,'Data Bulanan'!DL9,'Data Bulanan'!DN9,'Data Bulanan'!DP9,'Data Bulanan'!DR9,'Data Bulanan'!DT9,'Data Bulanan'!DV9,'Data Bulanan'!DX9,'Data Bulanan'!DZ9,'Data Bulanan'!EB9),0)</f>
        <v>92.7063300051203</v>
      </c>
      <c r="N26" s="40" t="n">
        <f aca="false">'Data Bulanan'!ED9</f>
        <v>26.4794481059696</v>
      </c>
      <c r="O26" s="41" t="n">
        <f aca="false">IFERROR(N26*SQRT(H26),0)</f>
        <v>70.058034542636</v>
      </c>
      <c r="P26" s="42" t="n">
        <f aca="false">IFERROR(ROUND(1.65*O26,0),0)</f>
        <v>116</v>
      </c>
      <c r="Q26" s="43" t="n">
        <f aca="false">IFERROR(ROUND(M26*H26+P26,0),0)</f>
        <v>765</v>
      </c>
      <c r="R26" s="44" t="n">
        <f aca="false">G26-Q26</f>
        <v>-247</v>
      </c>
      <c r="S26" s="45" t="str">
        <f aca="false">IF(G26=0,"Stockout ⚠",IF(G26&lt;Q26,"Reorder 🔄",IF(G26&gt;Q26+L26,"Overstock 📦","Aman ✅")))</f>
        <v>Reorder 🔄</v>
      </c>
      <c r="T26" s="46" t="n">
        <f aca="false">IFERROR(N26/AVERAGE(M22:M26),0)</f>
        <v>0.267669183676345</v>
      </c>
      <c r="U26" s="47" t="n">
        <v>-1118.42</v>
      </c>
      <c r="V26" s="48" t="n">
        <v>0.3911</v>
      </c>
    </row>
    <row r="27" customFormat="false" ht="15" hidden="false" customHeight="true" outlineLevel="0" collapsed="false">
      <c r="A27" s="34" t="n">
        <v>1</v>
      </c>
      <c r="B27" s="35" t="n">
        <v>2021</v>
      </c>
      <c r="C27" s="34" t="s">
        <v>263</v>
      </c>
      <c r="D27" s="34" t="s">
        <v>43</v>
      </c>
      <c r="E27" s="36" t="s">
        <v>44</v>
      </c>
      <c r="F27" s="34" t="s">
        <v>36</v>
      </c>
      <c r="G27" s="37" t="n">
        <v>2953</v>
      </c>
      <c r="H27" s="37" t="n">
        <v>11</v>
      </c>
      <c r="I27" s="37" t="n">
        <f aca="false">IFERROR(ROUND('Data Bulanan'!AC10,0),0)</f>
        <v>12885</v>
      </c>
      <c r="J27" s="37" t="n">
        <v>1421350</v>
      </c>
      <c r="K27" s="37" t="n">
        <v>198494</v>
      </c>
      <c r="L27" s="38" t="n">
        <f aca="false">IFERROR(ROUND(SQRT(2*I27*J27/K27),0),0)</f>
        <v>430</v>
      </c>
      <c r="M27" s="39" t="n">
        <f aca="false">IFERROR(AVERAGE('Data Bulanan'!F10,'Data Bulanan'!H10,'Data Bulanan'!J10,'Data Bulanan'!L10,'Data Bulanan'!N10,'Data Bulanan'!P10,'Data Bulanan'!R10,'Data Bulanan'!T10,'Data Bulanan'!V10,'Data Bulanan'!X10,'Data Bulanan'!Z10,'Data Bulanan'!AB10),0)</f>
        <v>34.3762032770097</v>
      </c>
      <c r="N27" s="40" t="n">
        <f aca="false">'Data Bulanan'!AD10</f>
        <v>6.74797376411405</v>
      </c>
      <c r="O27" s="41" t="n">
        <f aca="false">IFERROR(N27*SQRT(H27),0)</f>
        <v>22.3804970707285</v>
      </c>
      <c r="P27" s="42" t="n">
        <f aca="false">IFERROR(ROUND(1.65*O27,0),0)</f>
        <v>37</v>
      </c>
      <c r="Q27" s="43" t="n">
        <f aca="false">IFERROR(ROUND(M27*H27+P27,0),0)</f>
        <v>415</v>
      </c>
      <c r="R27" s="44" t="n">
        <f aca="false">G27-Q27</f>
        <v>2538</v>
      </c>
      <c r="S27" s="45" t="str">
        <f aca="false">IF(G27=0,"Stockout ⚠",IF(G27&lt;Q27,"Reorder 🔄",IF(G27&gt;Q27+L27,"Overstock 📦","Aman ✅")))</f>
        <v>Overstock 📦</v>
      </c>
      <c r="T27" s="46" t="n">
        <f aca="false">IFERROR(N27/AVERAGE(M27:M31),0)</f>
        <v>0.176446838613636</v>
      </c>
      <c r="U27" s="47" t="n">
        <v>285.25</v>
      </c>
      <c r="V27" s="48" t="n">
        <v>0.2333</v>
      </c>
    </row>
    <row r="28" customFormat="false" ht="15" hidden="false" customHeight="true" outlineLevel="0" collapsed="false">
      <c r="A28" s="34" t="n">
        <v>2</v>
      </c>
      <c r="B28" s="35" t="n">
        <v>2022</v>
      </c>
      <c r="C28" s="34" t="s">
        <v>263</v>
      </c>
      <c r="D28" s="34" t="s">
        <v>43</v>
      </c>
      <c r="E28" s="36" t="s">
        <v>44</v>
      </c>
      <c r="F28" s="34" t="s">
        <v>36</v>
      </c>
      <c r="G28" s="37" t="n">
        <v>2881</v>
      </c>
      <c r="H28" s="37" t="n">
        <v>11</v>
      </c>
      <c r="I28" s="37" t="n">
        <f aca="false">IFERROR(ROUND('Data Bulanan'!BC10,0),0)</f>
        <v>15398</v>
      </c>
      <c r="J28" s="37" t="n">
        <v>1321594</v>
      </c>
      <c r="K28" s="37" t="n">
        <v>188023</v>
      </c>
      <c r="L28" s="38" t="n">
        <f aca="false">IFERROR(ROUND(SQRT(2*I28*J28/K28),0),0)</f>
        <v>465</v>
      </c>
      <c r="M28" s="39" t="n">
        <f aca="false">IFERROR(AVERAGE('Data Bulanan'!AF10,'Data Bulanan'!AH10,'Data Bulanan'!AJ10,'Data Bulanan'!AL10,'Data Bulanan'!AN10,'Data Bulanan'!AP10,'Data Bulanan'!AR10,'Data Bulanan'!AT10,'Data Bulanan'!AV10,'Data Bulanan'!AX10,'Data Bulanan'!AZ10,'Data Bulanan'!BB10),0)</f>
        <v>40.9653097798259</v>
      </c>
      <c r="N28" s="40" t="n">
        <f aca="false">'Data Bulanan'!BD10</f>
        <v>12.2508999373203</v>
      </c>
      <c r="O28" s="41" t="n">
        <f aca="false">IFERROR(N28*SQRT(H28),0)</f>
        <v>40.6316384362799</v>
      </c>
      <c r="P28" s="42" t="n">
        <f aca="false">IFERROR(ROUND(1.65*O28,0),0)</f>
        <v>67</v>
      </c>
      <c r="Q28" s="43" t="n">
        <f aca="false">IFERROR(ROUND(M28*H28+P28,0),0)</f>
        <v>518</v>
      </c>
      <c r="R28" s="44" t="n">
        <f aca="false">G28-Q28</f>
        <v>2363</v>
      </c>
      <c r="S28" s="45" t="str">
        <f aca="false">IF(G28=0,"Stockout ⚠",IF(G28&lt;Q28,"Reorder 🔄",IF(G28&gt;Q28+L28,"Overstock 📦","Aman ✅")))</f>
        <v>Overstock 📦</v>
      </c>
      <c r="T28" s="46" t="n">
        <f aca="false">IFERROR(N28/AVERAGE(M27:M31),0)</f>
        <v>0.32033802140841</v>
      </c>
      <c r="U28" s="47" t="n">
        <v>285.25</v>
      </c>
      <c r="V28" s="48" t="n">
        <v>0.2333</v>
      </c>
    </row>
    <row r="29" customFormat="false" ht="15" hidden="false" customHeight="true" outlineLevel="0" collapsed="false">
      <c r="A29" s="34" t="n">
        <v>3</v>
      </c>
      <c r="B29" s="35" t="n">
        <v>2023</v>
      </c>
      <c r="C29" s="34" t="s">
        <v>263</v>
      </c>
      <c r="D29" s="34" t="s">
        <v>43</v>
      </c>
      <c r="E29" s="36" t="s">
        <v>44</v>
      </c>
      <c r="F29" s="34" t="s">
        <v>36</v>
      </c>
      <c r="G29" s="37" t="n">
        <v>465</v>
      </c>
      <c r="H29" s="37" t="n">
        <v>11</v>
      </c>
      <c r="I29" s="37" t="n">
        <f aca="false">IFERROR(ROUND('Data Bulanan'!CC10,0),0)</f>
        <v>14375</v>
      </c>
      <c r="J29" s="37" t="n">
        <v>1364040</v>
      </c>
      <c r="K29" s="37" t="n">
        <v>197313</v>
      </c>
      <c r="L29" s="38" t="n">
        <f aca="false">IFERROR(ROUND(SQRT(2*I29*J29/K29),0),0)</f>
        <v>446</v>
      </c>
      <c r="M29" s="39" t="n">
        <f aca="false">IFERROR(AVERAGE('Data Bulanan'!BF10,'Data Bulanan'!BH10,'Data Bulanan'!BJ10,'Data Bulanan'!BL10,'Data Bulanan'!BN10,'Data Bulanan'!BP10,'Data Bulanan'!BR10,'Data Bulanan'!BT10,'Data Bulanan'!BV10,'Data Bulanan'!BX10,'Data Bulanan'!BZ10,'Data Bulanan'!CB10),0)</f>
        <v>38.2256592421915</v>
      </c>
      <c r="N29" s="40" t="n">
        <f aca="false">'Data Bulanan'!CD10</f>
        <v>9.92823507832808</v>
      </c>
      <c r="O29" s="41" t="n">
        <f aca="false">IFERROR(N29*SQRT(H29),0)</f>
        <v>32.928230585259</v>
      </c>
      <c r="P29" s="42" t="n">
        <f aca="false">IFERROR(ROUND(1.65*O29,0),0)</f>
        <v>54</v>
      </c>
      <c r="Q29" s="43" t="n">
        <f aca="false">IFERROR(ROUND(M29*H29+P29,0),0)</f>
        <v>474</v>
      </c>
      <c r="R29" s="44" t="n">
        <f aca="false">G29-Q29</f>
        <v>-9</v>
      </c>
      <c r="S29" s="45" t="str">
        <f aca="false">IF(G29=0,"Stockout ⚠",IF(G29&lt;Q29,"Reorder 🔄",IF(G29&gt;Q29+L29,"Overstock 📦","Aman ✅")))</f>
        <v>Reorder 🔄</v>
      </c>
      <c r="T29" s="46" t="n">
        <f aca="false">IFERROR(N29/AVERAGE(M27:M31),0)</f>
        <v>0.259604698213285</v>
      </c>
      <c r="U29" s="47" t="n">
        <v>285.25</v>
      </c>
      <c r="V29" s="48" t="n">
        <v>0.2333</v>
      </c>
    </row>
    <row r="30" customFormat="false" ht="15" hidden="false" customHeight="true" outlineLevel="0" collapsed="false">
      <c r="A30" s="34" t="n">
        <v>4</v>
      </c>
      <c r="B30" s="35" t="n">
        <v>2024</v>
      </c>
      <c r="C30" s="34" t="s">
        <v>263</v>
      </c>
      <c r="D30" s="34" t="s">
        <v>43</v>
      </c>
      <c r="E30" s="36" t="s">
        <v>44</v>
      </c>
      <c r="F30" s="34" t="s">
        <v>36</v>
      </c>
      <c r="G30" s="37" t="n">
        <v>1130</v>
      </c>
      <c r="H30" s="37" t="n">
        <v>11</v>
      </c>
      <c r="I30" s="37" t="n">
        <f aca="false">IFERROR(ROUND('Data Bulanan'!DC10,0),0)</f>
        <v>14331</v>
      </c>
      <c r="J30" s="37" t="n">
        <v>1404580</v>
      </c>
      <c r="K30" s="37" t="n">
        <v>193105</v>
      </c>
      <c r="L30" s="38" t="n">
        <f aca="false">IFERROR(ROUND(SQRT(2*I30*J30/K30),0),0)</f>
        <v>457</v>
      </c>
      <c r="M30" s="39" t="n">
        <f aca="false">IFERROR(AVERAGE('Data Bulanan'!CF10,'Data Bulanan'!CH10,'Data Bulanan'!CJ10,'Data Bulanan'!CL10,'Data Bulanan'!CN10,'Data Bulanan'!CP10,'Data Bulanan'!CR10,'Data Bulanan'!CT10,'Data Bulanan'!CV10,'Data Bulanan'!CX10,'Data Bulanan'!CZ10,'Data Bulanan'!DB10),0)</f>
        <v>38.1540514592934</v>
      </c>
      <c r="N30" s="40" t="n">
        <f aca="false">'Data Bulanan'!DD10</f>
        <v>8.95867315544139</v>
      </c>
      <c r="O30" s="41" t="n">
        <f aca="false">IFERROR(N30*SQRT(H30),0)</f>
        <v>29.7125574760284</v>
      </c>
      <c r="P30" s="42" t="n">
        <f aca="false">IFERROR(ROUND(1.65*O30,0),0)</f>
        <v>49</v>
      </c>
      <c r="Q30" s="43" t="n">
        <f aca="false">IFERROR(ROUND(M30*H30+P30,0),0)</f>
        <v>469</v>
      </c>
      <c r="R30" s="44" t="n">
        <f aca="false">G30-Q30</f>
        <v>661</v>
      </c>
      <c r="S30" s="45" t="str">
        <f aca="false">IF(G30=0,"Stockout ⚠",IF(G30&lt;Q30,"Reorder 🔄",IF(G30&gt;Q30+L30,"Overstock 📦","Aman ✅")))</f>
        <v>Overstock 📦</v>
      </c>
      <c r="T30" s="46" t="n">
        <f aca="false">IFERROR(N30/AVERAGE(M27:M31),0)</f>
        <v>0.234252475143998</v>
      </c>
      <c r="U30" s="47" t="n">
        <v>285.25</v>
      </c>
      <c r="V30" s="48" t="n">
        <v>0.2333</v>
      </c>
    </row>
    <row r="31" customFormat="false" ht="15" hidden="false" customHeight="true" outlineLevel="0" collapsed="false">
      <c r="A31" s="34" t="n">
        <v>5</v>
      </c>
      <c r="B31" s="35" t="n">
        <v>2025</v>
      </c>
      <c r="C31" s="34" t="s">
        <v>263</v>
      </c>
      <c r="D31" s="34" t="s">
        <v>43</v>
      </c>
      <c r="E31" s="36" t="s">
        <v>44</v>
      </c>
      <c r="F31" s="34" t="s">
        <v>36</v>
      </c>
      <c r="G31" s="37" t="n">
        <v>3097</v>
      </c>
      <c r="H31" s="37" t="n">
        <v>11</v>
      </c>
      <c r="I31" s="37" t="n">
        <f aca="false">IFERROR(ROUND('Data Bulanan'!EC10,0),0)</f>
        <v>14845</v>
      </c>
      <c r="J31" s="37" t="n">
        <v>1442234</v>
      </c>
      <c r="K31" s="37" t="n">
        <v>200121</v>
      </c>
      <c r="L31" s="38" t="n">
        <f aca="false">IFERROR(ROUND(SQRT(2*I31*J31/K31),0),0)</f>
        <v>463</v>
      </c>
      <c r="M31" s="39" t="n">
        <f aca="false">IFERROR(AVERAGE('Data Bulanan'!DF10,'Data Bulanan'!DH10,'Data Bulanan'!DJ10,'Data Bulanan'!DL10,'Data Bulanan'!DN10,'Data Bulanan'!DP10,'Data Bulanan'!DR10,'Data Bulanan'!DT10,'Data Bulanan'!DV10,'Data Bulanan'!DX10,'Data Bulanan'!DZ10,'Data Bulanan'!EB10),0)</f>
        <v>39.4971006144393</v>
      </c>
      <c r="N31" s="40" t="n">
        <f aca="false">'Data Bulanan'!ED10</f>
        <v>9.96570007601027</v>
      </c>
      <c r="O31" s="41" t="n">
        <f aca="false">IFERROR(N31*SQRT(H31),0)</f>
        <v>33.0524879253423</v>
      </c>
      <c r="P31" s="42" t="n">
        <f aca="false">IFERROR(ROUND(1.65*O31,0),0)</f>
        <v>55</v>
      </c>
      <c r="Q31" s="43" t="n">
        <f aca="false">IFERROR(ROUND(M31*H31+P31,0),0)</f>
        <v>489</v>
      </c>
      <c r="R31" s="44" t="n">
        <f aca="false">G31-Q31</f>
        <v>2608</v>
      </c>
      <c r="S31" s="45" t="str">
        <f aca="false">IF(G31=0,"Stockout ⚠",IF(G31&lt;Q31,"Reorder 🔄",IF(G31&gt;Q31+L31,"Overstock 📦","Aman ✅")))</f>
        <v>Overstock 📦</v>
      </c>
      <c r="T31" s="46" t="n">
        <f aca="false">IFERROR(N31/AVERAGE(M27:M31),0)</f>
        <v>0.260584337528844</v>
      </c>
      <c r="U31" s="47" t="n">
        <v>285.25</v>
      </c>
      <c r="V31" s="48" t="n">
        <v>0.2333</v>
      </c>
    </row>
    <row r="32" customFormat="false" ht="15" hidden="false" customHeight="true" outlineLevel="0" collapsed="false">
      <c r="A32" s="49" t="n">
        <v>1</v>
      </c>
      <c r="B32" s="35" t="n">
        <v>2021</v>
      </c>
      <c r="C32" s="49" t="s">
        <v>263</v>
      </c>
      <c r="D32" s="49" t="s">
        <v>45</v>
      </c>
      <c r="E32" s="50" t="s">
        <v>46</v>
      </c>
      <c r="F32" s="49" t="s">
        <v>36</v>
      </c>
      <c r="G32" s="37" t="n">
        <v>131</v>
      </c>
      <c r="H32" s="37" t="n">
        <v>10</v>
      </c>
      <c r="I32" s="37" t="n">
        <f aca="false">IFERROR(ROUND('Data Bulanan'!AC11,0),0)</f>
        <v>5398</v>
      </c>
      <c r="J32" s="37" t="n">
        <v>2021087</v>
      </c>
      <c r="K32" s="37" t="n">
        <v>281391</v>
      </c>
      <c r="L32" s="38" t="n">
        <f aca="false">IFERROR(ROUND(SQRT(2*I32*J32/K32),0),0)</f>
        <v>278</v>
      </c>
      <c r="M32" s="39" t="n">
        <f aca="false">IFERROR(AVERAGE('Data Bulanan'!F11,'Data Bulanan'!H11,'Data Bulanan'!J11,'Data Bulanan'!L11,'Data Bulanan'!N11,'Data Bulanan'!P11,'Data Bulanan'!R11,'Data Bulanan'!T11,'Data Bulanan'!V11,'Data Bulanan'!X11,'Data Bulanan'!Z11,'Data Bulanan'!AB11),0)</f>
        <v>14.3538722478239</v>
      </c>
      <c r="N32" s="40" t="n">
        <f aca="false">'Data Bulanan'!AD11</f>
        <v>3.36106780401148</v>
      </c>
      <c r="O32" s="41" t="n">
        <f aca="false">IFERROR(N32*SQRT(H32),0)</f>
        <v>10.6286296309367</v>
      </c>
      <c r="P32" s="42" t="n">
        <f aca="false">IFERROR(ROUND(1.65*O32,0),0)</f>
        <v>18</v>
      </c>
      <c r="Q32" s="43" t="n">
        <f aca="false">IFERROR(ROUND(M32*H32+P32,0),0)</f>
        <v>162</v>
      </c>
      <c r="R32" s="44" t="n">
        <f aca="false">G32-Q32</f>
        <v>-31</v>
      </c>
      <c r="S32" s="45" t="str">
        <f aca="false">IF(G32=0,"Stockout ⚠",IF(G32&lt;Q32,"Reorder 🔄",IF(G32&gt;Q32+L32,"Overstock 📦","Aman ✅")))</f>
        <v>Reorder 🔄</v>
      </c>
      <c r="T32" s="46" t="n">
        <f aca="false">IFERROR(N32/AVERAGE(M32:M36),0)</f>
        <v>0.207217300921703</v>
      </c>
      <c r="U32" s="47" t="n">
        <v>263.6</v>
      </c>
      <c r="V32" s="48" t="n">
        <v>0.3297</v>
      </c>
    </row>
    <row r="33" customFormat="false" ht="15" hidden="false" customHeight="true" outlineLevel="0" collapsed="false">
      <c r="A33" s="49" t="n">
        <v>2</v>
      </c>
      <c r="B33" s="35" t="n">
        <v>2022</v>
      </c>
      <c r="C33" s="49" t="s">
        <v>263</v>
      </c>
      <c r="D33" s="49" t="s">
        <v>45</v>
      </c>
      <c r="E33" s="50" t="s">
        <v>46</v>
      </c>
      <c r="F33" s="49" t="s">
        <v>36</v>
      </c>
      <c r="G33" s="37" t="n">
        <v>0</v>
      </c>
      <c r="H33" s="37" t="n">
        <v>10</v>
      </c>
      <c r="I33" s="37" t="n">
        <f aca="false">IFERROR(ROUND('Data Bulanan'!BC11,0),0)</f>
        <v>6522</v>
      </c>
      <c r="J33" s="37" t="n">
        <v>1932789</v>
      </c>
      <c r="K33" s="37" t="n">
        <v>299039</v>
      </c>
      <c r="L33" s="38" t="n">
        <f aca="false">IFERROR(ROUND(SQRT(2*I33*J33/K33),0),0)</f>
        <v>290</v>
      </c>
      <c r="M33" s="39" t="n">
        <f aca="false">IFERROR(AVERAGE('Data Bulanan'!AF11,'Data Bulanan'!AH11,'Data Bulanan'!AJ11,'Data Bulanan'!AL11,'Data Bulanan'!AN11,'Data Bulanan'!AP11,'Data Bulanan'!AR11,'Data Bulanan'!AT11,'Data Bulanan'!AV11,'Data Bulanan'!AX11,'Data Bulanan'!AZ11,'Data Bulanan'!BB11),0)</f>
        <v>17.3306835637481</v>
      </c>
      <c r="N33" s="40" t="n">
        <f aca="false">'Data Bulanan'!BD11</f>
        <v>3.92406563650361</v>
      </c>
      <c r="O33" s="41" t="n">
        <f aca="false">IFERROR(N33*SQRT(H33),0)</f>
        <v>12.4089850993498</v>
      </c>
      <c r="P33" s="42" t="n">
        <f aca="false">IFERROR(ROUND(1.65*O33,0),0)</f>
        <v>20</v>
      </c>
      <c r="Q33" s="43" t="n">
        <f aca="false">IFERROR(ROUND(M33*H33+P33,0),0)</f>
        <v>193</v>
      </c>
      <c r="R33" s="44" t="n">
        <f aca="false">G33-Q33</f>
        <v>-193</v>
      </c>
      <c r="S33" s="45" t="str">
        <f aca="false">IF(G33=0,"Stockout ⚠",IF(G33&lt;Q33,"Reorder 🔄",IF(G33&gt;Q33+L33,"Overstock 📦","Aman ✅")))</f>
        <v>Stockout ⚠</v>
      </c>
      <c r="T33" s="46" t="n">
        <f aca="false">IFERROR(N33/AVERAGE(M32:M36),0)</f>
        <v>0.241927368696756</v>
      </c>
      <c r="U33" s="47" t="n">
        <v>263.6</v>
      </c>
      <c r="V33" s="48" t="n">
        <v>0.3297</v>
      </c>
    </row>
    <row r="34" customFormat="false" ht="15" hidden="false" customHeight="true" outlineLevel="0" collapsed="false">
      <c r="A34" s="49" t="n">
        <v>3</v>
      </c>
      <c r="B34" s="35" t="n">
        <v>2023</v>
      </c>
      <c r="C34" s="49" t="s">
        <v>263</v>
      </c>
      <c r="D34" s="49" t="s">
        <v>45</v>
      </c>
      <c r="E34" s="50" t="s">
        <v>46</v>
      </c>
      <c r="F34" s="49" t="s">
        <v>36</v>
      </c>
      <c r="G34" s="37" t="n">
        <v>0</v>
      </c>
      <c r="H34" s="37" t="n">
        <v>10</v>
      </c>
      <c r="I34" s="37" t="n">
        <f aca="false">IFERROR(ROUND('Data Bulanan'!CC11,0),0)</f>
        <v>5213</v>
      </c>
      <c r="J34" s="37" t="n">
        <v>1981160</v>
      </c>
      <c r="K34" s="37" t="n">
        <v>327575</v>
      </c>
      <c r="L34" s="38" t="n">
        <f aca="false">IFERROR(ROUND(SQRT(2*I34*J34/K34),0),0)</f>
        <v>251</v>
      </c>
      <c r="M34" s="39" t="n">
        <f aca="false">IFERROR(AVERAGE('Data Bulanan'!BF11,'Data Bulanan'!BH11,'Data Bulanan'!BJ11,'Data Bulanan'!BL11,'Data Bulanan'!BN11,'Data Bulanan'!BP11,'Data Bulanan'!BR11,'Data Bulanan'!BT11,'Data Bulanan'!BV11,'Data Bulanan'!BX11,'Data Bulanan'!BZ11,'Data Bulanan'!CB11),0)</f>
        <v>13.9183115719406</v>
      </c>
      <c r="N34" s="40" t="n">
        <f aca="false">'Data Bulanan'!CD11</f>
        <v>3.53244720511937</v>
      </c>
      <c r="O34" s="41" t="n">
        <f aca="false">IFERROR(N34*SQRT(H34),0)</f>
        <v>11.1705788824732</v>
      </c>
      <c r="P34" s="42" t="n">
        <f aca="false">IFERROR(ROUND(1.65*O34,0),0)</f>
        <v>18</v>
      </c>
      <c r="Q34" s="43" t="n">
        <f aca="false">IFERROR(ROUND(M34*H34+P34,0),0)</f>
        <v>157</v>
      </c>
      <c r="R34" s="44" t="n">
        <f aca="false">G34-Q34</f>
        <v>-157</v>
      </c>
      <c r="S34" s="45" t="str">
        <f aca="false">IF(G34=0,"Stockout ⚠",IF(G34&lt;Q34,"Reorder 🔄",IF(G34&gt;Q34+L34,"Overstock 📦","Aman ✅")))</f>
        <v>Stockout ⚠</v>
      </c>
      <c r="T34" s="46" t="n">
        <f aca="false">IFERROR(N34/AVERAGE(M32:M36),0)</f>
        <v>0.217783221933106</v>
      </c>
      <c r="U34" s="47" t="n">
        <v>263.6</v>
      </c>
      <c r="V34" s="48" t="n">
        <v>0.3297</v>
      </c>
    </row>
    <row r="35" customFormat="false" ht="15" hidden="false" customHeight="true" outlineLevel="0" collapsed="false">
      <c r="A35" s="49" t="n">
        <v>4</v>
      </c>
      <c r="B35" s="35" t="n">
        <v>2024</v>
      </c>
      <c r="C35" s="49" t="s">
        <v>263</v>
      </c>
      <c r="D35" s="49" t="s">
        <v>45</v>
      </c>
      <c r="E35" s="50" t="s">
        <v>46</v>
      </c>
      <c r="F35" s="49" t="s">
        <v>36</v>
      </c>
      <c r="G35" s="37" t="n">
        <v>1299</v>
      </c>
      <c r="H35" s="37" t="n">
        <v>10</v>
      </c>
      <c r="I35" s="37" t="n">
        <f aca="false">IFERROR(ROUND('Data Bulanan'!DC11,0),0)</f>
        <v>6718</v>
      </c>
      <c r="J35" s="37" t="n">
        <v>1881500</v>
      </c>
      <c r="K35" s="37" t="n">
        <v>288276</v>
      </c>
      <c r="L35" s="38" t="n">
        <f aca="false">IFERROR(ROUND(SQRT(2*I35*J35/K35),0),0)</f>
        <v>296</v>
      </c>
      <c r="M35" s="39" t="n">
        <f aca="false">IFERROR(AVERAGE('Data Bulanan'!CF11,'Data Bulanan'!CH11,'Data Bulanan'!CJ11,'Data Bulanan'!CL11,'Data Bulanan'!CN11,'Data Bulanan'!CP11,'Data Bulanan'!CR11,'Data Bulanan'!CT11,'Data Bulanan'!CV11,'Data Bulanan'!CX11,'Data Bulanan'!CZ11,'Data Bulanan'!DB11),0)</f>
        <v>17.9192716333845</v>
      </c>
      <c r="N35" s="40" t="n">
        <f aca="false">'Data Bulanan'!DD11</f>
        <v>4.94807723583518</v>
      </c>
      <c r="O35" s="41" t="n">
        <f aca="false">IFERROR(N35*SQRT(H35),0)</f>
        <v>15.6471941036693</v>
      </c>
      <c r="P35" s="42" t="n">
        <f aca="false">IFERROR(ROUND(1.65*O35,0),0)</f>
        <v>26</v>
      </c>
      <c r="Q35" s="43" t="n">
        <f aca="false">IFERROR(ROUND(M35*H35+P35,0),0)</f>
        <v>205</v>
      </c>
      <c r="R35" s="44" t="n">
        <f aca="false">G35-Q35</f>
        <v>1094</v>
      </c>
      <c r="S35" s="45" t="str">
        <f aca="false">IF(G35=0,"Stockout ⚠",IF(G35&lt;Q35,"Reorder 🔄",IF(G35&gt;Q35+L35,"Overstock 📦","Aman ✅")))</f>
        <v>Overstock 📦</v>
      </c>
      <c r="T35" s="46" t="n">
        <f aca="false">IFERROR(N35/AVERAGE(M32:M36),0)</f>
        <v>0.305059959914568</v>
      </c>
      <c r="U35" s="47" t="n">
        <v>263.6</v>
      </c>
      <c r="V35" s="48" t="n">
        <v>0.3297</v>
      </c>
    </row>
    <row r="36" customFormat="false" ht="15" hidden="false" customHeight="true" outlineLevel="0" collapsed="false">
      <c r="A36" s="49" t="n">
        <v>5</v>
      </c>
      <c r="B36" s="35" t="n">
        <v>2025</v>
      </c>
      <c r="C36" s="49" t="s">
        <v>263</v>
      </c>
      <c r="D36" s="49" t="s">
        <v>45</v>
      </c>
      <c r="E36" s="50" t="s">
        <v>46</v>
      </c>
      <c r="F36" s="49" t="s">
        <v>36</v>
      </c>
      <c r="G36" s="37" t="n">
        <v>540</v>
      </c>
      <c r="H36" s="37" t="n">
        <v>10</v>
      </c>
      <c r="I36" s="37" t="n">
        <f aca="false">IFERROR(ROUND('Data Bulanan'!EC11,0),0)</f>
        <v>6618</v>
      </c>
      <c r="J36" s="37" t="n">
        <v>1902503</v>
      </c>
      <c r="K36" s="37" t="n">
        <v>313993</v>
      </c>
      <c r="L36" s="38" t="n">
        <f aca="false">IFERROR(ROUND(SQRT(2*I36*J36/K36),0),0)</f>
        <v>283</v>
      </c>
      <c r="M36" s="39" t="n">
        <f aca="false">IFERROR(AVERAGE('Data Bulanan'!DF11,'Data Bulanan'!DH11,'Data Bulanan'!DJ11,'Data Bulanan'!DL11,'Data Bulanan'!DN11,'Data Bulanan'!DP11,'Data Bulanan'!DR11,'Data Bulanan'!DT11,'Data Bulanan'!DV11,'Data Bulanan'!DX11,'Data Bulanan'!DZ11,'Data Bulanan'!EB11),0)</f>
        <v>17.5779377880184</v>
      </c>
      <c r="N36" s="40" t="n">
        <f aca="false">'Data Bulanan'!ED11</f>
        <v>4.59897474429362</v>
      </c>
      <c r="O36" s="41" t="n">
        <f aca="false">IFERROR(N36*SQRT(H36),0)</f>
        <v>14.5432350935583</v>
      </c>
      <c r="P36" s="42" t="n">
        <f aca="false">IFERROR(ROUND(1.65*O36,0),0)</f>
        <v>24</v>
      </c>
      <c r="Q36" s="43" t="n">
        <f aca="false">IFERROR(ROUND(M36*H36+P36,0),0)</f>
        <v>200</v>
      </c>
      <c r="R36" s="44" t="n">
        <f aca="false">G36-Q36</f>
        <v>340</v>
      </c>
      <c r="S36" s="45" t="str">
        <f aca="false">IF(G36=0,"Stockout ⚠",IF(G36&lt;Q36,"Reorder 🔄",IF(G36&gt;Q36+L36,"Overstock 📦","Aman ✅")))</f>
        <v>Overstock 📦</v>
      </c>
      <c r="T36" s="46" t="n">
        <f aca="false">IFERROR(N36/AVERAGE(M32:M36),0)</f>
        <v>0.283537015344409</v>
      </c>
      <c r="U36" s="47" t="n">
        <v>263.6</v>
      </c>
      <c r="V36" s="48" t="n">
        <v>0.3297</v>
      </c>
    </row>
    <row r="37" customFormat="false" ht="15" hidden="false" customHeight="true" outlineLevel="0" collapsed="false">
      <c r="A37" s="34" t="n">
        <v>1</v>
      </c>
      <c r="B37" s="35" t="n">
        <v>2021</v>
      </c>
      <c r="C37" s="34" t="s">
        <v>263</v>
      </c>
      <c r="D37" s="34" t="s">
        <v>47</v>
      </c>
      <c r="E37" s="36" t="s">
        <v>48</v>
      </c>
      <c r="F37" s="34" t="s">
        <v>36</v>
      </c>
      <c r="G37" s="37" t="n">
        <v>0</v>
      </c>
      <c r="H37" s="37" t="n">
        <v>39</v>
      </c>
      <c r="I37" s="37" t="n">
        <f aca="false">IFERROR(ROUND('Data Bulanan'!AC12,0),0)</f>
        <v>16553</v>
      </c>
      <c r="J37" s="37" t="n">
        <v>7335190</v>
      </c>
      <c r="K37" s="37" t="n">
        <v>218719</v>
      </c>
      <c r="L37" s="38" t="n">
        <f aca="false">IFERROR(ROUND(SQRT(2*I37*J37/K37),0),0)</f>
        <v>1054</v>
      </c>
      <c r="M37" s="39" t="n">
        <f aca="false">IFERROR(AVERAGE('Data Bulanan'!F12,'Data Bulanan'!H12,'Data Bulanan'!J12,'Data Bulanan'!L12,'Data Bulanan'!N12,'Data Bulanan'!P12,'Data Bulanan'!R12,'Data Bulanan'!T12,'Data Bulanan'!V12,'Data Bulanan'!X12,'Data Bulanan'!Z12,'Data Bulanan'!AB12),0)</f>
        <v>43.9714157706093</v>
      </c>
      <c r="N37" s="40" t="n">
        <f aca="false">'Data Bulanan'!AD12</f>
        <v>8.18400765920103</v>
      </c>
      <c r="O37" s="41" t="n">
        <f aca="false">IFERROR(N37*SQRT(H37),0)</f>
        <v>51.1091114505876</v>
      </c>
      <c r="P37" s="42" t="n">
        <f aca="false">IFERROR(ROUND(1.65*O37,0),0)</f>
        <v>84</v>
      </c>
      <c r="Q37" s="43" t="n">
        <f aca="false">IFERROR(ROUND(M37*H37+P37,0),0)</f>
        <v>1799</v>
      </c>
      <c r="R37" s="44" t="n">
        <f aca="false">G37-Q37</f>
        <v>-1799</v>
      </c>
      <c r="S37" s="45" t="str">
        <f aca="false">IF(G37=0,"Stockout ⚠",IF(G37&lt;Q37,"Reorder 🔄",IF(G37&gt;Q37+L37,"Overstock 📦","Aman ✅")))</f>
        <v>Stockout ⚠</v>
      </c>
      <c r="T37" s="46" t="n">
        <f aca="false">IFERROR(N37/AVERAGE(M37:M41),0)</f>
        <v>0.160338028887866</v>
      </c>
      <c r="U37" s="47" t="n">
        <v>78.4</v>
      </c>
      <c r="V37" s="48" t="n">
        <v>0.003</v>
      </c>
    </row>
    <row r="38" customFormat="false" ht="15" hidden="false" customHeight="true" outlineLevel="0" collapsed="false">
      <c r="A38" s="34" t="n">
        <v>2</v>
      </c>
      <c r="B38" s="35" t="n">
        <v>2022</v>
      </c>
      <c r="C38" s="34" t="s">
        <v>263</v>
      </c>
      <c r="D38" s="34" t="s">
        <v>47</v>
      </c>
      <c r="E38" s="36" t="s">
        <v>48</v>
      </c>
      <c r="F38" s="34" t="s">
        <v>36</v>
      </c>
      <c r="G38" s="37" t="n">
        <v>7175</v>
      </c>
      <c r="H38" s="37" t="n">
        <v>39</v>
      </c>
      <c r="I38" s="37" t="n">
        <f aca="false">IFERROR(ROUND('Data Bulanan'!BC12,0),0)</f>
        <v>20975</v>
      </c>
      <c r="J38" s="37" t="n">
        <v>7169624</v>
      </c>
      <c r="K38" s="37" t="n">
        <v>218599</v>
      </c>
      <c r="L38" s="38" t="n">
        <f aca="false">IFERROR(ROUND(SQRT(2*I38*J38/K38),0),0)</f>
        <v>1173</v>
      </c>
      <c r="M38" s="39" t="n">
        <f aca="false">IFERROR(AVERAGE('Data Bulanan'!AF12,'Data Bulanan'!AH12,'Data Bulanan'!AJ12,'Data Bulanan'!AL12,'Data Bulanan'!AN12,'Data Bulanan'!AP12,'Data Bulanan'!AR12,'Data Bulanan'!AT12,'Data Bulanan'!AV12,'Data Bulanan'!AX12,'Data Bulanan'!AZ12,'Data Bulanan'!BB12),0)</f>
        <v>55.8363287250384</v>
      </c>
      <c r="N38" s="40" t="n">
        <f aca="false">'Data Bulanan'!BD12</f>
        <v>11.1480386033194</v>
      </c>
      <c r="O38" s="41" t="n">
        <f aca="false">IFERROR(N38*SQRT(H38),0)</f>
        <v>69.6194787637979</v>
      </c>
      <c r="P38" s="42" t="n">
        <f aca="false">IFERROR(ROUND(1.65*O38,0),0)</f>
        <v>115</v>
      </c>
      <c r="Q38" s="43" t="n">
        <f aca="false">IFERROR(ROUND(M38*H38+P38,0),0)</f>
        <v>2293</v>
      </c>
      <c r="R38" s="44" t="n">
        <f aca="false">G38-Q38</f>
        <v>4882</v>
      </c>
      <c r="S38" s="45" t="str">
        <f aca="false">IF(G38=0,"Stockout ⚠",IF(G38&lt;Q38,"Reorder 🔄",IF(G38&gt;Q38+L38,"Overstock 📦","Aman ✅")))</f>
        <v>Overstock 📦</v>
      </c>
      <c r="T38" s="46" t="n">
        <f aca="false">IFERROR(N38/AVERAGE(M37:M41),0)</f>
        <v>0.218408218815936</v>
      </c>
      <c r="U38" s="47" t="n">
        <v>78.4</v>
      </c>
      <c r="V38" s="48" t="n">
        <v>0.003</v>
      </c>
    </row>
    <row r="39" customFormat="false" ht="15" hidden="false" customHeight="true" outlineLevel="0" collapsed="false">
      <c r="A39" s="34" t="n">
        <v>3</v>
      </c>
      <c r="B39" s="35" t="n">
        <v>2023</v>
      </c>
      <c r="C39" s="34" t="s">
        <v>263</v>
      </c>
      <c r="D39" s="34" t="s">
        <v>47</v>
      </c>
      <c r="E39" s="36" t="s">
        <v>48</v>
      </c>
      <c r="F39" s="34" t="s">
        <v>36</v>
      </c>
      <c r="G39" s="37" t="n">
        <v>7360</v>
      </c>
      <c r="H39" s="37" t="n">
        <v>39</v>
      </c>
      <c r="I39" s="37" t="n">
        <f aca="false">IFERROR(ROUND('Data Bulanan'!CC12,0),0)</f>
        <v>20497</v>
      </c>
      <c r="J39" s="37" t="n">
        <v>8167110</v>
      </c>
      <c r="K39" s="37" t="n">
        <v>235846</v>
      </c>
      <c r="L39" s="38" t="n">
        <f aca="false">IFERROR(ROUND(SQRT(2*I39*J39/K39),0),0)</f>
        <v>1191</v>
      </c>
      <c r="M39" s="39" t="n">
        <f aca="false">IFERROR(AVERAGE('Data Bulanan'!BF12,'Data Bulanan'!BH12,'Data Bulanan'!BJ12,'Data Bulanan'!BL12,'Data Bulanan'!BN12,'Data Bulanan'!BP12,'Data Bulanan'!BR12,'Data Bulanan'!BT12,'Data Bulanan'!BV12,'Data Bulanan'!BX12,'Data Bulanan'!BZ12,'Data Bulanan'!CB12),0)</f>
        <v>54.4204365079365</v>
      </c>
      <c r="N39" s="40" t="n">
        <f aca="false">'Data Bulanan'!CD12</f>
        <v>12.4566114664089</v>
      </c>
      <c r="O39" s="41" t="n">
        <f aca="false">IFERROR(N39*SQRT(H39),0)</f>
        <v>77.7915136745501</v>
      </c>
      <c r="P39" s="42" t="n">
        <f aca="false">IFERROR(ROUND(1.65*O39,0),0)</f>
        <v>128</v>
      </c>
      <c r="Q39" s="43" t="n">
        <f aca="false">IFERROR(ROUND(M39*H39+P39,0),0)</f>
        <v>2250</v>
      </c>
      <c r="R39" s="44" t="n">
        <f aca="false">G39-Q39</f>
        <v>5110</v>
      </c>
      <c r="S39" s="45" t="str">
        <f aca="false">IF(G39=0,"Stockout ⚠",IF(G39&lt;Q39,"Reorder 🔄",IF(G39&gt;Q39+L39,"Overstock 📦","Aman ✅")))</f>
        <v>Overstock 📦</v>
      </c>
      <c r="T39" s="46" t="n">
        <f aca="false">IFERROR(N39/AVERAGE(M37:M41),0)</f>
        <v>0.244045290805724</v>
      </c>
      <c r="U39" s="47" t="n">
        <v>78.4</v>
      </c>
      <c r="V39" s="48" t="n">
        <v>0.003</v>
      </c>
    </row>
    <row r="40" customFormat="false" ht="15" hidden="false" customHeight="true" outlineLevel="0" collapsed="false">
      <c r="A40" s="34" t="n">
        <v>4</v>
      </c>
      <c r="B40" s="35" t="n">
        <v>2024</v>
      </c>
      <c r="C40" s="34" t="s">
        <v>263</v>
      </c>
      <c r="D40" s="34" t="s">
        <v>47</v>
      </c>
      <c r="E40" s="36" t="s">
        <v>48</v>
      </c>
      <c r="F40" s="34" t="s">
        <v>36</v>
      </c>
      <c r="G40" s="37" t="n">
        <v>4147</v>
      </c>
      <c r="H40" s="37" t="n">
        <v>39</v>
      </c>
      <c r="I40" s="37" t="n">
        <f aca="false">IFERROR(ROUND('Data Bulanan'!DC12,0),0)</f>
        <v>21045</v>
      </c>
      <c r="J40" s="37" t="n">
        <v>8040961</v>
      </c>
      <c r="K40" s="37" t="n">
        <v>237595</v>
      </c>
      <c r="L40" s="38" t="n">
        <f aca="false">IFERROR(ROUND(SQRT(2*I40*J40/K40),0),0)</f>
        <v>1194</v>
      </c>
      <c r="M40" s="39" t="n">
        <f aca="false">IFERROR(AVERAGE('Data Bulanan'!CF12,'Data Bulanan'!CH12,'Data Bulanan'!CJ12,'Data Bulanan'!CL12,'Data Bulanan'!CN12,'Data Bulanan'!CP12,'Data Bulanan'!CR12,'Data Bulanan'!CT12,'Data Bulanan'!CV12,'Data Bulanan'!CX12,'Data Bulanan'!CZ12,'Data Bulanan'!DB12),0)</f>
        <v>56.0148169482847</v>
      </c>
      <c r="N40" s="40" t="n">
        <f aca="false">'Data Bulanan'!DD12</f>
        <v>11.1953800534626</v>
      </c>
      <c r="O40" s="41" t="n">
        <f aca="false">IFERROR(N40*SQRT(H40),0)</f>
        <v>69.915126025183</v>
      </c>
      <c r="P40" s="42" t="n">
        <f aca="false">IFERROR(ROUND(1.65*O40,0),0)</f>
        <v>115</v>
      </c>
      <c r="Q40" s="43" t="n">
        <f aca="false">IFERROR(ROUND(M40*H40+P40,0),0)</f>
        <v>2300</v>
      </c>
      <c r="R40" s="44" t="n">
        <f aca="false">G40-Q40</f>
        <v>1847</v>
      </c>
      <c r="S40" s="45" t="str">
        <f aca="false">IF(G40=0,"Stockout ⚠",IF(G40&lt;Q40,"Reorder 🔄",IF(G40&gt;Q40+L40,"Overstock 📦","Aman ✅")))</f>
        <v>Overstock 📦</v>
      </c>
      <c r="T40" s="46" t="n">
        <f aca="false">IFERROR(N40/AVERAGE(M37:M41),0)</f>
        <v>0.219335714868815</v>
      </c>
      <c r="U40" s="47" t="n">
        <v>78.4</v>
      </c>
      <c r="V40" s="48" t="n">
        <v>0.003</v>
      </c>
    </row>
    <row r="41" customFormat="false" ht="15" hidden="false" customHeight="true" outlineLevel="0" collapsed="false">
      <c r="A41" s="34" t="n">
        <v>5</v>
      </c>
      <c r="B41" s="35" t="n">
        <v>2025</v>
      </c>
      <c r="C41" s="34" t="s">
        <v>263</v>
      </c>
      <c r="D41" s="34" t="s">
        <v>47</v>
      </c>
      <c r="E41" s="36" t="s">
        <v>48</v>
      </c>
      <c r="F41" s="34" t="s">
        <v>36</v>
      </c>
      <c r="G41" s="37" t="n">
        <v>10845</v>
      </c>
      <c r="H41" s="37" t="n">
        <v>39</v>
      </c>
      <c r="I41" s="37" t="n">
        <f aca="false">IFERROR(ROUND('Data Bulanan'!EC12,0),0)</f>
        <v>16910</v>
      </c>
      <c r="J41" s="37" t="n">
        <v>7642331</v>
      </c>
      <c r="K41" s="37" t="n">
        <v>233568</v>
      </c>
      <c r="L41" s="38" t="n">
        <f aca="false">IFERROR(ROUND(SQRT(2*I41*J41/K41),0),0)</f>
        <v>1052</v>
      </c>
      <c r="M41" s="39" t="n">
        <f aca="false">IFERROR(AVERAGE('Data Bulanan'!DF12,'Data Bulanan'!DH12,'Data Bulanan'!DJ12,'Data Bulanan'!DL12,'Data Bulanan'!DN12,'Data Bulanan'!DP12,'Data Bulanan'!DR12,'Data Bulanan'!DT12,'Data Bulanan'!DV12,'Data Bulanan'!DX12,'Data Bulanan'!DZ12,'Data Bulanan'!EB12),0)</f>
        <v>44.9680619559652</v>
      </c>
      <c r="N41" s="40" t="n">
        <f aca="false">'Data Bulanan'!ED12</f>
        <v>11.1457808178312</v>
      </c>
      <c r="O41" s="41" t="n">
        <f aca="false">IFERROR(N41*SQRT(H41),0)</f>
        <v>69.6053788979432</v>
      </c>
      <c r="P41" s="42" t="n">
        <f aca="false">IFERROR(ROUND(1.65*O41,0),0)</f>
        <v>115</v>
      </c>
      <c r="Q41" s="43" t="n">
        <f aca="false">IFERROR(ROUND(M41*H41+P41,0),0)</f>
        <v>1869</v>
      </c>
      <c r="R41" s="44" t="n">
        <f aca="false">G41-Q41</f>
        <v>8976</v>
      </c>
      <c r="S41" s="45" t="str">
        <f aca="false">IF(G41=0,"Stockout ⚠",IF(G41&lt;Q41,"Reorder 🔄",IF(G41&gt;Q41+L41,"Overstock 📦","Aman ✅")))</f>
        <v>Overstock 📦</v>
      </c>
      <c r="T41" s="46" t="n">
        <f aca="false">IFERROR(N41/AVERAGE(M37:M41),0)</f>
        <v>0.218363985123849</v>
      </c>
      <c r="U41" s="47" t="n">
        <v>78.4</v>
      </c>
      <c r="V41" s="48" t="n">
        <v>0.003</v>
      </c>
    </row>
    <row r="42" customFormat="false" ht="15" hidden="false" customHeight="true" outlineLevel="0" collapsed="false">
      <c r="A42" s="49" t="n">
        <v>1</v>
      </c>
      <c r="B42" s="35" t="n">
        <v>2021</v>
      </c>
      <c r="C42" s="49" t="s">
        <v>263</v>
      </c>
      <c r="D42" s="49" t="s">
        <v>49</v>
      </c>
      <c r="E42" s="50" t="s">
        <v>50</v>
      </c>
      <c r="F42" s="49" t="s">
        <v>36</v>
      </c>
      <c r="G42" s="37" t="n">
        <v>0</v>
      </c>
      <c r="H42" s="37" t="n">
        <v>8</v>
      </c>
      <c r="I42" s="37" t="n">
        <f aca="false">IFERROR(ROUND('Data Bulanan'!AC13,0),0)</f>
        <v>39448</v>
      </c>
      <c r="J42" s="37" t="n">
        <v>852402</v>
      </c>
      <c r="K42" s="37" t="n">
        <v>147934</v>
      </c>
      <c r="L42" s="38" t="n">
        <f aca="false">IFERROR(ROUND(SQRT(2*I42*J42/K42),0),0)</f>
        <v>674</v>
      </c>
      <c r="M42" s="39" t="n">
        <f aca="false">IFERROR(AVERAGE('Data Bulanan'!F13,'Data Bulanan'!H13,'Data Bulanan'!J13,'Data Bulanan'!L13,'Data Bulanan'!N13,'Data Bulanan'!P13,'Data Bulanan'!R13,'Data Bulanan'!T13,'Data Bulanan'!V13,'Data Bulanan'!X13,'Data Bulanan'!Z13,'Data Bulanan'!AB13),0)</f>
        <v>105.123643113159</v>
      </c>
      <c r="N42" s="40" t="n">
        <f aca="false">'Data Bulanan'!AD13</f>
        <v>23.8728441890691</v>
      </c>
      <c r="O42" s="41" t="n">
        <f aca="false">IFERROR(N42*SQRT(H42),0)</f>
        <v>67.5226000492026</v>
      </c>
      <c r="P42" s="42" t="n">
        <f aca="false">IFERROR(ROUND(1.65*O42,0),0)</f>
        <v>111</v>
      </c>
      <c r="Q42" s="43" t="n">
        <f aca="false">IFERROR(ROUND(M42*H42+P42,0),0)</f>
        <v>952</v>
      </c>
      <c r="R42" s="44" t="n">
        <f aca="false">G42-Q42</f>
        <v>-952</v>
      </c>
      <c r="S42" s="45" t="str">
        <f aca="false">IF(G42=0,"Stockout ⚠",IF(G42&lt;Q42,"Reorder 🔄",IF(G42&gt;Q42+L42,"Overstock 📦","Aman ✅")))</f>
        <v>Stockout ⚠</v>
      </c>
      <c r="T42" s="46" t="n">
        <f aca="false">IFERROR(N42/AVERAGE(M42:M46),0)</f>
        <v>0.19124955104293</v>
      </c>
      <c r="U42" s="47" t="n">
        <v>3721.03</v>
      </c>
      <c r="V42" s="48" t="n">
        <v>0.8438</v>
      </c>
    </row>
    <row r="43" customFormat="false" ht="15" hidden="false" customHeight="true" outlineLevel="0" collapsed="false">
      <c r="A43" s="49" t="n">
        <v>2</v>
      </c>
      <c r="B43" s="35" t="n">
        <v>2022</v>
      </c>
      <c r="C43" s="49" t="s">
        <v>263</v>
      </c>
      <c r="D43" s="49" t="s">
        <v>49</v>
      </c>
      <c r="E43" s="50" t="s">
        <v>50</v>
      </c>
      <c r="F43" s="49" t="s">
        <v>36</v>
      </c>
      <c r="G43" s="37" t="n">
        <v>0</v>
      </c>
      <c r="H43" s="37" t="n">
        <v>8</v>
      </c>
      <c r="I43" s="37" t="n">
        <f aca="false">IFERROR(ROUND('Data Bulanan'!BC13,0),0)</f>
        <v>44605</v>
      </c>
      <c r="J43" s="37" t="n">
        <v>794896</v>
      </c>
      <c r="K43" s="37" t="n">
        <v>143692</v>
      </c>
      <c r="L43" s="38" t="n">
        <f aca="false">IFERROR(ROUND(SQRT(2*I43*J43/K43),0),0)</f>
        <v>702</v>
      </c>
      <c r="M43" s="39" t="n">
        <f aca="false">IFERROR(AVERAGE('Data Bulanan'!AF13,'Data Bulanan'!AH13,'Data Bulanan'!AJ13,'Data Bulanan'!AL13,'Data Bulanan'!AN13,'Data Bulanan'!AP13,'Data Bulanan'!AR13,'Data Bulanan'!AT13,'Data Bulanan'!AV13,'Data Bulanan'!AX13,'Data Bulanan'!AZ13,'Data Bulanan'!BB13),0)</f>
        <v>119.002796979007</v>
      </c>
      <c r="N43" s="40" t="n">
        <f aca="false">'Data Bulanan'!BD13</f>
        <v>29.5677772172461</v>
      </c>
      <c r="O43" s="41" t="n">
        <f aca="false">IFERROR(N43*SQRT(H43),0)</f>
        <v>83.6303030997112</v>
      </c>
      <c r="P43" s="42" t="n">
        <f aca="false">IFERROR(ROUND(1.65*O43,0),0)</f>
        <v>138</v>
      </c>
      <c r="Q43" s="43" t="n">
        <f aca="false">IFERROR(ROUND(M43*H43+P43,0),0)</f>
        <v>1090</v>
      </c>
      <c r="R43" s="44" t="n">
        <f aca="false">G43-Q43</f>
        <v>-1090</v>
      </c>
      <c r="S43" s="45" t="str">
        <f aca="false">IF(G43=0,"Stockout ⚠",IF(G43&lt;Q43,"Reorder 🔄",IF(G43&gt;Q43+L43,"Overstock 📦","Aman ✅")))</f>
        <v>Stockout ⚠</v>
      </c>
      <c r="T43" s="46" t="n">
        <f aca="false">IFERROR(N43/AVERAGE(M42:M46),0)</f>
        <v>0.236872660557341</v>
      </c>
      <c r="U43" s="47" t="n">
        <v>3721.03</v>
      </c>
      <c r="V43" s="48" t="n">
        <v>0.8438</v>
      </c>
    </row>
    <row r="44" customFormat="false" ht="15" hidden="false" customHeight="true" outlineLevel="0" collapsed="false">
      <c r="A44" s="49" t="n">
        <v>3</v>
      </c>
      <c r="B44" s="35" t="n">
        <v>2023</v>
      </c>
      <c r="C44" s="49" t="s">
        <v>263</v>
      </c>
      <c r="D44" s="49" t="s">
        <v>49</v>
      </c>
      <c r="E44" s="50" t="s">
        <v>50</v>
      </c>
      <c r="F44" s="49" t="s">
        <v>36</v>
      </c>
      <c r="G44" s="37" t="n">
        <v>6679</v>
      </c>
      <c r="H44" s="37" t="n">
        <v>8</v>
      </c>
      <c r="I44" s="37" t="n">
        <f aca="false">IFERROR(ROUND('Data Bulanan'!CC13,0),0)</f>
        <v>43229</v>
      </c>
      <c r="J44" s="37" t="n">
        <v>750715</v>
      </c>
      <c r="K44" s="37" t="n">
        <v>134390</v>
      </c>
      <c r="L44" s="38" t="n">
        <f aca="false">IFERROR(ROUND(SQRT(2*I44*J44/K44),0),0)</f>
        <v>695</v>
      </c>
      <c r="M44" s="39" t="n">
        <f aca="false">IFERROR(AVERAGE('Data Bulanan'!BF13,'Data Bulanan'!BH13,'Data Bulanan'!BJ13,'Data Bulanan'!BL13,'Data Bulanan'!BN13,'Data Bulanan'!BP13,'Data Bulanan'!BR13,'Data Bulanan'!BT13,'Data Bulanan'!BV13,'Data Bulanan'!BX13,'Data Bulanan'!BZ13,'Data Bulanan'!CB13),0)</f>
        <v>114.912429595494</v>
      </c>
      <c r="N44" s="40" t="n">
        <f aca="false">'Data Bulanan'!CD13</f>
        <v>17.595176216206</v>
      </c>
      <c r="O44" s="41" t="n">
        <f aca="false">IFERROR(N44*SQRT(H44),0)</f>
        <v>49.7666736746062</v>
      </c>
      <c r="P44" s="42" t="n">
        <f aca="false">IFERROR(ROUND(1.65*O44,0),0)</f>
        <v>82</v>
      </c>
      <c r="Q44" s="43" t="n">
        <f aca="false">IFERROR(ROUND(M44*H44+P44,0),0)</f>
        <v>1001</v>
      </c>
      <c r="R44" s="44" t="n">
        <f aca="false">G44-Q44</f>
        <v>5678</v>
      </c>
      <c r="S44" s="45" t="str">
        <f aca="false">IF(G44=0,"Stockout ⚠",IF(G44&lt;Q44,"Reorder 🔄",IF(G44&gt;Q44+L44,"Overstock 📦","Aman ✅")))</f>
        <v>Overstock 📦</v>
      </c>
      <c r="T44" s="46" t="n">
        <f aca="false">IFERROR(N44/AVERAGE(M42:M46),0)</f>
        <v>0.140958049456522</v>
      </c>
      <c r="U44" s="47" t="n">
        <v>3721.03</v>
      </c>
      <c r="V44" s="48" t="n">
        <v>0.8438</v>
      </c>
    </row>
    <row r="45" customFormat="false" ht="15" hidden="false" customHeight="true" outlineLevel="0" collapsed="false">
      <c r="A45" s="49" t="n">
        <v>4</v>
      </c>
      <c r="B45" s="35" t="n">
        <v>2024</v>
      </c>
      <c r="C45" s="49" t="s">
        <v>263</v>
      </c>
      <c r="D45" s="49" t="s">
        <v>49</v>
      </c>
      <c r="E45" s="50" t="s">
        <v>50</v>
      </c>
      <c r="F45" s="49" t="s">
        <v>36</v>
      </c>
      <c r="G45" s="37" t="n">
        <v>4599</v>
      </c>
      <c r="H45" s="37" t="n">
        <v>8</v>
      </c>
      <c r="I45" s="37" t="n">
        <f aca="false">IFERROR(ROUND('Data Bulanan'!DC13,0),0)</f>
        <v>53692</v>
      </c>
      <c r="J45" s="37" t="n">
        <v>729890</v>
      </c>
      <c r="K45" s="37" t="n">
        <v>139923</v>
      </c>
      <c r="L45" s="38" t="n">
        <f aca="false">IFERROR(ROUND(SQRT(2*I45*J45/K45),0),0)</f>
        <v>748</v>
      </c>
      <c r="M45" s="39" t="n">
        <f aca="false">IFERROR(AVERAGE('Data Bulanan'!CF13,'Data Bulanan'!CH13,'Data Bulanan'!CJ13,'Data Bulanan'!CL13,'Data Bulanan'!CN13,'Data Bulanan'!CP13,'Data Bulanan'!CR13,'Data Bulanan'!CT13,'Data Bulanan'!CV13,'Data Bulanan'!CX13,'Data Bulanan'!CZ13,'Data Bulanan'!DB13),0)</f>
        <v>143.055241935484</v>
      </c>
      <c r="N45" s="40" t="n">
        <f aca="false">'Data Bulanan'!DD13</f>
        <v>28.4851863188603</v>
      </c>
      <c r="O45" s="41" t="n">
        <f aca="false">IFERROR(N45*SQRT(H45),0)</f>
        <v>80.5682736377136</v>
      </c>
      <c r="P45" s="42" t="n">
        <f aca="false">IFERROR(ROUND(1.65*O45,0),0)</f>
        <v>133</v>
      </c>
      <c r="Q45" s="43" t="n">
        <f aca="false">IFERROR(ROUND(M45*H45+P45,0),0)</f>
        <v>1277</v>
      </c>
      <c r="R45" s="44" t="n">
        <f aca="false">G45-Q45</f>
        <v>3322</v>
      </c>
      <c r="S45" s="45" t="str">
        <f aca="false">IF(G45=0,"Stockout ⚠",IF(G45&lt;Q45,"Reorder 🔄",IF(G45&gt;Q45+L45,"Overstock 📦","Aman ✅")))</f>
        <v>Overstock 📦</v>
      </c>
      <c r="T45" s="46" t="n">
        <f aca="false">IFERROR(N45/AVERAGE(M42:M46),0)</f>
        <v>0.22819983457818</v>
      </c>
      <c r="U45" s="47" t="n">
        <v>3721.03</v>
      </c>
      <c r="V45" s="48" t="n">
        <v>0.8438</v>
      </c>
    </row>
    <row r="46" customFormat="false" ht="15" hidden="false" customHeight="true" outlineLevel="0" collapsed="false">
      <c r="A46" s="49" t="n">
        <v>5</v>
      </c>
      <c r="B46" s="35" t="n">
        <v>2025</v>
      </c>
      <c r="C46" s="49" t="s">
        <v>263</v>
      </c>
      <c r="D46" s="49" t="s">
        <v>49</v>
      </c>
      <c r="E46" s="50" t="s">
        <v>50</v>
      </c>
      <c r="F46" s="49" t="s">
        <v>36</v>
      </c>
      <c r="G46" s="37" t="n">
        <v>4757</v>
      </c>
      <c r="H46" s="37" t="n">
        <v>8</v>
      </c>
      <c r="I46" s="37" t="n">
        <f aca="false">IFERROR(ROUND('Data Bulanan'!EC13,0),0)</f>
        <v>53509</v>
      </c>
      <c r="J46" s="37" t="n">
        <v>799643</v>
      </c>
      <c r="K46" s="37" t="n">
        <v>142565</v>
      </c>
      <c r="L46" s="38" t="n">
        <f aca="false">IFERROR(ROUND(SQRT(2*I46*J46/K46),0),0)</f>
        <v>775</v>
      </c>
      <c r="M46" s="39" t="n">
        <f aca="false">IFERROR(AVERAGE('Data Bulanan'!DF13,'Data Bulanan'!DH13,'Data Bulanan'!DJ13,'Data Bulanan'!DL13,'Data Bulanan'!DN13,'Data Bulanan'!DP13,'Data Bulanan'!DR13,'Data Bulanan'!DT13,'Data Bulanan'!DV13,'Data Bulanan'!DX13,'Data Bulanan'!DZ13,'Data Bulanan'!EB13),0)</f>
        <v>142.033998975934</v>
      </c>
      <c r="N46" s="40" t="n">
        <f aca="false">'Data Bulanan'!ED13</f>
        <v>26.4072446706705</v>
      </c>
      <c r="O46" s="41" t="n">
        <f aca="false">IFERROR(N46*SQRT(H46),0)</f>
        <v>74.6909671163337</v>
      </c>
      <c r="P46" s="42" t="n">
        <f aca="false">IFERROR(ROUND(1.65*O46,0),0)</f>
        <v>123</v>
      </c>
      <c r="Q46" s="43" t="n">
        <f aca="false">IFERROR(ROUND(M46*H46+P46,0),0)</f>
        <v>1259</v>
      </c>
      <c r="R46" s="44" t="n">
        <f aca="false">G46-Q46</f>
        <v>3498</v>
      </c>
      <c r="S46" s="45" t="str">
        <f aca="false">IF(G46=0,"Stockout ⚠",IF(G46&lt;Q46,"Reorder 🔄",IF(G46&gt;Q46+L46,"Overstock 📦","Aman ✅")))</f>
        <v>Overstock 📦</v>
      </c>
      <c r="T46" s="46" t="n">
        <f aca="false">IFERROR(N46/AVERAGE(M42:M46),0)</f>
        <v>0.211553078784764</v>
      </c>
      <c r="U46" s="47" t="n">
        <v>3721.03</v>
      </c>
      <c r="V46" s="48" t="n">
        <v>0.8438</v>
      </c>
    </row>
    <row r="47" customFormat="false" ht="15" hidden="false" customHeight="true" outlineLevel="0" collapsed="false">
      <c r="A47" s="34" t="n">
        <v>1</v>
      </c>
      <c r="B47" s="35" t="n">
        <v>2021</v>
      </c>
      <c r="C47" s="34" t="s">
        <v>263</v>
      </c>
      <c r="D47" s="34" t="s">
        <v>51</v>
      </c>
      <c r="E47" s="36" t="s">
        <v>52</v>
      </c>
      <c r="F47" s="34" t="s">
        <v>36</v>
      </c>
      <c r="G47" s="37" t="n">
        <v>2352</v>
      </c>
      <c r="H47" s="37" t="n">
        <v>6</v>
      </c>
      <c r="I47" s="37" t="n">
        <f aca="false">IFERROR(ROUND('Data Bulanan'!AC14,0),0)</f>
        <v>46102</v>
      </c>
      <c r="J47" s="37" t="n">
        <v>537137</v>
      </c>
      <c r="K47" s="37" t="n">
        <v>371408</v>
      </c>
      <c r="L47" s="38" t="n">
        <f aca="false">IFERROR(ROUND(SQRT(2*I47*J47/K47),0),0)</f>
        <v>365</v>
      </c>
      <c r="M47" s="39" t="n">
        <f aca="false">IFERROR(AVERAGE('Data Bulanan'!F14,'Data Bulanan'!H14,'Data Bulanan'!J14,'Data Bulanan'!L14,'Data Bulanan'!N14,'Data Bulanan'!P14,'Data Bulanan'!R14,'Data Bulanan'!T14,'Data Bulanan'!V14,'Data Bulanan'!X14,'Data Bulanan'!Z14,'Data Bulanan'!AB14),0)</f>
        <v>122.33801843318</v>
      </c>
      <c r="N47" s="40" t="n">
        <f aca="false">'Data Bulanan'!AD14</f>
        <v>27.4479353792828</v>
      </c>
      <c r="O47" s="41" t="n">
        <f aca="false">IFERROR(N47*SQRT(H47),0)</f>
        <v>67.2334361721287</v>
      </c>
      <c r="P47" s="42" t="n">
        <f aca="false">IFERROR(ROUND(1.65*O47,0),0)</f>
        <v>111</v>
      </c>
      <c r="Q47" s="43" t="n">
        <f aca="false">IFERROR(ROUND(M47*H47+P47,0),0)</f>
        <v>845</v>
      </c>
      <c r="R47" s="44" t="n">
        <f aca="false">G47-Q47</f>
        <v>1507</v>
      </c>
      <c r="S47" s="45" t="str">
        <f aca="false">IF(G47=0,"Stockout ⚠",IF(G47&lt;Q47,"Reorder 🔄",IF(G47&gt;Q47+L47,"Overstock 📦","Aman ✅")))</f>
        <v>Overstock 📦</v>
      </c>
      <c r="T47" s="46" t="n">
        <f aca="false">IFERROR(N47/AVERAGE(M47:M51),0)</f>
        <v>0.23276738227627</v>
      </c>
      <c r="U47" s="47" t="n">
        <v>401.8</v>
      </c>
      <c r="V47" s="48" t="n">
        <v>0.0314</v>
      </c>
    </row>
    <row r="48" customFormat="false" ht="15" hidden="false" customHeight="true" outlineLevel="0" collapsed="false">
      <c r="A48" s="34" t="n">
        <v>2</v>
      </c>
      <c r="B48" s="35" t="n">
        <v>2022</v>
      </c>
      <c r="C48" s="34" t="s">
        <v>263</v>
      </c>
      <c r="D48" s="34" t="s">
        <v>51</v>
      </c>
      <c r="E48" s="36" t="s">
        <v>52</v>
      </c>
      <c r="F48" s="34" t="s">
        <v>36</v>
      </c>
      <c r="G48" s="37" t="n">
        <v>987</v>
      </c>
      <c r="H48" s="37" t="n">
        <v>6</v>
      </c>
      <c r="I48" s="37" t="n">
        <f aca="false">IFERROR(ROUND('Data Bulanan'!BC14,0),0)</f>
        <v>38672</v>
      </c>
      <c r="J48" s="37" t="n">
        <v>636619</v>
      </c>
      <c r="K48" s="37" t="n">
        <v>393306</v>
      </c>
      <c r="L48" s="38" t="n">
        <f aca="false">IFERROR(ROUND(SQRT(2*I48*J48/K48),0),0)</f>
        <v>354</v>
      </c>
      <c r="M48" s="39" t="n">
        <f aca="false">IFERROR(AVERAGE('Data Bulanan'!AF14,'Data Bulanan'!AH14,'Data Bulanan'!AJ14,'Data Bulanan'!AL14,'Data Bulanan'!AN14,'Data Bulanan'!AP14,'Data Bulanan'!AR14,'Data Bulanan'!AT14,'Data Bulanan'!AV14,'Data Bulanan'!AX14,'Data Bulanan'!AZ14,'Data Bulanan'!BB14),0)</f>
        <v>102.832629288274</v>
      </c>
      <c r="N48" s="40" t="n">
        <f aca="false">'Data Bulanan'!BD14</f>
        <v>20.3862720754607</v>
      </c>
      <c r="O48" s="41" t="n">
        <f aca="false">IFERROR(N48*SQRT(H48),0)</f>
        <v>49.9359643424281</v>
      </c>
      <c r="P48" s="42" t="n">
        <f aca="false">IFERROR(ROUND(1.65*O48,0),0)</f>
        <v>82</v>
      </c>
      <c r="Q48" s="43" t="n">
        <f aca="false">IFERROR(ROUND(M48*H48+P48,0),0)</f>
        <v>699</v>
      </c>
      <c r="R48" s="44" t="n">
        <f aca="false">G48-Q48</f>
        <v>288</v>
      </c>
      <c r="S48" s="45" t="str">
        <f aca="false">IF(G48=0,"Stockout ⚠",IF(G48&lt;Q48,"Reorder 🔄",IF(G48&gt;Q48+L48,"Overstock 📦","Aman ✅")))</f>
        <v>Aman ✅</v>
      </c>
      <c r="T48" s="46" t="n">
        <f aca="false">IFERROR(N48/AVERAGE(M47:M51),0)</f>
        <v>0.172882190219613</v>
      </c>
      <c r="U48" s="47" t="n">
        <v>401.8</v>
      </c>
      <c r="V48" s="48" t="n">
        <v>0.0314</v>
      </c>
    </row>
    <row r="49" customFormat="false" ht="15" hidden="false" customHeight="true" outlineLevel="0" collapsed="false">
      <c r="A49" s="34" t="n">
        <v>3</v>
      </c>
      <c r="B49" s="35" t="n">
        <v>2023</v>
      </c>
      <c r="C49" s="34" t="s">
        <v>263</v>
      </c>
      <c r="D49" s="34" t="s">
        <v>51</v>
      </c>
      <c r="E49" s="36" t="s">
        <v>52</v>
      </c>
      <c r="F49" s="34" t="s">
        <v>36</v>
      </c>
      <c r="G49" s="37" t="n">
        <v>1466</v>
      </c>
      <c r="H49" s="37" t="n">
        <v>6</v>
      </c>
      <c r="I49" s="37" t="n">
        <f aca="false">IFERROR(ROUND('Data Bulanan'!CC14,0),0)</f>
        <v>45462</v>
      </c>
      <c r="J49" s="37" t="n">
        <v>595125</v>
      </c>
      <c r="K49" s="37" t="n">
        <v>347955</v>
      </c>
      <c r="L49" s="38" t="n">
        <f aca="false">IFERROR(ROUND(SQRT(2*I49*J49/K49),0),0)</f>
        <v>394</v>
      </c>
      <c r="M49" s="39" t="n">
        <f aca="false">IFERROR(AVERAGE('Data Bulanan'!BF14,'Data Bulanan'!BH14,'Data Bulanan'!BJ14,'Data Bulanan'!BL14,'Data Bulanan'!BN14,'Data Bulanan'!BP14,'Data Bulanan'!BR14,'Data Bulanan'!BT14,'Data Bulanan'!BV14,'Data Bulanan'!BX14,'Data Bulanan'!BZ14,'Data Bulanan'!CB14),0)</f>
        <v>121.509959037378</v>
      </c>
      <c r="N49" s="40" t="n">
        <f aca="false">'Data Bulanan'!CD14</f>
        <v>31.2966769342741</v>
      </c>
      <c r="O49" s="41" t="n">
        <f aca="false">IFERROR(N49*SQRT(H49),0)</f>
        <v>76.6608891337032</v>
      </c>
      <c r="P49" s="42" t="n">
        <f aca="false">IFERROR(ROUND(1.65*O49,0),0)</f>
        <v>126</v>
      </c>
      <c r="Q49" s="43" t="n">
        <f aca="false">IFERROR(ROUND(M49*H49+P49,0),0)</f>
        <v>855</v>
      </c>
      <c r="R49" s="44" t="n">
        <f aca="false">G49-Q49</f>
        <v>611</v>
      </c>
      <c r="S49" s="45" t="str">
        <f aca="false">IF(G49=0,"Stockout ⚠",IF(G49&lt;Q49,"Reorder 🔄",IF(G49&gt;Q49+L49,"Overstock 📦","Aman ✅")))</f>
        <v>Overstock 📦</v>
      </c>
      <c r="T49" s="46" t="n">
        <f aca="false">IFERROR(N49/AVERAGE(M47:M51),0)</f>
        <v>0.265405957252273</v>
      </c>
      <c r="U49" s="47" t="n">
        <v>401.8</v>
      </c>
      <c r="V49" s="48" t="n">
        <v>0.0314</v>
      </c>
    </row>
    <row r="50" customFormat="false" ht="15" hidden="false" customHeight="true" outlineLevel="0" collapsed="false">
      <c r="A50" s="34" t="n">
        <v>4</v>
      </c>
      <c r="B50" s="35" t="n">
        <v>2024</v>
      </c>
      <c r="C50" s="34" t="s">
        <v>263</v>
      </c>
      <c r="D50" s="34" t="s">
        <v>51</v>
      </c>
      <c r="E50" s="36" t="s">
        <v>52</v>
      </c>
      <c r="F50" s="34" t="s">
        <v>36</v>
      </c>
      <c r="G50" s="37" t="n">
        <v>1824</v>
      </c>
      <c r="H50" s="37" t="n">
        <v>6</v>
      </c>
      <c r="I50" s="37" t="n">
        <f aca="false">IFERROR(ROUND('Data Bulanan'!DC14,0),0)</f>
        <v>48083</v>
      </c>
      <c r="J50" s="37" t="n">
        <v>604578</v>
      </c>
      <c r="K50" s="37" t="n">
        <v>403541</v>
      </c>
      <c r="L50" s="38" t="n">
        <f aca="false">IFERROR(ROUND(SQRT(2*I50*J50/K50),0),0)</f>
        <v>380</v>
      </c>
      <c r="M50" s="39" t="n">
        <f aca="false">IFERROR(AVERAGE('Data Bulanan'!CF14,'Data Bulanan'!CH14,'Data Bulanan'!CJ14,'Data Bulanan'!CL14,'Data Bulanan'!CN14,'Data Bulanan'!CP14,'Data Bulanan'!CR14,'Data Bulanan'!CT14,'Data Bulanan'!CV14,'Data Bulanan'!CX14,'Data Bulanan'!CZ14,'Data Bulanan'!DB14),0)</f>
        <v>127.630555555556</v>
      </c>
      <c r="N50" s="40" t="n">
        <f aca="false">'Data Bulanan'!DD14</f>
        <v>32.6517561486609</v>
      </c>
      <c r="O50" s="41" t="n">
        <f aca="false">IFERROR(N50*SQRT(H50),0)</f>
        <v>79.9801417700024</v>
      </c>
      <c r="P50" s="42" t="n">
        <f aca="false">IFERROR(ROUND(1.65*O50,0),0)</f>
        <v>132</v>
      </c>
      <c r="Q50" s="43" t="n">
        <f aca="false">IFERROR(ROUND(M50*H50+P50,0),0)</f>
        <v>898</v>
      </c>
      <c r="R50" s="44" t="n">
        <f aca="false">G50-Q50</f>
        <v>926</v>
      </c>
      <c r="S50" s="45" t="str">
        <f aca="false">IF(G50=0,"Stockout ⚠",IF(G50&lt;Q50,"Reorder 🔄",IF(G50&gt;Q50+L50,"Overstock 📦","Aman ✅")))</f>
        <v>Overstock 📦</v>
      </c>
      <c r="T50" s="46" t="n">
        <f aca="false">IFERROR(N50/AVERAGE(M47:M51),0)</f>
        <v>0.276897467894195</v>
      </c>
      <c r="U50" s="47" t="n">
        <v>401.8</v>
      </c>
      <c r="V50" s="48" t="n">
        <v>0.0314</v>
      </c>
    </row>
    <row r="51" customFormat="false" ht="15" hidden="false" customHeight="true" outlineLevel="0" collapsed="false">
      <c r="A51" s="34" t="n">
        <v>5</v>
      </c>
      <c r="B51" s="35" t="n">
        <v>2025</v>
      </c>
      <c r="C51" s="34" t="s">
        <v>263</v>
      </c>
      <c r="D51" s="34" t="s">
        <v>51</v>
      </c>
      <c r="E51" s="36" t="s">
        <v>52</v>
      </c>
      <c r="F51" s="34" t="s">
        <v>36</v>
      </c>
      <c r="G51" s="37" t="n">
        <v>1269</v>
      </c>
      <c r="H51" s="37" t="n">
        <v>6</v>
      </c>
      <c r="I51" s="37" t="n">
        <f aca="false">IFERROR(ROUND('Data Bulanan'!EC14,0),0)</f>
        <v>43406</v>
      </c>
      <c r="J51" s="37" t="n">
        <v>641761</v>
      </c>
      <c r="K51" s="37" t="n">
        <v>394193</v>
      </c>
      <c r="L51" s="38" t="n">
        <f aca="false">IFERROR(ROUND(SQRT(2*I51*J51/K51),0),0)</f>
        <v>376</v>
      </c>
      <c r="M51" s="39" t="n">
        <f aca="false">IFERROR(AVERAGE('Data Bulanan'!DF14,'Data Bulanan'!DH14,'Data Bulanan'!DJ14,'Data Bulanan'!DL14,'Data Bulanan'!DN14,'Data Bulanan'!DP14,'Data Bulanan'!DR14,'Data Bulanan'!DT14,'Data Bulanan'!DV14,'Data Bulanan'!DX14,'Data Bulanan'!DZ14,'Data Bulanan'!EB14),0)</f>
        <v>115.288959293395</v>
      </c>
      <c r="N51" s="40" t="n">
        <f aca="false">'Data Bulanan'!ED14</f>
        <v>28.5247241840255</v>
      </c>
      <c r="O51" s="41" t="n">
        <f aca="false">IFERROR(N51*SQRT(H51),0)</f>
        <v>69.8710193044898</v>
      </c>
      <c r="P51" s="42" t="n">
        <f aca="false">IFERROR(ROUND(1.65*O51,0),0)</f>
        <v>115</v>
      </c>
      <c r="Q51" s="43" t="n">
        <f aca="false">IFERROR(ROUND(M51*H51+P51,0),0)</f>
        <v>807</v>
      </c>
      <c r="R51" s="44" t="n">
        <f aca="false">G51-Q51</f>
        <v>462</v>
      </c>
      <c r="S51" s="45" t="str">
        <f aca="false">IF(G51=0,"Stockout ⚠",IF(G51&lt;Q51,"Reorder 🔄",IF(G51&gt;Q51+L51,"Overstock 📦","Aman ✅")))</f>
        <v>Overstock 📦</v>
      </c>
      <c r="T51" s="46" t="n">
        <f aca="false">IFERROR(N51/AVERAGE(M47:M51),0)</f>
        <v>0.241898900107427</v>
      </c>
      <c r="U51" s="47" t="n">
        <v>401.8</v>
      </c>
      <c r="V51" s="48" t="n">
        <v>0.0314</v>
      </c>
    </row>
    <row r="52" customFormat="false" ht="15" hidden="false" customHeight="true" outlineLevel="0" collapsed="false">
      <c r="A52" s="49" t="n">
        <v>1</v>
      </c>
      <c r="B52" s="35" t="n">
        <v>2021</v>
      </c>
      <c r="C52" s="49" t="s">
        <v>263</v>
      </c>
      <c r="D52" s="49" t="s">
        <v>53</v>
      </c>
      <c r="E52" s="50" t="s">
        <v>54</v>
      </c>
      <c r="F52" s="49" t="s">
        <v>36</v>
      </c>
      <c r="G52" s="37" t="n">
        <v>1331</v>
      </c>
      <c r="H52" s="37" t="n">
        <v>10</v>
      </c>
      <c r="I52" s="37" t="n">
        <f aca="false">IFERROR(ROUND('Data Bulanan'!AC15,0),0)</f>
        <v>39767</v>
      </c>
      <c r="J52" s="37" t="n">
        <v>361831</v>
      </c>
      <c r="K52" s="37" t="n">
        <v>489661</v>
      </c>
      <c r="L52" s="38" t="n">
        <f aca="false">IFERROR(ROUND(SQRT(2*I52*J52/K52),0),0)</f>
        <v>242</v>
      </c>
      <c r="M52" s="39" t="n">
        <f aca="false">IFERROR(AVERAGE('Data Bulanan'!F15,'Data Bulanan'!H15,'Data Bulanan'!J15,'Data Bulanan'!L15,'Data Bulanan'!N15,'Data Bulanan'!P15,'Data Bulanan'!R15,'Data Bulanan'!T15,'Data Bulanan'!V15,'Data Bulanan'!X15,'Data Bulanan'!Z15,'Data Bulanan'!AB15),0)</f>
        <v>106.167108294931</v>
      </c>
      <c r="N52" s="40" t="n">
        <f aca="false">'Data Bulanan'!AD15</f>
        <v>29.5420531274241</v>
      </c>
      <c r="O52" s="41" t="n">
        <f aca="false">IFERROR(N52*SQRT(H52),0)</f>
        <v>93.4201746403605</v>
      </c>
      <c r="P52" s="42" t="n">
        <f aca="false">IFERROR(ROUND(1.65*O52,0),0)</f>
        <v>154</v>
      </c>
      <c r="Q52" s="43" t="n">
        <f aca="false">IFERROR(ROUND(M52*H52+P52,0),0)</f>
        <v>1216</v>
      </c>
      <c r="R52" s="44" t="n">
        <f aca="false">G52-Q52</f>
        <v>115</v>
      </c>
      <c r="S52" s="45" t="str">
        <f aca="false">IF(G52=0,"Stockout ⚠",IF(G52&lt;Q52,"Reorder 🔄",IF(G52&gt;Q52+L52,"Overstock 📦","Aman ✅")))</f>
        <v>Aman ✅</v>
      </c>
      <c r="T52" s="46" t="n">
        <f aca="false">IFERROR(N52/AVERAGE(M52:M56),0)</f>
        <v>0.306918327503332</v>
      </c>
      <c r="U52" s="47" t="n">
        <v>-1450.41</v>
      </c>
      <c r="V52" s="48" t="n">
        <v>0.2715</v>
      </c>
    </row>
    <row r="53" customFormat="false" ht="15" hidden="false" customHeight="true" outlineLevel="0" collapsed="false">
      <c r="A53" s="49" t="n">
        <v>2</v>
      </c>
      <c r="B53" s="35" t="n">
        <v>2022</v>
      </c>
      <c r="C53" s="49" t="s">
        <v>263</v>
      </c>
      <c r="D53" s="49" t="s">
        <v>53</v>
      </c>
      <c r="E53" s="50" t="s">
        <v>54</v>
      </c>
      <c r="F53" s="49" t="s">
        <v>36</v>
      </c>
      <c r="G53" s="37" t="n">
        <v>0</v>
      </c>
      <c r="H53" s="37" t="n">
        <v>10</v>
      </c>
      <c r="I53" s="37" t="n">
        <f aca="false">IFERROR(ROUND('Data Bulanan'!BC15,0),0)</f>
        <v>35803</v>
      </c>
      <c r="J53" s="37" t="n">
        <v>402435</v>
      </c>
      <c r="K53" s="37" t="n">
        <v>491251</v>
      </c>
      <c r="L53" s="38" t="n">
        <f aca="false">IFERROR(ROUND(SQRT(2*I53*J53/K53),0),0)</f>
        <v>242</v>
      </c>
      <c r="M53" s="39" t="n">
        <f aca="false">IFERROR(AVERAGE('Data Bulanan'!AF15,'Data Bulanan'!AH15,'Data Bulanan'!AJ15,'Data Bulanan'!AL15,'Data Bulanan'!AN15,'Data Bulanan'!AP15,'Data Bulanan'!AR15,'Data Bulanan'!AT15,'Data Bulanan'!AV15,'Data Bulanan'!AX15,'Data Bulanan'!AZ15,'Data Bulanan'!BB15),0)</f>
        <v>95.5104198668715</v>
      </c>
      <c r="N53" s="40" t="n">
        <f aca="false">'Data Bulanan'!BD15</f>
        <v>22.7914491986748</v>
      </c>
      <c r="O53" s="41" t="n">
        <f aca="false">IFERROR(N53*SQRT(H53),0)</f>
        <v>72.0728906438318</v>
      </c>
      <c r="P53" s="42" t="n">
        <f aca="false">IFERROR(ROUND(1.65*O53,0),0)</f>
        <v>119</v>
      </c>
      <c r="Q53" s="43" t="n">
        <f aca="false">IFERROR(ROUND(M53*H53+P53,0),0)</f>
        <v>1074</v>
      </c>
      <c r="R53" s="44" t="n">
        <f aca="false">G53-Q53</f>
        <v>-1074</v>
      </c>
      <c r="S53" s="45" t="str">
        <f aca="false">IF(G53=0,"Stockout ⚠",IF(G53&lt;Q53,"Reorder 🔄",IF(G53&gt;Q53+L53,"Overstock 📦","Aman ✅")))</f>
        <v>Stockout ⚠</v>
      </c>
      <c r="T53" s="46" t="n">
        <f aca="false">IFERROR(N53/AVERAGE(M52:M56),0)</f>
        <v>0.23678494650532</v>
      </c>
      <c r="U53" s="47" t="n">
        <v>-1450.41</v>
      </c>
      <c r="V53" s="48" t="n">
        <v>0.2715</v>
      </c>
    </row>
    <row r="54" customFormat="false" ht="15" hidden="false" customHeight="true" outlineLevel="0" collapsed="false">
      <c r="A54" s="49" t="n">
        <v>3</v>
      </c>
      <c r="B54" s="35" t="n">
        <v>2023</v>
      </c>
      <c r="C54" s="49" t="s">
        <v>263</v>
      </c>
      <c r="D54" s="49" t="s">
        <v>53</v>
      </c>
      <c r="E54" s="50" t="s">
        <v>54</v>
      </c>
      <c r="F54" s="49" t="s">
        <v>36</v>
      </c>
      <c r="G54" s="37" t="n">
        <v>2084</v>
      </c>
      <c r="H54" s="37" t="n">
        <v>10</v>
      </c>
      <c r="I54" s="37" t="n">
        <f aca="false">IFERROR(ROUND('Data Bulanan'!CC15,0),0)</f>
        <v>34164</v>
      </c>
      <c r="J54" s="37" t="n">
        <v>398182</v>
      </c>
      <c r="K54" s="37" t="n">
        <v>425432</v>
      </c>
      <c r="L54" s="38" t="n">
        <f aca="false">IFERROR(ROUND(SQRT(2*I54*J54/K54),0),0)</f>
        <v>253</v>
      </c>
      <c r="M54" s="39" t="n">
        <f aca="false">IFERROR(AVERAGE('Data Bulanan'!BF15,'Data Bulanan'!BH15,'Data Bulanan'!BJ15,'Data Bulanan'!BL15,'Data Bulanan'!BN15,'Data Bulanan'!BP15,'Data Bulanan'!BR15,'Data Bulanan'!BT15,'Data Bulanan'!BV15,'Data Bulanan'!BX15,'Data Bulanan'!BZ15,'Data Bulanan'!CB15),0)</f>
        <v>91.0468381976447</v>
      </c>
      <c r="N54" s="40" t="n">
        <f aca="false">'Data Bulanan'!CD15</f>
        <v>18.013106080168</v>
      </c>
      <c r="O54" s="41" t="n">
        <f aca="false">IFERROR(N54*SQRT(H54),0)</f>
        <v>56.9624429475584</v>
      </c>
      <c r="P54" s="42" t="n">
        <f aca="false">IFERROR(ROUND(1.65*O54,0),0)</f>
        <v>94</v>
      </c>
      <c r="Q54" s="43" t="n">
        <f aca="false">IFERROR(ROUND(M54*H54+P54,0),0)</f>
        <v>1004</v>
      </c>
      <c r="R54" s="44" t="n">
        <f aca="false">G54-Q54</f>
        <v>1080</v>
      </c>
      <c r="S54" s="45" t="str">
        <f aca="false">IF(G54=0,"Stockout ⚠",IF(G54&lt;Q54,"Reorder 🔄",IF(G54&gt;Q54+L54,"Overstock 📦","Aman ✅")))</f>
        <v>Overstock 📦</v>
      </c>
      <c r="T54" s="46" t="n">
        <f aca="false">IFERROR(N54/AVERAGE(M52:M56),0)</f>
        <v>0.187141779463292</v>
      </c>
      <c r="U54" s="47" t="n">
        <v>-1450.41</v>
      </c>
      <c r="V54" s="48" t="n">
        <v>0.2715</v>
      </c>
    </row>
    <row r="55" customFormat="false" ht="15" hidden="false" customHeight="true" outlineLevel="0" collapsed="false">
      <c r="A55" s="49" t="n">
        <v>4</v>
      </c>
      <c r="B55" s="35" t="n">
        <v>2024</v>
      </c>
      <c r="C55" s="49" t="s">
        <v>263</v>
      </c>
      <c r="D55" s="49" t="s">
        <v>53</v>
      </c>
      <c r="E55" s="50" t="s">
        <v>54</v>
      </c>
      <c r="F55" s="49" t="s">
        <v>36</v>
      </c>
      <c r="G55" s="37" t="n">
        <v>4343</v>
      </c>
      <c r="H55" s="37" t="n">
        <v>10</v>
      </c>
      <c r="I55" s="37" t="n">
        <f aca="false">IFERROR(ROUND('Data Bulanan'!DC15,0),0)</f>
        <v>40871</v>
      </c>
      <c r="J55" s="37" t="n">
        <v>382618</v>
      </c>
      <c r="K55" s="37" t="n">
        <v>426511</v>
      </c>
      <c r="L55" s="38" t="n">
        <f aca="false">IFERROR(ROUND(SQRT(2*I55*J55/K55),0),0)</f>
        <v>271</v>
      </c>
      <c r="M55" s="39" t="n">
        <f aca="false">IFERROR(AVERAGE('Data Bulanan'!CF15,'Data Bulanan'!CH15,'Data Bulanan'!CJ15,'Data Bulanan'!CL15,'Data Bulanan'!CN15,'Data Bulanan'!CP15,'Data Bulanan'!CR15,'Data Bulanan'!CT15,'Data Bulanan'!CV15,'Data Bulanan'!CX15,'Data Bulanan'!CZ15,'Data Bulanan'!DB15),0)</f>
        <v>108.938972094214</v>
      </c>
      <c r="N55" s="40" t="n">
        <f aca="false">'Data Bulanan'!DD15</f>
        <v>22.6015842449394</v>
      </c>
      <c r="O55" s="41" t="n">
        <f aca="false">IFERROR(N55*SQRT(H55),0)</f>
        <v>71.4724849421855</v>
      </c>
      <c r="P55" s="42" t="n">
        <f aca="false">IFERROR(ROUND(1.65*O55,0),0)</f>
        <v>118</v>
      </c>
      <c r="Q55" s="43" t="n">
        <f aca="false">IFERROR(ROUND(M55*H55+P55,0),0)</f>
        <v>1207</v>
      </c>
      <c r="R55" s="44" t="n">
        <f aca="false">G55-Q55</f>
        <v>3136</v>
      </c>
      <c r="S55" s="45" t="str">
        <f aca="false">IF(G55=0,"Stockout ⚠",IF(G55&lt;Q55,"Reorder 🔄",IF(G55&gt;Q55+L55,"Overstock 📦","Aman ✅")))</f>
        <v>Overstock 📦</v>
      </c>
      <c r="T55" s="46" t="n">
        <f aca="false">IFERROR(N55/AVERAGE(M52:M56),0)</f>
        <v>0.234812401340615</v>
      </c>
      <c r="U55" s="47" t="n">
        <v>-1450.41</v>
      </c>
      <c r="V55" s="48" t="n">
        <v>0.2715</v>
      </c>
    </row>
    <row r="56" customFormat="false" ht="15" hidden="false" customHeight="true" outlineLevel="0" collapsed="false">
      <c r="A56" s="49" t="n">
        <v>5</v>
      </c>
      <c r="B56" s="35" t="n">
        <v>2025</v>
      </c>
      <c r="C56" s="49" t="s">
        <v>263</v>
      </c>
      <c r="D56" s="49" t="s">
        <v>53</v>
      </c>
      <c r="E56" s="50" t="s">
        <v>54</v>
      </c>
      <c r="F56" s="49" t="s">
        <v>36</v>
      </c>
      <c r="G56" s="37" t="n">
        <v>2382</v>
      </c>
      <c r="H56" s="37" t="n">
        <v>10</v>
      </c>
      <c r="I56" s="37" t="n">
        <f aca="false">IFERROR(ROUND('Data Bulanan'!EC15,0),0)</f>
        <v>29981</v>
      </c>
      <c r="J56" s="37" t="n">
        <v>395099</v>
      </c>
      <c r="K56" s="37" t="n">
        <v>478272</v>
      </c>
      <c r="L56" s="38" t="n">
        <f aca="false">IFERROR(ROUND(SQRT(2*I56*J56/K56),0),0)</f>
        <v>223</v>
      </c>
      <c r="M56" s="39" t="n">
        <f aca="false">IFERROR(AVERAGE('Data Bulanan'!DF15,'Data Bulanan'!DH15,'Data Bulanan'!DJ15,'Data Bulanan'!DL15,'Data Bulanan'!DN15,'Data Bulanan'!DP15,'Data Bulanan'!DR15,'Data Bulanan'!DT15,'Data Bulanan'!DV15,'Data Bulanan'!DX15,'Data Bulanan'!DZ15,'Data Bulanan'!EB15),0)</f>
        <v>79.6056259600615</v>
      </c>
      <c r="N56" s="40" t="n">
        <f aca="false">'Data Bulanan'!ED15</f>
        <v>21.8860070838399</v>
      </c>
      <c r="O56" s="41" t="n">
        <f aca="false">IFERROR(N56*SQRT(H56),0)</f>
        <v>69.2096312715138</v>
      </c>
      <c r="P56" s="42" t="n">
        <f aca="false">IFERROR(ROUND(1.65*O56,0),0)</f>
        <v>114</v>
      </c>
      <c r="Q56" s="43" t="n">
        <f aca="false">IFERROR(ROUND(M56*H56+P56,0),0)</f>
        <v>910</v>
      </c>
      <c r="R56" s="44" t="n">
        <f aca="false">G56-Q56</f>
        <v>1472</v>
      </c>
      <c r="S56" s="45" t="str">
        <f aca="false">IF(G56=0,"Stockout ⚠",IF(G56&lt;Q56,"Reorder 🔄",IF(G56&gt;Q56+L56,"Overstock 📦","Aman ✅")))</f>
        <v>Overstock 📦</v>
      </c>
      <c r="T56" s="46" t="n">
        <f aca="false">IFERROR(N56/AVERAGE(M52:M56),0)</f>
        <v>0.227378126392393</v>
      </c>
      <c r="U56" s="47" t="n">
        <v>-1450.41</v>
      </c>
      <c r="V56" s="48" t="n">
        <v>0.2715</v>
      </c>
    </row>
    <row r="57" customFormat="false" ht="15" hidden="false" customHeight="true" outlineLevel="0" collapsed="false">
      <c r="A57" s="34" t="n">
        <v>1</v>
      </c>
      <c r="B57" s="35" t="n">
        <v>2021</v>
      </c>
      <c r="C57" s="34" t="s">
        <v>263</v>
      </c>
      <c r="D57" s="34" t="s">
        <v>55</v>
      </c>
      <c r="E57" s="36" t="s">
        <v>56</v>
      </c>
      <c r="F57" s="34" t="s">
        <v>57</v>
      </c>
      <c r="G57" s="37" t="n">
        <v>6960</v>
      </c>
      <c r="H57" s="37" t="n">
        <v>40</v>
      </c>
      <c r="I57" s="37" t="n">
        <f aca="false">IFERROR(ROUND('Data Bulanan'!AC16,0),0)</f>
        <v>9027</v>
      </c>
      <c r="J57" s="37" t="n">
        <v>8369633</v>
      </c>
      <c r="K57" s="37" t="n">
        <v>439383</v>
      </c>
      <c r="L57" s="38" t="n">
        <f aca="false">IFERROR(ROUND(SQRT(2*I57*J57/K57),0),0)</f>
        <v>586</v>
      </c>
      <c r="M57" s="39" t="n">
        <f aca="false">IFERROR(AVERAGE('Data Bulanan'!F16,'Data Bulanan'!H16,'Data Bulanan'!J16,'Data Bulanan'!L16,'Data Bulanan'!N16,'Data Bulanan'!P16,'Data Bulanan'!R16,'Data Bulanan'!T16,'Data Bulanan'!V16,'Data Bulanan'!X16,'Data Bulanan'!Z16,'Data Bulanan'!AB16),0)</f>
        <v>24.0621927803379</v>
      </c>
      <c r="N57" s="40" t="n">
        <f aca="false">'Data Bulanan'!AD16</f>
        <v>5.32265725326893</v>
      </c>
      <c r="O57" s="41" t="n">
        <f aca="false">IFERROR(N57*SQRT(H57),0)</f>
        <v>33.6634402494911</v>
      </c>
      <c r="P57" s="42" t="n">
        <f aca="false">IFERROR(ROUND(1.65*O57,0),0)</f>
        <v>56</v>
      </c>
      <c r="Q57" s="43" t="n">
        <f aca="false">IFERROR(ROUND(M57*H57+P57,0),0)</f>
        <v>1018</v>
      </c>
      <c r="R57" s="44" t="n">
        <f aca="false">G57-Q57</f>
        <v>5942</v>
      </c>
      <c r="S57" s="45" t="str">
        <f aca="false">IF(G57=0,"Stockout ⚠",IF(G57&lt;Q57,"Reorder 🔄",IF(G57&gt;Q57+L57,"Overstock 📦","Aman ✅")))</f>
        <v>Overstock 📦</v>
      </c>
      <c r="T57" s="46" t="n">
        <f aca="false">IFERROR(N57/AVERAGE(M57:M61),0)</f>
        <v>0.216885953026543</v>
      </c>
      <c r="U57" s="47" t="n">
        <v>295.42</v>
      </c>
      <c r="V57" s="48" t="n">
        <v>0.4429</v>
      </c>
    </row>
    <row r="58" customFormat="false" ht="15" hidden="false" customHeight="true" outlineLevel="0" collapsed="false">
      <c r="A58" s="34" t="n">
        <v>2</v>
      </c>
      <c r="B58" s="35" t="n">
        <v>2022</v>
      </c>
      <c r="C58" s="34" t="s">
        <v>263</v>
      </c>
      <c r="D58" s="34" t="s">
        <v>55</v>
      </c>
      <c r="E58" s="36" t="s">
        <v>56</v>
      </c>
      <c r="F58" s="34" t="s">
        <v>57</v>
      </c>
      <c r="G58" s="37" t="n">
        <v>2826</v>
      </c>
      <c r="H58" s="37" t="n">
        <v>40</v>
      </c>
      <c r="I58" s="37" t="n">
        <f aca="false">IFERROR(ROUND('Data Bulanan'!BC16,0),0)</f>
        <v>8088</v>
      </c>
      <c r="J58" s="37" t="n">
        <v>9237774</v>
      </c>
      <c r="K58" s="37" t="n">
        <v>436771</v>
      </c>
      <c r="L58" s="38" t="n">
        <f aca="false">IFERROR(ROUND(SQRT(2*I58*J58/K58),0),0)</f>
        <v>585</v>
      </c>
      <c r="M58" s="39" t="n">
        <f aca="false">IFERROR(AVERAGE('Data Bulanan'!AF16,'Data Bulanan'!AH16,'Data Bulanan'!AJ16,'Data Bulanan'!AL16,'Data Bulanan'!AN16,'Data Bulanan'!AP16,'Data Bulanan'!AR16,'Data Bulanan'!AT16,'Data Bulanan'!AV16,'Data Bulanan'!AX16,'Data Bulanan'!AZ16,'Data Bulanan'!BB16),0)</f>
        <v>21.5073092677931</v>
      </c>
      <c r="N58" s="40" t="n">
        <f aca="false">'Data Bulanan'!BD16</f>
        <v>4.01029700649255</v>
      </c>
      <c r="O58" s="41" t="n">
        <f aca="false">IFERROR(N58*SQRT(H58),0)</f>
        <v>25.363345268543</v>
      </c>
      <c r="P58" s="42" t="n">
        <f aca="false">IFERROR(ROUND(1.65*O58,0),0)</f>
        <v>42</v>
      </c>
      <c r="Q58" s="43" t="n">
        <f aca="false">IFERROR(ROUND(M58*H58+P58,0),0)</f>
        <v>902</v>
      </c>
      <c r="R58" s="44" t="n">
        <f aca="false">G58-Q58</f>
        <v>1924</v>
      </c>
      <c r="S58" s="45" t="str">
        <f aca="false">IF(G58=0,"Stockout ⚠",IF(G58&lt;Q58,"Reorder 🔄",IF(G58&gt;Q58+L58,"Overstock 📦","Aman ✅")))</f>
        <v>Overstock 📦</v>
      </c>
      <c r="T58" s="46" t="n">
        <f aca="false">IFERROR(N58/AVERAGE(M57:M61),0)</f>
        <v>0.163410313079703</v>
      </c>
      <c r="U58" s="47" t="n">
        <v>295.42</v>
      </c>
      <c r="V58" s="48" t="n">
        <v>0.4429</v>
      </c>
    </row>
    <row r="59" customFormat="false" ht="15" hidden="false" customHeight="true" outlineLevel="0" collapsed="false">
      <c r="A59" s="34" t="n">
        <v>3</v>
      </c>
      <c r="B59" s="35" t="n">
        <v>2023</v>
      </c>
      <c r="C59" s="34" t="s">
        <v>263</v>
      </c>
      <c r="D59" s="34" t="s">
        <v>55</v>
      </c>
      <c r="E59" s="36" t="s">
        <v>56</v>
      </c>
      <c r="F59" s="34" t="s">
        <v>57</v>
      </c>
      <c r="G59" s="37" t="n">
        <v>3206</v>
      </c>
      <c r="H59" s="37" t="n">
        <v>40</v>
      </c>
      <c r="I59" s="37" t="n">
        <f aca="false">IFERROR(ROUND('Data Bulanan'!CC16,0),0)</f>
        <v>9710</v>
      </c>
      <c r="J59" s="37" t="n">
        <v>7776763</v>
      </c>
      <c r="K59" s="37" t="n">
        <v>498780</v>
      </c>
      <c r="L59" s="38" t="n">
        <f aca="false">IFERROR(ROUND(SQRT(2*I59*J59/K59),0),0)</f>
        <v>550</v>
      </c>
      <c r="M59" s="39" t="n">
        <f aca="false">IFERROR(AVERAGE('Data Bulanan'!BF16,'Data Bulanan'!BH16,'Data Bulanan'!BJ16,'Data Bulanan'!BL16,'Data Bulanan'!BN16,'Data Bulanan'!BP16,'Data Bulanan'!BR16,'Data Bulanan'!BT16,'Data Bulanan'!BV16,'Data Bulanan'!BX16,'Data Bulanan'!BZ16,'Data Bulanan'!CB16),0)</f>
        <v>25.8734511008705</v>
      </c>
      <c r="N59" s="40" t="n">
        <f aca="false">'Data Bulanan'!CD16</f>
        <v>6.34457963959298</v>
      </c>
      <c r="O59" s="41" t="n">
        <f aca="false">IFERROR(N59*SQRT(H59),0)</f>
        <v>40.1266449148881</v>
      </c>
      <c r="P59" s="42" t="n">
        <f aca="false">IFERROR(ROUND(1.65*O59,0),0)</f>
        <v>66</v>
      </c>
      <c r="Q59" s="43" t="n">
        <f aca="false">IFERROR(ROUND(M59*H59+P59,0),0)</f>
        <v>1101</v>
      </c>
      <c r="R59" s="44" t="n">
        <f aca="false">G59-Q59</f>
        <v>2105</v>
      </c>
      <c r="S59" s="45" t="str">
        <f aca="false">IF(G59=0,"Stockout ⚠",IF(G59&lt;Q59,"Reorder 🔄",IF(G59&gt;Q59+L59,"Overstock 📦","Aman ✅")))</f>
        <v>Overstock 📦</v>
      </c>
      <c r="T59" s="46" t="n">
        <f aca="false">IFERROR(N59/AVERAGE(M57:M61),0)</f>
        <v>0.258526922965182</v>
      </c>
      <c r="U59" s="47" t="n">
        <v>295.42</v>
      </c>
      <c r="V59" s="48" t="n">
        <v>0.4429</v>
      </c>
    </row>
    <row r="60" customFormat="false" ht="15" hidden="false" customHeight="true" outlineLevel="0" collapsed="false">
      <c r="A60" s="34" t="n">
        <v>4</v>
      </c>
      <c r="B60" s="35" t="n">
        <v>2024</v>
      </c>
      <c r="C60" s="34" t="s">
        <v>263</v>
      </c>
      <c r="D60" s="34" t="s">
        <v>55</v>
      </c>
      <c r="E60" s="36" t="s">
        <v>56</v>
      </c>
      <c r="F60" s="34" t="s">
        <v>57</v>
      </c>
      <c r="G60" s="37" t="n">
        <v>0</v>
      </c>
      <c r="H60" s="37" t="n">
        <v>40</v>
      </c>
      <c r="I60" s="37" t="n">
        <f aca="false">IFERROR(ROUND('Data Bulanan'!DC16,0),0)</f>
        <v>9510</v>
      </c>
      <c r="J60" s="37" t="n">
        <v>8213905</v>
      </c>
      <c r="K60" s="37" t="n">
        <v>482546</v>
      </c>
      <c r="L60" s="38" t="n">
        <f aca="false">IFERROR(ROUND(SQRT(2*I60*J60/K60),0),0)</f>
        <v>569</v>
      </c>
      <c r="M60" s="39" t="n">
        <f aca="false">IFERROR(AVERAGE('Data Bulanan'!CF16,'Data Bulanan'!CH16,'Data Bulanan'!CJ16,'Data Bulanan'!CL16,'Data Bulanan'!CN16,'Data Bulanan'!CP16,'Data Bulanan'!CR16,'Data Bulanan'!CT16,'Data Bulanan'!CV16,'Data Bulanan'!CX16,'Data Bulanan'!CZ16,'Data Bulanan'!DB16),0)</f>
        <v>25.2577636968766</v>
      </c>
      <c r="N60" s="40" t="n">
        <f aca="false">'Data Bulanan'!DD16</f>
        <v>6.12136495101781</v>
      </c>
      <c r="O60" s="41" t="n">
        <f aca="false">IFERROR(N60*SQRT(H60),0)</f>
        <v>38.7149112686827</v>
      </c>
      <c r="P60" s="42" t="n">
        <f aca="false">IFERROR(ROUND(1.65*O60,0),0)</f>
        <v>64</v>
      </c>
      <c r="Q60" s="43" t="n">
        <f aca="false">IFERROR(ROUND(M60*H60+P60,0),0)</f>
        <v>1074</v>
      </c>
      <c r="R60" s="44" t="n">
        <f aca="false">G60-Q60</f>
        <v>-1074</v>
      </c>
      <c r="S60" s="45" t="str">
        <f aca="false">IF(G60=0,"Stockout ⚠",IF(G60&lt;Q60,"Reorder 🔄",IF(G60&gt;Q60+L60,"Overstock 📦","Aman ✅")))</f>
        <v>Stockout ⚠</v>
      </c>
      <c r="T60" s="46" t="n">
        <f aca="false">IFERROR(N60/AVERAGE(M57:M61),0)</f>
        <v>0.249431441487125</v>
      </c>
      <c r="U60" s="47" t="n">
        <v>295.42</v>
      </c>
      <c r="V60" s="48" t="n">
        <v>0.4429</v>
      </c>
    </row>
    <row r="61" customFormat="false" ht="15" hidden="false" customHeight="true" outlineLevel="0" collapsed="false">
      <c r="A61" s="34" t="n">
        <v>5</v>
      </c>
      <c r="B61" s="35" t="n">
        <v>2025</v>
      </c>
      <c r="C61" s="34" t="s">
        <v>263</v>
      </c>
      <c r="D61" s="34" t="s">
        <v>55</v>
      </c>
      <c r="E61" s="36" t="s">
        <v>56</v>
      </c>
      <c r="F61" s="34" t="s">
        <v>57</v>
      </c>
      <c r="G61" s="37" t="n">
        <v>3079</v>
      </c>
      <c r="H61" s="37" t="n">
        <v>40</v>
      </c>
      <c r="I61" s="37" t="n">
        <f aca="false">IFERROR(ROUND('Data Bulanan'!EC16,0),0)</f>
        <v>9793</v>
      </c>
      <c r="J61" s="37" t="n">
        <v>8137115</v>
      </c>
      <c r="K61" s="37" t="n">
        <v>503751</v>
      </c>
      <c r="L61" s="38" t="n">
        <f aca="false">IFERROR(ROUND(SQRT(2*I61*J61/K61),0),0)</f>
        <v>562</v>
      </c>
      <c r="M61" s="39" t="n">
        <f aca="false">IFERROR(AVERAGE('Data Bulanan'!DF16,'Data Bulanan'!DH16,'Data Bulanan'!DJ16,'Data Bulanan'!DL16,'Data Bulanan'!DN16,'Data Bulanan'!DP16,'Data Bulanan'!DR16,'Data Bulanan'!DT16,'Data Bulanan'!DV16,'Data Bulanan'!DX16,'Data Bulanan'!DZ16,'Data Bulanan'!EB16),0)</f>
        <v>26.0056451612903</v>
      </c>
      <c r="N61" s="40" t="n">
        <f aca="false">'Data Bulanan'!ED16</f>
        <v>6.65494651564216</v>
      </c>
      <c r="O61" s="41" t="n">
        <f aca="false">IFERROR(N61*SQRT(H61),0)</f>
        <v>42.0895773920612</v>
      </c>
      <c r="P61" s="42" t="n">
        <f aca="false">IFERROR(ROUND(1.65*O61,0),0)</f>
        <v>69</v>
      </c>
      <c r="Q61" s="43" t="n">
        <f aca="false">IFERROR(ROUND(M61*H61+P61,0),0)</f>
        <v>1109</v>
      </c>
      <c r="R61" s="44" t="n">
        <f aca="false">G61-Q61</f>
        <v>1970</v>
      </c>
      <c r="S61" s="45" t="str">
        <f aca="false">IF(G61=0,"Stockout ⚠",IF(G61&lt;Q61,"Reorder 🔄",IF(G61&gt;Q61+L61,"Overstock 📦","Aman ✅")))</f>
        <v>Overstock 📦</v>
      </c>
      <c r="T61" s="46" t="n">
        <f aca="false">IFERROR(N61/AVERAGE(M57:M61),0)</f>
        <v>0.271173654192982</v>
      </c>
      <c r="U61" s="47" t="n">
        <v>295.42</v>
      </c>
      <c r="V61" s="48" t="n">
        <v>0.4429</v>
      </c>
    </row>
    <row r="62" customFormat="false" ht="15" hidden="false" customHeight="true" outlineLevel="0" collapsed="false">
      <c r="A62" s="49" t="n">
        <v>1</v>
      </c>
      <c r="B62" s="35" t="n">
        <v>2021</v>
      </c>
      <c r="C62" s="49" t="s">
        <v>263</v>
      </c>
      <c r="D62" s="49" t="s">
        <v>58</v>
      </c>
      <c r="E62" s="50" t="s">
        <v>59</v>
      </c>
      <c r="F62" s="49" t="s">
        <v>36</v>
      </c>
      <c r="G62" s="37" t="n">
        <v>3974</v>
      </c>
      <c r="H62" s="37" t="n">
        <v>30</v>
      </c>
      <c r="I62" s="37" t="n">
        <f aca="false">IFERROR(ROUND('Data Bulanan'!AC17,0),0)</f>
        <v>12092</v>
      </c>
      <c r="J62" s="37" t="n">
        <v>10084464</v>
      </c>
      <c r="K62" s="37" t="n">
        <v>280757</v>
      </c>
      <c r="L62" s="38" t="n">
        <f aca="false">IFERROR(ROUND(SQRT(2*I62*J62/K62),0),0)</f>
        <v>932</v>
      </c>
      <c r="M62" s="39" t="n">
        <f aca="false">IFERROR(AVERAGE('Data Bulanan'!F17,'Data Bulanan'!H17,'Data Bulanan'!J17,'Data Bulanan'!L17,'Data Bulanan'!N17,'Data Bulanan'!P17,'Data Bulanan'!R17,'Data Bulanan'!T17,'Data Bulanan'!V17,'Data Bulanan'!X17,'Data Bulanan'!Z17,'Data Bulanan'!AB17),0)</f>
        <v>32.1186827956989</v>
      </c>
      <c r="N62" s="40" t="n">
        <f aca="false">'Data Bulanan'!AD17</f>
        <v>6.10884935156358</v>
      </c>
      <c r="O62" s="41" t="n">
        <f aca="false">IFERROR(N62*SQRT(H62),0)</f>
        <v>33.4595459025218</v>
      </c>
      <c r="P62" s="42" t="n">
        <f aca="false">IFERROR(ROUND(1.65*O62,0),0)</f>
        <v>55</v>
      </c>
      <c r="Q62" s="43" t="n">
        <f aca="false">IFERROR(ROUND(M62*H62+P62,0),0)</f>
        <v>1019</v>
      </c>
      <c r="R62" s="44" t="n">
        <f aca="false">G62-Q62</f>
        <v>2955</v>
      </c>
      <c r="S62" s="45" t="str">
        <f aca="false">IF(G62=0,"Stockout ⚠",IF(G62&lt;Q62,"Reorder 🔄",IF(G62&gt;Q62+L62,"Overstock 📦","Aman ✅")))</f>
        <v>Overstock 📦</v>
      </c>
      <c r="T62" s="46" t="n">
        <f aca="false">IFERROR(N62/AVERAGE(M62:M66),0)</f>
        <v>0.203956272639353</v>
      </c>
      <c r="U62" s="47" t="n">
        <v>-200.59</v>
      </c>
      <c r="V62" s="48" t="n">
        <v>0.1803</v>
      </c>
    </row>
    <row r="63" customFormat="false" ht="15" hidden="false" customHeight="true" outlineLevel="0" collapsed="false">
      <c r="A63" s="49" t="n">
        <v>2</v>
      </c>
      <c r="B63" s="35" t="n">
        <v>2022</v>
      </c>
      <c r="C63" s="49" t="s">
        <v>263</v>
      </c>
      <c r="D63" s="49" t="s">
        <v>58</v>
      </c>
      <c r="E63" s="50" t="s">
        <v>59</v>
      </c>
      <c r="F63" s="49" t="s">
        <v>36</v>
      </c>
      <c r="G63" s="37" t="n">
        <v>3332</v>
      </c>
      <c r="H63" s="37" t="n">
        <v>30</v>
      </c>
      <c r="I63" s="37" t="n">
        <f aca="false">IFERROR(ROUND('Data Bulanan'!BC17,0),0)</f>
        <v>11666</v>
      </c>
      <c r="J63" s="37" t="n">
        <v>10318371</v>
      </c>
      <c r="K63" s="37" t="n">
        <v>295775</v>
      </c>
      <c r="L63" s="38" t="n">
        <f aca="false">IFERROR(ROUND(SQRT(2*I63*J63/K63),0),0)</f>
        <v>902</v>
      </c>
      <c r="M63" s="39" t="n">
        <f aca="false">IFERROR(AVERAGE('Data Bulanan'!AF17,'Data Bulanan'!AH17,'Data Bulanan'!AJ17,'Data Bulanan'!AL17,'Data Bulanan'!AN17,'Data Bulanan'!AP17,'Data Bulanan'!AR17,'Data Bulanan'!AT17,'Data Bulanan'!AV17,'Data Bulanan'!AX17,'Data Bulanan'!AZ17,'Data Bulanan'!BB17),0)</f>
        <v>31.0198028673835</v>
      </c>
      <c r="N63" s="40" t="n">
        <f aca="false">'Data Bulanan'!BD17</f>
        <v>8.18498643715107</v>
      </c>
      <c r="O63" s="41" t="n">
        <f aca="false">IFERROR(N63*SQRT(H63),0)</f>
        <v>44.8310170450148</v>
      </c>
      <c r="P63" s="42" t="n">
        <f aca="false">IFERROR(ROUND(1.65*O63,0),0)</f>
        <v>74</v>
      </c>
      <c r="Q63" s="43" t="n">
        <f aca="false">IFERROR(ROUND(M63*H63+P63,0),0)</f>
        <v>1005</v>
      </c>
      <c r="R63" s="44" t="n">
        <f aca="false">G63-Q63</f>
        <v>2327</v>
      </c>
      <c r="S63" s="45" t="str">
        <f aca="false">IF(G63=0,"Stockout ⚠",IF(G63&lt;Q63,"Reorder 🔄",IF(G63&gt;Q63+L63,"Overstock 📦","Aman ✅")))</f>
        <v>Overstock 📦</v>
      </c>
      <c r="T63" s="46" t="n">
        <f aca="false">IFERROR(N63/AVERAGE(M62:M66),0)</f>
        <v>0.273272302073992</v>
      </c>
      <c r="U63" s="47" t="n">
        <v>-200.59</v>
      </c>
      <c r="V63" s="48" t="n">
        <v>0.1803</v>
      </c>
    </row>
    <row r="64" customFormat="false" ht="15" hidden="false" customHeight="true" outlineLevel="0" collapsed="false">
      <c r="A64" s="49" t="n">
        <v>3</v>
      </c>
      <c r="B64" s="35" t="n">
        <v>2023</v>
      </c>
      <c r="C64" s="49" t="s">
        <v>263</v>
      </c>
      <c r="D64" s="49" t="s">
        <v>58</v>
      </c>
      <c r="E64" s="50" t="s">
        <v>59</v>
      </c>
      <c r="F64" s="49" t="s">
        <v>36</v>
      </c>
      <c r="G64" s="37" t="n">
        <v>2000</v>
      </c>
      <c r="H64" s="37" t="n">
        <v>30</v>
      </c>
      <c r="I64" s="37" t="n">
        <f aca="false">IFERROR(ROUND('Data Bulanan'!CC17,0),0)</f>
        <v>10144</v>
      </c>
      <c r="J64" s="37" t="n">
        <v>9376906</v>
      </c>
      <c r="K64" s="37" t="n">
        <v>244460</v>
      </c>
      <c r="L64" s="38" t="n">
        <f aca="false">IFERROR(ROUND(SQRT(2*I64*J64/K64),0),0)</f>
        <v>882</v>
      </c>
      <c r="M64" s="39" t="n">
        <f aca="false">IFERROR(AVERAGE('Data Bulanan'!BF17,'Data Bulanan'!BH17,'Data Bulanan'!BJ17,'Data Bulanan'!BL17,'Data Bulanan'!BN17,'Data Bulanan'!BP17,'Data Bulanan'!BR17,'Data Bulanan'!BT17,'Data Bulanan'!BV17,'Data Bulanan'!BX17,'Data Bulanan'!BZ17,'Data Bulanan'!CB17),0)</f>
        <v>27.005907578085</v>
      </c>
      <c r="N64" s="40" t="n">
        <f aca="false">'Data Bulanan'!CD17</f>
        <v>5.5056799490541</v>
      </c>
      <c r="O64" s="41" t="n">
        <f aca="false">IFERROR(N64*SQRT(H64),0)</f>
        <v>30.1558510250083</v>
      </c>
      <c r="P64" s="42" t="n">
        <f aca="false">IFERROR(ROUND(1.65*O64,0),0)</f>
        <v>50</v>
      </c>
      <c r="Q64" s="43" t="n">
        <f aca="false">IFERROR(ROUND(M64*H64+P64,0),0)</f>
        <v>860</v>
      </c>
      <c r="R64" s="44" t="n">
        <f aca="false">G64-Q64</f>
        <v>1140</v>
      </c>
      <c r="S64" s="45" t="str">
        <f aca="false">IF(G64=0,"Stockout ⚠",IF(G64&lt;Q64,"Reorder 🔄",IF(G64&gt;Q64+L64,"Overstock 📦","Aman ✅")))</f>
        <v>Overstock 📦</v>
      </c>
      <c r="T64" s="46" t="n">
        <f aca="false">IFERROR(N64/AVERAGE(M62:M66),0)</f>
        <v>0.183818244014625</v>
      </c>
      <c r="U64" s="47" t="n">
        <v>-200.59</v>
      </c>
      <c r="V64" s="48" t="n">
        <v>0.1803</v>
      </c>
    </row>
    <row r="65" customFormat="false" ht="15" hidden="false" customHeight="true" outlineLevel="0" collapsed="false">
      <c r="A65" s="49" t="n">
        <v>4</v>
      </c>
      <c r="B65" s="35" t="n">
        <v>2024</v>
      </c>
      <c r="C65" s="49" t="s">
        <v>263</v>
      </c>
      <c r="D65" s="49" t="s">
        <v>58</v>
      </c>
      <c r="E65" s="50" t="s">
        <v>59</v>
      </c>
      <c r="F65" s="49" t="s">
        <v>36</v>
      </c>
      <c r="G65" s="37" t="n">
        <v>771</v>
      </c>
      <c r="H65" s="37" t="n">
        <v>30</v>
      </c>
      <c r="I65" s="37" t="n">
        <f aca="false">IFERROR(ROUND('Data Bulanan'!DC17,0),0)</f>
        <v>10953</v>
      </c>
      <c r="J65" s="37" t="n">
        <v>10177260</v>
      </c>
      <c r="K65" s="37" t="n">
        <v>284079</v>
      </c>
      <c r="L65" s="38" t="n">
        <f aca="false">IFERROR(ROUND(SQRT(2*I65*J65/K65),0),0)</f>
        <v>886</v>
      </c>
      <c r="M65" s="39" t="n">
        <f aca="false">IFERROR(AVERAGE('Data Bulanan'!CF17,'Data Bulanan'!CH17,'Data Bulanan'!CJ17,'Data Bulanan'!CL17,'Data Bulanan'!CN17,'Data Bulanan'!CP17,'Data Bulanan'!CR17,'Data Bulanan'!CT17,'Data Bulanan'!CV17,'Data Bulanan'!CX17,'Data Bulanan'!CZ17,'Data Bulanan'!DB17),0)</f>
        <v>29.2274705581157</v>
      </c>
      <c r="N65" s="40" t="n">
        <f aca="false">'Data Bulanan'!DD17</f>
        <v>6.71119716000995</v>
      </c>
      <c r="O65" s="41" t="n">
        <f aca="false">IFERROR(N65*SQRT(H65),0)</f>
        <v>36.7587407240206</v>
      </c>
      <c r="P65" s="42" t="n">
        <f aca="false">IFERROR(ROUND(1.65*O65,0),0)</f>
        <v>61</v>
      </c>
      <c r="Q65" s="43" t="n">
        <f aca="false">IFERROR(ROUND(M65*H65+P65,0),0)</f>
        <v>938</v>
      </c>
      <c r="R65" s="44" t="n">
        <f aca="false">G65-Q65</f>
        <v>-167</v>
      </c>
      <c r="S65" s="45" t="str">
        <f aca="false">IF(G65=0,"Stockout ⚠",IF(G65&lt;Q65,"Reorder 🔄",IF(G65&gt;Q65+L65,"Overstock 📦","Aman ✅")))</f>
        <v>Reorder 🔄</v>
      </c>
      <c r="T65" s="46" t="n">
        <f aca="false">IFERROR(N65/AVERAGE(M62:M66),0)</f>
        <v>0.224066870687046</v>
      </c>
      <c r="U65" s="47" t="n">
        <v>-200.59</v>
      </c>
      <c r="V65" s="48" t="n">
        <v>0.1803</v>
      </c>
    </row>
    <row r="66" customFormat="false" ht="15" hidden="false" customHeight="true" outlineLevel="0" collapsed="false">
      <c r="A66" s="49" t="n">
        <v>5</v>
      </c>
      <c r="B66" s="35" t="n">
        <v>2025</v>
      </c>
      <c r="C66" s="49" t="s">
        <v>263</v>
      </c>
      <c r="D66" s="49" t="s">
        <v>58</v>
      </c>
      <c r="E66" s="50" t="s">
        <v>59</v>
      </c>
      <c r="F66" s="49" t="s">
        <v>36</v>
      </c>
      <c r="G66" s="37" t="n">
        <v>7137</v>
      </c>
      <c r="H66" s="37" t="n">
        <v>30</v>
      </c>
      <c r="I66" s="37" t="n">
        <f aca="false">IFERROR(ROUND('Data Bulanan'!EC17,0),0)</f>
        <v>11446</v>
      </c>
      <c r="J66" s="37" t="n">
        <v>10571089</v>
      </c>
      <c r="K66" s="37" t="n">
        <v>260815</v>
      </c>
      <c r="L66" s="38" t="n">
        <f aca="false">IFERROR(ROUND(SQRT(2*I66*J66/K66),0),0)</f>
        <v>963</v>
      </c>
      <c r="M66" s="39" t="n">
        <f aca="false">IFERROR(AVERAGE('Data Bulanan'!DF17,'Data Bulanan'!DH17,'Data Bulanan'!DJ17,'Data Bulanan'!DL17,'Data Bulanan'!DN17,'Data Bulanan'!DP17,'Data Bulanan'!DR17,'Data Bulanan'!DT17,'Data Bulanan'!DV17,'Data Bulanan'!DX17,'Data Bulanan'!DZ17,'Data Bulanan'!EB17),0)</f>
        <v>30.3869367639529</v>
      </c>
      <c r="N66" s="40" t="n">
        <f aca="false">'Data Bulanan'!ED17</f>
        <v>6.98778231717698</v>
      </c>
      <c r="O66" s="41" t="n">
        <f aca="false">IFERROR(N66*SQRT(H66),0)</f>
        <v>38.2736600205355</v>
      </c>
      <c r="P66" s="42" t="n">
        <f aca="false">IFERROR(ROUND(1.65*O66,0),0)</f>
        <v>63</v>
      </c>
      <c r="Q66" s="43" t="n">
        <f aca="false">IFERROR(ROUND(M66*H66+P66,0),0)</f>
        <v>975</v>
      </c>
      <c r="R66" s="44" t="n">
        <f aca="false">G66-Q66</f>
        <v>6162</v>
      </c>
      <c r="S66" s="45" t="str">
        <f aca="false">IF(G66=0,"Stockout ⚠",IF(G66&lt;Q66,"Reorder 🔄",IF(G66&gt;Q66+L66,"Overstock 📦","Aman ✅")))</f>
        <v>Overstock 📦</v>
      </c>
      <c r="T66" s="46" t="n">
        <f aca="false">IFERROR(N66/AVERAGE(M62:M66),0)</f>
        <v>0.233301224732578</v>
      </c>
      <c r="U66" s="47" t="n">
        <v>-200.59</v>
      </c>
      <c r="V66" s="48" t="n">
        <v>0.1803</v>
      </c>
    </row>
    <row r="67" customFormat="false" ht="15" hidden="false" customHeight="true" outlineLevel="0" collapsed="false">
      <c r="A67" s="34" t="n">
        <v>1</v>
      </c>
      <c r="B67" s="35" t="n">
        <v>2021</v>
      </c>
      <c r="C67" s="34" t="s">
        <v>264</v>
      </c>
      <c r="D67" s="34" t="s">
        <v>60</v>
      </c>
      <c r="E67" s="36" t="s">
        <v>61</v>
      </c>
      <c r="F67" s="34" t="s">
        <v>36</v>
      </c>
      <c r="G67" s="37" t="n">
        <v>12125</v>
      </c>
      <c r="H67" s="37" t="n">
        <v>32</v>
      </c>
      <c r="I67" s="37" t="n">
        <f aca="false">IFERROR(ROUND('Data Bulanan'!AC18,0),0)</f>
        <v>47460</v>
      </c>
      <c r="J67" s="37" t="n">
        <v>5815399</v>
      </c>
      <c r="K67" s="37" t="n">
        <v>353012</v>
      </c>
      <c r="L67" s="38" t="n">
        <f aca="false">IFERROR(ROUND(SQRT(2*I67*J67/K67),0),0)</f>
        <v>1250</v>
      </c>
      <c r="M67" s="39" t="n">
        <f aca="false">IFERROR(AVERAGE('Data Bulanan'!F18,'Data Bulanan'!H18,'Data Bulanan'!J18,'Data Bulanan'!L18,'Data Bulanan'!N18,'Data Bulanan'!P18,'Data Bulanan'!R18,'Data Bulanan'!T18,'Data Bulanan'!V18,'Data Bulanan'!X18,'Data Bulanan'!Z18,'Data Bulanan'!AB18),0)</f>
        <v>126.5297875064</v>
      </c>
      <c r="N67" s="40" t="n">
        <f aca="false">'Data Bulanan'!AD18</f>
        <v>32.1475668828833</v>
      </c>
      <c r="O67" s="41" t="n">
        <f aca="false">IFERROR(N67*SQRT(H67),0)</f>
        <v>181.854100332279</v>
      </c>
      <c r="P67" s="42" t="n">
        <f aca="false">IFERROR(ROUND(1.65*O67,0),0)</f>
        <v>300</v>
      </c>
      <c r="Q67" s="43" t="n">
        <f aca="false">IFERROR(ROUND(M67*H67+P67,0),0)</f>
        <v>4349</v>
      </c>
      <c r="R67" s="44" t="n">
        <f aca="false">G67-Q67</f>
        <v>7776</v>
      </c>
      <c r="S67" s="45" t="str">
        <f aca="false">IF(G67=0,"Stockout ⚠",IF(G67&lt;Q67,"Reorder 🔄",IF(G67&gt;Q67+L67,"Overstock 📦","Aman ✅")))</f>
        <v>Overstock 📦</v>
      </c>
      <c r="T67" s="46" t="n">
        <f aca="false">IFERROR(N67/AVERAGE(M67:M71),0)</f>
        <v>0.258690751270429</v>
      </c>
      <c r="U67" s="47" t="n">
        <v>1438.68</v>
      </c>
      <c r="V67" s="48" t="n">
        <v>0.1543</v>
      </c>
    </row>
    <row r="68" customFormat="false" ht="15" hidden="false" customHeight="true" outlineLevel="0" collapsed="false">
      <c r="A68" s="34" t="n">
        <v>2</v>
      </c>
      <c r="B68" s="35" t="n">
        <v>2022</v>
      </c>
      <c r="C68" s="34" t="s">
        <v>264</v>
      </c>
      <c r="D68" s="34" t="s">
        <v>60</v>
      </c>
      <c r="E68" s="36" t="s">
        <v>61</v>
      </c>
      <c r="F68" s="34" t="s">
        <v>36</v>
      </c>
      <c r="G68" s="37" t="n">
        <v>10813</v>
      </c>
      <c r="H68" s="37" t="n">
        <v>32</v>
      </c>
      <c r="I68" s="37" t="n">
        <f aca="false">IFERROR(ROUND('Data Bulanan'!BC18,0),0)</f>
        <v>44299</v>
      </c>
      <c r="J68" s="37" t="n">
        <v>5201709</v>
      </c>
      <c r="K68" s="37" t="n">
        <v>334890</v>
      </c>
      <c r="L68" s="38" t="n">
        <f aca="false">IFERROR(ROUND(SQRT(2*I68*J68/K68),0),0)</f>
        <v>1173</v>
      </c>
      <c r="M68" s="39" t="n">
        <f aca="false">IFERROR(AVERAGE('Data Bulanan'!AF18,'Data Bulanan'!AH18,'Data Bulanan'!AJ18,'Data Bulanan'!AL18,'Data Bulanan'!AN18,'Data Bulanan'!AP18,'Data Bulanan'!AR18,'Data Bulanan'!AT18,'Data Bulanan'!AV18,'Data Bulanan'!AX18,'Data Bulanan'!AZ18,'Data Bulanan'!BB18),0)</f>
        <v>117.611687147977</v>
      </c>
      <c r="N68" s="40" t="n">
        <f aca="false">'Data Bulanan'!BD18</f>
        <v>22.7142519356666</v>
      </c>
      <c r="O68" s="41" t="n">
        <f aca="false">IFERROR(N68*SQRT(H68),0)</f>
        <v>128.491212586316</v>
      </c>
      <c r="P68" s="42" t="n">
        <f aca="false">IFERROR(ROUND(1.65*O68,0),0)</f>
        <v>212</v>
      </c>
      <c r="Q68" s="43" t="n">
        <f aca="false">IFERROR(ROUND(M68*H68+P68,0),0)</f>
        <v>3976</v>
      </c>
      <c r="R68" s="44" t="n">
        <f aca="false">G68-Q68</f>
        <v>6837</v>
      </c>
      <c r="S68" s="45" t="str">
        <f aca="false">IF(G68=0,"Stockout ⚠",IF(G68&lt;Q68,"Reorder 🔄",IF(G68&gt;Q68+L68,"Overstock 📦","Aman ✅")))</f>
        <v>Overstock 📦</v>
      </c>
      <c r="T68" s="46" t="n">
        <f aca="false">IFERROR(N68/AVERAGE(M67:M71),0)</f>
        <v>0.182781077000014</v>
      </c>
      <c r="U68" s="47" t="n">
        <v>1438.68</v>
      </c>
      <c r="V68" s="48" t="n">
        <v>0.1543</v>
      </c>
    </row>
    <row r="69" customFormat="false" ht="15" hidden="false" customHeight="true" outlineLevel="0" collapsed="false">
      <c r="A69" s="34" t="n">
        <v>3</v>
      </c>
      <c r="B69" s="35" t="n">
        <v>2023</v>
      </c>
      <c r="C69" s="34" t="s">
        <v>264</v>
      </c>
      <c r="D69" s="34" t="s">
        <v>60</v>
      </c>
      <c r="E69" s="36" t="s">
        <v>61</v>
      </c>
      <c r="F69" s="34" t="s">
        <v>36</v>
      </c>
      <c r="G69" s="37" t="n">
        <v>9477</v>
      </c>
      <c r="H69" s="37" t="n">
        <v>32</v>
      </c>
      <c r="I69" s="37" t="n">
        <f aca="false">IFERROR(ROUND('Data Bulanan'!CC18,0),0)</f>
        <v>44095</v>
      </c>
      <c r="J69" s="37" t="n">
        <v>5277053</v>
      </c>
      <c r="K69" s="37" t="n">
        <v>320586</v>
      </c>
      <c r="L69" s="38" t="n">
        <f aca="false">IFERROR(ROUND(SQRT(2*I69*J69/K69),0),0)</f>
        <v>1205</v>
      </c>
      <c r="M69" s="39" t="n">
        <f aca="false">IFERROR(AVERAGE('Data Bulanan'!BF18,'Data Bulanan'!BH18,'Data Bulanan'!BJ18,'Data Bulanan'!BL18,'Data Bulanan'!BN18,'Data Bulanan'!BP18,'Data Bulanan'!BR18,'Data Bulanan'!BT18,'Data Bulanan'!BV18,'Data Bulanan'!BX18,'Data Bulanan'!BZ18,'Data Bulanan'!CB18),0)</f>
        <v>117.595276497696</v>
      </c>
      <c r="N69" s="40" t="n">
        <f aca="false">'Data Bulanan'!CD18</f>
        <v>24.8748310435657</v>
      </c>
      <c r="O69" s="41" t="n">
        <f aca="false">IFERROR(N69*SQRT(H69),0)</f>
        <v>140.7132936942</v>
      </c>
      <c r="P69" s="42" t="n">
        <f aca="false">IFERROR(ROUND(1.65*O69,0),0)</f>
        <v>232</v>
      </c>
      <c r="Q69" s="43" t="n">
        <f aca="false">IFERROR(ROUND(M69*H69+P69,0),0)</f>
        <v>3995</v>
      </c>
      <c r="R69" s="44" t="n">
        <f aca="false">G69-Q69</f>
        <v>5482</v>
      </c>
      <c r="S69" s="45" t="str">
        <f aca="false">IF(G69=0,"Stockout ⚠",IF(G69&lt;Q69,"Reorder 🔄",IF(G69&gt;Q69+L69,"Overstock 📦","Aman ✅")))</f>
        <v>Overstock 📦</v>
      </c>
      <c r="T69" s="46" t="n">
        <f aca="false">IFERROR(N69/AVERAGE(M67:M71),0)</f>
        <v>0.200167208729293</v>
      </c>
      <c r="U69" s="47" t="n">
        <v>1438.68</v>
      </c>
      <c r="V69" s="48" t="n">
        <v>0.1543</v>
      </c>
    </row>
    <row r="70" customFormat="false" ht="15" hidden="false" customHeight="true" outlineLevel="0" collapsed="false">
      <c r="A70" s="34" t="n">
        <v>4</v>
      </c>
      <c r="B70" s="35" t="n">
        <v>2024</v>
      </c>
      <c r="C70" s="34" t="s">
        <v>264</v>
      </c>
      <c r="D70" s="34" t="s">
        <v>60</v>
      </c>
      <c r="E70" s="36" t="s">
        <v>61</v>
      </c>
      <c r="F70" s="34" t="s">
        <v>36</v>
      </c>
      <c r="G70" s="37" t="n">
        <v>6588</v>
      </c>
      <c r="H70" s="37" t="n">
        <v>32</v>
      </c>
      <c r="I70" s="37" t="n">
        <f aca="false">IFERROR(ROUND('Data Bulanan'!DC18,0),0)</f>
        <v>41176</v>
      </c>
      <c r="J70" s="37" t="n">
        <v>6061940</v>
      </c>
      <c r="K70" s="37" t="n">
        <v>352899</v>
      </c>
      <c r="L70" s="38" t="n">
        <f aca="false">IFERROR(ROUND(SQRT(2*I70*J70/K70),0),0)</f>
        <v>1189</v>
      </c>
      <c r="M70" s="39" t="n">
        <f aca="false">IFERROR(AVERAGE('Data Bulanan'!CF18,'Data Bulanan'!CH18,'Data Bulanan'!CJ18,'Data Bulanan'!CL18,'Data Bulanan'!CN18,'Data Bulanan'!CP18,'Data Bulanan'!CR18,'Data Bulanan'!CT18,'Data Bulanan'!CV18,'Data Bulanan'!CX18,'Data Bulanan'!CZ18,'Data Bulanan'!DB18),0)</f>
        <v>109.500051203277</v>
      </c>
      <c r="N70" s="40" t="n">
        <f aca="false">'Data Bulanan'!DD18</f>
        <v>18.576878532851</v>
      </c>
      <c r="O70" s="41" t="n">
        <f aca="false">IFERROR(N70*SQRT(H70),0)</f>
        <v>105.086694270862</v>
      </c>
      <c r="P70" s="42" t="n">
        <f aca="false">IFERROR(ROUND(1.65*O70,0),0)</f>
        <v>173</v>
      </c>
      <c r="Q70" s="43" t="n">
        <f aca="false">IFERROR(ROUND(M70*H70+P70,0),0)</f>
        <v>3677</v>
      </c>
      <c r="R70" s="44" t="n">
        <f aca="false">G70-Q70</f>
        <v>2911</v>
      </c>
      <c r="S70" s="45" t="str">
        <f aca="false">IF(G70=0,"Stockout ⚠",IF(G70&lt;Q70,"Reorder 🔄",IF(G70&gt;Q70+L70,"Overstock 📦","Aman ✅")))</f>
        <v>Overstock 📦</v>
      </c>
      <c r="T70" s="46" t="n">
        <f aca="false">IFERROR(N70/AVERAGE(M67:M71),0)</f>
        <v>0.149487725818575</v>
      </c>
      <c r="U70" s="47" t="n">
        <v>1438.68</v>
      </c>
      <c r="V70" s="48" t="n">
        <v>0.1543</v>
      </c>
    </row>
    <row r="71" customFormat="false" ht="15" hidden="false" customHeight="true" outlineLevel="0" collapsed="false">
      <c r="A71" s="34" t="n">
        <v>5</v>
      </c>
      <c r="B71" s="35" t="n">
        <v>2025</v>
      </c>
      <c r="C71" s="34" t="s">
        <v>264</v>
      </c>
      <c r="D71" s="34" t="s">
        <v>60</v>
      </c>
      <c r="E71" s="36" t="s">
        <v>61</v>
      </c>
      <c r="F71" s="34" t="s">
        <v>36</v>
      </c>
      <c r="G71" s="37" t="n">
        <v>23477</v>
      </c>
      <c r="H71" s="37" t="n">
        <v>32</v>
      </c>
      <c r="I71" s="37" t="n">
        <f aca="false">IFERROR(ROUND('Data Bulanan'!EC18,0),0)</f>
        <v>56215</v>
      </c>
      <c r="J71" s="37" t="n">
        <v>5620535</v>
      </c>
      <c r="K71" s="37" t="n">
        <v>300464</v>
      </c>
      <c r="L71" s="38" t="n">
        <f aca="false">IFERROR(ROUND(SQRT(2*I71*J71/K71),0),0)</f>
        <v>1450</v>
      </c>
      <c r="M71" s="39" t="n">
        <f aca="false">IFERROR(AVERAGE('Data Bulanan'!DF18,'Data Bulanan'!DH18,'Data Bulanan'!DJ18,'Data Bulanan'!DL18,'Data Bulanan'!DN18,'Data Bulanan'!DP18,'Data Bulanan'!DR18,'Data Bulanan'!DT18,'Data Bulanan'!DV18,'Data Bulanan'!DX18,'Data Bulanan'!DZ18,'Data Bulanan'!EB18),0)</f>
        <v>150.114496927803</v>
      </c>
      <c r="N71" s="40" t="n">
        <f aca="false">'Data Bulanan'!ED18</f>
        <v>44.6824961524147</v>
      </c>
      <c r="O71" s="41" t="n">
        <f aca="false">IFERROR(N71*SQRT(H71),0)</f>
        <v>252.762368237714</v>
      </c>
      <c r="P71" s="42" t="n">
        <f aca="false">IFERROR(ROUND(1.65*O71,0),0)</f>
        <v>417</v>
      </c>
      <c r="Q71" s="43" t="n">
        <f aca="false">IFERROR(ROUND(M71*H71+P71,0),0)</f>
        <v>5221</v>
      </c>
      <c r="R71" s="44" t="n">
        <f aca="false">G71-Q71</f>
        <v>18256</v>
      </c>
      <c r="S71" s="45" t="str">
        <f aca="false">IF(G71=0,"Stockout ⚠",IF(G71&lt;Q71,"Reorder 🔄",IF(G71&gt;Q71+L71,"Overstock 📦","Aman ✅")))</f>
        <v>Overstock 📦</v>
      </c>
      <c r="T71" s="46" t="n">
        <f aca="false">IFERROR(N71/AVERAGE(M67:M71),0)</f>
        <v>0.359559046580931</v>
      </c>
      <c r="U71" s="47" t="n">
        <v>1438.68</v>
      </c>
      <c r="V71" s="48" t="n">
        <v>0.1543</v>
      </c>
    </row>
    <row r="72" customFormat="false" ht="15" hidden="false" customHeight="true" outlineLevel="0" collapsed="false">
      <c r="A72" s="49" t="n">
        <v>1</v>
      </c>
      <c r="B72" s="35" t="n">
        <v>2021</v>
      </c>
      <c r="C72" s="49" t="s">
        <v>264</v>
      </c>
      <c r="D72" s="49" t="s">
        <v>62</v>
      </c>
      <c r="E72" s="50" t="s">
        <v>63</v>
      </c>
      <c r="F72" s="49" t="s">
        <v>36</v>
      </c>
      <c r="G72" s="37" t="n">
        <v>8340</v>
      </c>
      <c r="H72" s="37" t="n">
        <v>43</v>
      </c>
      <c r="I72" s="37" t="n">
        <f aca="false">IFERROR(ROUND('Data Bulanan'!AC19,0),0)</f>
        <v>32931</v>
      </c>
      <c r="J72" s="37" t="n">
        <v>6558270</v>
      </c>
      <c r="K72" s="37" t="n">
        <v>435909</v>
      </c>
      <c r="L72" s="38" t="n">
        <f aca="false">IFERROR(ROUND(SQRT(2*I72*J72/K72),0),0)</f>
        <v>995</v>
      </c>
      <c r="M72" s="39" t="n">
        <f aca="false">IFERROR(AVERAGE('Data Bulanan'!F19,'Data Bulanan'!H19,'Data Bulanan'!J19,'Data Bulanan'!L19,'Data Bulanan'!N19,'Data Bulanan'!P19,'Data Bulanan'!R19,'Data Bulanan'!T19,'Data Bulanan'!V19,'Data Bulanan'!X19,'Data Bulanan'!Z19,'Data Bulanan'!AB19),0)</f>
        <v>87.6432859703021</v>
      </c>
      <c r="N72" s="40" t="n">
        <f aca="false">'Data Bulanan'!AD19</f>
        <v>16.2037997735636</v>
      </c>
      <c r="O72" s="41" t="n">
        <f aca="false">IFERROR(N72*SQRT(H72),0)</f>
        <v>106.255420875242</v>
      </c>
      <c r="P72" s="42" t="n">
        <f aca="false">IFERROR(ROUND(1.65*O72,0),0)</f>
        <v>175</v>
      </c>
      <c r="Q72" s="43" t="n">
        <f aca="false">IFERROR(ROUND(M72*H72+P72,0),0)</f>
        <v>3944</v>
      </c>
      <c r="R72" s="44" t="n">
        <f aca="false">G72-Q72</f>
        <v>4396</v>
      </c>
      <c r="S72" s="45" t="str">
        <f aca="false">IF(G72=0,"Stockout ⚠",IF(G72&lt;Q72,"Reorder 🔄",IF(G72&gt;Q72+L72,"Overstock 📦","Aman ✅")))</f>
        <v>Overstock 📦</v>
      </c>
      <c r="T72" s="46" t="n">
        <f aca="false">IFERROR(N72/AVERAGE(M72:M76),0)</f>
        <v>0.172655323237463</v>
      </c>
      <c r="U72" s="47" t="n">
        <v>1934.33</v>
      </c>
      <c r="V72" s="48" t="n">
        <v>0.4667</v>
      </c>
    </row>
    <row r="73" customFormat="false" ht="15" hidden="false" customHeight="true" outlineLevel="0" collapsed="false">
      <c r="A73" s="49" t="n">
        <v>2</v>
      </c>
      <c r="B73" s="35" t="n">
        <v>2022</v>
      </c>
      <c r="C73" s="49" t="s">
        <v>264</v>
      </c>
      <c r="D73" s="49" t="s">
        <v>62</v>
      </c>
      <c r="E73" s="50" t="s">
        <v>63</v>
      </c>
      <c r="F73" s="49" t="s">
        <v>36</v>
      </c>
      <c r="G73" s="37" t="n">
        <v>2660</v>
      </c>
      <c r="H73" s="37" t="n">
        <v>43</v>
      </c>
      <c r="I73" s="37" t="n">
        <f aca="false">IFERROR(ROUND('Data Bulanan'!BC19,0),0)</f>
        <v>32436</v>
      </c>
      <c r="J73" s="37" t="n">
        <v>7433505</v>
      </c>
      <c r="K73" s="37" t="n">
        <v>423594</v>
      </c>
      <c r="L73" s="38" t="n">
        <f aca="false">IFERROR(ROUND(SQRT(2*I73*J73/K73),0),0)</f>
        <v>1067</v>
      </c>
      <c r="M73" s="39" t="n">
        <f aca="false">IFERROR(AVERAGE('Data Bulanan'!AF19,'Data Bulanan'!AH19,'Data Bulanan'!AJ19,'Data Bulanan'!AL19,'Data Bulanan'!AN19,'Data Bulanan'!AP19,'Data Bulanan'!AR19,'Data Bulanan'!AT19,'Data Bulanan'!AV19,'Data Bulanan'!AX19,'Data Bulanan'!AZ19,'Data Bulanan'!BB19),0)</f>
        <v>86.5183883768561</v>
      </c>
      <c r="N73" s="40" t="n">
        <f aca="false">'Data Bulanan'!BD19</f>
        <v>17.9465331316232</v>
      </c>
      <c r="O73" s="41" t="n">
        <f aca="false">IFERROR(N73*SQRT(H73),0)</f>
        <v>117.683287734968</v>
      </c>
      <c r="P73" s="42" t="n">
        <f aca="false">IFERROR(ROUND(1.65*O73,0),0)</f>
        <v>194</v>
      </c>
      <c r="Q73" s="43" t="n">
        <f aca="false">IFERROR(ROUND(M73*H73+P73,0),0)</f>
        <v>3914</v>
      </c>
      <c r="R73" s="44" t="n">
        <f aca="false">G73-Q73</f>
        <v>-1254</v>
      </c>
      <c r="S73" s="45" t="str">
        <f aca="false">IF(G73=0,"Stockout ⚠",IF(G73&lt;Q73,"Reorder 🔄",IF(G73&gt;Q73+L73,"Overstock 📦","Aman ✅")))</f>
        <v>Reorder 🔄</v>
      </c>
      <c r="T73" s="46" t="n">
        <f aca="false">IFERROR(N73/AVERAGE(M72:M76),0)</f>
        <v>0.191224559802789</v>
      </c>
      <c r="U73" s="47" t="n">
        <v>1934.33</v>
      </c>
      <c r="V73" s="48" t="n">
        <v>0.4667</v>
      </c>
    </row>
    <row r="74" customFormat="false" ht="15" hidden="false" customHeight="true" outlineLevel="0" collapsed="false">
      <c r="A74" s="49" t="n">
        <v>3</v>
      </c>
      <c r="B74" s="35" t="n">
        <v>2023</v>
      </c>
      <c r="C74" s="49" t="s">
        <v>264</v>
      </c>
      <c r="D74" s="49" t="s">
        <v>62</v>
      </c>
      <c r="E74" s="50" t="s">
        <v>63</v>
      </c>
      <c r="F74" s="49" t="s">
        <v>36</v>
      </c>
      <c r="G74" s="37" t="n">
        <v>9854</v>
      </c>
      <c r="H74" s="37" t="n">
        <v>43</v>
      </c>
      <c r="I74" s="37" t="n">
        <f aca="false">IFERROR(ROUND('Data Bulanan'!CC19,0),0)</f>
        <v>31277</v>
      </c>
      <c r="J74" s="37" t="n">
        <v>6442404</v>
      </c>
      <c r="K74" s="37" t="n">
        <v>476420</v>
      </c>
      <c r="L74" s="38" t="n">
        <f aca="false">IFERROR(ROUND(SQRT(2*I74*J74/K74),0),0)</f>
        <v>920</v>
      </c>
      <c r="M74" s="39" t="n">
        <f aca="false">IFERROR(AVERAGE('Data Bulanan'!BF19,'Data Bulanan'!BH19,'Data Bulanan'!BJ19,'Data Bulanan'!BL19,'Data Bulanan'!BN19,'Data Bulanan'!BP19,'Data Bulanan'!BR19,'Data Bulanan'!BT19,'Data Bulanan'!BV19,'Data Bulanan'!BX19,'Data Bulanan'!BZ19,'Data Bulanan'!CB19),0)</f>
        <v>83.0385176651306</v>
      </c>
      <c r="N74" s="40" t="n">
        <f aca="false">'Data Bulanan'!CD19</f>
        <v>11.2865858449893</v>
      </c>
      <c r="O74" s="41" t="n">
        <f aca="false">IFERROR(N74*SQRT(H74),0)</f>
        <v>74.0110928277743</v>
      </c>
      <c r="P74" s="42" t="n">
        <f aca="false">IFERROR(ROUND(1.65*O74,0),0)</f>
        <v>122</v>
      </c>
      <c r="Q74" s="43" t="n">
        <f aca="false">IFERROR(ROUND(M74*H74+P74,0),0)</f>
        <v>3693</v>
      </c>
      <c r="R74" s="44" t="n">
        <f aca="false">G74-Q74</f>
        <v>6161</v>
      </c>
      <c r="S74" s="45" t="str">
        <f aca="false">IF(G74=0,"Stockout ⚠",IF(G74&lt;Q74,"Reorder 🔄",IF(G74&gt;Q74+L74,"Overstock 📦","Aman ✅")))</f>
        <v>Overstock 📦</v>
      </c>
      <c r="T74" s="46" t="n">
        <f aca="false">IFERROR(N74/AVERAGE(M72:M76),0)</f>
        <v>0.120261244556556</v>
      </c>
      <c r="U74" s="47" t="n">
        <v>1934.33</v>
      </c>
      <c r="V74" s="48" t="n">
        <v>0.4667</v>
      </c>
    </row>
    <row r="75" customFormat="false" ht="15" hidden="false" customHeight="true" outlineLevel="0" collapsed="false">
      <c r="A75" s="49" t="n">
        <v>4</v>
      </c>
      <c r="B75" s="35" t="n">
        <v>2024</v>
      </c>
      <c r="C75" s="49" t="s">
        <v>264</v>
      </c>
      <c r="D75" s="49" t="s">
        <v>62</v>
      </c>
      <c r="E75" s="50" t="s">
        <v>63</v>
      </c>
      <c r="F75" s="49" t="s">
        <v>36</v>
      </c>
      <c r="G75" s="37" t="n">
        <v>11888</v>
      </c>
      <c r="H75" s="37" t="n">
        <v>43</v>
      </c>
      <c r="I75" s="37" t="n">
        <f aca="false">IFERROR(ROUND('Data Bulanan'!DC19,0),0)</f>
        <v>41901</v>
      </c>
      <c r="J75" s="37" t="n">
        <v>6254882</v>
      </c>
      <c r="K75" s="37" t="n">
        <v>456484</v>
      </c>
      <c r="L75" s="38" t="n">
        <f aca="false">IFERROR(ROUND(SQRT(2*I75*J75/K75),0),0)</f>
        <v>1072</v>
      </c>
      <c r="M75" s="39" t="n">
        <f aca="false">IFERROR(AVERAGE('Data Bulanan'!CF19,'Data Bulanan'!CH19,'Data Bulanan'!CJ19,'Data Bulanan'!CL19,'Data Bulanan'!CN19,'Data Bulanan'!CP19,'Data Bulanan'!CR19,'Data Bulanan'!CT19,'Data Bulanan'!CV19,'Data Bulanan'!CX19,'Data Bulanan'!CZ19,'Data Bulanan'!DB19),0)</f>
        <v>111.079237071173</v>
      </c>
      <c r="N75" s="40" t="n">
        <f aca="false">'Data Bulanan'!DD19</f>
        <v>23.8478523975309</v>
      </c>
      <c r="O75" s="41" t="n">
        <f aca="false">IFERROR(N75*SQRT(H75),0)</f>
        <v>156.380826033437</v>
      </c>
      <c r="P75" s="42" t="n">
        <f aca="false">IFERROR(ROUND(1.65*O75,0),0)</f>
        <v>258</v>
      </c>
      <c r="Q75" s="43" t="n">
        <f aca="false">IFERROR(ROUND(M75*H75+P75,0),0)</f>
        <v>5034</v>
      </c>
      <c r="R75" s="44" t="n">
        <f aca="false">G75-Q75</f>
        <v>6854</v>
      </c>
      <c r="S75" s="45" t="str">
        <f aca="false">IF(G75=0,"Stockout ⚠",IF(G75&lt;Q75,"Reorder 🔄",IF(G75&gt;Q75+L75,"Overstock 📦","Aman ✅")))</f>
        <v>Overstock 📦</v>
      </c>
      <c r="T75" s="46" t="n">
        <f aca="false">IFERROR(N75/AVERAGE(M72:M76),0)</f>
        <v>0.25410451386425</v>
      </c>
      <c r="U75" s="47" t="n">
        <v>1934.33</v>
      </c>
      <c r="V75" s="48" t="n">
        <v>0.4667</v>
      </c>
    </row>
    <row r="76" customFormat="false" ht="15" hidden="false" customHeight="true" outlineLevel="0" collapsed="false">
      <c r="A76" s="49" t="n">
        <v>5</v>
      </c>
      <c r="B76" s="35" t="n">
        <v>2025</v>
      </c>
      <c r="C76" s="49" t="s">
        <v>264</v>
      </c>
      <c r="D76" s="49" t="s">
        <v>62</v>
      </c>
      <c r="E76" s="50" t="s">
        <v>63</v>
      </c>
      <c r="F76" s="49" t="s">
        <v>36</v>
      </c>
      <c r="G76" s="37" t="n">
        <v>13111</v>
      </c>
      <c r="H76" s="37" t="n">
        <v>43</v>
      </c>
      <c r="I76" s="37" t="n">
        <f aca="false">IFERROR(ROUND('Data Bulanan'!EC19,0),0)</f>
        <v>37870</v>
      </c>
      <c r="J76" s="37" t="n">
        <v>7505409</v>
      </c>
      <c r="K76" s="37" t="n">
        <v>443183</v>
      </c>
      <c r="L76" s="38" t="n">
        <f aca="false">IFERROR(ROUND(SQRT(2*I76*J76/K76),0),0)</f>
        <v>1133</v>
      </c>
      <c r="M76" s="39" t="n">
        <f aca="false">IFERROR(AVERAGE('Data Bulanan'!DF19,'Data Bulanan'!DH19,'Data Bulanan'!DJ19,'Data Bulanan'!DL19,'Data Bulanan'!DN19,'Data Bulanan'!DP19,'Data Bulanan'!DR19,'Data Bulanan'!DT19,'Data Bulanan'!DV19,'Data Bulanan'!DX19,'Data Bulanan'!DZ19,'Data Bulanan'!EB19),0)</f>
        <v>100.973399897593</v>
      </c>
      <c r="N76" s="40" t="n">
        <f aca="false">'Data Bulanan'!ED19</f>
        <v>18.5470809136277</v>
      </c>
      <c r="O76" s="41" t="n">
        <f aca="false">IFERROR(N76*SQRT(H76),0)</f>
        <v>121.621342896369</v>
      </c>
      <c r="P76" s="42" t="n">
        <f aca="false">IFERROR(ROUND(1.65*O76,0),0)</f>
        <v>201</v>
      </c>
      <c r="Q76" s="43" t="n">
        <f aca="false">IFERROR(ROUND(M76*H76+P76,0),0)</f>
        <v>4543</v>
      </c>
      <c r="R76" s="44" t="n">
        <f aca="false">G76-Q76</f>
        <v>8568</v>
      </c>
      <c r="S76" s="45" t="str">
        <f aca="false">IF(G76=0,"Stockout ⚠",IF(G76&lt;Q76,"Reorder 🔄",IF(G76&gt;Q76+L76,"Overstock 📦","Aman ✅")))</f>
        <v>Overstock 📦</v>
      </c>
      <c r="T76" s="46" t="n">
        <f aca="false">IFERROR(N76/AVERAGE(M72:M76),0)</f>
        <v>0.19762353861458</v>
      </c>
      <c r="U76" s="47" t="n">
        <v>1934.33</v>
      </c>
      <c r="V76" s="48" t="n">
        <v>0.4667</v>
      </c>
    </row>
    <row r="77" customFormat="false" ht="15" hidden="false" customHeight="true" outlineLevel="0" collapsed="false">
      <c r="A77" s="34" t="n">
        <v>1</v>
      </c>
      <c r="B77" s="35" t="n">
        <v>2021</v>
      </c>
      <c r="C77" s="34" t="s">
        <v>264</v>
      </c>
      <c r="D77" s="34" t="s">
        <v>64</v>
      </c>
      <c r="E77" s="36" t="s">
        <v>65</v>
      </c>
      <c r="F77" s="34" t="s">
        <v>36</v>
      </c>
      <c r="G77" s="37" t="n">
        <v>0</v>
      </c>
      <c r="H77" s="37" t="n">
        <v>9</v>
      </c>
      <c r="I77" s="37" t="n">
        <f aca="false">IFERROR(ROUND('Data Bulanan'!AC20,0),0)</f>
        <v>42230</v>
      </c>
      <c r="J77" s="37" t="n">
        <v>328363</v>
      </c>
      <c r="K77" s="37" t="n">
        <v>445758</v>
      </c>
      <c r="L77" s="38" t="n">
        <f aca="false">IFERROR(ROUND(SQRT(2*I77*J77/K77),0),0)</f>
        <v>249</v>
      </c>
      <c r="M77" s="39" t="n">
        <f aca="false">IFERROR(AVERAGE('Data Bulanan'!F20,'Data Bulanan'!H20,'Data Bulanan'!J20,'Data Bulanan'!L20,'Data Bulanan'!N20,'Data Bulanan'!P20,'Data Bulanan'!R20,'Data Bulanan'!T20,'Data Bulanan'!V20,'Data Bulanan'!X20,'Data Bulanan'!Z20,'Data Bulanan'!AB20),0)</f>
        <v>112.519828469022</v>
      </c>
      <c r="N77" s="40" t="n">
        <f aca="false">'Data Bulanan'!AD20</f>
        <v>24.0566089676361</v>
      </c>
      <c r="O77" s="41" t="n">
        <f aca="false">IFERROR(N77*SQRT(H77),0)</f>
        <v>72.1698269029082</v>
      </c>
      <c r="P77" s="42" t="n">
        <f aca="false">IFERROR(ROUND(1.65*O77,0),0)</f>
        <v>119</v>
      </c>
      <c r="Q77" s="43" t="n">
        <f aca="false">IFERROR(ROUND(M77*H77+P77,0),0)</f>
        <v>1132</v>
      </c>
      <c r="R77" s="44" t="n">
        <f aca="false">G77-Q77</f>
        <v>-1132</v>
      </c>
      <c r="S77" s="45" t="str">
        <f aca="false">IF(G77=0,"Stockout ⚠",IF(G77&lt;Q77,"Reorder 🔄",IF(G77&gt;Q77+L77,"Overstock 📦","Aman ✅")))</f>
        <v>Stockout ⚠</v>
      </c>
      <c r="T77" s="46" t="n">
        <f aca="false">IFERROR(N77/AVERAGE(M77:M81),0)</f>
        <v>0.23524246417986</v>
      </c>
      <c r="U77" s="47" t="n">
        <v>-379.55</v>
      </c>
      <c r="V77" s="48" t="n">
        <v>0.0208</v>
      </c>
    </row>
    <row r="78" customFormat="false" ht="15" hidden="false" customHeight="true" outlineLevel="0" collapsed="false">
      <c r="A78" s="34" t="n">
        <v>2</v>
      </c>
      <c r="B78" s="35" t="n">
        <v>2022</v>
      </c>
      <c r="C78" s="34" t="s">
        <v>264</v>
      </c>
      <c r="D78" s="34" t="s">
        <v>64</v>
      </c>
      <c r="E78" s="36" t="s">
        <v>65</v>
      </c>
      <c r="F78" s="34" t="s">
        <v>36</v>
      </c>
      <c r="G78" s="37" t="n">
        <v>1210</v>
      </c>
      <c r="H78" s="37" t="n">
        <v>9</v>
      </c>
      <c r="I78" s="37" t="n">
        <f aca="false">IFERROR(ROUND('Data Bulanan'!BC20,0),0)</f>
        <v>33787</v>
      </c>
      <c r="J78" s="37" t="n">
        <v>387836</v>
      </c>
      <c r="K78" s="37" t="n">
        <v>441719</v>
      </c>
      <c r="L78" s="38" t="n">
        <f aca="false">IFERROR(ROUND(SQRT(2*I78*J78/K78),0),0)</f>
        <v>244</v>
      </c>
      <c r="M78" s="39" t="n">
        <f aca="false">IFERROR(AVERAGE('Data Bulanan'!AF20,'Data Bulanan'!AH20,'Data Bulanan'!AJ20,'Data Bulanan'!AL20,'Data Bulanan'!AN20,'Data Bulanan'!AP20,'Data Bulanan'!AR20,'Data Bulanan'!AT20,'Data Bulanan'!AV20,'Data Bulanan'!AX20,'Data Bulanan'!AZ20,'Data Bulanan'!BB20),0)</f>
        <v>90.0731694828469</v>
      </c>
      <c r="N78" s="40" t="n">
        <f aca="false">'Data Bulanan'!BD20</f>
        <v>20.629522308292</v>
      </c>
      <c r="O78" s="41" t="n">
        <f aca="false">IFERROR(N78*SQRT(H78),0)</f>
        <v>61.8885669248761</v>
      </c>
      <c r="P78" s="42" t="n">
        <f aca="false">IFERROR(ROUND(1.65*O78,0),0)</f>
        <v>102</v>
      </c>
      <c r="Q78" s="43" t="n">
        <f aca="false">IFERROR(ROUND(M78*H78+P78,0),0)</f>
        <v>913</v>
      </c>
      <c r="R78" s="44" t="n">
        <f aca="false">G78-Q78</f>
        <v>297</v>
      </c>
      <c r="S78" s="45" t="str">
        <f aca="false">IF(G78=0,"Stockout ⚠",IF(G78&lt;Q78,"Reorder 🔄",IF(G78&gt;Q78+L78,"Overstock 📦","Aman ✅")))</f>
        <v>Overstock 📦</v>
      </c>
      <c r="T78" s="46" t="n">
        <f aca="false">IFERROR(N78/AVERAGE(M77:M81),0)</f>
        <v>0.201729997323596</v>
      </c>
      <c r="U78" s="47" t="n">
        <v>-379.55</v>
      </c>
      <c r="V78" s="48" t="n">
        <v>0.0208</v>
      </c>
    </row>
    <row r="79" customFormat="false" ht="15" hidden="false" customHeight="true" outlineLevel="0" collapsed="false">
      <c r="A79" s="34" t="n">
        <v>3</v>
      </c>
      <c r="B79" s="35" t="n">
        <v>2023</v>
      </c>
      <c r="C79" s="34" t="s">
        <v>264</v>
      </c>
      <c r="D79" s="34" t="s">
        <v>64</v>
      </c>
      <c r="E79" s="36" t="s">
        <v>65</v>
      </c>
      <c r="F79" s="34" t="s">
        <v>36</v>
      </c>
      <c r="G79" s="37" t="n">
        <v>1554</v>
      </c>
      <c r="H79" s="37" t="n">
        <v>9</v>
      </c>
      <c r="I79" s="37" t="n">
        <f aca="false">IFERROR(ROUND('Data Bulanan'!CC20,0),0)</f>
        <v>41480</v>
      </c>
      <c r="J79" s="37" t="n">
        <v>361615</v>
      </c>
      <c r="K79" s="37" t="n">
        <v>499962</v>
      </c>
      <c r="L79" s="38" t="n">
        <f aca="false">IFERROR(ROUND(SQRT(2*I79*J79/K79),0),0)</f>
        <v>245</v>
      </c>
      <c r="M79" s="39" t="n">
        <f aca="false">IFERROR(AVERAGE('Data Bulanan'!BF20,'Data Bulanan'!BH20,'Data Bulanan'!BJ20,'Data Bulanan'!BL20,'Data Bulanan'!BN20,'Data Bulanan'!BP20,'Data Bulanan'!BR20,'Data Bulanan'!BT20,'Data Bulanan'!BV20,'Data Bulanan'!BX20,'Data Bulanan'!BZ20,'Data Bulanan'!CB20),0)</f>
        <v>110.771332565284</v>
      </c>
      <c r="N79" s="40" t="n">
        <f aca="false">'Data Bulanan'!CD20</f>
        <v>29.281438715784</v>
      </c>
      <c r="O79" s="41" t="n">
        <f aca="false">IFERROR(N79*SQRT(H79),0)</f>
        <v>87.844316147352</v>
      </c>
      <c r="P79" s="42" t="n">
        <f aca="false">IFERROR(ROUND(1.65*O79,0),0)</f>
        <v>145</v>
      </c>
      <c r="Q79" s="43" t="n">
        <f aca="false">IFERROR(ROUND(M79*H79+P79,0),0)</f>
        <v>1142</v>
      </c>
      <c r="R79" s="44" t="n">
        <f aca="false">G79-Q79</f>
        <v>412</v>
      </c>
      <c r="S79" s="45" t="str">
        <f aca="false">IF(G79=0,"Stockout ⚠",IF(G79&lt;Q79,"Reorder 🔄",IF(G79&gt;Q79+L79,"Overstock 📦","Aman ✅")))</f>
        <v>Overstock 📦</v>
      </c>
      <c r="T79" s="46" t="n">
        <f aca="false">IFERROR(N79/AVERAGE(M77:M81),0)</f>
        <v>0.286334529006125</v>
      </c>
      <c r="U79" s="47" t="n">
        <v>-379.55</v>
      </c>
      <c r="V79" s="48" t="n">
        <v>0.0208</v>
      </c>
    </row>
    <row r="80" customFormat="false" ht="15" hidden="false" customHeight="true" outlineLevel="0" collapsed="false">
      <c r="A80" s="34" t="n">
        <v>4</v>
      </c>
      <c r="B80" s="35" t="n">
        <v>2024</v>
      </c>
      <c r="C80" s="34" t="s">
        <v>264</v>
      </c>
      <c r="D80" s="34" t="s">
        <v>64</v>
      </c>
      <c r="E80" s="36" t="s">
        <v>65</v>
      </c>
      <c r="F80" s="34" t="s">
        <v>36</v>
      </c>
      <c r="G80" s="37" t="n">
        <v>1096</v>
      </c>
      <c r="H80" s="37" t="n">
        <v>9</v>
      </c>
      <c r="I80" s="37" t="n">
        <f aca="false">IFERROR(ROUND('Data Bulanan'!DC20,0),0)</f>
        <v>33886</v>
      </c>
      <c r="J80" s="37" t="n">
        <v>332703</v>
      </c>
      <c r="K80" s="37" t="n">
        <v>468090</v>
      </c>
      <c r="L80" s="38" t="n">
        <f aca="false">IFERROR(ROUND(SQRT(2*I80*J80/K80),0),0)</f>
        <v>219</v>
      </c>
      <c r="M80" s="39" t="n">
        <f aca="false">IFERROR(AVERAGE('Data Bulanan'!CF20,'Data Bulanan'!CH20,'Data Bulanan'!CJ20,'Data Bulanan'!CL20,'Data Bulanan'!CN20,'Data Bulanan'!CP20,'Data Bulanan'!CR20,'Data Bulanan'!CT20,'Data Bulanan'!CV20,'Data Bulanan'!CX20,'Data Bulanan'!CZ20,'Data Bulanan'!DB20),0)</f>
        <v>90.5027585765489</v>
      </c>
      <c r="N80" s="40" t="n">
        <f aca="false">'Data Bulanan'!DD20</f>
        <v>25.6674607296497</v>
      </c>
      <c r="O80" s="41" t="n">
        <f aca="false">IFERROR(N80*SQRT(H80),0)</f>
        <v>77.0023821889492</v>
      </c>
      <c r="P80" s="42" t="n">
        <f aca="false">IFERROR(ROUND(1.65*O80,0),0)</f>
        <v>127</v>
      </c>
      <c r="Q80" s="43" t="n">
        <f aca="false">IFERROR(ROUND(M80*H80+P80,0),0)</f>
        <v>942</v>
      </c>
      <c r="R80" s="44" t="n">
        <f aca="false">G80-Q80</f>
        <v>154</v>
      </c>
      <c r="S80" s="45" t="str">
        <f aca="false">IF(G80=0,"Stockout ⚠",IF(G80&lt;Q80,"Reorder 🔄",IF(G80&gt;Q80+L80,"Overstock 📦","Aman ✅")))</f>
        <v>Aman ✅</v>
      </c>
      <c r="T80" s="46" t="n">
        <f aca="false">IFERROR(N80/AVERAGE(M77:M81),0)</f>
        <v>0.250994507139629</v>
      </c>
      <c r="U80" s="47" t="n">
        <v>-379.55</v>
      </c>
      <c r="V80" s="48" t="n">
        <v>0.0208</v>
      </c>
    </row>
    <row r="81" customFormat="false" ht="15" hidden="false" customHeight="true" outlineLevel="0" collapsed="false">
      <c r="A81" s="34" t="n">
        <v>5</v>
      </c>
      <c r="B81" s="35" t="n">
        <v>2025</v>
      </c>
      <c r="C81" s="34" t="s">
        <v>264</v>
      </c>
      <c r="D81" s="34" t="s">
        <v>64</v>
      </c>
      <c r="E81" s="36" t="s">
        <v>65</v>
      </c>
      <c r="F81" s="34" t="s">
        <v>36</v>
      </c>
      <c r="G81" s="37" t="n">
        <v>1658</v>
      </c>
      <c r="H81" s="37" t="n">
        <v>9</v>
      </c>
      <c r="I81" s="37" t="n">
        <f aca="false">IFERROR(ROUND('Data Bulanan'!EC20,0),0)</f>
        <v>40282</v>
      </c>
      <c r="J81" s="37" t="n">
        <v>367549</v>
      </c>
      <c r="K81" s="37" t="n">
        <v>496205</v>
      </c>
      <c r="L81" s="38" t="n">
        <f aca="false">IFERROR(ROUND(SQRT(2*I81*J81/K81),0),0)</f>
        <v>244</v>
      </c>
      <c r="M81" s="39" t="n">
        <f aca="false">IFERROR(AVERAGE('Data Bulanan'!DF20,'Data Bulanan'!DH20,'Data Bulanan'!DJ20,'Data Bulanan'!DL20,'Data Bulanan'!DN20,'Data Bulanan'!DP20,'Data Bulanan'!DR20,'Data Bulanan'!DT20,'Data Bulanan'!DV20,'Data Bulanan'!DX20,'Data Bulanan'!DZ20,'Data Bulanan'!EB20),0)</f>
        <v>107.448099078341</v>
      </c>
      <c r="N81" s="40" t="n">
        <f aca="false">'Data Bulanan'!ED20</f>
        <v>18.6778629908307</v>
      </c>
      <c r="O81" s="41" t="n">
        <f aca="false">IFERROR(N81*SQRT(H81),0)</f>
        <v>56.0335889724921</v>
      </c>
      <c r="P81" s="42" t="n">
        <f aca="false">IFERROR(ROUND(1.65*O81,0),0)</f>
        <v>92</v>
      </c>
      <c r="Q81" s="43" t="n">
        <f aca="false">IFERROR(ROUND(M81*H81+P81,0),0)</f>
        <v>1059</v>
      </c>
      <c r="R81" s="44" t="n">
        <f aca="false">G81-Q81</f>
        <v>599</v>
      </c>
      <c r="S81" s="45" t="str">
        <f aca="false">IF(G81=0,"Stockout ⚠",IF(G81&lt;Q81,"Reorder 🔄",IF(G81&gt;Q81+L81,"Overstock 📦","Aman ✅")))</f>
        <v>Overstock 📦</v>
      </c>
      <c r="T81" s="46" t="n">
        <f aca="false">IFERROR(N81/AVERAGE(M77:M81),0)</f>
        <v>0.182645298075383</v>
      </c>
      <c r="U81" s="47" t="n">
        <v>-379.55</v>
      </c>
      <c r="V81" s="48" t="n">
        <v>0.0208</v>
      </c>
    </row>
    <row r="82" customFormat="false" ht="15" hidden="false" customHeight="true" outlineLevel="0" collapsed="false">
      <c r="A82" s="49" t="n">
        <v>1</v>
      </c>
      <c r="B82" s="35" t="n">
        <v>2021</v>
      </c>
      <c r="C82" s="49" t="s">
        <v>263</v>
      </c>
      <c r="D82" s="49" t="s">
        <v>66</v>
      </c>
      <c r="E82" s="50" t="s">
        <v>67</v>
      </c>
      <c r="F82" s="49" t="s">
        <v>36</v>
      </c>
      <c r="G82" s="37" t="n">
        <v>0</v>
      </c>
      <c r="H82" s="37" t="n">
        <v>11</v>
      </c>
      <c r="I82" s="37" t="n">
        <f aca="false">IFERROR(ROUND('Data Bulanan'!AC21,0),0)</f>
        <v>22556</v>
      </c>
      <c r="J82" s="37" t="n">
        <v>1204942</v>
      </c>
      <c r="K82" s="37" t="n">
        <v>232786</v>
      </c>
      <c r="L82" s="38" t="n">
        <f aca="false">IFERROR(ROUND(SQRT(2*I82*J82/K82),0),0)</f>
        <v>483</v>
      </c>
      <c r="M82" s="39" t="n">
        <f aca="false">IFERROR(AVERAGE('Data Bulanan'!F21,'Data Bulanan'!H21,'Data Bulanan'!J21,'Data Bulanan'!L21,'Data Bulanan'!N21,'Data Bulanan'!P21,'Data Bulanan'!R21,'Data Bulanan'!T21,'Data Bulanan'!V21,'Data Bulanan'!X21,'Data Bulanan'!Z21,'Data Bulanan'!AB21),0)</f>
        <v>59.8771441372248</v>
      </c>
      <c r="N82" s="40" t="n">
        <f aca="false">'Data Bulanan'!AD21</f>
        <v>12.0354352473643</v>
      </c>
      <c r="O82" s="41" t="n">
        <f aca="false">IFERROR(N82*SQRT(H82),0)</f>
        <v>39.9170229041256</v>
      </c>
      <c r="P82" s="42" t="n">
        <f aca="false">IFERROR(ROUND(1.65*O82,0),0)</f>
        <v>66</v>
      </c>
      <c r="Q82" s="43" t="n">
        <f aca="false">IFERROR(ROUND(M82*H82+P82,0),0)</f>
        <v>725</v>
      </c>
      <c r="R82" s="44" t="n">
        <f aca="false">G82-Q82</f>
        <v>-725</v>
      </c>
      <c r="S82" s="45" t="str">
        <f aca="false">IF(G82=0,"Stockout ⚠",IF(G82&lt;Q82,"Reorder 🔄",IF(G82&gt;Q82+L82,"Overstock 📦","Aman ✅")))</f>
        <v>Stockout ⚠</v>
      </c>
      <c r="T82" s="46" t="n">
        <f aca="false">IFERROR(N82/AVERAGE(M82:M86),0)</f>
        <v>0.215063785579136</v>
      </c>
      <c r="U82" s="47" t="n">
        <v>-341.51</v>
      </c>
      <c r="V82" s="48" t="n">
        <v>0.0472</v>
      </c>
    </row>
    <row r="83" customFormat="false" ht="15" hidden="false" customHeight="true" outlineLevel="0" collapsed="false">
      <c r="A83" s="49" t="n">
        <v>2</v>
      </c>
      <c r="B83" s="35" t="n">
        <v>2022</v>
      </c>
      <c r="C83" s="49" t="s">
        <v>263</v>
      </c>
      <c r="D83" s="49" t="s">
        <v>66</v>
      </c>
      <c r="E83" s="50" t="s">
        <v>67</v>
      </c>
      <c r="F83" s="49" t="s">
        <v>36</v>
      </c>
      <c r="G83" s="37" t="n">
        <v>0</v>
      </c>
      <c r="H83" s="37" t="n">
        <v>11</v>
      </c>
      <c r="I83" s="37" t="n">
        <f aca="false">IFERROR(ROUND('Data Bulanan'!BC21,0),0)</f>
        <v>22694</v>
      </c>
      <c r="J83" s="37" t="n">
        <v>1067386</v>
      </c>
      <c r="K83" s="37" t="n">
        <v>212972</v>
      </c>
      <c r="L83" s="38" t="n">
        <f aca="false">IFERROR(ROUND(SQRT(2*I83*J83/K83),0),0)</f>
        <v>477</v>
      </c>
      <c r="M83" s="39" t="n">
        <f aca="false">IFERROR(AVERAGE('Data Bulanan'!AF21,'Data Bulanan'!AH21,'Data Bulanan'!AJ21,'Data Bulanan'!AL21,'Data Bulanan'!AN21,'Data Bulanan'!AP21,'Data Bulanan'!AR21,'Data Bulanan'!AT21,'Data Bulanan'!AV21,'Data Bulanan'!AX21,'Data Bulanan'!AZ21,'Data Bulanan'!BB21),0)</f>
        <v>60.4531490015361</v>
      </c>
      <c r="N83" s="40" t="n">
        <f aca="false">'Data Bulanan'!BD21</f>
        <v>8.15047826625344</v>
      </c>
      <c r="O83" s="41" t="n">
        <f aca="false">IFERROR(N83*SQRT(H83),0)</f>
        <v>27.0320782711091</v>
      </c>
      <c r="P83" s="42" t="n">
        <f aca="false">IFERROR(ROUND(1.65*O83,0),0)</f>
        <v>45</v>
      </c>
      <c r="Q83" s="43" t="n">
        <f aca="false">IFERROR(ROUND(M83*H83+P83,0),0)</f>
        <v>710</v>
      </c>
      <c r="R83" s="44" t="n">
        <f aca="false">G83-Q83</f>
        <v>-710</v>
      </c>
      <c r="S83" s="45" t="str">
        <f aca="false">IF(G83=0,"Stockout ⚠",IF(G83&lt;Q83,"Reorder 🔄",IF(G83&gt;Q83+L83,"Overstock 📦","Aman ✅")))</f>
        <v>Stockout ⚠</v>
      </c>
      <c r="T83" s="46" t="n">
        <f aca="false">IFERROR(N83/AVERAGE(M82:M86),0)</f>
        <v>0.145642652234352</v>
      </c>
      <c r="U83" s="47" t="n">
        <v>-341.51</v>
      </c>
      <c r="V83" s="48" t="n">
        <v>0.0472</v>
      </c>
    </row>
    <row r="84" customFormat="false" ht="15" hidden="false" customHeight="true" outlineLevel="0" collapsed="false">
      <c r="A84" s="49" t="n">
        <v>3</v>
      </c>
      <c r="B84" s="35" t="n">
        <v>2023</v>
      </c>
      <c r="C84" s="49" t="s">
        <v>263</v>
      </c>
      <c r="D84" s="49" t="s">
        <v>66</v>
      </c>
      <c r="E84" s="50" t="s">
        <v>67</v>
      </c>
      <c r="F84" s="49" t="s">
        <v>36</v>
      </c>
      <c r="G84" s="37" t="n">
        <v>0</v>
      </c>
      <c r="H84" s="37" t="n">
        <v>11</v>
      </c>
      <c r="I84" s="37" t="n">
        <f aca="false">IFERROR(ROUND('Data Bulanan'!CC21,0),0)</f>
        <v>18764</v>
      </c>
      <c r="J84" s="37" t="n">
        <v>1101242</v>
      </c>
      <c r="K84" s="37" t="n">
        <v>223976</v>
      </c>
      <c r="L84" s="38" t="n">
        <f aca="false">IFERROR(ROUND(SQRT(2*I84*J84/K84),0),0)</f>
        <v>430</v>
      </c>
      <c r="M84" s="39" t="n">
        <f aca="false">IFERROR(AVERAGE('Data Bulanan'!BF21,'Data Bulanan'!BH21,'Data Bulanan'!BJ21,'Data Bulanan'!BL21,'Data Bulanan'!BN21,'Data Bulanan'!BP21,'Data Bulanan'!BR21,'Data Bulanan'!BT21,'Data Bulanan'!BV21,'Data Bulanan'!BX21,'Data Bulanan'!BZ21,'Data Bulanan'!CB21),0)</f>
        <v>49.8841589861751</v>
      </c>
      <c r="N84" s="40" t="n">
        <f aca="false">'Data Bulanan'!CD21</f>
        <v>10.8192472301694</v>
      </c>
      <c r="O84" s="41" t="n">
        <f aca="false">IFERROR(N84*SQRT(H84),0)</f>
        <v>35.8833835765637</v>
      </c>
      <c r="P84" s="42" t="n">
        <f aca="false">IFERROR(ROUND(1.65*O84,0),0)</f>
        <v>59</v>
      </c>
      <c r="Q84" s="43" t="n">
        <f aca="false">IFERROR(ROUND(M84*H84+P84,0),0)</f>
        <v>608</v>
      </c>
      <c r="R84" s="44" t="n">
        <f aca="false">G84-Q84</f>
        <v>-608</v>
      </c>
      <c r="S84" s="45" t="str">
        <f aca="false">IF(G84=0,"Stockout ⚠",IF(G84&lt;Q84,"Reorder 🔄",IF(G84&gt;Q84+L84,"Overstock 📦","Aman ✅")))</f>
        <v>Stockout ⚠</v>
      </c>
      <c r="T84" s="46" t="n">
        <f aca="false">IFERROR(N84/AVERAGE(M82:M86),0)</f>
        <v>0.19333145986111</v>
      </c>
      <c r="U84" s="47" t="n">
        <v>-341.51</v>
      </c>
      <c r="V84" s="48" t="n">
        <v>0.0472</v>
      </c>
    </row>
    <row r="85" customFormat="false" ht="15" hidden="false" customHeight="true" outlineLevel="0" collapsed="false">
      <c r="A85" s="49" t="n">
        <v>4</v>
      </c>
      <c r="B85" s="35" t="n">
        <v>2024</v>
      </c>
      <c r="C85" s="49" t="s">
        <v>263</v>
      </c>
      <c r="D85" s="49" t="s">
        <v>66</v>
      </c>
      <c r="E85" s="50" t="s">
        <v>67</v>
      </c>
      <c r="F85" s="49" t="s">
        <v>36</v>
      </c>
      <c r="G85" s="37" t="n">
        <v>0</v>
      </c>
      <c r="H85" s="37" t="n">
        <v>11</v>
      </c>
      <c r="I85" s="37" t="n">
        <f aca="false">IFERROR(ROUND('Data Bulanan'!DC21,0),0)</f>
        <v>17927</v>
      </c>
      <c r="J85" s="37" t="n">
        <v>1088919</v>
      </c>
      <c r="K85" s="37" t="n">
        <v>198965</v>
      </c>
      <c r="L85" s="38" t="n">
        <f aca="false">IFERROR(ROUND(SQRT(2*I85*J85/K85),0),0)</f>
        <v>443</v>
      </c>
      <c r="M85" s="39" t="n">
        <f aca="false">IFERROR(AVERAGE('Data Bulanan'!CF21,'Data Bulanan'!CH21,'Data Bulanan'!CJ21,'Data Bulanan'!CL21,'Data Bulanan'!CN21,'Data Bulanan'!CP21,'Data Bulanan'!CR21,'Data Bulanan'!CT21,'Data Bulanan'!CV21,'Data Bulanan'!CX21,'Data Bulanan'!CZ21,'Data Bulanan'!DB21),0)</f>
        <v>47.7484318996416</v>
      </c>
      <c r="N85" s="40" t="n">
        <f aca="false">'Data Bulanan'!DD21</f>
        <v>11.5532037736489</v>
      </c>
      <c r="O85" s="41" t="n">
        <f aca="false">IFERROR(N85*SQRT(H85),0)</f>
        <v>38.3176420437113</v>
      </c>
      <c r="P85" s="42" t="n">
        <f aca="false">IFERROR(ROUND(1.65*O85,0),0)</f>
        <v>63</v>
      </c>
      <c r="Q85" s="43" t="n">
        <f aca="false">IFERROR(ROUND(M85*H85+P85,0),0)</f>
        <v>588</v>
      </c>
      <c r="R85" s="44" t="n">
        <f aca="false">G85-Q85</f>
        <v>-588</v>
      </c>
      <c r="S85" s="45" t="str">
        <f aca="false">IF(G85=0,"Stockout ⚠",IF(G85&lt;Q85,"Reorder 🔄",IF(G85&gt;Q85+L85,"Overstock 📦","Aman ✅")))</f>
        <v>Stockout ⚠</v>
      </c>
      <c r="T85" s="46" t="n">
        <f aca="false">IFERROR(N85/AVERAGE(M82:M86),0)</f>
        <v>0.206446687474158</v>
      </c>
      <c r="U85" s="47" t="n">
        <v>-341.51</v>
      </c>
      <c r="V85" s="48" t="n">
        <v>0.0472</v>
      </c>
    </row>
    <row r="86" customFormat="false" ht="15" hidden="false" customHeight="true" outlineLevel="0" collapsed="false">
      <c r="A86" s="49" t="n">
        <v>5</v>
      </c>
      <c r="B86" s="35" t="n">
        <v>2025</v>
      </c>
      <c r="C86" s="49" t="s">
        <v>263</v>
      </c>
      <c r="D86" s="49" t="s">
        <v>66</v>
      </c>
      <c r="E86" s="50" t="s">
        <v>67</v>
      </c>
      <c r="F86" s="49" t="s">
        <v>36</v>
      </c>
      <c r="G86" s="37" t="n">
        <v>0</v>
      </c>
      <c r="H86" s="37" t="n">
        <v>11</v>
      </c>
      <c r="I86" s="37" t="n">
        <f aca="false">IFERROR(ROUND('Data Bulanan'!EC21,0),0)</f>
        <v>23232</v>
      </c>
      <c r="J86" s="37" t="n">
        <v>1105929</v>
      </c>
      <c r="K86" s="37" t="n">
        <v>200578</v>
      </c>
      <c r="L86" s="38" t="n">
        <f aca="false">IFERROR(ROUND(SQRT(2*I86*J86/K86),0),0)</f>
        <v>506</v>
      </c>
      <c r="M86" s="39" t="n">
        <f aca="false">IFERROR(AVERAGE('Data Bulanan'!DF21,'Data Bulanan'!DH21,'Data Bulanan'!DJ21,'Data Bulanan'!DL21,'Data Bulanan'!DN21,'Data Bulanan'!DP21,'Data Bulanan'!DR21,'Data Bulanan'!DT21,'Data Bulanan'!DV21,'Data Bulanan'!DX21,'Data Bulanan'!DZ21,'Data Bulanan'!EB21),0)</f>
        <v>61.84794546851</v>
      </c>
      <c r="N86" s="40" t="n">
        <f aca="false">'Data Bulanan'!ED21</f>
        <v>12.9135142120839</v>
      </c>
      <c r="O86" s="41" t="n">
        <f aca="false">IFERROR(N86*SQRT(H86),0)</f>
        <v>42.8292813664043</v>
      </c>
      <c r="P86" s="42" t="n">
        <f aca="false">IFERROR(ROUND(1.65*O86,0),0)</f>
        <v>71</v>
      </c>
      <c r="Q86" s="43" t="n">
        <f aca="false">IFERROR(ROUND(M86*H86+P86,0),0)</f>
        <v>751</v>
      </c>
      <c r="R86" s="44" t="n">
        <f aca="false">G86-Q86</f>
        <v>-751</v>
      </c>
      <c r="S86" s="45" t="str">
        <f aca="false">IF(G86=0,"Stockout ⚠",IF(G86&lt;Q86,"Reorder 🔄",IF(G86&gt;Q86+L86,"Overstock 📦","Aman ✅")))</f>
        <v>Stockout ⚠</v>
      </c>
      <c r="T86" s="46" t="n">
        <f aca="false">IFERROR(N86/AVERAGE(M82:M86),0)</f>
        <v>0.23075436778981</v>
      </c>
      <c r="U86" s="47" t="n">
        <v>-341.51</v>
      </c>
      <c r="V86" s="48" t="n">
        <v>0.0472</v>
      </c>
    </row>
    <row r="87" customFormat="false" ht="15" hidden="false" customHeight="true" outlineLevel="0" collapsed="false">
      <c r="A87" s="34" t="n">
        <v>1</v>
      </c>
      <c r="B87" s="35" t="n">
        <v>2021</v>
      </c>
      <c r="C87" s="34" t="s">
        <v>263</v>
      </c>
      <c r="D87" s="34" t="s">
        <v>68</v>
      </c>
      <c r="E87" s="36" t="s">
        <v>69</v>
      </c>
      <c r="F87" s="34" t="s">
        <v>36</v>
      </c>
      <c r="G87" s="37" t="n">
        <v>1006</v>
      </c>
      <c r="H87" s="37" t="n">
        <v>5</v>
      </c>
      <c r="I87" s="37" t="n">
        <f aca="false">IFERROR(ROUND('Data Bulanan'!AC22,0),0)</f>
        <v>8944</v>
      </c>
      <c r="J87" s="37" t="n">
        <v>1478942</v>
      </c>
      <c r="K87" s="37" t="n">
        <v>126725</v>
      </c>
      <c r="L87" s="38" t="n">
        <f aca="false">IFERROR(ROUND(SQRT(2*I87*J87/K87),0),0)</f>
        <v>457</v>
      </c>
      <c r="M87" s="39" t="n">
        <f aca="false">IFERROR(AVERAGE('Data Bulanan'!F22,'Data Bulanan'!H22,'Data Bulanan'!J22,'Data Bulanan'!L22,'Data Bulanan'!N22,'Data Bulanan'!P22,'Data Bulanan'!R22,'Data Bulanan'!T22,'Data Bulanan'!V22,'Data Bulanan'!X22,'Data Bulanan'!Z22,'Data Bulanan'!AB22),0)</f>
        <v>23.7953405017921</v>
      </c>
      <c r="N87" s="40" t="n">
        <f aca="false">'Data Bulanan'!AD22</f>
        <v>6.73055833213624</v>
      </c>
      <c r="O87" s="41" t="n">
        <f aca="false">IFERROR(N87*SQRT(H87),0)</f>
        <v>15.0499859571842</v>
      </c>
      <c r="P87" s="42" t="n">
        <f aca="false">IFERROR(ROUND(1.65*O87,0),0)</f>
        <v>25</v>
      </c>
      <c r="Q87" s="43" t="n">
        <f aca="false">IFERROR(ROUND(M87*H87+P87,0),0)</f>
        <v>144</v>
      </c>
      <c r="R87" s="44" t="n">
        <f aca="false">G87-Q87</f>
        <v>862</v>
      </c>
      <c r="S87" s="45" t="str">
        <f aca="false">IF(G87=0,"Stockout ⚠",IF(G87&lt;Q87,"Reorder 🔄",IF(G87&gt;Q87+L87,"Overstock 📦","Aman ✅")))</f>
        <v>Overstock 📦</v>
      </c>
      <c r="T87" s="46" t="n">
        <f aca="false">IFERROR(N87/AVERAGE(M87:M91),0)</f>
        <v>0.307723363257452</v>
      </c>
      <c r="U87" s="47" t="n">
        <v>-146.81</v>
      </c>
      <c r="V87" s="48" t="n">
        <v>0.1257</v>
      </c>
    </row>
    <row r="88" customFormat="false" ht="15" hidden="false" customHeight="true" outlineLevel="0" collapsed="false">
      <c r="A88" s="34" t="n">
        <v>2</v>
      </c>
      <c r="B88" s="35" t="n">
        <v>2022</v>
      </c>
      <c r="C88" s="34" t="s">
        <v>263</v>
      </c>
      <c r="D88" s="34" t="s">
        <v>68</v>
      </c>
      <c r="E88" s="36" t="s">
        <v>69</v>
      </c>
      <c r="F88" s="34" t="s">
        <v>36</v>
      </c>
      <c r="G88" s="37" t="n">
        <v>724</v>
      </c>
      <c r="H88" s="37" t="n">
        <v>5</v>
      </c>
      <c r="I88" s="37" t="n">
        <f aca="false">IFERROR(ROUND('Data Bulanan'!BC22,0),0)</f>
        <v>7473</v>
      </c>
      <c r="J88" s="37" t="n">
        <v>1422228</v>
      </c>
      <c r="K88" s="37" t="n">
        <v>111696</v>
      </c>
      <c r="L88" s="38" t="n">
        <f aca="false">IFERROR(ROUND(SQRT(2*I88*J88/K88),0),0)</f>
        <v>436</v>
      </c>
      <c r="M88" s="39" t="n">
        <f aca="false">IFERROR(AVERAGE('Data Bulanan'!AF22,'Data Bulanan'!AH22,'Data Bulanan'!AJ22,'Data Bulanan'!AL22,'Data Bulanan'!AN22,'Data Bulanan'!AP22,'Data Bulanan'!AR22,'Data Bulanan'!AT22,'Data Bulanan'!AV22,'Data Bulanan'!AX22,'Data Bulanan'!AZ22,'Data Bulanan'!BB22),0)</f>
        <v>19.930120327701</v>
      </c>
      <c r="N88" s="40" t="n">
        <f aca="false">'Data Bulanan'!BD22</f>
        <v>5.42925322605014</v>
      </c>
      <c r="O88" s="41" t="n">
        <f aca="false">IFERROR(N88*SQRT(H88),0)</f>
        <v>12.1401792805081</v>
      </c>
      <c r="P88" s="42" t="n">
        <f aca="false">IFERROR(ROUND(1.65*O88,0),0)</f>
        <v>20</v>
      </c>
      <c r="Q88" s="43" t="n">
        <f aca="false">IFERROR(ROUND(M88*H88+P88,0),0)</f>
        <v>120</v>
      </c>
      <c r="R88" s="44" t="n">
        <f aca="false">G88-Q88</f>
        <v>604</v>
      </c>
      <c r="S88" s="45" t="str">
        <f aca="false">IF(G88=0,"Stockout ⚠",IF(G88&lt;Q88,"Reorder 🔄",IF(G88&gt;Q88+L88,"Overstock 📦","Aman ✅")))</f>
        <v>Overstock 📦</v>
      </c>
      <c r="T88" s="46" t="n">
        <f aca="false">IFERROR(N88/AVERAGE(M87:M91),0)</f>
        <v>0.248227261432299</v>
      </c>
      <c r="U88" s="47" t="n">
        <v>-146.81</v>
      </c>
      <c r="V88" s="48" t="n">
        <v>0.1257</v>
      </c>
    </row>
    <row r="89" customFormat="false" ht="15" hidden="false" customHeight="true" outlineLevel="0" collapsed="false">
      <c r="A89" s="34" t="n">
        <v>3</v>
      </c>
      <c r="B89" s="35" t="n">
        <v>2023</v>
      </c>
      <c r="C89" s="34" t="s">
        <v>263</v>
      </c>
      <c r="D89" s="34" t="s">
        <v>68</v>
      </c>
      <c r="E89" s="36" t="s">
        <v>69</v>
      </c>
      <c r="F89" s="34" t="s">
        <v>36</v>
      </c>
      <c r="G89" s="37" t="n">
        <v>1173</v>
      </c>
      <c r="H89" s="37" t="n">
        <v>5</v>
      </c>
      <c r="I89" s="37" t="n">
        <f aca="false">IFERROR(ROUND('Data Bulanan'!CC22,0),0)</f>
        <v>8850</v>
      </c>
      <c r="J89" s="37" t="n">
        <v>1474013</v>
      </c>
      <c r="K89" s="37" t="n">
        <v>123695</v>
      </c>
      <c r="L89" s="38" t="n">
        <f aca="false">IFERROR(ROUND(SQRT(2*I89*J89/K89),0),0)</f>
        <v>459</v>
      </c>
      <c r="M89" s="39" t="n">
        <f aca="false">IFERROR(AVERAGE('Data Bulanan'!BF22,'Data Bulanan'!BH22,'Data Bulanan'!BJ22,'Data Bulanan'!BL22,'Data Bulanan'!BN22,'Data Bulanan'!BP22,'Data Bulanan'!BR22,'Data Bulanan'!BT22,'Data Bulanan'!BV22,'Data Bulanan'!BX22,'Data Bulanan'!BZ22,'Data Bulanan'!CB22),0)</f>
        <v>23.5706221198157</v>
      </c>
      <c r="N89" s="40" t="n">
        <f aca="false">'Data Bulanan'!CD22</f>
        <v>6.0471973190474</v>
      </c>
      <c r="O89" s="41" t="n">
        <f aca="false">IFERROR(N89*SQRT(H89),0)</f>
        <v>13.5219442787445</v>
      </c>
      <c r="P89" s="42" t="n">
        <f aca="false">IFERROR(ROUND(1.65*O89,0),0)</f>
        <v>22</v>
      </c>
      <c r="Q89" s="43" t="n">
        <f aca="false">IFERROR(ROUND(M89*H89+P89,0),0)</f>
        <v>140</v>
      </c>
      <c r="R89" s="44" t="n">
        <f aca="false">G89-Q89</f>
        <v>1033</v>
      </c>
      <c r="S89" s="45" t="str">
        <f aca="false">IF(G89=0,"Stockout ⚠",IF(G89&lt;Q89,"Reorder 🔄",IF(G89&gt;Q89+L89,"Overstock 📦","Aman ✅")))</f>
        <v>Overstock 📦</v>
      </c>
      <c r="T89" s="46" t="n">
        <f aca="false">IFERROR(N89/AVERAGE(M87:M91),0)</f>
        <v>0.276479870683788</v>
      </c>
      <c r="U89" s="47" t="n">
        <v>-146.81</v>
      </c>
      <c r="V89" s="48" t="n">
        <v>0.1257</v>
      </c>
    </row>
    <row r="90" customFormat="false" ht="15" hidden="false" customHeight="true" outlineLevel="0" collapsed="false">
      <c r="A90" s="34" t="n">
        <v>4</v>
      </c>
      <c r="B90" s="35" t="n">
        <v>2024</v>
      </c>
      <c r="C90" s="34" t="s">
        <v>263</v>
      </c>
      <c r="D90" s="34" t="s">
        <v>68</v>
      </c>
      <c r="E90" s="36" t="s">
        <v>69</v>
      </c>
      <c r="F90" s="34" t="s">
        <v>36</v>
      </c>
      <c r="G90" s="37" t="n">
        <v>364</v>
      </c>
      <c r="H90" s="37" t="n">
        <v>5</v>
      </c>
      <c r="I90" s="37" t="n">
        <f aca="false">IFERROR(ROUND('Data Bulanan'!DC22,0),0)</f>
        <v>7759</v>
      </c>
      <c r="J90" s="37" t="n">
        <v>1424689</v>
      </c>
      <c r="K90" s="37" t="n">
        <v>126253</v>
      </c>
      <c r="L90" s="38" t="n">
        <f aca="false">IFERROR(ROUND(SQRT(2*I90*J90/K90),0),0)</f>
        <v>418</v>
      </c>
      <c r="M90" s="39" t="n">
        <f aca="false">IFERROR(AVERAGE('Data Bulanan'!CF22,'Data Bulanan'!CH22,'Data Bulanan'!CJ22,'Data Bulanan'!CL22,'Data Bulanan'!CN22,'Data Bulanan'!CP22,'Data Bulanan'!CR22,'Data Bulanan'!CT22,'Data Bulanan'!CV22,'Data Bulanan'!CX22,'Data Bulanan'!CZ22,'Data Bulanan'!DB22),0)</f>
        <v>20.6326484895033</v>
      </c>
      <c r="N90" s="40" t="n">
        <f aca="false">'Data Bulanan'!DD22</f>
        <v>5.05399859632072</v>
      </c>
      <c r="O90" s="41" t="n">
        <f aca="false">IFERROR(N90*SQRT(H90),0)</f>
        <v>11.3010844195616</v>
      </c>
      <c r="P90" s="42" t="n">
        <f aca="false">IFERROR(ROUND(1.65*O90,0),0)</f>
        <v>19</v>
      </c>
      <c r="Q90" s="43" t="n">
        <f aca="false">IFERROR(ROUND(M90*H90+P90,0),0)</f>
        <v>122</v>
      </c>
      <c r="R90" s="44" t="n">
        <f aca="false">G90-Q90</f>
        <v>242</v>
      </c>
      <c r="S90" s="45" t="str">
        <f aca="false">IF(G90=0,"Stockout ⚠",IF(G90&lt;Q90,"Reorder 🔄",IF(G90&gt;Q90+L90,"Overstock 📦","Aman ✅")))</f>
        <v>Aman ✅</v>
      </c>
      <c r="T90" s="46" t="n">
        <f aca="false">IFERROR(N90/AVERAGE(M87:M91),0)</f>
        <v>0.231070495078026</v>
      </c>
      <c r="U90" s="47" t="n">
        <v>-146.81</v>
      </c>
      <c r="V90" s="48" t="n">
        <v>0.1257</v>
      </c>
    </row>
    <row r="91" customFormat="false" ht="15" hidden="false" customHeight="true" outlineLevel="0" collapsed="false">
      <c r="A91" s="34" t="n">
        <v>5</v>
      </c>
      <c r="B91" s="35" t="n">
        <v>2025</v>
      </c>
      <c r="C91" s="34" t="s">
        <v>263</v>
      </c>
      <c r="D91" s="34" t="s">
        <v>68</v>
      </c>
      <c r="E91" s="36" t="s">
        <v>69</v>
      </c>
      <c r="F91" s="34" t="s">
        <v>36</v>
      </c>
      <c r="G91" s="37" t="n">
        <v>262</v>
      </c>
      <c r="H91" s="37" t="n">
        <v>5</v>
      </c>
      <c r="I91" s="37" t="n">
        <f aca="false">IFERROR(ROUND('Data Bulanan'!EC22,0),0)</f>
        <v>8067</v>
      </c>
      <c r="J91" s="37" t="n">
        <v>1507558</v>
      </c>
      <c r="K91" s="37" t="n">
        <v>118589</v>
      </c>
      <c r="L91" s="38" t="n">
        <f aca="false">IFERROR(ROUND(SQRT(2*I91*J91/K91),0),0)</f>
        <v>453</v>
      </c>
      <c r="M91" s="39" t="n">
        <f aca="false">IFERROR(AVERAGE('Data Bulanan'!DF22,'Data Bulanan'!DH22,'Data Bulanan'!DJ22,'Data Bulanan'!DL22,'Data Bulanan'!DN22,'Data Bulanan'!DP22,'Data Bulanan'!DR22,'Data Bulanan'!DT22,'Data Bulanan'!DV22,'Data Bulanan'!DX22,'Data Bulanan'!DZ22,'Data Bulanan'!EB22),0)</f>
        <v>21.4318036354327</v>
      </c>
      <c r="N91" s="40" t="n">
        <f aca="false">'Data Bulanan'!ED22</f>
        <v>4.9169467078868</v>
      </c>
      <c r="O91" s="41" t="n">
        <f aca="false">IFERROR(N91*SQRT(H91),0)</f>
        <v>10.9946270805787</v>
      </c>
      <c r="P91" s="42" t="n">
        <f aca="false">IFERROR(ROUND(1.65*O91,0),0)</f>
        <v>18</v>
      </c>
      <c r="Q91" s="43" t="n">
        <f aca="false">IFERROR(ROUND(M91*H91+P91,0),0)</f>
        <v>125</v>
      </c>
      <c r="R91" s="44" t="n">
        <f aca="false">G91-Q91</f>
        <v>137</v>
      </c>
      <c r="S91" s="45" t="str">
        <f aca="false">IF(G91=0,"Stockout ⚠",IF(G91&lt;Q91,"Reorder 🔄",IF(G91&gt;Q91+L91,"Overstock 📦","Aman ✅")))</f>
        <v>Aman ✅</v>
      </c>
      <c r="T91" s="46" t="n">
        <f aca="false">IFERROR(N91/AVERAGE(M87:M91),0)</f>
        <v>0.224804437201624</v>
      </c>
      <c r="U91" s="47" t="n">
        <v>-146.81</v>
      </c>
      <c r="V91" s="48" t="n">
        <v>0.1257</v>
      </c>
    </row>
    <row r="92" customFormat="false" ht="15" hidden="false" customHeight="true" outlineLevel="0" collapsed="false">
      <c r="A92" s="49" t="n">
        <v>1</v>
      </c>
      <c r="B92" s="35" t="n">
        <v>2021</v>
      </c>
      <c r="C92" s="49" t="s">
        <v>263</v>
      </c>
      <c r="D92" s="49" t="s">
        <v>70</v>
      </c>
      <c r="E92" s="50" t="s">
        <v>71</v>
      </c>
      <c r="F92" s="49" t="s">
        <v>36</v>
      </c>
      <c r="G92" s="37" t="n">
        <v>15295</v>
      </c>
      <c r="H92" s="37" t="n">
        <v>41</v>
      </c>
      <c r="I92" s="37" t="n">
        <f aca="false">IFERROR(ROUND('Data Bulanan'!AC23,0),0)</f>
        <v>27609</v>
      </c>
      <c r="J92" s="37" t="n">
        <v>6643698</v>
      </c>
      <c r="K92" s="37" t="n">
        <v>190968</v>
      </c>
      <c r="L92" s="38" t="n">
        <f aca="false">IFERROR(ROUND(SQRT(2*I92*J92/K92),0),0)</f>
        <v>1386</v>
      </c>
      <c r="M92" s="39" t="n">
        <f aca="false">IFERROR(AVERAGE('Data Bulanan'!F23,'Data Bulanan'!H23,'Data Bulanan'!J23,'Data Bulanan'!L23,'Data Bulanan'!N23,'Data Bulanan'!P23,'Data Bulanan'!R23,'Data Bulanan'!T23,'Data Bulanan'!V23,'Data Bulanan'!X23,'Data Bulanan'!Z23,'Data Bulanan'!AB23),0)</f>
        <v>73.4130952380952</v>
      </c>
      <c r="N92" s="40" t="n">
        <f aca="false">'Data Bulanan'!AD23</f>
        <v>21.4459491044029</v>
      </c>
      <c r="O92" s="41" t="n">
        <f aca="false">IFERROR(N92*SQRT(H92),0)</f>
        <v>137.321076505153</v>
      </c>
      <c r="P92" s="42" t="n">
        <f aca="false">IFERROR(ROUND(1.65*O92,0),0)</f>
        <v>227</v>
      </c>
      <c r="Q92" s="43" t="n">
        <f aca="false">IFERROR(ROUND(M92*H92+P92,0),0)</f>
        <v>3237</v>
      </c>
      <c r="R92" s="44" t="n">
        <f aca="false">G92-Q92</f>
        <v>12058</v>
      </c>
      <c r="S92" s="45" t="str">
        <f aca="false">IF(G92=0,"Stockout ⚠",IF(G92&lt;Q92,"Reorder 🔄",IF(G92&gt;Q92+L92,"Overstock 📦","Aman ✅")))</f>
        <v>Overstock 📦</v>
      </c>
      <c r="T92" s="46" t="n">
        <f aca="false">IFERROR(N92/AVERAGE(M92:M96),0)</f>
        <v>0.24826419513046</v>
      </c>
      <c r="U92" s="47" t="n">
        <v>2123.07</v>
      </c>
      <c r="V92" s="48" t="n">
        <v>0.6939</v>
      </c>
    </row>
    <row r="93" customFormat="false" ht="15" hidden="false" customHeight="true" outlineLevel="0" collapsed="false">
      <c r="A93" s="49" t="n">
        <v>2</v>
      </c>
      <c r="B93" s="35" t="n">
        <v>2022</v>
      </c>
      <c r="C93" s="49" t="s">
        <v>263</v>
      </c>
      <c r="D93" s="49" t="s">
        <v>70</v>
      </c>
      <c r="E93" s="50" t="s">
        <v>71</v>
      </c>
      <c r="F93" s="49" t="s">
        <v>36</v>
      </c>
      <c r="G93" s="37" t="n">
        <v>15231</v>
      </c>
      <c r="H93" s="37" t="n">
        <v>41</v>
      </c>
      <c r="I93" s="37" t="n">
        <f aca="false">IFERROR(ROUND('Data Bulanan'!BC23,0),0)</f>
        <v>33015</v>
      </c>
      <c r="J93" s="37" t="n">
        <v>5948418</v>
      </c>
      <c r="K93" s="37" t="n">
        <v>196330</v>
      </c>
      <c r="L93" s="38" t="n">
        <f aca="false">IFERROR(ROUND(SQRT(2*I93*J93/K93),0),0)</f>
        <v>1414</v>
      </c>
      <c r="M93" s="39" t="n">
        <f aca="false">IFERROR(AVERAGE('Data Bulanan'!AF23,'Data Bulanan'!AH23,'Data Bulanan'!AJ23,'Data Bulanan'!AL23,'Data Bulanan'!AN23,'Data Bulanan'!AP23,'Data Bulanan'!AR23,'Data Bulanan'!AT23,'Data Bulanan'!AV23,'Data Bulanan'!AX23,'Data Bulanan'!AZ23,'Data Bulanan'!BB23),0)</f>
        <v>87.8525089605735</v>
      </c>
      <c r="N93" s="40" t="n">
        <f aca="false">'Data Bulanan'!BD23</f>
        <v>22.8931155470678</v>
      </c>
      <c r="O93" s="41" t="n">
        <f aca="false">IFERROR(N93*SQRT(H93),0)</f>
        <v>146.587463029781</v>
      </c>
      <c r="P93" s="42" t="n">
        <f aca="false">IFERROR(ROUND(1.65*O93,0),0)</f>
        <v>242</v>
      </c>
      <c r="Q93" s="43" t="n">
        <f aca="false">IFERROR(ROUND(M93*H93+P93,0),0)</f>
        <v>3844</v>
      </c>
      <c r="R93" s="44" t="n">
        <f aca="false">G93-Q93</f>
        <v>11387</v>
      </c>
      <c r="S93" s="45" t="str">
        <f aca="false">IF(G93=0,"Stockout ⚠",IF(G93&lt;Q93,"Reorder 🔄",IF(G93&gt;Q93+L93,"Overstock 📦","Aman ✅")))</f>
        <v>Overstock 📦</v>
      </c>
      <c r="T93" s="46" t="n">
        <f aca="false">IFERROR(N93/AVERAGE(M92:M96),0)</f>
        <v>0.265016991211388</v>
      </c>
      <c r="U93" s="47" t="n">
        <v>2123.07</v>
      </c>
      <c r="V93" s="48" t="n">
        <v>0.6939</v>
      </c>
    </row>
    <row r="94" customFormat="false" ht="15" hidden="false" customHeight="true" outlineLevel="0" collapsed="false">
      <c r="A94" s="49" t="n">
        <v>3</v>
      </c>
      <c r="B94" s="35" t="n">
        <v>2023</v>
      </c>
      <c r="C94" s="49" t="s">
        <v>263</v>
      </c>
      <c r="D94" s="49" t="s">
        <v>70</v>
      </c>
      <c r="E94" s="50" t="s">
        <v>71</v>
      </c>
      <c r="F94" s="49" t="s">
        <v>36</v>
      </c>
      <c r="G94" s="37" t="n">
        <v>9111</v>
      </c>
      <c r="H94" s="37" t="n">
        <v>41</v>
      </c>
      <c r="I94" s="37" t="n">
        <f aca="false">IFERROR(ROUND('Data Bulanan'!CC23,0),0)</f>
        <v>29138</v>
      </c>
      <c r="J94" s="37" t="n">
        <v>6081567</v>
      </c>
      <c r="K94" s="37" t="n">
        <v>196895</v>
      </c>
      <c r="L94" s="38" t="n">
        <f aca="false">IFERROR(ROUND(SQRT(2*I94*J94/K94),0),0)</f>
        <v>1342</v>
      </c>
      <c r="M94" s="39" t="n">
        <f aca="false">IFERROR(AVERAGE('Data Bulanan'!BF23,'Data Bulanan'!BH23,'Data Bulanan'!BJ23,'Data Bulanan'!BL23,'Data Bulanan'!BN23,'Data Bulanan'!BP23,'Data Bulanan'!BR23,'Data Bulanan'!BT23,'Data Bulanan'!BV23,'Data Bulanan'!BX23,'Data Bulanan'!BZ23,'Data Bulanan'!CB23),0)</f>
        <v>77.4379032258065</v>
      </c>
      <c r="N94" s="40" t="n">
        <f aca="false">'Data Bulanan'!CD23</f>
        <v>19.8605176219793</v>
      </c>
      <c r="O94" s="41" t="n">
        <f aca="false">IFERROR(N94*SQRT(H94),0)</f>
        <v>127.169361753258</v>
      </c>
      <c r="P94" s="42" t="n">
        <f aca="false">IFERROR(ROUND(1.65*O94,0),0)</f>
        <v>210</v>
      </c>
      <c r="Q94" s="43" t="n">
        <f aca="false">IFERROR(ROUND(M94*H94+P94,0),0)</f>
        <v>3385</v>
      </c>
      <c r="R94" s="44" t="n">
        <f aca="false">G94-Q94</f>
        <v>5726</v>
      </c>
      <c r="S94" s="45" t="str">
        <f aca="false">IF(G94=0,"Stockout ⚠",IF(G94&lt;Q94,"Reorder 🔄",IF(G94&gt;Q94+L94,"Overstock 📦","Aman ✅")))</f>
        <v>Overstock 📦</v>
      </c>
      <c r="T94" s="46" t="n">
        <f aca="false">IFERROR(N94/AVERAGE(M92:M96),0)</f>
        <v>0.229910804986604</v>
      </c>
      <c r="U94" s="47" t="n">
        <v>2123.07</v>
      </c>
      <c r="V94" s="48" t="n">
        <v>0.6939</v>
      </c>
    </row>
    <row r="95" customFormat="false" ht="15" hidden="false" customHeight="true" outlineLevel="0" collapsed="false">
      <c r="A95" s="49" t="n">
        <v>4</v>
      </c>
      <c r="B95" s="35" t="n">
        <v>2024</v>
      </c>
      <c r="C95" s="49" t="s">
        <v>263</v>
      </c>
      <c r="D95" s="49" t="s">
        <v>70</v>
      </c>
      <c r="E95" s="50" t="s">
        <v>71</v>
      </c>
      <c r="F95" s="49" t="s">
        <v>36</v>
      </c>
      <c r="G95" s="37" t="n">
        <v>0</v>
      </c>
      <c r="H95" s="37" t="n">
        <v>41</v>
      </c>
      <c r="I95" s="37" t="n">
        <f aca="false">IFERROR(ROUND('Data Bulanan'!DC23,0),0)</f>
        <v>35712</v>
      </c>
      <c r="J95" s="37" t="n">
        <v>6651332</v>
      </c>
      <c r="K95" s="37" t="n">
        <v>200655</v>
      </c>
      <c r="L95" s="38" t="n">
        <f aca="false">IFERROR(ROUND(SQRT(2*I95*J95/K95),0),0)</f>
        <v>1539</v>
      </c>
      <c r="M95" s="39" t="n">
        <f aca="false">IFERROR(AVERAGE('Data Bulanan'!CF23,'Data Bulanan'!CH23,'Data Bulanan'!CJ23,'Data Bulanan'!CL23,'Data Bulanan'!CN23,'Data Bulanan'!CP23,'Data Bulanan'!CR23,'Data Bulanan'!CT23,'Data Bulanan'!CV23,'Data Bulanan'!CX23,'Data Bulanan'!CZ23,'Data Bulanan'!DB23),0)</f>
        <v>94.948783922171</v>
      </c>
      <c r="N95" s="40" t="n">
        <f aca="false">'Data Bulanan'!DD23</f>
        <v>20.9323772848531</v>
      </c>
      <c r="O95" s="41" t="n">
        <f aca="false">IFERROR(N95*SQRT(H95),0)</f>
        <v>134.032612339732</v>
      </c>
      <c r="P95" s="42" t="n">
        <f aca="false">IFERROR(ROUND(1.65*O95,0),0)</f>
        <v>221</v>
      </c>
      <c r="Q95" s="43" t="n">
        <f aca="false">IFERROR(ROUND(M95*H95+P95,0),0)</f>
        <v>4114</v>
      </c>
      <c r="R95" s="44" t="n">
        <f aca="false">G95-Q95</f>
        <v>-4114</v>
      </c>
      <c r="S95" s="45" t="str">
        <f aca="false">IF(G95=0,"Stockout ⚠",IF(G95&lt;Q95,"Reorder 🔄",IF(G95&gt;Q95+L95,"Overstock 📦","Aman ✅")))</f>
        <v>Stockout ⚠</v>
      </c>
      <c r="T95" s="46" t="n">
        <f aca="false">IFERROR(N95/AVERAGE(M92:M96),0)</f>
        <v>0.242318946738723</v>
      </c>
      <c r="U95" s="47" t="n">
        <v>2123.07</v>
      </c>
      <c r="V95" s="48" t="n">
        <v>0.6939</v>
      </c>
    </row>
    <row r="96" customFormat="false" ht="15" hidden="false" customHeight="true" outlineLevel="0" collapsed="false">
      <c r="A96" s="49" t="n">
        <v>5</v>
      </c>
      <c r="B96" s="35" t="n">
        <v>2025</v>
      </c>
      <c r="C96" s="49" t="s">
        <v>263</v>
      </c>
      <c r="D96" s="49" t="s">
        <v>70</v>
      </c>
      <c r="E96" s="50" t="s">
        <v>71</v>
      </c>
      <c r="F96" s="49" t="s">
        <v>36</v>
      </c>
      <c r="G96" s="37" t="n">
        <v>0</v>
      </c>
      <c r="H96" s="37" t="n">
        <v>41</v>
      </c>
      <c r="I96" s="37" t="n">
        <f aca="false">IFERROR(ROUND('Data Bulanan'!EC23,0),0)</f>
        <v>36875</v>
      </c>
      <c r="J96" s="37" t="n">
        <v>6751256</v>
      </c>
      <c r="K96" s="37" t="n">
        <v>218903</v>
      </c>
      <c r="L96" s="38" t="n">
        <f aca="false">IFERROR(ROUND(SQRT(2*I96*J96/K96),0),0)</f>
        <v>1508</v>
      </c>
      <c r="M96" s="39" t="n">
        <f aca="false">IFERROR(AVERAGE('Data Bulanan'!DF23,'Data Bulanan'!DH23,'Data Bulanan'!DJ23,'Data Bulanan'!DL23,'Data Bulanan'!DN23,'Data Bulanan'!DP23,'Data Bulanan'!DR23,'Data Bulanan'!DT23,'Data Bulanan'!DV23,'Data Bulanan'!DX23,'Data Bulanan'!DZ23,'Data Bulanan'!EB23),0)</f>
        <v>98.2655913978495</v>
      </c>
      <c r="N96" s="40" t="n">
        <f aca="false">'Data Bulanan'!ED23</f>
        <v>21.2124282912666</v>
      </c>
      <c r="O96" s="41" t="n">
        <f aca="false">IFERROR(N96*SQRT(H96),0)</f>
        <v>135.825813726616</v>
      </c>
      <c r="P96" s="42" t="n">
        <f aca="false">IFERROR(ROUND(1.65*O96,0),0)</f>
        <v>224</v>
      </c>
      <c r="Q96" s="43" t="n">
        <f aca="false">IFERROR(ROUND(M96*H96+P96,0),0)</f>
        <v>4253</v>
      </c>
      <c r="R96" s="44" t="n">
        <f aca="false">G96-Q96</f>
        <v>-4253</v>
      </c>
      <c r="S96" s="45" t="str">
        <f aca="false">IF(G96=0,"Stockout ⚠",IF(G96&lt;Q96,"Reorder 🔄",IF(G96&gt;Q96+L96,"Overstock 📦","Aman ✅")))</f>
        <v>Stockout ⚠</v>
      </c>
      <c r="T96" s="46" t="n">
        <f aca="false">IFERROR(N96/AVERAGE(M92:M96),0)</f>
        <v>0.245560894081052</v>
      </c>
      <c r="U96" s="47" t="n">
        <v>2123.07</v>
      </c>
      <c r="V96" s="48" t="n">
        <v>0.6939</v>
      </c>
    </row>
    <row r="97" customFormat="false" ht="15" hidden="false" customHeight="true" outlineLevel="0" collapsed="false">
      <c r="A97" s="34" t="n">
        <v>1</v>
      </c>
      <c r="B97" s="35" t="n">
        <v>2021</v>
      </c>
      <c r="C97" s="34" t="s">
        <v>264</v>
      </c>
      <c r="D97" s="34" t="s">
        <v>72</v>
      </c>
      <c r="E97" s="36" t="s">
        <v>73</v>
      </c>
      <c r="F97" s="34" t="s">
        <v>36</v>
      </c>
      <c r="G97" s="37" t="n">
        <v>88</v>
      </c>
      <c r="H97" s="37" t="n">
        <v>7</v>
      </c>
      <c r="I97" s="37" t="n">
        <f aca="false">IFERROR(ROUND('Data Bulanan'!AC24,0),0)</f>
        <v>4485</v>
      </c>
      <c r="J97" s="37" t="n">
        <v>1719414</v>
      </c>
      <c r="K97" s="37" t="n">
        <v>450759</v>
      </c>
      <c r="L97" s="38" t="n">
        <f aca="false">IFERROR(ROUND(SQRT(2*I97*J97/K97),0),0)</f>
        <v>185</v>
      </c>
      <c r="M97" s="39" t="n">
        <f aca="false">IFERROR(AVERAGE('Data Bulanan'!F24,'Data Bulanan'!H24,'Data Bulanan'!J24,'Data Bulanan'!L24,'Data Bulanan'!N24,'Data Bulanan'!P24,'Data Bulanan'!R24,'Data Bulanan'!T24,'Data Bulanan'!V24,'Data Bulanan'!X24,'Data Bulanan'!Z24,'Data Bulanan'!AB24),0)</f>
        <v>11.9225870455709</v>
      </c>
      <c r="N97" s="40" t="n">
        <f aca="false">'Data Bulanan'!AD24</f>
        <v>2.55332638432276</v>
      </c>
      <c r="O97" s="41" t="n">
        <f aca="false">IFERROR(N97*SQRT(H97),0)</f>
        <v>6.75546662889776</v>
      </c>
      <c r="P97" s="42" t="n">
        <f aca="false">IFERROR(ROUND(1.65*O97,0),0)</f>
        <v>11</v>
      </c>
      <c r="Q97" s="43" t="n">
        <f aca="false">IFERROR(ROUND(M97*H97+P97,0),0)</f>
        <v>94</v>
      </c>
      <c r="R97" s="44" t="n">
        <f aca="false">G97-Q97</f>
        <v>-6</v>
      </c>
      <c r="S97" s="45" t="str">
        <f aca="false">IF(G97=0,"Stockout ⚠",IF(G97&lt;Q97,"Reorder 🔄",IF(G97&gt;Q97+L97,"Overstock 📦","Aman ✅")))</f>
        <v>Reorder 🔄</v>
      </c>
      <c r="T97" s="46" t="n">
        <f aca="false">IFERROR(N97/AVERAGE(M97:M101),0)</f>
        <v>0.209420184908514</v>
      </c>
      <c r="U97" s="47" t="n">
        <v>55.74</v>
      </c>
      <c r="V97" s="48" t="n">
        <v>0.1792</v>
      </c>
    </row>
    <row r="98" customFormat="false" ht="15" hidden="false" customHeight="true" outlineLevel="0" collapsed="false">
      <c r="A98" s="34" t="n">
        <v>2</v>
      </c>
      <c r="B98" s="35" t="n">
        <v>2022</v>
      </c>
      <c r="C98" s="34" t="s">
        <v>264</v>
      </c>
      <c r="D98" s="34" t="s">
        <v>72</v>
      </c>
      <c r="E98" s="36" t="s">
        <v>73</v>
      </c>
      <c r="F98" s="34" t="s">
        <v>36</v>
      </c>
      <c r="G98" s="37" t="n">
        <v>145</v>
      </c>
      <c r="H98" s="37" t="n">
        <v>7</v>
      </c>
      <c r="I98" s="37" t="n">
        <f aca="false">IFERROR(ROUND('Data Bulanan'!BC24,0),0)</f>
        <v>4703</v>
      </c>
      <c r="J98" s="37" t="n">
        <v>1758036</v>
      </c>
      <c r="K98" s="37" t="n">
        <v>454991</v>
      </c>
      <c r="L98" s="38" t="n">
        <f aca="false">IFERROR(ROUND(SQRT(2*I98*J98/K98),0),0)</f>
        <v>191</v>
      </c>
      <c r="M98" s="39" t="n">
        <f aca="false">IFERROR(AVERAGE('Data Bulanan'!AF24,'Data Bulanan'!AH24,'Data Bulanan'!AJ24,'Data Bulanan'!AL24,'Data Bulanan'!AN24,'Data Bulanan'!AP24,'Data Bulanan'!AR24,'Data Bulanan'!AT24,'Data Bulanan'!AV24,'Data Bulanan'!AX24,'Data Bulanan'!AZ24,'Data Bulanan'!BB24),0)</f>
        <v>12.4902265745008</v>
      </c>
      <c r="N98" s="40" t="n">
        <f aca="false">'Data Bulanan'!BD24</f>
        <v>2.6546208856493</v>
      </c>
      <c r="O98" s="41" t="n">
        <f aca="false">IFERROR(N98*SQRT(H98),0)</f>
        <v>7.02346668858609</v>
      </c>
      <c r="P98" s="42" t="n">
        <f aca="false">IFERROR(ROUND(1.65*O98,0),0)</f>
        <v>12</v>
      </c>
      <c r="Q98" s="43" t="n">
        <f aca="false">IFERROR(ROUND(M98*H98+P98,0),0)</f>
        <v>99</v>
      </c>
      <c r="R98" s="44" t="n">
        <f aca="false">G98-Q98</f>
        <v>46</v>
      </c>
      <c r="S98" s="45" t="str">
        <f aca="false">IF(G98=0,"Stockout ⚠",IF(G98&lt;Q98,"Reorder 🔄",IF(G98&gt;Q98+L98,"Overstock 📦","Aman ✅")))</f>
        <v>Aman ✅</v>
      </c>
      <c r="T98" s="46" t="n">
        <f aca="false">IFERROR(N98/AVERAGE(M97:M101),0)</f>
        <v>0.217728215299092</v>
      </c>
      <c r="U98" s="47" t="n">
        <v>55.74</v>
      </c>
      <c r="V98" s="48" t="n">
        <v>0.1792</v>
      </c>
    </row>
    <row r="99" customFormat="false" ht="15" hidden="false" customHeight="true" outlineLevel="0" collapsed="false">
      <c r="A99" s="34" t="n">
        <v>3</v>
      </c>
      <c r="B99" s="35" t="n">
        <v>2023</v>
      </c>
      <c r="C99" s="34" t="s">
        <v>264</v>
      </c>
      <c r="D99" s="34" t="s">
        <v>72</v>
      </c>
      <c r="E99" s="36" t="s">
        <v>73</v>
      </c>
      <c r="F99" s="34" t="s">
        <v>36</v>
      </c>
      <c r="G99" s="37" t="n">
        <v>162</v>
      </c>
      <c r="H99" s="37" t="n">
        <v>7</v>
      </c>
      <c r="I99" s="37" t="n">
        <f aca="false">IFERROR(ROUND('Data Bulanan'!CC24,0),0)</f>
        <v>4387</v>
      </c>
      <c r="J99" s="37" t="n">
        <v>1632465</v>
      </c>
      <c r="K99" s="37" t="n">
        <v>479632</v>
      </c>
      <c r="L99" s="38" t="n">
        <f aca="false">IFERROR(ROUND(SQRT(2*I99*J99/K99),0),0)</f>
        <v>173</v>
      </c>
      <c r="M99" s="39" t="n">
        <f aca="false">IFERROR(AVERAGE('Data Bulanan'!BF24,'Data Bulanan'!BH24,'Data Bulanan'!BJ24,'Data Bulanan'!BL24,'Data Bulanan'!BN24,'Data Bulanan'!BP24,'Data Bulanan'!BR24,'Data Bulanan'!BT24,'Data Bulanan'!BV24,'Data Bulanan'!BX24,'Data Bulanan'!BZ24,'Data Bulanan'!CB24),0)</f>
        <v>11.698835125448</v>
      </c>
      <c r="N99" s="40" t="n">
        <f aca="false">'Data Bulanan'!CD24</f>
        <v>2.65623078034793</v>
      </c>
      <c r="O99" s="41" t="n">
        <f aca="false">IFERROR(N99*SQRT(H99),0)</f>
        <v>7.02772606959566</v>
      </c>
      <c r="P99" s="42" t="n">
        <f aca="false">IFERROR(ROUND(1.65*O99,0),0)</f>
        <v>12</v>
      </c>
      <c r="Q99" s="43" t="n">
        <f aca="false">IFERROR(ROUND(M99*H99+P99,0),0)</f>
        <v>94</v>
      </c>
      <c r="R99" s="44" t="n">
        <f aca="false">G99-Q99</f>
        <v>68</v>
      </c>
      <c r="S99" s="45" t="str">
        <f aca="false">IF(G99=0,"Stockout ⚠",IF(G99&lt;Q99,"Reorder 🔄",IF(G99&gt;Q99+L99,"Overstock 📦","Aman ✅")))</f>
        <v>Aman ✅</v>
      </c>
      <c r="T99" s="46" t="n">
        <f aca="false">IFERROR(N99/AVERAGE(M97:M101),0)</f>
        <v>0.217860256563985</v>
      </c>
      <c r="U99" s="47" t="n">
        <v>55.74</v>
      </c>
      <c r="V99" s="48" t="n">
        <v>0.1792</v>
      </c>
    </row>
    <row r="100" customFormat="false" ht="15" hidden="false" customHeight="true" outlineLevel="0" collapsed="false">
      <c r="A100" s="34" t="n">
        <v>4</v>
      </c>
      <c r="B100" s="35" t="n">
        <v>2024</v>
      </c>
      <c r="C100" s="34" t="s">
        <v>264</v>
      </c>
      <c r="D100" s="34" t="s">
        <v>72</v>
      </c>
      <c r="E100" s="36" t="s">
        <v>73</v>
      </c>
      <c r="F100" s="34" t="s">
        <v>36</v>
      </c>
      <c r="G100" s="37" t="n">
        <v>0</v>
      </c>
      <c r="H100" s="37" t="n">
        <v>7</v>
      </c>
      <c r="I100" s="37" t="n">
        <f aca="false">IFERROR(ROUND('Data Bulanan'!DC24,0),0)</f>
        <v>4452</v>
      </c>
      <c r="J100" s="37" t="n">
        <v>1829425</v>
      </c>
      <c r="K100" s="37" t="n">
        <v>489460</v>
      </c>
      <c r="L100" s="38" t="n">
        <f aca="false">IFERROR(ROUND(SQRT(2*I100*J100/K100),0),0)</f>
        <v>182</v>
      </c>
      <c r="M100" s="39" t="n">
        <f aca="false">IFERROR(AVERAGE('Data Bulanan'!CF24,'Data Bulanan'!CH24,'Data Bulanan'!CJ24,'Data Bulanan'!CL24,'Data Bulanan'!CN24,'Data Bulanan'!CP24,'Data Bulanan'!CR24,'Data Bulanan'!CT24,'Data Bulanan'!CV24,'Data Bulanan'!CX24,'Data Bulanan'!CZ24,'Data Bulanan'!DB24),0)</f>
        <v>11.8709165386585</v>
      </c>
      <c r="N100" s="40" t="n">
        <f aca="false">'Data Bulanan'!DD24</f>
        <v>2.32727613366057</v>
      </c>
      <c r="O100" s="41" t="n">
        <f aca="false">IFERROR(N100*SQRT(H100),0)</f>
        <v>6.15739388184177</v>
      </c>
      <c r="P100" s="42" t="n">
        <f aca="false">IFERROR(ROUND(1.65*O100,0),0)</f>
        <v>10</v>
      </c>
      <c r="Q100" s="43" t="n">
        <f aca="false">IFERROR(ROUND(M100*H100+P100,0),0)</f>
        <v>93</v>
      </c>
      <c r="R100" s="44" t="n">
        <f aca="false">G100-Q100</f>
        <v>-93</v>
      </c>
      <c r="S100" s="45" t="str">
        <f aca="false">IF(G100=0,"Stockout ⚠",IF(G100&lt;Q100,"Reorder 🔄",IF(G100&gt;Q100+L100,"Overstock 📦","Aman ✅")))</f>
        <v>Stockout ⚠</v>
      </c>
      <c r="T100" s="46" t="n">
        <f aca="false">IFERROR(N100/AVERAGE(M97:M101),0)</f>
        <v>0.190879866058971</v>
      </c>
      <c r="U100" s="47" t="n">
        <v>55.74</v>
      </c>
      <c r="V100" s="48" t="n">
        <v>0.1792</v>
      </c>
    </row>
    <row r="101" customFormat="false" ht="15" hidden="false" customHeight="true" outlineLevel="0" collapsed="false">
      <c r="A101" s="34" t="n">
        <v>5</v>
      </c>
      <c r="B101" s="35" t="n">
        <v>2025</v>
      </c>
      <c r="C101" s="34" t="s">
        <v>264</v>
      </c>
      <c r="D101" s="34" t="s">
        <v>72</v>
      </c>
      <c r="E101" s="36" t="s">
        <v>73</v>
      </c>
      <c r="F101" s="34" t="s">
        <v>36</v>
      </c>
      <c r="G101" s="37" t="n">
        <v>0</v>
      </c>
      <c r="H101" s="37" t="n">
        <v>7</v>
      </c>
      <c r="I101" s="37" t="n">
        <f aca="false">IFERROR(ROUND('Data Bulanan'!EC24,0),0)</f>
        <v>4889</v>
      </c>
      <c r="J101" s="37" t="n">
        <v>1620623</v>
      </c>
      <c r="K101" s="37" t="n">
        <v>506153</v>
      </c>
      <c r="L101" s="38" t="n">
        <f aca="false">IFERROR(ROUND(SQRT(2*I101*J101/K101),0),0)</f>
        <v>177</v>
      </c>
      <c r="M101" s="39" t="n">
        <f aca="false">IFERROR(AVERAGE('Data Bulanan'!DF24,'Data Bulanan'!DH24,'Data Bulanan'!DJ24,'Data Bulanan'!DL24,'Data Bulanan'!DN24,'Data Bulanan'!DP24,'Data Bulanan'!DR24,'Data Bulanan'!DT24,'Data Bulanan'!DV24,'Data Bulanan'!DX24,'Data Bulanan'!DZ24,'Data Bulanan'!EB24),0)</f>
        <v>12.9792370711726</v>
      </c>
      <c r="N101" s="40" t="n">
        <f aca="false">'Data Bulanan'!ED24</f>
        <v>3.05757675600934</v>
      </c>
      <c r="O101" s="41" t="n">
        <f aca="false">IFERROR(N101*SQRT(H101),0)</f>
        <v>8.08958771089233</v>
      </c>
      <c r="P101" s="42" t="n">
        <f aca="false">IFERROR(ROUND(1.65*O101,0),0)</f>
        <v>13</v>
      </c>
      <c r="Q101" s="43" t="n">
        <f aca="false">IFERROR(ROUND(M101*H101+P101,0),0)</f>
        <v>104</v>
      </c>
      <c r="R101" s="44" t="n">
        <f aca="false">G101-Q101</f>
        <v>-104</v>
      </c>
      <c r="S101" s="45" t="str">
        <f aca="false">IF(G101=0,"Stockout ⚠",IF(G101&lt;Q101,"Reorder 🔄",IF(G101&gt;Q101+L101,"Overstock 📦","Aman ✅")))</f>
        <v>Stockout ⚠</v>
      </c>
      <c r="T101" s="46" t="n">
        <f aca="false">IFERROR(N101/AVERAGE(M97:M101),0)</f>
        <v>0.25077808052545</v>
      </c>
      <c r="U101" s="47" t="n">
        <v>55.74</v>
      </c>
      <c r="V101" s="48" t="n">
        <v>0.1792</v>
      </c>
    </row>
    <row r="102" customFormat="false" ht="15" hidden="false" customHeight="true" outlineLevel="0" collapsed="false">
      <c r="A102" s="49" t="n">
        <v>1</v>
      </c>
      <c r="B102" s="35" t="n">
        <v>2021</v>
      </c>
      <c r="C102" s="49" t="s">
        <v>264</v>
      </c>
      <c r="D102" s="49" t="s">
        <v>74</v>
      </c>
      <c r="E102" s="50" t="s">
        <v>75</v>
      </c>
      <c r="F102" s="49" t="s">
        <v>36</v>
      </c>
      <c r="G102" s="37" t="n">
        <v>278</v>
      </c>
      <c r="H102" s="37" t="n">
        <v>11</v>
      </c>
      <c r="I102" s="37" t="n">
        <f aca="false">IFERROR(ROUND('Data Bulanan'!AC25,0),0)</f>
        <v>1920</v>
      </c>
      <c r="J102" s="37" t="n">
        <v>2254839</v>
      </c>
      <c r="K102" s="37" t="n">
        <v>249036</v>
      </c>
      <c r="L102" s="38" t="n">
        <f aca="false">IFERROR(ROUND(SQRT(2*I102*J102/K102),0),0)</f>
        <v>186</v>
      </c>
      <c r="M102" s="39" t="n">
        <f aca="false">IFERROR(AVERAGE('Data Bulanan'!F25,'Data Bulanan'!H25,'Data Bulanan'!J25,'Data Bulanan'!L25,'Data Bulanan'!N25,'Data Bulanan'!P25,'Data Bulanan'!R25,'Data Bulanan'!T25,'Data Bulanan'!V25,'Data Bulanan'!X25,'Data Bulanan'!Z25,'Data Bulanan'!AB25),0)</f>
        <v>5.10147209421403</v>
      </c>
      <c r="N102" s="40" t="n">
        <f aca="false">'Data Bulanan'!AD25</f>
        <v>1.08318318929714</v>
      </c>
      <c r="O102" s="41" t="n">
        <f aca="false">IFERROR(N102*SQRT(H102),0)</f>
        <v>3.59251221811912</v>
      </c>
      <c r="P102" s="42" t="n">
        <f aca="false">IFERROR(ROUND(1.65*O102,0),0)</f>
        <v>6</v>
      </c>
      <c r="Q102" s="43" t="n">
        <f aca="false">IFERROR(ROUND(M102*H102+P102,0),0)</f>
        <v>62</v>
      </c>
      <c r="R102" s="44" t="n">
        <f aca="false">G102-Q102</f>
        <v>216</v>
      </c>
      <c r="S102" s="45" t="str">
        <f aca="false">IF(G102=0,"Stockout ⚠",IF(G102&lt;Q102,"Reorder 🔄",IF(G102&gt;Q102+L102,"Overstock 📦","Aman ✅")))</f>
        <v>Overstock 📦</v>
      </c>
      <c r="T102" s="46" t="n">
        <f aca="false">IFERROR(N102/AVERAGE(M102:M106),0)</f>
        <v>0.183302477033958</v>
      </c>
      <c r="U102" s="47" t="n">
        <v>79.2</v>
      </c>
      <c r="V102" s="48" t="n">
        <v>0.3402</v>
      </c>
    </row>
    <row r="103" customFormat="false" ht="15" hidden="false" customHeight="true" outlineLevel="0" collapsed="false">
      <c r="A103" s="49" t="n">
        <v>2</v>
      </c>
      <c r="B103" s="35" t="n">
        <v>2022</v>
      </c>
      <c r="C103" s="49" t="s">
        <v>264</v>
      </c>
      <c r="D103" s="49" t="s">
        <v>74</v>
      </c>
      <c r="E103" s="50" t="s">
        <v>75</v>
      </c>
      <c r="F103" s="49" t="s">
        <v>36</v>
      </c>
      <c r="G103" s="37" t="n">
        <v>168</v>
      </c>
      <c r="H103" s="37" t="n">
        <v>11</v>
      </c>
      <c r="I103" s="37" t="n">
        <f aca="false">IFERROR(ROUND('Data Bulanan'!BC25,0),0)</f>
        <v>2383</v>
      </c>
      <c r="J103" s="37" t="n">
        <v>2071936</v>
      </c>
      <c r="K103" s="37" t="n">
        <v>240856</v>
      </c>
      <c r="L103" s="38" t="n">
        <f aca="false">IFERROR(ROUND(SQRT(2*I103*J103/K103),0),0)</f>
        <v>202</v>
      </c>
      <c r="M103" s="39" t="n">
        <f aca="false">IFERROR(AVERAGE('Data Bulanan'!AF25,'Data Bulanan'!AH25,'Data Bulanan'!AJ25,'Data Bulanan'!AL25,'Data Bulanan'!AN25,'Data Bulanan'!AP25,'Data Bulanan'!AR25,'Data Bulanan'!AT25,'Data Bulanan'!AV25,'Data Bulanan'!AX25,'Data Bulanan'!AZ25,'Data Bulanan'!BB25),0)</f>
        <v>6.33375576036866</v>
      </c>
      <c r="N103" s="40" t="n">
        <f aca="false">'Data Bulanan'!BD25</f>
        <v>1.00342532827477</v>
      </c>
      <c r="O103" s="41" t="n">
        <f aca="false">IFERROR(N103*SQRT(H103),0)</f>
        <v>3.32798531902662</v>
      </c>
      <c r="P103" s="42" t="n">
        <f aca="false">IFERROR(ROUND(1.65*O103,0),0)</f>
        <v>5</v>
      </c>
      <c r="Q103" s="43" t="n">
        <f aca="false">IFERROR(ROUND(M103*H103+P103,0),0)</f>
        <v>75</v>
      </c>
      <c r="R103" s="44" t="n">
        <f aca="false">G103-Q103</f>
        <v>93</v>
      </c>
      <c r="S103" s="45" t="str">
        <f aca="false">IF(G103=0,"Stockout ⚠",IF(G103&lt;Q103,"Reorder 🔄",IF(G103&gt;Q103+L103,"Overstock 📦","Aman ✅")))</f>
        <v>Aman ✅</v>
      </c>
      <c r="T103" s="46" t="n">
        <f aca="false">IFERROR(N103/AVERAGE(M102:M106),0)</f>
        <v>0.169805393961781</v>
      </c>
      <c r="U103" s="47" t="n">
        <v>79.2</v>
      </c>
      <c r="V103" s="48" t="n">
        <v>0.3402</v>
      </c>
    </row>
    <row r="104" customFormat="false" ht="15" hidden="false" customHeight="true" outlineLevel="0" collapsed="false">
      <c r="A104" s="49" t="n">
        <v>3</v>
      </c>
      <c r="B104" s="35" t="n">
        <v>2023</v>
      </c>
      <c r="C104" s="49" t="s">
        <v>264</v>
      </c>
      <c r="D104" s="49" t="s">
        <v>74</v>
      </c>
      <c r="E104" s="50" t="s">
        <v>75</v>
      </c>
      <c r="F104" s="49" t="s">
        <v>36</v>
      </c>
      <c r="G104" s="37" t="n">
        <v>545</v>
      </c>
      <c r="H104" s="37" t="n">
        <v>11</v>
      </c>
      <c r="I104" s="37" t="n">
        <f aca="false">IFERROR(ROUND('Data Bulanan'!CC25,0),0)</f>
        <v>2246</v>
      </c>
      <c r="J104" s="37" t="n">
        <v>2371455</v>
      </c>
      <c r="K104" s="37" t="n">
        <v>270828</v>
      </c>
      <c r="L104" s="38" t="n">
        <f aca="false">IFERROR(ROUND(SQRT(2*I104*J104/K104),0),0)</f>
        <v>198</v>
      </c>
      <c r="M104" s="39" t="n">
        <f aca="false">IFERROR(AVERAGE('Data Bulanan'!BF25,'Data Bulanan'!BH25,'Data Bulanan'!BJ25,'Data Bulanan'!BL25,'Data Bulanan'!BN25,'Data Bulanan'!BP25,'Data Bulanan'!BR25,'Data Bulanan'!BT25,'Data Bulanan'!BV25,'Data Bulanan'!BX25,'Data Bulanan'!BZ25,'Data Bulanan'!CB25),0)</f>
        <v>5.97189580133129</v>
      </c>
      <c r="N104" s="40" t="n">
        <f aca="false">'Data Bulanan'!CD25</f>
        <v>1.37682744291489</v>
      </c>
      <c r="O104" s="41" t="n">
        <f aca="false">IFERROR(N104*SQRT(H104),0)</f>
        <v>4.56642002921316</v>
      </c>
      <c r="P104" s="42" t="n">
        <f aca="false">IFERROR(ROUND(1.65*O104,0),0)</f>
        <v>8</v>
      </c>
      <c r="Q104" s="43" t="n">
        <f aca="false">IFERROR(ROUND(M104*H104+P104,0),0)</f>
        <v>74</v>
      </c>
      <c r="R104" s="44" t="n">
        <f aca="false">G104-Q104</f>
        <v>471</v>
      </c>
      <c r="S104" s="45" t="str">
        <f aca="false">IF(G104=0,"Stockout ⚠",IF(G104&lt;Q104,"Reorder 🔄",IF(G104&gt;Q104+L104,"Overstock 📦","Aman ✅")))</f>
        <v>Overstock 📦</v>
      </c>
      <c r="T104" s="46" t="n">
        <f aca="false">IFERROR(N104/AVERAGE(M102:M106),0)</f>
        <v>0.232994643222254</v>
      </c>
      <c r="U104" s="47" t="n">
        <v>79.2</v>
      </c>
      <c r="V104" s="48" t="n">
        <v>0.3402</v>
      </c>
    </row>
    <row r="105" customFormat="false" ht="15" hidden="false" customHeight="true" outlineLevel="0" collapsed="false">
      <c r="A105" s="49" t="n">
        <v>4</v>
      </c>
      <c r="B105" s="35" t="n">
        <v>2024</v>
      </c>
      <c r="C105" s="49" t="s">
        <v>264</v>
      </c>
      <c r="D105" s="49" t="s">
        <v>74</v>
      </c>
      <c r="E105" s="50" t="s">
        <v>75</v>
      </c>
      <c r="F105" s="49" t="s">
        <v>36</v>
      </c>
      <c r="G105" s="37" t="n">
        <v>165</v>
      </c>
      <c r="H105" s="37" t="n">
        <v>11</v>
      </c>
      <c r="I105" s="37" t="n">
        <f aca="false">IFERROR(ROUND('Data Bulanan'!DC25,0),0)</f>
        <v>2107</v>
      </c>
      <c r="J105" s="37" t="n">
        <v>2334915</v>
      </c>
      <c r="K105" s="37" t="n">
        <v>257883</v>
      </c>
      <c r="L105" s="38" t="n">
        <f aca="false">IFERROR(ROUND(SQRT(2*I105*J105/K105),0),0)</f>
        <v>195</v>
      </c>
      <c r="M105" s="39" t="n">
        <f aca="false">IFERROR(AVERAGE('Data Bulanan'!CF25,'Data Bulanan'!CH25,'Data Bulanan'!CJ25,'Data Bulanan'!CL25,'Data Bulanan'!CN25,'Data Bulanan'!CP25,'Data Bulanan'!CR25,'Data Bulanan'!CT25,'Data Bulanan'!CV25,'Data Bulanan'!CX25,'Data Bulanan'!CZ25,'Data Bulanan'!DB25),0)</f>
        <v>5.61017665130568</v>
      </c>
      <c r="N105" s="40" t="n">
        <f aca="false">'Data Bulanan'!DD25</f>
        <v>1.57971743134067</v>
      </c>
      <c r="O105" s="41" t="n">
        <f aca="false">IFERROR(N105*SQRT(H105),0)</f>
        <v>5.23932999454101</v>
      </c>
      <c r="P105" s="42" t="n">
        <f aca="false">IFERROR(ROUND(1.65*O105,0),0)</f>
        <v>9</v>
      </c>
      <c r="Q105" s="43" t="n">
        <f aca="false">IFERROR(ROUND(M105*H105+P105,0),0)</f>
        <v>71</v>
      </c>
      <c r="R105" s="44" t="n">
        <f aca="false">G105-Q105</f>
        <v>94</v>
      </c>
      <c r="S105" s="45" t="str">
        <f aca="false">IF(G105=0,"Stockout ⚠",IF(G105&lt;Q105,"Reorder 🔄",IF(G105&gt;Q105+L105,"Overstock 📦","Aman ✅")))</f>
        <v>Aman ✅</v>
      </c>
      <c r="T105" s="46" t="n">
        <f aca="false">IFERROR(N105/AVERAGE(M102:M106),0)</f>
        <v>0.267328851702694</v>
      </c>
      <c r="U105" s="47" t="n">
        <v>79.2</v>
      </c>
      <c r="V105" s="48" t="n">
        <v>0.3402</v>
      </c>
    </row>
    <row r="106" customFormat="false" ht="15" hidden="false" customHeight="true" outlineLevel="0" collapsed="false">
      <c r="A106" s="49" t="n">
        <v>5</v>
      </c>
      <c r="B106" s="35" t="n">
        <v>2025</v>
      </c>
      <c r="C106" s="49" t="s">
        <v>264</v>
      </c>
      <c r="D106" s="49" t="s">
        <v>74</v>
      </c>
      <c r="E106" s="50" t="s">
        <v>75</v>
      </c>
      <c r="F106" s="49" t="s">
        <v>36</v>
      </c>
      <c r="G106" s="37" t="n">
        <v>152</v>
      </c>
      <c r="H106" s="37" t="n">
        <v>11</v>
      </c>
      <c r="I106" s="37" t="n">
        <f aca="false">IFERROR(ROUND('Data Bulanan'!EC25,0),0)</f>
        <v>2454</v>
      </c>
      <c r="J106" s="37" t="n">
        <v>2118374</v>
      </c>
      <c r="K106" s="37" t="n">
        <v>261743</v>
      </c>
      <c r="L106" s="38" t="n">
        <f aca="false">IFERROR(ROUND(SQRT(2*I106*J106/K106),0),0)</f>
        <v>199</v>
      </c>
      <c r="M106" s="39" t="n">
        <f aca="false">IFERROR(AVERAGE('Data Bulanan'!DF25,'Data Bulanan'!DH25,'Data Bulanan'!DJ25,'Data Bulanan'!DL25,'Data Bulanan'!DN25,'Data Bulanan'!DP25,'Data Bulanan'!DR25,'Data Bulanan'!DT25,'Data Bulanan'!DV25,'Data Bulanan'!DX25,'Data Bulanan'!DZ25,'Data Bulanan'!EB25),0)</f>
        <v>6.52903225806452</v>
      </c>
      <c r="N106" s="40" t="n">
        <f aca="false">'Data Bulanan'!ED25</f>
        <v>1.61966065715026</v>
      </c>
      <c r="O106" s="41" t="n">
        <f aca="false">IFERROR(N106*SQRT(H106),0)</f>
        <v>5.37180668746787</v>
      </c>
      <c r="P106" s="42" t="n">
        <f aca="false">IFERROR(ROUND(1.65*O106,0),0)</f>
        <v>9</v>
      </c>
      <c r="Q106" s="43" t="n">
        <f aca="false">IFERROR(ROUND(M106*H106+P106,0),0)</f>
        <v>81</v>
      </c>
      <c r="R106" s="44" t="n">
        <f aca="false">G106-Q106</f>
        <v>71</v>
      </c>
      <c r="S106" s="45" t="str">
        <f aca="false">IF(G106=0,"Stockout ⚠",IF(G106&lt;Q106,"Reorder 🔄",IF(G106&gt;Q106+L106,"Overstock 📦","Aman ✅")))</f>
        <v>Aman ✅</v>
      </c>
      <c r="T106" s="46" t="n">
        <f aca="false">IFERROR(N106/AVERAGE(M102:M106),0)</f>
        <v>0.274088273658251</v>
      </c>
      <c r="U106" s="47" t="n">
        <v>79.2</v>
      </c>
      <c r="V106" s="48" t="n">
        <v>0.3402</v>
      </c>
    </row>
    <row r="107" customFormat="false" ht="15" hidden="false" customHeight="true" outlineLevel="0" collapsed="false">
      <c r="A107" s="34" t="n">
        <v>1</v>
      </c>
      <c r="B107" s="35" t="n">
        <v>2021</v>
      </c>
      <c r="C107" s="34" t="s">
        <v>264</v>
      </c>
      <c r="D107" s="34" t="s">
        <v>76</v>
      </c>
      <c r="E107" s="36" t="s">
        <v>77</v>
      </c>
      <c r="F107" s="34" t="s">
        <v>36</v>
      </c>
      <c r="G107" s="37" t="n">
        <v>933</v>
      </c>
      <c r="H107" s="37" t="n">
        <v>31</v>
      </c>
      <c r="I107" s="37" t="n">
        <f aca="false">IFERROR(ROUND('Data Bulanan'!AC26,0),0)</f>
        <v>4044</v>
      </c>
      <c r="J107" s="37" t="n">
        <v>11265647</v>
      </c>
      <c r="K107" s="37" t="n">
        <v>547163</v>
      </c>
      <c r="L107" s="38" t="n">
        <f aca="false">IFERROR(ROUND(SQRT(2*I107*J107/K107),0),0)</f>
        <v>408</v>
      </c>
      <c r="M107" s="39" t="n">
        <f aca="false">IFERROR(AVERAGE('Data Bulanan'!F26,'Data Bulanan'!H26,'Data Bulanan'!J26,'Data Bulanan'!L26,'Data Bulanan'!N26,'Data Bulanan'!P26,'Data Bulanan'!R26,'Data Bulanan'!T26,'Data Bulanan'!V26,'Data Bulanan'!X26,'Data Bulanan'!Z26,'Data Bulanan'!AB26),0)</f>
        <v>10.7416858678955</v>
      </c>
      <c r="N107" s="40" t="n">
        <f aca="false">'Data Bulanan'!AD26</f>
        <v>1.73536536652651</v>
      </c>
      <c r="O107" s="41" t="n">
        <f aca="false">IFERROR(N107*SQRT(H107),0)</f>
        <v>9.66210544423574</v>
      </c>
      <c r="P107" s="42" t="n">
        <f aca="false">IFERROR(ROUND(1.65*O107,0),0)</f>
        <v>16</v>
      </c>
      <c r="Q107" s="43" t="n">
        <f aca="false">IFERROR(ROUND(M107*H107+P107,0),0)</f>
        <v>349</v>
      </c>
      <c r="R107" s="44" t="n">
        <f aca="false">G107-Q107</f>
        <v>584</v>
      </c>
      <c r="S107" s="45" t="str">
        <f aca="false">IF(G107=0,"Stockout ⚠",IF(G107&lt;Q107,"Reorder 🔄",IF(G107&gt;Q107+L107,"Overstock 📦","Aman ✅")))</f>
        <v>Overstock 📦</v>
      </c>
      <c r="T107" s="46" t="n">
        <f aca="false">IFERROR(N107/AVERAGE(M107:M111),0)</f>
        <v>0.166862013397347</v>
      </c>
      <c r="U107" s="47" t="n">
        <v>-131.47</v>
      </c>
      <c r="V107" s="48" t="n">
        <v>0.6627</v>
      </c>
    </row>
    <row r="108" customFormat="false" ht="15" hidden="false" customHeight="true" outlineLevel="0" collapsed="false">
      <c r="A108" s="34" t="n">
        <v>2</v>
      </c>
      <c r="B108" s="35" t="n">
        <v>2022</v>
      </c>
      <c r="C108" s="34" t="s">
        <v>264</v>
      </c>
      <c r="D108" s="34" t="s">
        <v>76</v>
      </c>
      <c r="E108" s="36" t="s">
        <v>77</v>
      </c>
      <c r="F108" s="34" t="s">
        <v>36</v>
      </c>
      <c r="G108" s="37" t="n">
        <v>1274</v>
      </c>
      <c r="H108" s="37" t="n">
        <v>31</v>
      </c>
      <c r="I108" s="37" t="n">
        <f aca="false">IFERROR(ROUND('Data Bulanan'!BC26,0),0)</f>
        <v>4070</v>
      </c>
      <c r="J108" s="37" t="n">
        <v>11008443</v>
      </c>
      <c r="K108" s="37" t="n">
        <v>507919</v>
      </c>
      <c r="L108" s="38" t="n">
        <f aca="false">IFERROR(ROUND(SQRT(2*I108*J108/K108),0),0)</f>
        <v>420</v>
      </c>
      <c r="M108" s="39" t="n">
        <f aca="false">IFERROR(AVERAGE('Data Bulanan'!AF26,'Data Bulanan'!AH26,'Data Bulanan'!AJ26,'Data Bulanan'!AL26,'Data Bulanan'!AN26,'Data Bulanan'!AP26,'Data Bulanan'!AR26,'Data Bulanan'!AT26,'Data Bulanan'!AV26,'Data Bulanan'!AX26,'Data Bulanan'!AZ26,'Data Bulanan'!BB26),0)</f>
        <v>10.8162570404506</v>
      </c>
      <c r="N108" s="40" t="n">
        <f aca="false">'Data Bulanan'!BD26</f>
        <v>2.39015055285024</v>
      </c>
      <c r="O108" s="41" t="n">
        <f aca="false">IFERROR(N108*SQRT(H108),0)</f>
        <v>13.307795069958</v>
      </c>
      <c r="P108" s="42" t="n">
        <f aca="false">IFERROR(ROUND(1.65*O108,0),0)</f>
        <v>22</v>
      </c>
      <c r="Q108" s="43" t="n">
        <f aca="false">IFERROR(ROUND(M108*H108+P108,0),0)</f>
        <v>357</v>
      </c>
      <c r="R108" s="44" t="n">
        <f aca="false">G108-Q108</f>
        <v>917</v>
      </c>
      <c r="S108" s="45" t="str">
        <f aca="false">IF(G108=0,"Stockout ⚠",IF(G108&lt;Q108,"Reorder 🔄",IF(G108&gt;Q108+L108,"Overstock 📦","Aman ✅")))</f>
        <v>Overstock 📦</v>
      </c>
      <c r="T108" s="46" t="n">
        <f aca="false">IFERROR(N108/AVERAGE(M107:M111),0)</f>
        <v>0.229822111968075</v>
      </c>
      <c r="U108" s="47" t="n">
        <v>-131.47</v>
      </c>
      <c r="V108" s="48" t="n">
        <v>0.6627</v>
      </c>
    </row>
    <row r="109" customFormat="false" ht="15" hidden="false" customHeight="true" outlineLevel="0" collapsed="false">
      <c r="A109" s="34" t="n">
        <v>3</v>
      </c>
      <c r="B109" s="35" t="n">
        <v>2023</v>
      </c>
      <c r="C109" s="34" t="s">
        <v>264</v>
      </c>
      <c r="D109" s="34" t="s">
        <v>76</v>
      </c>
      <c r="E109" s="36" t="s">
        <v>77</v>
      </c>
      <c r="F109" s="34" t="s">
        <v>36</v>
      </c>
      <c r="G109" s="37" t="n">
        <v>793</v>
      </c>
      <c r="H109" s="37" t="n">
        <v>31</v>
      </c>
      <c r="I109" s="37" t="n">
        <f aca="false">IFERROR(ROUND('Data Bulanan'!CC26,0),0)</f>
        <v>4068</v>
      </c>
      <c r="J109" s="37" t="n">
        <v>10128191</v>
      </c>
      <c r="K109" s="37" t="n">
        <v>577988</v>
      </c>
      <c r="L109" s="38" t="n">
        <f aca="false">IFERROR(ROUND(SQRT(2*I109*J109/K109),0),0)</f>
        <v>378</v>
      </c>
      <c r="M109" s="39" t="n">
        <f aca="false">IFERROR(AVERAGE('Data Bulanan'!BF26,'Data Bulanan'!BH26,'Data Bulanan'!BJ26,'Data Bulanan'!BL26,'Data Bulanan'!BN26,'Data Bulanan'!BP26,'Data Bulanan'!BR26,'Data Bulanan'!BT26,'Data Bulanan'!BV26,'Data Bulanan'!BX26,'Data Bulanan'!BZ26,'Data Bulanan'!CB26),0)</f>
        <v>10.8159690220174</v>
      </c>
      <c r="N109" s="40" t="n">
        <f aca="false">'Data Bulanan'!CD26</f>
        <v>1.63285843561853</v>
      </c>
      <c r="O109" s="41" t="n">
        <f aca="false">IFERROR(N109*SQRT(H109),0)</f>
        <v>9.09137100738321</v>
      </c>
      <c r="P109" s="42" t="n">
        <f aca="false">IFERROR(ROUND(1.65*O109,0),0)</f>
        <v>15</v>
      </c>
      <c r="Q109" s="43" t="n">
        <f aca="false">IFERROR(ROUND(M109*H109+P109,0),0)</f>
        <v>350</v>
      </c>
      <c r="R109" s="44" t="n">
        <f aca="false">G109-Q109</f>
        <v>443</v>
      </c>
      <c r="S109" s="45" t="str">
        <f aca="false">IF(G109=0,"Stockout ⚠",IF(G109&lt;Q109,"Reorder 🔄",IF(G109&gt;Q109+L109,"Overstock 📦","Aman ✅")))</f>
        <v>Overstock 📦</v>
      </c>
      <c r="T109" s="46" t="n">
        <f aca="false">IFERROR(N109/AVERAGE(M107:M111),0)</f>
        <v>0.157005580159473</v>
      </c>
      <c r="U109" s="47" t="n">
        <v>-131.47</v>
      </c>
      <c r="V109" s="48" t="n">
        <v>0.6627</v>
      </c>
    </row>
    <row r="110" customFormat="false" ht="15" hidden="false" customHeight="true" outlineLevel="0" collapsed="false">
      <c r="A110" s="34" t="n">
        <v>4</v>
      </c>
      <c r="B110" s="35" t="n">
        <v>2024</v>
      </c>
      <c r="C110" s="34" t="s">
        <v>264</v>
      </c>
      <c r="D110" s="34" t="s">
        <v>76</v>
      </c>
      <c r="E110" s="36" t="s">
        <v>77</v>
      </c>
      <c r="F110" s="34" t="s">
        <v>36</v>
      </c>
      <c r="G110" s="37" t="n">
        <v>0</v>
      </c>
      <c r="H110" s="37" t="n">
        <v>31</v>
      </c>
      <c r="I110" s="37" t="n">
        <f aca="false">IFERROR(ROUND('Data Bulanan'!DC26,0),0)</f>
        <v>3901</v>
      </c>
      <c r="J110" s="37" t="n">
        <v>10808298</v>
      </c>
      <c r="K110" s="37" t="n">
        <v>543202</v>
      </c>
      <c r="L110" s="38" t="n">
        <f aca="false">IFERROR(ROUND(SQRT(2*I110*J110/K110),0),0)</f>
        <v>394</v>
      </c>
      <c r="M110" s="39" t="n">
        <f aca="false">IFERROR(AVERAGE('Data Bulanan'!CF26,'Data Bulanan'!CH26,'Data Bulanan'!CJ26,'Data Bulanan'!CL26,'Data Bulanan'!CN26,'Data Bulanan'!CP26,'Data Bulanan'!CR26,'Data Bulanan'!CT26,'Data Bulanan'!CV26,'Data Bulanan'!CX26,'Data Bulanan'!CZ26,'Data Bulanan'!DB26),0)</f>
        <v>10.3895225294419</v>
      </c>
      <c r="N110" s="40" t="n">
        <f aca="false">'Data Bulanan'!DD26</f>
        <v>2.62556882521084</v>
      </c>
      <c r="O110" s="41" t="n">
        <f aca="false">IFERROR(N110*SQRT(H110),0)</f>
        <v>14.6185485371664</v>
      </c>
      <c r="P110" s="42" t="n">
        <f aca="false">IFERROR(ROUND(1.65*O110,0),0)</f>
        <v>24</v>
      </c>
      <c r="Q110" s="43" t="n">
        <f aca="false">IFERROR(ROUND(M110*H110+P110,0),0)</f>
        <v>346</v>
      </c>
      <c r="R110" s="44" t="n">
        <f aca="false">G110-Q110</f>
        <v>-346</v>
      </c>
      <c r="S110" s="45" t="str">
        <f aca="false">IF(G110=0,"Stockout ⚠",IF(G110&lt;Q110,"Reorder 🔄",IF(G110&gt;Q110+L110,"Overstock 📦","Aman ✅")))</f>
        <v>Stockout ⚠</v>
      </c>
      <c r="T110" s="46" t="n">
        <f aca="false">IFERROR(N110/AVERAGE(M107:M111),0)</f>
        <v>0.252458478738055</v>
      </c>
      <c r="U110" s="47" t="n">
        <v>-131.47</v>
      </c>
      <c r="V110" s="48" t="n">
        <v>0.6627</v>
      </c>
    </row>
    <row r="111" customFormat="false" ht="15" hidden="false" customHeight="true" outlineLevel="0" collapsed="false">
      <c r="A111" s="34" t="n">
        <v>5</v>
      </c>
      <c r="B111" s="35" t="n">
        <v>2025</v>
      </c>
      <c r="C111" s="34" t="s">
        <v>264</v>
      </c>
      <c r="D111" s="34" t="s">
        <v>76</v>
      </c>
      <c r="E111" s="36" t="s">
        <v>77</v>
      </c>
      <c r="F111" s="34" t="s">
        <v>36</v>
      </c>
      <c r="G111" s="37" t="n">
        <v>0</v>
      </c>
      <c r="H111" s="37" t="n">
        <v>31</v>
      </c>
      <c r="I111" s="37" t="n">
        <f aca="false">IFERROR(ROUND('Data Bulanan'!EC26,0),0)</f>
        <v>3472</v>
      </c>
      <c r="J111" s="37" t="n">
        <v>10683276</v>
      </c>
      <c r="K111" s="37" t="n">
        <v>582778</v>
      </c>
      <c r="L111" s="38" t="n">
        <f aca="false">IFERROR(ROUND(SQRT(2*I111*J111/K111),0),0)</f>
        <v>357</v>
      </c>
      <c r="M111" s="39" t="n">
        <f aca="false">IFERROR(AVERAGE('Data Bulanan'!DF26,'Data Bulanan'!DH26,'Data Bulanan'!DJ26,'Data Bulanan'!DL26,'Data Bulanan'!DN26,'Data Bulanan'!DP26,'Data Bulanan'!DR26,'Data Bulanan'!DT26,'Data Bulanan'!DV26,'Data Bulanan'!DX26,'Data Bulanan'!DZ26,'Data Bulanan'!EB26),0)</f>
        <v>9.23657834101383</v>
      </c>
      <c r="N111" s="40" t="n">
        <f aca="false">'Data Bulanan'!ED26</f>
        <v>1.2733404500979</v>
      </c>
      <c r="O111" s="41" t="n">
        <f aca="false">IFERROR(N111*SQRT(H111),0)</f>
        <v>7.08965957980503</v>
      </c>
      <c r="P111" s="42" t="n">
        <f aca="false">IFERROR(ROUND(1.65*O111,0),0)</f>
        <v>12</v>
      </c>
      <c r="Q111" s="43" t="n">
        <f aca="false">IFERROR(ROUND(M111*H111+P111,0),0)</f>
        <v>298</v>
      </c>
      <c r="R111" s="44" t="n">
        <f aca="false">G111-Q111</f>
        <v>-298</v>
      </c>
      <c r="S111" s="45" t="str">
        <f aca="false">IF(G111=0,"Stockout ⚠",IF(G111&lt;Q111,"Reorder 🔄",IF(G111&gt;Q111+L111,"Overstock 📦","Aman ✅")))</f>
        <v>Stockout ⚠</v>
      </c>
      <c r="T111" s="46" t="n">
        <f aca="false">IFERROR(N111/AVERAGE(M107:M111),0)</f>
        <v>0.122436551600026</v>
      </c>
      <c r="U111" s="47" t="n">
        <v>-131.47</v>
      </c>
      <c r="V111" s="48" t="n">
        <v>0.6627</v>
      </c>
    </row>
    <row r="112" customFormat="false" ht="15" hidden="false" customHeight="true" outlineLevel="0" collapsed="false">
      <c r="A112" s="49" t="n">
        <v>1</v>
      </c>
      <c r="B112" s="35" t="n">
        <v>2021</v>
      </c>
      <c r="C112" s="49" t="s">
        <v>264</v>
      </c>
      <c r="D112" s="49" t="s">
        <v>78</v>
      </c>
      <c r="E112" s="50" t="s">
        <v>79</v>
      </c>
      <c r="F112" s="49" t="s">
        <v>36</v>
      </c>
      <c r="G112" s="37" t="n">
        <v>604</v>
      </c>
      <c r="H112" s="37" t="n">
        <v>8</v>
      </c>
      <c r="I112" s="37" t="n">
        <f aca="false">IFERROR(ROUND('Data Bulanan'!AC27,0),0)</f>
        <v>11821</v>
      </c>
      <c r="J112" s="37" t="n">
        <v>2334258</v>
      </c>
      <c r="K112" s="37" t="n">
        <v>519134</v>
      </c>
      <c r="L112" s="38" t="n">
        <f aca="false">IFERROR(ROUND(SQRT(2*I112*J112/K112),0),0)</f>
        <v>326</v>
      </c>
      <c r="M112" s="39" t="n">
        <f aca="false">IFERROR(AVERAGE('Data Bulanan'!F27,'Data Bulanan'!H27,'Data Bulanan'!J27,'Data Bulanan'!L27,'Data Bulanan'!N27,'Data Bulanan'!P27,'Data Bulanan'!R27,'Data Bulanan'!T27,'Data Bulanan'!V27,'Data Bulanan'!X27,'Data Bulanan'!Z27,'Data Bulanan'!AB27),0)</f>
        <v>31.4530273937532</v>
      </c>
      <c r="N112" s="40" t="n">
        <f aca="false">'Data Bulanan'!AD27</f>
        <v>7.13000829395952</v>
      </c>
      <c r="O112" s="41" t="n">
        <f aca="false">IFERROR(N112*SQRT(H112),0)</f>
        <v>20.1667088583004</v>
      </c>
      <c r="P112" s="42" t="n">
        <f aca="false">IFERROR(ROUND(1.65*O112,0),0)</f>
        <v>33</v>
      </c>
      <c r="Q112" s="43" t="n">
        <f aca="false">IFERROR(ROUND(M112*H112+P112,0),0)</f>
        <v>285</v>
      </c>
      <c r="R112" s="44" t="n">
        <f aca="false">G112-Q112</f>
        <v>319</v>
      </c>
      <c r="S112" s="45" t="str">
        <f aca="false">IF(G112=0,"Stockout ⚠",IF(G112&lt;Q112,"Reorder 🔄",IF(G112&gt;Q112+L112,"Overstock 📦","Aman ✅")))</f>
        <v>Aman ✅</v>
      </c>
      <c r="T112" s="46" t="n">
        <f aca="false">IFERROR(N112/AVERAGE(M112:M116),0)</f>
        <v>0.20422834273051</v>
      </c>
      <c r="U112" s="47" t="n">
        <v>-173.89</v>
      </c>
      <c r="V112" s="48" t="n">
        <v>0.031</v>
      </c>
    </row>
    <row r="113" customFormat="false" ht="15" hidden="false" customHeight="true" outlineLevel="0" collapsed="false">
      <c r="A113" s="49" t="n">
        <v>2</v>
      </c>
      <c r="B113" s="35" t="n">
        <v>2022</v>
      </c>
      <c r="C113" s="49" t="s">
        <v>264</v>
      </c>
      <c r="D113" s="49" t="s">
        <v>78</v>
      </c>
      <c r="E113" s="50" t="s">
        <v>79</v>
      </c>
      <c r="F113" s="49" t="s">
        <v>36</v>
      </c>
      <c r="G113" s="37" t="n">
        <v>0</v>
      </c>
      <c r="H113" s="37" t="n">
        <v>8</v>
      </c>
      <c r="I113" s="37" t="n">
        <f aca="false">IFERROR(ROUND('Data Bulanan'!BC27,0),0)</f>
        <v>14081</v>
      </c>
      <c r="J113" s="37" t="n">
        <v>2424984</v>
      </c>
      <c r="K113" s="37" t="n">
        <v>601394</v>
      </c>
      <c r="L113" s="38" t="n">
        <f aca="false">IFERROR(ROUND(SQRT(2*I113*J113/K113),0),0)</f>
        <v>337</v>
      </c>
      <c r="M113" s="39" t="n">
        <f aca="false">IFERROR(AVERAGE('Data Bulanan'!AF27,'Data Bulanan'!AH27,'Data Bulanan'!AJ27,'Data Bulanan'!AL27,'Data Bulanan'!AN27,'Data Bulanan'!AP27,'Data Bulanan'!AR27,'Data Bulanan'!AT27,'Data Bulanan'!AV27,'Data Bulanan'!AX27,'Data Bulanan'!AZ27,'Data Bulanan'!BB27),0)</f>
        <v>37.4772017409114</v>
      </c>
      <c r="N113" s="40" t="n">
        <f aca="false">'Data Bulanan'!BD27</f>
        <v>7.88213105265334</v>
      </c>
      <c r="O113" s="41" t="n">
        <f aca="false">IFERROR(N113*SQRT(H113),0)</f>
        <v>22.2940332701289</v>
      </c>
      <c r="P113" s="42" t="n">
        <f aca="false">IFERROR(ROUND(1.65*O113,0),0)</f>
        <v>37</v>
      </c>
      <c r="Q113" s="43" t="n">
        <f aca="false">IFERROR(ROUND(M113*H113+P113,0),0)</f>
        <v>337</v>
      </c>
      <c r="R113" s="44" t="n">
        <f aca="false">G113-Q113</f>
        <v>-337</v>
      </c>
      <c r="S113" s="45" t="str">
        <f aca="false">IF(G113=0,"Stockout ⚠",IF(G113&lt;Q113,"Reorder 🔄",IF(G113&gt;Q113+L113,"Overstock 📦","Aman ✅")))</f>
        <v>Stockout ⚠</v>
      </c>
      <c r="T113" s="46" t="n">
        <f aca="false">IFERROR(N113/AVERAGE(M112:M116),0)</f>
        <v>0.225771765711949</v>
      </c>
      <c r="U113" s="47" t="n">
        <v>-173.89</v>
      </c>
      <c r="V113" s="48" t="n">
        <v>0.031</v>
      </c>
    </row>
    <row r="114" customFormat="false" ht="15" hidden="false" customHeight="true" outlineLevel="0" collapsed="false">
      <c r="A114" s="49" t="n">
        <v>3</v>
      </c>
      <c r="B114" s="35" t="n">
        <v>2023</v>
      </c>
      <c r="C114" s="49" t="s">
        <v>264</v>
      </c>
      <c r="D114" s="49" t="s">
        <v>78</v>
      </c>
      <c r="E114" s="50" t="s">
        <v>79</v>
      </c>
      <c r="F114" s="49" t="s">
        <v>36</v>
      </c>
      <c r="G114" s="37" t="n">
        <v>435</v>
      </c>
      <c r="H114" s="37" t="n">
        <v>8</v>
      </c>
      <c r="I114" s="37" t="n">
        <f aca="false">IFERROR(ROUND('Data Bulanan'!CC27,0),0)</f>
        <v>15267</v>
      </c>
      <c r="J114" s="37" t="n">
        <v>2198515</v>
      </c>
      <c r="K114" s="37" t="n">
        <v>515424</v>
      </c>
      <c r="L114" s="38" t="n">
        <f aca="false">IFERROR(ROUND(SQRT(2*I114*J114/K114),0),0)</f>
        <v>361</v>
      </c>
      <c r="M114" s="39" t="n">
        <f aca="false">IFERROR(AVERAGE('Data Bulanan'!BF27,'Data Bulanan'!BH27,'Data Bulanan'!BJ27,'Data Bulanan'!BL27,'Data Bulanan'!BN27,'Data Bulanan'!BP27,'Data Bulanan'!BR27,'Data Bulanan'!BT27,'Data Bulanan'!BV27,'Data Bulanan'!BX27,'Data Bulanan'!BZ27,'Data Bulanan'!CB27),0)</f>
        <v>40.6795122887865</v>
      </c>
      <c r="N114" s="40" t="n">
        <f aca="false">'Data Bulanan'!CD27</f>
        <v>8.00621311112919</v>
      </c>
      <c r="O114" s="41" t="n">
        <f aca="false">IFERROR(N114*SQRT(H114),0)</f>
        <v>22.6449903300164</v>
      </c>
      <c r="P114" s="42" t="n">
        <f aca="false">IFERROR(ROUND(1.65*O114,0),0)</f>
        <v>37</v>
      </c>
      <c r="Q114" s="43" t="n">
        <f aca="false">IFERROR(ROUND(M114*H114+P114,0),0)</f>
        <v>362</v>
      </c>
      <c r="R114" s="44" t="n">
        <f aca="false">G114-Q114</f>
        <v>73</v>
      </c>
      <c r="S114" s="45" t="str">
        <f aca="false">IF(G114=0,"Stockout ⚠",IF(G114&lt;Q114,"Reorder 🔄",IF(G114&gt;Q114+L114,"Overstock 📦","Aman ✅")))</f>
        <v>Aman ✅</v>
      </c>
      <c r="T114" s="46" t="n">
        <f aca="false">IFERROR(N114/AVERAGE(M112:M116),0)</f>
        <v>0.22932590928659</v>
      </c>
      <c r="U114" s="47" t="n">
        <v>-173.89</v>
      </c>
      <c r="V114" s="48" t="n">
        <v>0.031</v>
      </c>
    </row>
    <row r="115" customFormat="false" ht="15" hidden="false" customHeight="true" outlineLevel="0" collapsed="false">
      <c r="A115" s="49" t="n">
        <v>4</v>
      </c>
      <c r="B115" s="35" t="n">
        <v>2024</v>
      </c>
      <c r="C115" s="49" t="s">
        <v>264</v>
      </c>
      <c r="D115" s="49" t="s">
        <v>78</v>
      </c>
      <c r="E115" s="50" t="s">
        <v>79</v>
      </c>
      <c r="F115" s="49" t="s">
        <v>36</v>
      </c>
      <c r="G115" s="37" t="n">
        <v>978</v>
      </c>
      <c r="H115" s="37" t="n">
        <v>8</v>
      </c>
      <c r="I115" s="37" t="n">
        <f aca="false">IFERROR(ROUND('Data Bulanan'!DC27,0),0)</f>
        <v>12897</v>
      </c>
      <c r="J115" s="37" t="n">
        <v>2453549</v>
      </c>
      <c r="K115" s="37" t="n">
        <v>578042</v>
      </c>
      <c r="L115" s="38" t="n">
        <f aca="false">IFERROR(ROUND(SQRT(2*I115*J115/K115),0),0)</f>
        <v>331</v>
      </c>
      <c r="M115" s="39" t="n">
        <f aca="false">IFERROR(AVERAGE('Data Bulanan'!CF27,'Data Bulanan'!CH27,'Data Bulanan'!CJ27,'Data Bulanan'!CL27,'Data Bulanan'!CN27,'Data Bulanan'!CP27,'Data Bulanan'!CR27,'Data Bulanan'!CT27,'Data Bulanan'!CV27,'Data Bulanan'!CX27,'Data Bulanan'!CZ27,'Data Bulanan'!DB27),0)</f>
        <v>34.2557091653866</v>
      </c>
      <c r="N115" s="40" t="n">
        <f aca="false">'Data Bulanan'!DD27</f>
        <v>4.51859554459496</v>
      </c>
      <c r="O115" s="41" t="n">
        <f aca="false">IFERROR(N115*SQRT(H115),0)</f>
        <v>12.7805182040897</v>
      </c>
      <c r="P115" s="42" t="n">
        <f aca="false">IFERROR(ROUND(1.65*O115,0),0)</f>
        <v>21</v>
      </c>
      <c r="Q115" s="43" t="n">
        <f aca="false">IFERROR(ROUND(M115*H115+P115,0),0)</f>
        <v>295</v>
      </c>
      <c r="R115" s="44" t="n">
        <f aca="false">G115-Q115</f>
        <v>683</v>
      </c>
      <c r="S115" s="45" t="str">
        <f aca="false">IF(G115=0,"Stockout ⚠",IF(G115&lt;Q115,"Reorder 🔄",IF(G115&gt;Q115+L115,"Overstock 📦","Aman ✅")))</f>
        <v>Overstock 📦</v>
      </c>
      <c r="T115" s="46" t="n">
        <f aca="false">IFERROR(N115/AVERAGE(M112:M116),0)</f>
        <v>0.129428359897408</v>
      </c>
      <c r="U115" s="47" t="n">
        <v>-173.89</v>
      </c>
      <c r="V115" s="48" t="n">
        <v>0.031</v>
      </c>
    </row>
    <row r="116" customFormat="false" ht="15" hidden="false" customHeight="true" outlineLevel="0" collapsed="false">
      <c r="A116" s="49" t="n">
        <v>5</v>
      </c>
      <c r="B116" s="35" t="n">
        <v>2025</v>
      </c>
      <c r="C116" s="49" t="s">
        <v>264</v>
      </c>
      <c r="D116" s="49" t="s">
        <v>78</v>
      </c>
      <c r="E116" s="50" t="s">
        <v>79</v>
      </c>
      <c r="F116" s="49" t="s">
        <v>36</v>
      </c>
      <c r="G116" s="37" t="n">
        <v>0</v>
      </c>
      <c r="H116" s="37" t="n">
        <v>8</v>
      </c>
      <c r="I116" s="37" t="n">
        <f aca="false">IFERROR(ROUND('Data Bulanan'!EC27,0),0)</f>
        <v>11543</v>
      </c>
      <c r="J116" s="37" t="n">
        <v>2571240</v>
      </c>
      <c r="K116" s="37" t="n">
        <v>521339</v>
      </c>
      <c r="L116" s="38" t="n">
        <f aca="false">IFERROR(ROUND(SQRT(2*I116*J116/K116),0),0)</f>
        <v>337</v>
      </c>
      <c r="M116" s="39" t="n">
        <f aca="false">IFERROR(AVERAGE('Data Bulanan'!DF27,'Data Bulanan'!DH27,'Data Bulanan'!DJ27,'Data Bulanan'!DL27,'Data Bulanan'!DN27,'Data Bulanan'!DP27,'Data Bulanan'!DR27,'Data Bulanan'!DT27,'Data Bulanan'!DV27,'Data Bulanan'!DX27,'Data Bulanan'!DZ27,'Data Bulanan'!EB27),0)</f>
        <v>30.6942652329749</v>
      </c>
      <c r="N116" s="40" t="n">
        <f aca="false">'Data Bulanan'!ED27</f>
        <v>7.90892797178608</v>
      </c>
      <c r="O116" s="41" t="n">
        <f aca="false">IFERROR(N116*SQRT(H116),0)</f>
        <v>22.3698264030636</v>
      </c>
      <c r="P116" s="42" t="n">
        <f aca="false">IFERROR(ROUND(1.65*O116,0),0)</f>
        <v>37</v>
      </c>
      <c r="Q116" s="43" t="n">
        <f aca="false">IFERROR(ROUND(M116*H116+P116,0),0)</f>
        <v>283</v>
      </c>
      <c r="R116" s="44" t="n">
        <f aca="false">G116-Q116</f>
        <v>-283</v>
      </c>
      <c r="S116" s="45" t="str">
        <f aca="false">IF(G116=0,"Stockout ⚠",IF(G116&lt;Q116,"Reorder 🔄",IF(G116&gt;Q116+L116,"Overstock 📦","Aman ✅")))</f>
        <v>Stockout ⚠</v>
      </c>
      <c r="T116" s="46" t="n">
        <f aca="false">IFERROR(N116/AVERAGE(M112:M116),0)</f>
        <v>0.226539323077822</v>
      </c>
      <c r="U116" s="47" t="n">
        <v>-173.89</v>
      </c>
      <c r="V116" s="48" t="n">
        <v>0.031</v>
      </c>
    </row>
    <row r="117" customFormat="false" ht="15" hidden="false" customHeight="true" outlineLevel="0" collapsed="false">
      <c r="A117" s="34" t="n">
        <v>1</v>
      </c>
      <c r="B117" s="35" t="n">
        <v>2021</v>
      </c>
      <c r="C117" s="34" t="s">
        <v>264</v>
      </c>
      <c r="D117" s="34" t="s">
        <v>80</v>
      </c>
      <c r="E117" s="36" t="s">
        <v>81</v>
      </c>
      <c r="F117" s="34" t="s">
        <v>36</v>
      </c>
      <c r="G117" s="37" t="n">
        <v>0</v>
      </c>
      <c r="H117" s="37" t="n">
        <v>9</v>
      </c>
      <c r="I117" s="37" t="n">
        <f aca="false">IFERROR(ROUND('Data Bulanan'!AC28,0),0)</f>
        <v>47300</v>
      </c>
      <c r="J117" s="37" t="n">
        <v>480051</v>
      </c>
      <c r="K117" s="37" t="n">
        <v>525136</v>
      </c>
      <c r="L117" s="38" t="n">
        <f aca="false">IFERROR(ROUND(SQRT(2*I117*J117/K117),0),0)</f>
        <v>294</v>
      </c>
      <c r="M117" s="39" t="n">
        <f aca="false">IFERROR(AVERAGE('Data Bulanan'!F28,'Data Bulanan'!H28,'Data Bulanan'!J28,'Data Bulanan'!L28,'Data Bulanan'!N28,'Data Bulanan'!P28,'Data Bulanan'!R28,'Data Bulanan'!T28,'Data Bulanan'!V28,'Data Bulanan'!X28,'Data Bulanan'!Z28,'Data Bulanan'!AB28),0)</f>
        <v>126.141493855607</v>
      </c>
      <c r="N117" s="40" t="n">
        <f aca="false">'Data Bulanan'!AD28</f>
        <v>35.1486164147455</v>
      </c>
      <c r="O117" s="41" t="n">
        <f aca="false">IFERROR(N117*SQRT(H117),0)</f>
        <v>105.445849244236</v>
      </c>
      <c r="P117" s="42" t="n">
        <f aca="false">IFERROR(ROUND(1.65*O117,0),0)</f>
        <v>174</v>
      </c>
      <c r="Q117" s="43" t="n">
        <f aca="false">IFERROR(ROUND(M117*H117+P117,0),0)</f>
        <v>1309</v>
      </c>
      <c r="R117" s="44" t="n">
        <f aca="false">G117-Q117</f>
        <v>-1309</v>
      </c>
      <c r="S117" s="45" t="str">
        <f aca="false">IF(G117=0,"Stockout ⚠",IF(G117&lt;Q117,"Reorder 🔄",IF(G117&gt;Q117+L117,"Overstock 📦","Aman ✅")))</f>
        <v>Stockout ⚠</v>
      </c>
      <c r="T117" s="46" t="n">
        <f aca="false">IFERROR(N117/AVERAGE(M117:M121),0)</f>
        <v>0.267883204117398</v>
      </c>
      <c r="U117" s="47" t="n">
        <v>-1025.04</v>
      </c>
      <c r="V117" s="48" t="n">
        <v>0.1389</v>
      </c>
    </row>
    <row r="118" customFormat="false" ht="15" hidden="false" customHeight="true" outlineLevel="0" collapsed="false">
      <c r="A118" s="34" t="n">
        <v>2</v>
      </c>
      <c r="B118" s="35" t="n">
        <v>2022</v>
      </c>
      <c r="C118" s="34" t="s">
        <v>264</v>
      </c>
      <c r="D118" s="34" t="s">
        <v>80</v>
      </c>
      <c r="E118" s="36" t="s">
        <v>81</v>
      </c>
      <c r="F118" s="34" t="s">
        <v>36</v>
      </c>
      <c r="G118" s="37" t="n">
        <v>1821</v>
      </c>
      <c r="H118" s="37" t="n">
        <v>9</v>
      </c>
      <c r="I118" s="37" t="n">
        <f aca="false">IFERROR(ROUND('Data Bulanan'!BC28,0),0)</f>
        <v>53091</v>
      </c>
      <c r="J118" s="37" t="n">
        <v>468842</v>
      </c>
      <c r="K118" s="37" t="n">
        <v>552342</v>
      </c>
      <c r="L118" s="38" t="n">
        <f aca="false">IFERROR(ROUND(SQRT(2*I118*J118/K118),0),0)</f>
        <v>300</v>
      </c>
      <c r="M118" s="39" t="n">
        <f aca="false">IFERROR(AVERAGE('Data Bulanan'!AF28,'Data Bulanan'!AH28,'Data Bulanan'!AJ28,'Data Bulanan'!AL28,'Data Bulanan'!AN28,'Data Bulanan'!AP28,'Data Bulanan'!AR28,'Data Bulanan'!AT28,'Data Bulanan'!AV28,'Data Bulanan'!AX28,'Data Bulanan'!AZ28,'Data Bulanan'!BB28),0)</f>
        <v>141.209722222222</v>
      </c>
      <c r="N118" s="40" t="n">
        <f aca="false">'Data Bulanan'!BD28</f>
        <v>20.3413622275534</v>
      </c>
      <c r="O118" s="41" t="n">
        <f aca="false">IFERROR(N118*SQRT(H118),0)</f>
        <v>61.0240866826601</v>
      </c>
      <c r="P118" s="42" t="n">
        <f aca="false">IFERROR(ROUND(1.65*O118,0),0)</f>
        <v>101</v>
      </c>
      <c r="Q118" s="43" t="n">
        <f aca="false">IFERROR(ROUND(M118*H118+P118,0),0)</f>
        <v>1372</v>
      </c>
      <c r="R118" s="44" t="n">
        <f aca="false">G118-Q118</f>
        <v>449</v>
      </c>
      <c r="S118" s="45" t="str">
        <f aca="false">IF(G118=0,"Stockout ⚠",IF(G118&lt;Q118,"Reorder 🔄",IF(G118&gt;Q118+L118,"Overstock 📦","Aman ✅")))</f>
        <v>Overstock 📦</v>
      </c>
      <c r="T118" s="46" t="n">
        <f aca="false">IFERROR(N118/AVERAGE(M117:M121),0)</f>
        <v>0.155030548722925</v>
      </c>
      <c r="U118" s="47" t="n">
        <v>-1025.04</v>
      </c>
      <c r="V118" s="48" t="n">
        <v>0.1389</v>
      </c>
    </row>
    <row r="119" customFormat="false" ht="15" hidden="false" customHeight="true" outlineLevel="0" collapsed="false">
      <c r="A119" s="34" t="n">
        <v>3</v>
      </c>
      <c r="B119" s="35" t="n">
        <v>2023</v>
      </c>
      <c r="C119" s="34" t="s">
        <v>264</v>
      </c>
      <c r="D119" s="34" t="s">
        <v>80</v>
      </c>
      <c r="E119" s="36" t="s">
        <v>81</v>
      </c>
      <c r="F119" s="34" t="s">
        <v>36</v>
      </c>
      <c r="G119" s="37" t="n">
        <v>8022</v>
      </c>
      <c r="H119" s="37" t="n">
        <v>9</v>
      </c>
      <c r="I119" s="37" t="n">
        <f aca="false">IFERROR(ROUND('Data Bulanan'!CC28,0),0)</f>
        <v>54713</v>
      </c>
      <c r="J119" s="37" t="n">
        <v>531429</v>
      </c>
      <c r="K119" s="37" t="n">
        <v>533689</v>
      </c>
      <c r="L119" s="38" t="n">
        <f aca="false">IFERROR(ROUND(SQRT(2*I119*J119/K119),0),0)</f>
        <v>330</v>
      </c>
      <c r="M119" s="39" t="n">
        <f aca="false">IFERROR(AVERAGE('Data Bulanan'!BF28,'Data Bulanan'!BH28,'Data Bulanan'!BJ28,'Data Bulanan'!BL28,'Data Bulanan'!BN28,'Data Bulanan'!BP28,'Data Bulanan'!BR28,'Data Bulanan'!BT28,'Data Bulanan'!BV28,'Data Bulanan'!BX28,'Data Bulanan'!BZ28,'Data Bulanan'!CB28),0)</f>
        <v>145.406803635433</v>
      </c>
      <c r="N119" s="40" t="n">
        <f aca="false">'Data Bulanan'!CD28</f>
        <v>31.3622370154376</v>
      </c>
      <c r="O119" s="41" t="n">
        <f aca="false">IFERROR(N119*SQRT(H119),0)</f>
        <v>94.0867110463128</v>
      </c>
      <c r="P119" s="42" t="n">
        <f aca="false">IFERROR(ROUND(1.65*O119,0),0)</f>
        <v>155</v>
      </c>
      <c r="Q119" s="43" t="n">
        <f aca="false">IFERROR(ROUND(M119*H119+P119,0),0)</f>
        <v>1464</v>
      </c>
      <c r="R119" s="44" t="n">
        <f aca="false">G119-Q119</f>
        <v>6558</v>
      </c>
      <c r="S119" s="45" t="str">
        <f aca="false">IF(G119=0,"Stockout ⚠",IF(G119&lt;Q119,"Reorder 🔄",IF(G119&gt;Q119+L119,"Overstock 📦","Aman ✅")))</f>
        <v>Overstock 📦</v>
      </c>
      <c r="T119" s="46" t="n">
        <f aca="false">IFERROR(N119/AVERAGE(M117:M121),0)</f>
        <v>0.239025526377765</v>
      </c>
      <c r="U119" s="47" t="n">
        <v>-1025.04</v>
      </c>
      <c r="V119" s="48" t="n">
        <v>0.1389</v>
      </c>
    </row>
    <row r="120" customFormat="false" ht="15" hidden="false" customHeight="true" outlineLevel="0" collapsed="false">
      <c r="A120" s="34" t="n">
        <v>4</v>
      </c>
      <c r="B120" s="35" t="n">
        <v>2024</v>
      </c>
      <c r="C120" s="34" t="s">
        <v>264</v>
      </c>
      <c r="D120" s="34" t="s">
        <v>80</v>
      </c>
      <c r="E120" s="36" t="s">
        <v>81</v>
      </c>
      <c r="F120" s="34" t="s">
        <v>36</v>
      </c>
      <c r="G120" s="37" t="n">
        <v>2422</v>
      </c>
      <c r="H120" s="37" t="n">
        <v>9</v>
      </c>
      <c r="I120" s="37" t="n">
        <f aca="false">IFERROR(ROUND('Data Bulanan'!DC28,0),0)</f>
        <v>45002</v>
      </c>
      <c r="J120" s="37" t="n">
        <v>516330</v>
      </c>
      <c r="K120" s="37" t="n">
        <v>548506</v>
      </c>
      <c r="L120" s="38" t="n">
        <f aca="false">IFERROR(ROUND(SQRT(2*I120*J120/K120),0),0)</f>
        <v>291</v>
      </c>
      <c r="M120" s="39" t="n">
        <f aca="false">IFERROR(AVERAGE('Data Bulanan'!CF28,'Data Bulanan'!CH28,'Data Bulanan'!CJ28,'Data Bulanan'!CL28,'Data Bulanan'!CN28,'Data Bulanan'!CP28,'Data Bulanan'!CR28,'Data Bulanan'!CT28,'Data Bulanan'!CV28,'Data Bulanan'!CX28,'Data Bulanan'!CZ28,'Data Bulanan'!DB28),0)</f>
        <v>119.98322452637</v>
      </c>
      <c r="N120" s="40" t="n">
        <f aca="false">'Data Bulanan'!DD28</f>
        <v>30.1348504087302</v>
      </c>
      <c r="O120" s="41" t="n">
        <f aca="false">IFERROR(N120*SQRT(H120),0)</f>
        <v>90.4045512261906</v>
      </c>
      <c r="P120" s="42" t="n">
        <f aca="false">IFERROR(ROUND(1.65*O120,0),0)</f>
        <v>149</v>
      </c>
      <c r="Q120" s="43" t="n">
        <f aca="false">IFERROR(ROUND(M120*H120+P120,0),0)</f>
        <v>1229</v>
      </c>
      <c r="R120" s="44" t="n">
        <f aca="false">G120-Q120</f>
        <v>1193</v>
      </c>
      <c r="S120" s="45" t="str">
        <f aca="false">IF(G120=0,"Stockout ⚠",IF(G120&lt;Q120,"Reorder 🔄",IF(G120&gt;Q120+L120,"Overstock 📦","Aman ✅")))</f>
        <v>Overstock 📦</v>
      </c>
      <c r="T120" s="46" t="n">
        <f aca="false">IFERROR(N120/AVERAGE(M117:M121),0)</f>
        <v>0.229671068352566</v>
      </c>
      <c r="U120" s="47" t="n">
        <v>-1025.04</v>
      </c>
      <c r="V120" s="48" t="n">
        <v>0.1389</v>
      </c>
    </row>
    <row r="121" customFormat="false" ht="15" hidden="false" customHeight="true" outlineLevel="0" collapsed="false">
      <c r="A121" s="34" t="n">
        <v>5</v>
      </c>
      <c r="B121" s="35" t="n">
        <v>2025</v>
      </c>
      <c r="C121" s="34" t="s">
        <v>264</v>
      </c>
      <c r="D121" s="34" t="s">
        <v>80</v>
      </c>
      <c r="E121" s="36" t="s">
        <v>81</v>
      </c>
      <c r="F121" s="34" t="s">
        <v>36</v>
      </c>
      <c r="G121" s="37" t="n">
        <v>3263</v>
      </c>
      <c r="H121" s="37" t="n">
        <v>9</v>
      </c>
      <c r="I121" s="37" t="n">
        <f aca="false">IFERROR(ROUND('Data Bulanan'!EC28,0),0)</f>
        <v>46219</v>
      </c>
      <c r="J121" s="37" t="n">
        <v>514964</v>
      </c>
      <c r="K121" s="37" t="n">
        <v>562671</v>
      </c>
      <c r="L121" s="38" t="n">
        <f aca="false">IFERROR(ROUND(SQRT(2*I121*J121/K121),0),0)</f>
        <v>291</v>
      </c>
      <c r="M121" s="39" t="n">
        <f aca="false">IFERROR(AVERAGE('Data Bulanan'!DF28,'Data Bulanan'!DH28,'Data Bulanan'!DJ28,'Data Bulanan'!DL28,'Data Bulanan'!DN28,'Data Bulanan'!DP28,'Data Bulanan'!DR28,'Data Bulanan'!DT28,'Data Bulanan'!DV28,'Data Bulanan'!DX28,'Data Bulanan'!DZ28,'Data Bulanan'!EB28),0)</f>
        <v>123.302432155658</v>
      </c>
      <c r="N121" s="40" t="n">
        <f aca="false">'Data Bulanan'!ED28</f>
        <v>36.9466290020864</v>
      </c>
      <c r="O121" s="41" t="n">
        <f aca="false">IFERROR(N121*SQRT(H121),0)</f>
        <v>110.839887006259</v>
      </c>
      <c r="P121" s="42" t="n">
        <f aca="false">IFERROR(ROUND(1.65*O121,0),0)</f>
        <v>183</v>
      </c>
      <c r="Q121" s="43" t="n">
        <f aca="false">IFERROR(ROUND(M121*H121+P121,0),0)</f>
        <v>1293</v>
      </c>
      <c r="R121" s="44" t="n">
        <f aca="false">G121-Q121</f>
        <v>1970</v>
      </c>
      <c r="S121" s="45" t="str">
        <f aca="false">IF(G121=0,"Stockout ⚠",IF(G121&lt;Q121,"Reorder 🔄",IF(G121&gt;Q121+L121,"Overstock 📦","Aman ✅")))</f>
        <v>Overstock 📦</v>
      </c>
      <c r="T121" s="46" t="n">
        <f aca="false">IFERROR(N121/AVERAGE(M117:M121),0)</f>
        <v>0.281586655976124</v>
      </c>
      <c r="U121" s="47" t="n">
        <v>-1025.04</v>
      </c>
      <c r="V121" s="48" t="n">
        <v>0.1389</v>
      </c>
    </row>
    <row r="122" customFormat="false" ht="15" hidden="false" customHeight="true" outlineLevel="0" collapsed="false">
      <c r="A122" s="49" t="n">
        <v>1</v>
      </c>
      <c r="B122" s="35" t="n">
        <v>2021</v>
      </c>
      <c r="C122" s="49" t="s">
        <v>264</v>
      </c>
      <c r="D122" s="49" t="s">
        <v>82</v>
      </c>
      <c r="E122" s="50" t="s">
        <v>83</v>
      </c>
      <c r="F122" s="49" t="s">
        <v>36</v>
      </c>
      <c r="G122" s="37" t="n">
        <v>0</v>
      </c>
      <c r="H122" s="37" t="n">
        <v>44</v>
      </c>
      <c r="I122" s="37" t="n">
        <f aca="false">IFERROR(ROUND('Data Bulanan'!AC29,0),0)</f>
        <v>31724</v>
      </c>
      <c r="J122" s="37" t="n">
        <v>11906408</v>
      </c>
      <c r="K122" s="37" t="n">
        <v>289923</v>
      </c>
      <c r="L122" s="38" t="n">
        <f aca="false">IFERROR(ROUND(SQRT(2*I122*J122/K122),0),0)</f>
        <v>1614</v>
      </c>
      <c r="M122" s="39" t="n">
        <f aca="false">IFERROR(AVERAGE('Data Bulanan'!F29,'Data Bulanan'!H29,'Data Bulanan'!J29,'Data Bulanan'!L29,'Data Bulanan'!N29,'Data Bulanan'!P29,'Data Bulanan'!R29,'Data Bulanan'!T29,'Data Bulanan'!V29,'Data Bulanan'!X29,'Data Bulanan'!Z29,'Data Bulanan'!AB29),0)</f>
        <v>84.4280081925243</v>
      </c>
      <c r="N122" s="40" t="n">
        <f aca="false">'Data Bulanan'!AD29</f>
        <v>21.5583808178664</v>
      </c>
      <c r="O122" s="41" t="n">
        <f aca="false">IFERROR(N122*SQRT(H122),0)</f>
        <v>143.002120520916</v>
      </c>
      <c r="P122" s="42" t="n">
        <f aca="false">IFERROR(ROUND(1.65*O122,0),0)</f>
        <v>236</v>
      </c>
      <c r="Q122" s="43" t="n">
        <f aca="false">IFERROR(ROUND(M122*H122+P122,0),0)</f>
        <v>3951</v>
      </c>
      <c r="R122" s="44" t="n">
        <f aca="false">G122-Q122</f>
        <v>-3951</v>
      </c>
      <c r="S122" s="45" t="str">
        <f aca="false">IF(G122=0,"Stockout ⚠",IF(G122&lt;Q122,"Reorder 🔄",IF(G122&gt;Q122+L122,"Overstock 📦","Aman ✅")))</f>
        <v>Stockout ⚠</v>
      </c>
      <c r="T122" s="46" t="n">
        <f aca="false">IFERROR(N122/AVERAGE(M122:M126),0)</f>
        <v>0.264461101335024</v>
      </c>
      <c r="U122" s="47" t="n">
        <v>-1087.24</v>
      </c>
      <c r="V122" s="48" t="n">
        <v>0.491</v>
      </c>
    </row>
    <row r="123" customFormat="false" ht="15" hidden="false" customHeight="true" outlineLevel="0" collapsed="false">
      <c r="A123" s="49" t="n">
        <v>2</v>
      </c>
      <c r="B123" s="35" t="n">
        <v>2022</v>
      </c>
      <c r="C123" s="49" t="s">
        <v>264</v>
      </c>
      <c r="D123" s="49" t="s">
        <v>82</v>
      </c>
      <c r="E123" s="50" t="s">
        <v>83</v>
      </c>
      <c r="F123" s="49" t="s">
        <v>36</v>
      </c>
      <c r="G123" s="37" t="n">
        <v>25968</v>
      </c>
      <c r="H123" s="37" t="n">
        <v>44</v>
      </c>
      <c r="I123" s="37" t="n">
        <f aca="false">IFERROR(ROUND('Data Bulanan'!BC29,0),0)</f>
        <v>31436</v>
      </c>
      <c r="J123" s="37" t="n">
        <v>11110958</v>
      </c>
      <c r="K123" s="37" t="n">
        <v>269086</v>
      </c>
      <c r="L123" s="38" t="n">
        <f aca="false">IFERROR(ROUND(SQRT(2*I123*J123/K123),0),0)</f>
        <v>1611</v>
      </c>
      <c r="M123" s="39" t="n">
        <f aca="false">IFERROR(AVERAGE('Data Bulanan'!AF29,'Data Bulanan'!AH29,'Data Bulanan'!AJ29,'Data Bulanan'!AL29,'Data Bulanan'!AN29,'Data Bulanan'!AP29,'Data Bulanan'!AR29,'Data Bulanan'!AT29,'Data Bulanan'!AV29,'Data Bulanan'!AX29,'Data Bulanan'!AZ29,'Data Bulanan'!BB29),0)</f>
        <v>83.6766577060932</v>
      </c>
      <c r="N123" s="40" t="n">
        <f aca="false">'Data Bulanan'!BD29</f>
        <v>19.4882602594399</v>
      </c>
      <c r="O123" s="41" t="n">
        <f aca="false">IFERROR(N123*SQRT(H123),0)</f>
        <v>129.270494194713</v>
      </c>
      <c r="P123" s="42" t="n">
        <f aca="false">IFERROR(ROUND(1.65*O123,0),0)</f>
        <v>213</v>
      </c>
      <c r="Q123" s="43" t="n">
        <f aca="false">IFERROR(ROUND(M123*H123+P123,0),0)</f>
        <v>3895</v>
      </c>
      <c r="R123" s="44" t="n">
        <f aca="false">G123-Q123</f>
        <v>22073</v>
      </c>
      <c r="S123" s="45" t="str">
        <f aca="false">IF(G123=0,"Stockout ⚠",IF(G123&lt;Q123,"Reorder 🔄",IF(G123&gt;Q123+L123,"Overstock 📦","Aman ✅")))</f>
        <v>Overstock 📦</v>
      </c>
      <c r="T123" s="46" t="n">
        <f aca="false">IFERROR(N123/AVERAGE(M122:M126),0)</f>
        <v>0.239066505729587</v>
      </c>
      <c r="U123" s="47" t="n">
        <v>-1087.24</v>
      </c>
      <c r="V123" s="48" t="n">
        <v>0.491</v>
      </c>
    </row>
    <row r="124" customFormat="false" ht="15" hidden="false" customHeight="true" outlineLevel="0" collapsed="false">
      <c r="A124" s="49" t="n">
        <v>3</v>
      </c>
      <c r="B124" s="35" t="n">
        <v>2023</v>
      </c>
      <c r="C124" s="49" t="s">
        <v>264</v>
      </c>
      <c r="D124" s="49" t="s">
        <v>82</v>
      </c>
      <c r="E124" s="50" t="s">
        <v>83</v>
      </c>
      <c r="F124" s="49" t="s">
        <v>36</v>
      </c>
      <c r="G124" s="37" t="n">
        <v>12533</v>
      </c>
      <c r="H124" s="37" t="n">
        <v>44</v>
      </c>
      <c r="I124" s="37" t="n">
        <f aca="false">IFERROR(ROUND('Data Bulanan'!CC29,0),0)</f>
        <v>33760</v>
      </c>
      <c r="J124" s="37" t="n">
        <v>10650840</v>
      </c>
      <c r="K124" s="37" t="n">
        <v>256705</v>
      </c>
      <c r="L124" s="38" t="n">
        <f aca="false">IFERROR(ROUND(SQRT(2*I124*J124/K124),0),0)</f>
        <v>1674</v>
      </c>
      <c r="M124" s="39" t="n">
        <f aca="false">IFERROR(AVERAGE('Data Bulanan'!BF29,'Data Bulanan'!BH29,'Data Bulanan'!BJ29,'Data Bulanan'!BL29,'Data Bulanan'!BN29,'Data Bulanan'!BP29,'Data Bulanan'!BR29,'Data Bulanan'!BT29,'Data Bulanan'!BV29,'Data Bulanan'!BX29,'Data Bulanan'!BZ29,'Data Bulanan'!CB29),0)</f>
        <v>89.7189644137225</v>
      </c>
      <c r="N124" s="40" t="n">
        <f aca="false">'Data Bulanan'!CD29</f>
        <v>19.2575880740812</v>
      </c>
      <c r="O124" s="41" t="n">
        <f aca="false">IFERROR(N124*SQRT(H124),0)</f>
        <v>127.7403880179</v>
      </c>
      <c r="P124" s="42" t="n">
        <f aca="false">IFERROR(ROUND(1.65*O124,0),0)</f>
        <v>211</v>
      </c>
      <c r="Q124" s="43" t="n">
        <f aca="false">IFERROR(ROUND(M124*H124+P124,0),0)</f>
        <v>4159</v>
      </c>
      <c r="R124" s="44" t="n">
        <f aca="false">G124-Q124</f>
        <v>8374</v>
      </c>
      <c r="S124" s="45" t="str">
        <f aca="false">IF(G124=0,"Stockout ⚠",IF(G124&lt;Q124,"Reorder 🔄",IF(G124&gt;Q124+L124,"Overstock 📦","Aman ✅")))</f>
        <v>Overstock 📦</v>
      </c>
      <c r="T124" s="46" t="n">
        <f aca="false">IFERROR(N124/AVERAGE(M122:M126),0)</f>
        <v>0.236236802483193</v>
      </c>
      <c r="U124" s="47" t="n">
        <v>-1087.24</v>
      </c>
      <c r="V124" s="48" t="n">
        <v>0.491</v>
      </c>
    </row>
    <row r="125" customFormat="false" ht="15" hidden="false" customHeight="true" outlineLevel="0" collapsed="false">
      <c r="A125" s="49" t="n">
        <v>4</v>
      </c>
      <c r="B125" s="35" t="n">
        <v>2024</v>
      </c>
      <c r="C125" s="49" t="s">
        <v>264</v>
      </c>
      <c r="D125" s="49" t="s">
        <v>82</v>
      </c>
      <c r="E125" s="50" t="s">
        <v>83</v>
      </c>
      <c r="F125" s="49" t="s">
        <v>36</v>
      </c>
      <c r="G125" s="37" t="n">
        <v>0</v>
      </c>
      <c r="H125" s="37" t="n">
        <v>44</v>
      </c>
      <c r="I125" s="37" t="n">
        <f aca="false">IFERROR(ROUND('Data Bulanan'!DC29,0),0)</f>
        <v>28902</v>
      </c>
      <c r="J125" s="37" t="n">
        <v>11690872</v>
      </c>
      <c r="K125" s="37" t="n">
        <v>259186</v>
      </c>
      <c r="L125" s="38" t="n">
        <f aca="false">IFERROR(ROUND(SQRT(2*I125*J125/K125),0),0)</f>
        <v>1615</v>
      </c>
      <c r="M125" s="39" t="n">
        <f aca="false">IFERROR(AVERAGE('Data Bulanan'!CF29,'Data Bulanan'!CH29,'Data Bulanan'!CJ29,'Data Bulanan'!CL29,'Data Bulanan'!CN29,'Data Bulanan'!CP29,'Data Bulanan'!CR29,'Data Bulanan'!CT29,'Data Bulanan'!CV29,'Data Bulanan'!CX29,'Data Bulanan'!CZ29,'Data Bulanan'!DB29),0)</f>
        <v>76.6437596006144</v>
      </c>
      <c r="N125" s="40" t="n">
        <f aca="false">'Data Bulanan'!DD29</f>
        <v>16.6977427407637</v>
      </c>
      <c r="O125" s="41" t="n">
        <f aca="false">IFERROR(N125*SQRT(H125),0)</f>
        <v>110.760295033987</v>
      </c>
      <c r="P125" s="42" t="n">
        <f aca="false">IFERROR(ROUND(1.65*O125,0),0)</f>
        <v>183</v>
      </c>
      <c r="Q125" s="43" t="n">
        <f aca="false">IFERROR(ROUND(M125*H125+P125,0),0)</f>
        <v>3555</v>
      </c>
      <c r="R125" s="44" t="n">
        <f aca="false">G125-Q125</f>
        <v>-3555</v>
      </c>
      <c r="S125" s="45" t="str">
        <f aca="false">IF(G125=0,"Stockout ⚠",IF(G125&lt;Q125,"Reorder 🔄",IF(G125&gt;Q125+L125,"Overstock 📦","Aman ✅")))</f>
        <v>Stockout ⚠</v>
      </c>
      <c r="T125" s="46" t="n">
        <f aca="false">IFERROR(N125/AVERAGE(M122:M126),0)</f>
        <v>0.204834652116898</v>
      </c>
      <c r="U125" s="47" t="n">
        <v>-1087.24</v>
      </c>
      <c r="V125" s="48" t="n">
        <v>0.491</v>
      </c>
    </row>
    <row r="126" customFormat="false" ht="15" hidden="false" customHeight="true" outlineLevel="0" collapsed="false">
      <c r="A126" s="49" t="n">
        <v>5</v>
      </c>
      <c r="B126" s="35" t="n">
        <v>2025</v>
      </c>
      <c r="C126" s="49" t="s">
        <v>264</v>
      </c>
      <c r="D126" s="49" t="s">
        <v>82</v>
      </c>
      <c r="E126" s="50" t="s">
        <v>83</v>
      </c>
      <c r="F126" s="49" t="s">
        <v>36</v>
      </c>
      <c r="G126" s="37" t="n">
        <v>0</v>
      </c>
      <c r="H126" s="37" t="n">
        <v>44</v>
      </c>
      <c r="I126" s="37" t="n">
        <f aca="false">IFERROR(ROUND('Data Bulanan'!EC29,0),0)</f>
        <v>27555</v>
      </c>
      <c r="J126" s="37" t="n">
        <v>11463164</v>
      </c>
      <c r="K126" s="37" t="n">
        <v>249363</v>
      </c>
      <c r="L126" s="38" t="n">
        <f aca="false">IFERROR(ROUND(SQRT(2*I126*J126/K126),0),0)</f>
        <v>1592</v>
      </c>
      <c r="M126" s="39" t="n">
        <f aca="false">IFERROR(AVERAGE('Data Bulanan'!DF29,'Data Bulanan'!DH29,'Data Bulanan'!DJ29,'Data Bulanan'!DL29,'Data Bulanan'!DN29,'Data Bulanan'!DP29,'Data Bulanan'!DR29,'Data Bulanan'!DT29,'Data Bulanan'!DV29,'Data Bulanan'!DX29,'Data Bulanan'!DZ29,'Data Bulanan'!EB29),0)</f>
        <v>73.1233806963646</v>
      </c>
      <c r="N126" s="40" t="n">
        <f aca="false">'Data Bulanan'!ED29</f>
        <v>16.0711843983622</v>
      </c>
      <c r="O126" s="41" t="n">
        <f aca="false">IFERROR(N126*SQRT(H126),0)</f>
        <v>106.604177171962</v>
      </c>
      <c r="P126" s="42" t="n">
        <f aca="false">IFERROR(ROUND(1.65*O126,0),0)</f>
        <v>176</v>
      </c>
      <c r="Q126" s="43" t="n">
        <f aca="false">IFERROR(ROUND(M126*H126+P126,0),0)</f>
        <v>3393</v>
      </c>
      <c r="R126" s="44" t="n">
        <f aca="false">G126-Q126</f>
        <v>-3393</v>
      </c>
      <c r="S126" s="45" t="str">
        <f aca="false">IF(G126=0,"Stockout ⚠",IF(G126&lt;Q126,"Reorder 🔄",IF(G126&gt;Q126+L126,"Overstock 📦","Aman ✅")))</f>
        <v>Stockout ⚠</v>
      </c>
      <c r="T126" s="46" t="n">
        <f aca="false">IFERROR(N126/AVERAGE(M122:M126),0)</f>
        <v>0.197148531777804</v>
      </c>
      <c r="U126" s="47" t="n">
        <v>-1087.24</v>
      </c>
      <c r="V126" s="48" t="n">
        <v>0.491</v>
      </c>
    </row>
    <row r="127" customFormat="false" ht="15" hidden="false" customHeight="true" outlineLevel="0" collapsed="false">
      <c r="A127" s="34" t="n">
        <v>1</v>
      </c>
      <c r="B127" s="35" t="n">
        <v>2021</v>
      </c>
      <c r="C127" s="34" t="s">
        <v>264</v>
      </c>
      <c r="D127" s="34" t="s">
        <v>84</v>
      </c>
      <c r="E127" s="36" t="s">
        <v>85</v>
      </c>
      <c r="F127" s="34" t="s">
        <v>36</v>
      </c>
      <c r="G127" s="37" t="n">
        <v>7063</v>
      </c>
      <c r="H127" s="37" t="n">
        <v>33</v>
      </c>
      <c r="I127" s="37" t="n">
        <f aca="false">IFERROR(ROUND('Data Bulanan'!AC30,0),0)</f>
        <v>12490</v>
      </c>
      <c r="J127" s="37" t="n">
        <v>7299380</v>
      </c>
      <c r="K127" s="37" t="n">
        <v>525954</v>
      </c>
      <c r="L127" s="38" t="n">
        <f aca="false">IFERROR(ROUND(SQRT(2*I127*J127/K127),0),0)</f>
        <v>589</v>
      </c>
      <c r="M127" s="39" t="n">
        <f aca="false">IFERROR(AVERAGE('Data Bulanan'!F30,'Data Bulanan'!H30,'Data Bulanan'!J30,'Data Bulanan'!L30,'Data Bulanan'!N30,'Data Bulanan'!P30,'Data Bulanan'!R30,'Data Bulanan'!T30,'Data Bulanan'!V30,'Data Bulanan'!X30,'Data Bulanan'!Z30,'Data Bulanan'!AB30),0)</f>
        <v>33.3184395801331</v>
      </c>
      <c r="N127" s="40" t="n">
        <f aca="false">'Data Bulanan'!AD30</f>
        <v>8.55056637075483</v>
      </c>
      <c r="O127" s="41" t="n">
        <f aca="false">IFERROR(N127*SQRT(H127),0)</f>
        <v>49.1192641801824</v>
      </c>
      <c r="P127" s="42" t="n">
        <f aca="false">IFERROR(ROUND(1.65*O127,0),0)</f>
        <v>81</v>
      </c>
      <c r="Q127" s="43" t="n">
        <f aca="false">IFERROR(ROUND(M127*H127+P127,0),0)</f>
        <v>1181</v>
      </c>
      <c r="R127" s="44" t="n">
        <f aca="false">G127-Q127</f>
        <v>5882</v>
      </c>
      <c r="S127" s="45" t="str">
        <f aca="false">IF(G127=0,"Stockout ⚠",IF(G127&lt;Q127,"Reorder 🔄",IF(G127&gt;Q127+L127,"Overstock 📦","Aman ✅")))</f>
        <v>Overstock 📦</v>
      </c>
      <c r="T127" s="46" t="n">
        <f aca="false">IFERROR(N127/AVERAGE(M127:M131),0)</f>
        <v>0.285900515407158</v>
      </c>
      <c r="U127" s="47" t="n">
        <v>327.9</v>
      </c>
      <c r="V127" s="48" t="n">
        <v>0.1006</v>
      </c>
    </row>
    <row r="128" customFormat="false" ht="15" hidden="false" customHeight="true" outlineLevel="0" collapsed="false">
      <c r="A128" s="34" t="n">
        <v>2</v>
      </c>
      <c r="B128" s="35" t="n">
        <v>2022</v>
      </c>
      <c r="C128" s="34" t="s">
        <v>264</v>
      </c>
      <c r="D128" s="34" t="s">
        <v>84</v>
      </c>
      <c r="E128" s="36" t="s">
        <v>85</v>
      </c>
      <c r="F128" s="34" t="s">
        <v>36</v>
      </c>
      <c r="G128" s="37" t="n">
        <v>0</v>
      </c>
      <c r="H128" s="37" t="n">
        <v>33</v>
      </c>
      <c r="I128" s="37" t="n">
        <f aca="false">IFERROR(ROUND('Data Bulanan'!BC30,0),0)</f>
        <v>9422</v>
      </c>
      <c r="J128" s="37" t="n">
        <v>7018897</v>
      </c>
      <c r="K128" s="37" t="n">
        <v>530970</v>
      </c>
      <c r="L128" s="38" t="n">
        <f aca="false">IFERROR(ROUND(SQRT(2*I128*J128/K128),0),0)</f>
        <v>499</v>
      </c>
      <c r="M128" s="39" t="n">
        <f aca="false">IFERROR(AVERAGE('Data Bulanan'!AF30,'Data Bulanan'!AH30,'Data Bulanan'!AJ30,'Data Bulanan'!AL30,'Data Bulanan'!AN30,'Data Bulanan'!AP30,'Data Bulanan'!AR30,'Data Bulanan'!AT30,'Data Bulanan'!AV30,'Data Bulanan'!AX30,'Data Bulanan'!AZ30,'Data Bulanan'!BB30),0)</f>
        <v>25.145154889913</v>
      </c>
      <c r="N128" s="40" t="n">
        <f aca="false">'Data Bulanan'!BD30</f>
        <v>6.55785393550239</v>
      </c>
      <c r="O128" s="41" t="n">
        <f aca="false">IFERROR(N128*SQRT(H128),0)</f>
        <v>37.6720027593394</v>
      </c>
      <c r="P128" s="42" t="n">
        <f aca="false">IFERROR(ROUND(1.65*O128,0),0)</f>
        <v>62</v>
      </c>
      <c r="Q128" s="43" t="n">
        <f aca="false">IFERROR(ROUND(M128*H128+P128,0),0)</f>
        <v>892</v>
      </c>
      <c r="R128" s="44" t="n">
        <f aca="false">G128-Q128</f>
        <v>-892</v>
      </c>
      <c r="S128" s="45" t="str">
        <f aca="false">IF(G128=0,"Stockout ⚠",IF(G128&lt;Q128,"Reorder 🔄",IF(G128&gt;Q128+L128,"Overstock 📦","Aman ✅")))</f>
        <v>Stockout ⚠</v>
      </c>
      <c r="T128" s="46" t="n">
        <f aca="false">IFERROR(N128/AVERAGE(M127:M131),0)</f>
        <v>0.219271301903183</v>
      </c>
      <c r="U128" s="47" t="n">
        <v>327.9</v>
      </c>
      <c r="V128" s="48" t="n">
        <v>0.1006</v>
      </c>
    </row>
    <row r="129" customFormat="false" ht="15" hidden="false" customHeight="true" outlineLevel="0" collapsed="false">
      <c r="A129" s="34" t="n">
        <v>3</v>
      </c>
      <c r="B129" s="35" t="n">
        <v>2023</v>
      </c>
      <c r="C129" s="34" t="s">
        <v>264</v>
      </c>
      <c r="D129" s="34" t="s">
        <v>84</v>
      </c>
      <c r="E129" s="36" t="s">
        <v>85</v>
      </c>
      <c r="F129" s="34" t="s">
        <v>36</v>
      </c>
      <c r="G129" s="37" t="n">
        <v>1585</v>
      </c>
      <c r="H129" s="37" t="n">
        <v>33</v>
      </c>
      <c r="I129" s="37" t="n">
        <f aca="false">IFERROR(ROUND('Data Bulanan'!CC30,0),0)</f>
        <v>9646</v>
      </c>
      <c r="J129" s="37" t="n">
        <v>6802931</v>
      </c>
      <c r="K129" s="37" t="n">
        <v>477404</v>
      </c>
      <c r="L129" s="38" t="n">
        <f aca="false">IFERROR(ROUND(SQRT(2*I129*J129/K129),0),0)</f>
        <v>524</v>
      </c>
      <c r="M129" s="39" t="n">
        <f aca="false">IFERROR(AVERAGE('Data Bulanan'!BF30,'Data Bulanan'!BH30,'Data Bulanan'!BJ30,'Data Bulanan'!BL30,'Data Bulanan'!BN30,'Data Bulanan'!BP30,'Data Bulanan'!BR30,'Data Bulanan'!BT30,'Data Bulanan'!BV30,'Data Bulanan'!BX30,'Data Bulanan'!BZ30,'Data Bulanan'!CB30),0)</f>
        <v>25.6215053763441</v>
      </c>
      <c r="N129" s="40" t="n">
        <f aca="false">'Data Bulanan'!CD30</f>
        <v>4.7076230248378</v>
      </c>
      <c r="O129" s="41" t="n">
        <f aca="false">IFERROR(N129*SQRT(H129),0)</f>
        <v>27.0432353824656</v>
      </c>
      <c r="P129" s="42" t="n">
        <f aca="false">IFERROR(ROUND(1.65*O129,0),0)</f>
        <v>45</v>
      </c>
      <c r="Q129" s="43" t="n">
        <f aca="false">IFERROR(ROUND(M129*H129+P129,0),0)</f>
        <v>891</v>
      </c>
      <c r="R129" s="44" t="n">
        <f aca="false">G129-Q129</f>
        <v>694</v>
      </c>
      <c r="S129" s="45" t="str">
        <f aca="false">IF(G129=0,"Stockout ⚠",IF(G129&lt;Q129,"Reorder 🔄",IF(G129&gt;Q129+L129,"Overstock 📦","Aman ✅")))</f>
        <v>Overstock 📦</v>
      </c>
      <c r="T129" s="46" t="n">
        <f aca="false">IFERROR(N129/AVERAGE(M127:M131),0)</f>
        <v>0.157406163613571</v>
      </c>
      <c r="U129" s="47" t="n">
        <v>327.9</v>
      </c>
      <c r="V129" s="48" t="n">
        <v>0.1006</v>
      </c>
    </row>
    <row r="130" customFormat="false" ht="15" hidden="false" customHeight="true" outlineLevel="0" collapsed="false">
      <c r="A130" s="34" t="n">
        <v>4</v>
      </c>
      <c r="B130" s="35" t="n">
        <v>2024</v>
      </c>
      <c r="C130" s="34" t="s">
        <v>264</v>
      </c>
      <c r="D130" s="34" t="s">
        <v>84</v>
      </c>
      <c r="E130" s="36" t="s">
        <v>85</v>
      </c>
      <c r="F130" s="34" t="s">
        <v>36</v>
      </c>
      <c r="G130" s="37" t="n">
        <v>0</v>
      </c>
      <c r="H130" s="37" t="n">
        <v>33</v>
      </c>
      <c r="I130" s="37" t="n">
        <f aca="false">IFERROR(ROUND('Data Bulanan'!DC30,0),0)</f>
        <v>11696</v>
      </c>
      <c r="J130" s="37" t="n">
        <v>6785458</v>
      </c>
      <c r="K130" s="37" t="n">
        <v>513796</v>
      </c>
      <c r="L130" s="38" t="n">
        <f aca="false">IFERROR(ROUND(SQRT(2*I130*J130/K130),0),0)</f>
        <v>556</v>
      </c>
      <c r="M130" s="39" t="n">
        <f aca="false">IFERROR(AVERAGE('Data Bulanan'!CF30,'Data Bulanan'!CH30,'Data Bulanan'!CJ30,'Data Bulanan'!CL30,'Data Bulanan'!CN30,'Data Bulanan'!CP30,'Data Bulanan'!CR30,'Data Bulanan'!CT30,'Data Bulanan'!CV30,'Data Bulanan'!CX30,'Data Bulanan'!CZ30,'Data Bulanan'!DB30),0)</f>
        <v>31.0512224782386</v>
      </c>
      <c r="N130" s="40" t="n">
        <f aca="false">'Data Bulanan'!DD30</f>
        <v>5.80856704369912</v>
      </c>
      <c r="O130" s="41" t="n">
        <f aca="false">IFERROR(N130*SQRT(H130),0)</f>
        <v>33.3676772691458</v>
      </c>
      <c r="P130" s="42" t="n">
        <f aca="false">IFERROR(ROUND(1.65*O130,0),0)</f>
        <v>55</v>
      </c>
      <c r="Q130" s="43" t="n">
        <f aca="false">IFERROR(ROUND(M130*H130+P130,0),0)</f>
        <v>1080</v>
      </c>
      <c r="R130" s="44" t="n">
        <f aca="false">G130-Q130</f>
        <v>-1080</v>
      </c>
      <c r="S130" s="45" t="str">
        <f aca="false">IF(G130=0,"Stockout ⚠",IF(G130&lt;Q130,"Reorder 🔄",IF(G130&gt;Q130+L130,"Overstock 📦","Aman ✅")))</f>
        <v>Stockout ⚠</v>
      </c>
      <c r="T130" s="46" t="n">
        <f aca="false">IFERROR(N130/AVERAGE(M127:M131),0)</f>
        <v>0.194217814301815</v>
      </c>
      <c r="U130" s="47" t="n">
        <v>327.9</v>
      </c>
      <c r="V130" s="48" t="n">
        <v>0.1006</v>
      </c>
    </row>
    <row r="131" customFormat="false" ht="15" hidden="false" customHeight="true" outlineLevel="0" collapsed="false">
      <c r="A131" s="34" t="n">
        <v>5</v>
      </c>
      <c r="B131" s="35" t="n">
        <v>2025</v>
      </c>
      <c r="C131" s="34" t="s">
        <v>264</v>
      </c>
      <c r="D131" s="34" t="s">
        <v>84</v>
      </c>
      <c r="E131" s="36" t="s">
        <v>85</v>
      </c>
      <c r="F131" s="34" t="s">
        <v>36</v>
      </c>
      <c r="G131" s="37" t="n">
        <v>2133</v>
      </c>
      <c r="H131" s="37" t="n">
        <v>33</v>
      </c>
      <c r="I131" s="37" t="n">
        <f aca="false">IFERROR(ROUND('Data Bulanan'!EC30,0),0)</f>
        <v>12993</v>
      </c>
      <c r="J131" s="37" t="n">
        <v>7315681</v>
      </c>
      <c r="K131" s="37" t="n">
        <v>536159</v>
      </c>
      <c r="L131" s="38" t="n">
        <f aca="false">IFERROR(ROUND(SQRT(2*I131*J131/K131),0),0)</f>
        <v>595</v>
      </c>
      <c r="M131" s="39" t="n">
        <f aca="false">IFERROR(AVERAGE('Data Bulanan'!DF30,'Data Bulanan'!DH30,'Data Bulanan'!DJ30,'Data Bulanan'!DL30,'Data Bulanan'!DN30,'Data Bulanan'!DP30,'Data Bulanan'!DR30,'Data Bulanan'!DT30,'Data Bulanan'!DV30,'Data Bulanan'!DX30,'Data Bulanan'!DZ30,'Data Bulanan'!EB30),0)</f>
        <v>34.4011200716846</v>
      </c>
      <c r="N131" s="40" t="n">
        <f aca="false">'Data Bulanan'!ED30</f>
        <v>8.68826522257002</v>
      </c>
      <c r="O131" s="41" t="n">
        <f aca="false">IFERROR(N131*SQRT(H131),0)</f>
        <v>49.9102838607911</v>
      </c>
      <c r="P131" s="42" t="n">
        <f aca="false">IFERROR(ROUND(1.65*O131,0),0)</f>
        <v>82</v>
      </c>
      <c r="Q131" s="43" t="n">
        <f aca="false">IFERROR(ROUND(M131*H131+P131,0),0)</f>
        <v>1217</v>
      </c>
      <c r="R131" s="44" t="n">
        <f aca="false">G131-Q131</f>
        <v>916</v>
      </c>
      <c r="S131" s="45" t="str">
        <f aca="false">IF(G131=0,"Stockout ⚠",IF(G131&lt;Q131,"Reorder 🔄",IF(G131&gt;Q131+L131,"Overstock 📦","Aman ✅")))</f>
        <v>Overstock 📦</v>
      </c>
      <c r="T131" s="46" t="n">
        <f aca="false">IFERROR(N131/AVERAGE(M127:M131),0)</f>
        <v>0.290504675061375</v>
      </c>
      <c r="U131" s="47" t="n">
        <v>327.9</v>
      </c>
      <c r="V131" s="48" t="n">
        <v>0.1006</v>
      </c>
    </row>
    <row r="132" customFormat="false" ht="15" hidden="false" customHeight="true" outlineLevel="0" collapsed="false">
      <c r="A132" s="49" t="n">
        <v>1</v>
      </c>
      <c r="B132" s="35" t="n">
        <v>2021</v>
      </c>
      <c r="C132" s="49" t="s">
        <v>263</v>
      </c>
      <c r="D132" s="49" t="s">
        <v>86</v>
      </c>
      <c r="E132" s="50" t="s">
        <v>87</v>
      </c>
      <c r="F132" s="49" t="s">
        <v>36</v>
      </c>
      <c r="G132" s="37" t="n">
        <v>14664</v>
      </c>
      <c r="H132" s="37" t="n">
        <v>38</v>
      </c>
      <c r="I132" s="37" t="n">
        <f aca="false">IFERROR(ROUND('Data Bulanan'!AC31,0),0)</f>
        <v>50141</v>
      </c>
      <c r="J132" s="37" t="n">
        <v>6800342</v>
      </c>
      <c r="K132" s="37" t="n">
        <v>557324</v>
      </c>
      <c r="L132" s="38" t="n">
        <f aca="false">IFERROR(ROUND(SQRT(2*I132*J132/K132),0),0)</f>
        <v>1106</v>
      </c>
      <c r="M132" s="39" t="n">
        <f aca="false">IFERROR(AVERAGE('Data Bulanan'!F31,'Data Bulanan'!H31,'Data Bulanan'!J31,'Data Bulanan'!L31,'Data Bulanan'!N31,'Data Bulanan'!P31,'Data Bulanan'!R31,'Data Bulanan'!T31,'Data Bulanan'!V31,'Data Bulanan'!X31,'Data Bulanan'!Z31,'Data Bulanan'!AB31),0)</f>
        <v>133.783576548899</v>
      </c>
      <c r="N132" s="40" t="n">
        <f aca="false">'Data Bulanan'!AD31</f>
        <v>34.1017963559202</v>
      </c>
      <c r="O132" s="41" t="n">
        <f aca="false">IFERROR(N132*SQRT(H132),0)</f>
        <v>210.217590982831</v>
      </c>
      <c r="P132" s="42" t="n">
        <f aca="false">IFERROR(ROUND(1.65*O132,0),0)</f>
        <v>347</v>
      </c>
      <c r="Q132" s="43" t="n">
        <f aca="false">IFERROR(ROUND(M132*H132+P132,0),0)</f>
        <v>5431</v>
      </c>
      <c r="R132" s="44" t="n">
        <f aca="false">G132-Q132</f>
        <v>9233</v>
      </c>
      <c r="S132" s="45" t="str">
        <f aca="false">IF(G132=0,"Stockout ⚠",IF(G132&lt;Q132,"Reorder 🔄",IF(G132&gt;Q132+L132,"Overstock 📦","Aman ✅")))</f>
        <v>Overstock 📦</v>
      </c>
      <c r="T132" s="46" t="n">
        <f aca="false">IFERROR(N132/AVERAGE(M132:M136),0)</f>
        <v>0.253802006648683</v>
      </c>
      <c r="U132" s="47" t="n">
        <v>-668.17</v>
      </c>
      <c r="V132" s="48" t="n">
        <v>0.0468</v>
      </c>
    </row>
    <row r="133" customFormat="false" ht="15" hidden="false" customHeight="true" outlineLevel="0" collapsed="false">
      <c r="A133" s="49" t="n">
        <v>2</v>
      </c>
      <c r="B133" s="35" t="n">
        <v>2022</v>
      </c>
      <c r="C133" s="49" t="s">
        <v>263</v>
      </c>
      <c r="D133" s="49" t="s">
        <v>86</v>
      </c>
      <c r="E133" s="50" t="s">
        <v>87</v>
      </c>
      <c r="F133" s="49" t="s">
        <v>36</v>
      </c>
      <c r="G133" s="37" t="n">
        <v>15249</v>
      </c>
      <c r="H133" s="37" t="n">
        <v>38</v>
      </c>
      <c r="I133" s="37" t="n">
        <f aca="false">IFERROR(ROUND('Data Bulanan'!BC31,0),0)</f>
        <v>52157</v>
      </c>
      <c r="J133" s="37" t="n">
        <v>7032547</v>
      </c>
      <c r="K133" s="37" t="n">
        <v>632100</v>
      </c>
      <c r="L133" s="38" t="n">
        <f aca="false">IFERROR(ROUND(SQRT(2*I133*J133/K133),0),0)</f>
        <v>1077</v>
      </c>
      <c r="M133" s="39" t="n">
        <f aca="false">IFERROR(AVERAGE('Data Bulanan'!AF31,'Data Bulanan'!AH31,'Data Bulanan'!AJ31,'Data Bulanan'!AL31,'Data Bulanan'!AN31,'Data Bulanan'!AP31,'Data Bulanan'!AR31,'Data Bulanan'!AT31,'Data Bulanan'!AV31,'Data Bulanan'!AX31,'Data Bulanan'!AZ31,'Data Bulanan'!BB31),0)</f>
        <v>139.209946236559</v>
      </c>
      <c r="N133" s="40" t="n">
        <f aca="false">'Data Bulanan'!BD31</f>
        <v>28.443008539583</v>
      </c>
      <c r="O133" s="41" t="n">
        <f aca="false">IFERROR(N133*SQRT(H133),0)</f>
        <v>175.334480127972</v>
      </c>
      <c r="P133" s="42" t="n">
        <f aca="false">IFERROR(ROUND(1.65*O133,0),0)</f>
        <v>289</v>
      </c>
      <c r="Q133" s="43" t="n">
        <f aca="false">IFERROR(ROUND(M133*H133+P133,0),0)</f>
        <v>5579</v>
      </c>
      <c r="R133" s="44" t="n">
        <f aca="false">G133-Q133</f>
        <v>9670</v>
      </c>
      <c r="S133" s="45" t="str">
        <f aca="false">IF(G133=0,"Stockout ⚠",IF(G133&lt;Q133,"Reorder 🔄",IF(G133&gt;Q133+L133,"Overstock 📦","Aman ✅")))</f>
        <v>Overstock 📦</v>
      </c>
      <c r="T133" s="46" t="n">
        <f aca="false">IFERROR(N133/AVERAGE(M132:M136),0)</f>
        <v>0.211686580000896</v>
      </c>
      <c r="U133" s="47" t="n">
        <v>-668.17</v>
      </c>
      <c r="V133" s="48" t="n">
        <v>0.0468</v>
      </c>
    </row>
    <row r="134" customFormat="false" ht="15" hidden="false" customHeight="true" outlineLevel="0" collapsed="false">
      <c r="A134" s="49" t="n">
        <v>3</v>
      </c>
      <c r="B134" s="35" t="n">
        <v>2023</v>
      </c>
      <c r="C134" s="49" t="s">
        <v>263</v>
      </c>
      <c r="D134" s="49" t="s">
        <v>86</v>
      </c>
      <c r="E134" s="50" t="s">
        <v>87</v>
      </c>
      <c r="F134" s="49" t="s">
        <v>36</v>
      </c>
      <c r="G134" s="37" t="n">
        <v>23775</v>
      </c>
      <c r="H134" s="37" t="n">
        <v>38</v>
      </c>
      <c r="I134" s="37" t="n">
        <f aca="false">IFERROR(ROUND('Data Bulanan'!CC31,0),0)</f>
        <v>55657</v>
      </c>
      <c r="J134" s="37" t="n">
        <v>6531538</v>
      </c>
      <c r="K134" s="37" t="n">
        <v>586665</v>
      </c>
      <c r="L134" s="38" t="n">
        <f aca="false">IFERROR(ROUND(SQRT(2*I134*J134/K134),0),0)</f>
        <v>1113</v>
      </c>
      <c r="M134" s="39" t="n">
        <f aca="false">IFERROR(AVERAGE('Data Bulanan'!BF31,'Data Bulanan'!BH31,'Data Bulanan'!BJ31,'Data Bulanan'!BL31,'Data Bulanan'!BN31,'Data Bulanan'!BP31,'Data Bulanan'!BR31,'Data Bulanan'!BT31,'Data Bulanan'!BV31,'Data Bulanan'!BX31,'Data Bulanan'!BZ31,'Data Bulanan'!CB31),0)</f>
        <v>148.364868151562</v>
      </c>
      <c r="N134" s="40" t="n">
        <f aca="false">'Data Bulanan'!CD31</f>
        <v>34.6437173614176</v>
      </c>
      <c r="O134" s="41" t="n">
        <f aca="false">IFERROR(N134*SQRT(H134),0)</f>
        <v>213.558216417622</v>
      </c>
      <c r="P134" s="42" t="n">
        <f aca="false">IFERROR(ROUND(1.65*O134,0),0)</f>
        <v>352</v>
      </c>
      <c r="Q134" s="43" t="n">
        <f aca="false">IFERROR(ROUND(M134*H134+P134,0),0)</f>
        <v>5990</v>
      </c>
      <c r="R134" s="44" t="n">
        <f aca="false">G134-Q134</f>
        <v>17785</v>
      </c>
      <c r="S134" s="45" t="str">
        <f aca="false">IF(G134=0,"Stockout ⚠",IF(G134&lt;Q134,"Reorder 🔄",IF(G134&gt;Q134+L134,"Overstock 📦","Aman ✅")))</f>
        <v>Overstock 📦</v>
      </c>
      <c r="T134" s="46" t="n">
        <f aca="false">IFERROR(N134/AVERAGE(M132:M136),0)</f>
        <v>0.257835243995033</v>
      </c>
      <c r="U134" s="47" t="n">
        <v>-668.17</v>
      </c>
      <c r="V134" s="48" t="n">
        <v>0.0468</v>
      </c>
    </row>
    <row r="135" customFormat="false" ht="15" hidden="false" customHeight="true" outlineLevel="0" collapsed="false">
      <c r="A135" s="49" t="n">
        <v>4</v>
      </c>
      <c r="B135" s="35" t="n">
        <v>2024</v>
      </c>
      <c r="C135" s="49" t="s">
        <v>263</v>
      </c>
      <c r="D135" s="49" t="s">
        <v>86</v>
      </c>
      <c r="E135" s="50" t="s">
        <v>87</v>
      </c>
      <c r="F135" s="49" t="s">
        <v>36</v>
      </c>
      <c r="G135" s="37" t="n">
        <v>15742</v>
      </c>
      <c r="H135" s="37" t="n">
        <v>38</v>
      </c>
      <c r="I135" s="37" t="n">
        <f aca="false">IFERROR(ROUND('Data Bulanan'!DC31,0),0)</f>
        <v>42465</v>
      </c>
      <c r="J135" s="37" t="n">
        <v>6079242</v>
      </c>
      <c r="K135" s="37" t="n">
        <v>537475</v>
      </c>
      <c r="L135" s="38" t="n">
        <f aca="false">IFERROR(ROUND(SQRT(2*I135*J135/K135),0),0)</f>
        <v>980</v>
      </c>
      <c r="M135" s="39" t="n">
        <f aca="false">IFERROR(AVERAGE('Data Bulanan'!CF31,'Data Bulanan'!CH31,'Data Bulanan'!CJ31,'Data Bulanan'!CL31,'Data Bulanan'!CN31,'Data Bulanan'!CP31,'Data Bulanan'!CR31,'Data Bulanan'!CT31,'Data Bulanan'!CV31,'Data Bulanan'!CX31,'Data Bulanan'!CZ31,'Data Bulanan'!DB31),0)</f>
        <v>113.016673067076</v>
      </c>
      <c r="N135" s="40" t="n">
        <f aca="false">'Data Bulanan'!DD31</f>
        <v>25.8981065349947</v>
      </c>
      <c r="O135" s="41" t="n">
        <f aca="false">IFERROR(N135*SQRT(H135),0)</f>
        <v>159.646650574704</v>
      </c>
      <c r="P135" s="42" t="n">
        <f aca="false">IFERROR(ROUND(1.65*O135,0),0)</f>
        <v>263</v>
      </c>
      <c r="Q135" s="43" t="n">
        <f aca="false">IFERROR(ROUND(M135*H135+P135,0),0)</f>
        <v>4558</v>
      </c>
      <c r="R135" s="44" t="n">
        <f aca="false">G135-Q135</f>
        <v>11184</v>
      </c>
      <c r="S135" s="45" t="str">
        <f aca="false">IF(G135=0,"Stockout ⚠",IF(G135&lt;Q135,"Reorder 🔄",IF(G135&gt;Q135+L135,"Overstock 📦","Aman ✅")))</f>
        <v>Overstock 📦</v>
      </c>
      <c r="T135" s="46" t="n">
        <f aca="false">IFERROR(N135/AVERAGE(M132:M136),0)</f>
        <v>0.192746192557739</v>
      </c>
      <c r="U135" s="47" t="n">
        <v>-668.17</v>
      </c>
      <c r="V135" s="48" t="n">
        <v>0.0468</v>
      </c>
    </row>
    <row r="136" customFormat="false" ht="15" hidden="false" customHeight="true" outlineLevel="0" collapsed="false">
      <c r="A136" s="49" t="n">
        <v>5</v>
      </c>
      <c r="B136" s="35" t="n">
        <v>2025</v>
      </c>
      <c r="C136" s="49" t="s">
        <v>263</v>
      </c>
      <c r="D136" s="49" t="s">
        <v>86</v>
      </c>
      <c r="E136" s="50" t="s">
        <v>87</v>
      </c>
      <c r="F136" s="49" t="s">
        <v>36</v>
      </c>
      <c r="G136" s="37" t="n">
        <v>14675</v>
      </c>
      <c r="H136" s="37" t="n">
        <v>38</v>
      </c>
      <c r="I136" s="37" t="n">
        <f aca="false">IFERROR(ROUND('Data Bulanan'!EC31,0),0)</f>
        <v>51646</v>
      </c>
      <c r="J136" s="37" t="n">
        <v>6061562</v>
      </c>
      <c r="K136" s="37" t="n">
        <v>633383</v>
      </c>
      <c r="L136" s="38" t="n">
        <f aca="false">IFERROR(ROUND(SQRT(2*I136*J136/K136),0),0)</f>
        <v>994</v>
      </c>
      <c r="M136" s="39" t="n">
        <f aca="false">IFERROR(AVERAGE('Data Bulanan'!DF31,'Data Bulanan'!DH31,'Data Bulanan'!DJ31,'Data Bulanan'!DL31,'Data Bulanan'!DN31,'Data Bulanan'!DP31,'Data Bulanan'!DR31,'Data Bulanan'!DT31,'Data Bulanan'!DV31,'Data Bulanan'!DX31,'Data Bulanan'!DZ31,'Data Bulanan'!EB31),0)</f>
        <v>137.443823604711</v>
      </c>
      <c r="N136" s="40" t="n">
        <f aca="false">'Data Bulanan'!ED31</f>
        <v>34.1814906052184</v>
      </c>
      <c r="O136" s="41" t="n">
        <f aca="false">IFERROR(N136*SQRT(H136),0)</f>
        <v>210.708859329161</v>
      </c>
      <c r="P136" s="42" t="n">
        <f aca="false">IFERROR(ROUND(1.65*O136,0),0)</f>
        <v>348</v>
      </c>
      <c r="Q136" s="43" t="n">
        <f aca="false">IFERROR(ROUND(M136*H136+P136,0),0)</f>
        <v>5571</v>
      </c>
      <c r="R136" s="44" t="n">
        <f aca="false">G136-Q136</f>
        <v>9104</v>
      </c>
      <c r="S136" s="45" t="str">
        <f aca="false">IF(G136=0,"Stockout ⚠",IF(G136&lt;Q136,"Reorder 🔄",IF(G136&gt;Q136+L136,"Overstock 📦","Aman ✅")))</f>
        <v>Overstock 📦</v>
      </c>
      <c r="T136" s="46" t="n">
        <f aca="false">IFERROR(N136/AVERAGE(M132:M136),0)</f>
        <v>0.254395129667164</v>
      </c>
      <c r="U136" s="47" t="n">
        <v>-668.17</v>
      </c>
      <c r="V136" s="48" t="n">
        <v>0.0468</v>
      </c>
    </row>
    <row r="137" customFormat="false" ht="15" hidden="false" customHeight="true" outlineLevel="0" collapsed="false">
      <c r="A137" s="34" t="n">
        <v>1</v>
      </c>
      <c r="B137" s="35" t="n">
        <v>2021</v>
      </c>
      <c r="C137" s="34" t="s">
        <v>264</v>
      </c>
      <c r="D137" s="34" t="s">
        <v>88</v>
      </c>
      <c r="E137" s="36" t="s">
        <v>89</v>
      </c>
      <c r="F137" s="34" t="s">
        <v>36</v>
      </c>
      <c r="G137" s="37" t="n">
        <v>3070</v>
      </c>
      <c r="H137" s="37" t="n">
        <v>9</v>
      </c>
      <c r="I137" s="37" t="n">
        <f aca="false">IFERROR(ROUND('Data Bulanan'!AC32,0),0)</f>
        <v>44486</v>
      </c>
      <c r="J137" s="37" t="n">
        <v>2435011</v>
      </c>
      <c r="K137" s="37" t="n">
        <v>199002</v>
      </c>
      <c r="L137" s="38" t="n">
        <f aca="false">IFERROR(ROUND(SQRT(2*I137*J137/K137),0),0)</f>
        <v>1043</v>
      </c>
      <c r="M137" s="39" t="n">
        <f aca="false">IFERROR(AVERAGE('Data Bulanan'!F32,'Data Bulanan'!H32,'Data Bulanan'!J32,'Data Bulanan'!L32,'Data Bulanan'!N32,'Data Bulanan'!P32,'Data Bulanan'!R32,'Data Bulanan'!T32,'Data Bulanan'!V32,'Data Bulanan'!X32,'Data Bulanan'!Z32,'Data Bulanan'!AB32),0)</f>
        <v>118.540380184332</v>
      </c>
      <c r="N137" s="40" t="n">
        <f aca="false">'Data Bulanan'!AD32</f>
        <v>27.5555885965792</v>
      </c>
      <c r="O137" s="41" t="n">
        <f aca="false">IFERROR(N137*SQRT(H137),0)</f>
        <v>82.6667657897377</v>
      </c>
      <c r="P137" s="42" t="n">
        <f aca="false">IFERROR(ROUND(1.65*O137,0),0)</f>
        <v>136</v>
      </c>
      <c r="Q137" s="43" t="n">
        <f aca="false">IFERROR(ROUND(M137*H137+P137,0),0)</f>
        <v>1203</v>
      </c>
      <c r="R137" s="44" t="n">
        <f aca="false">G137-Q137</f>
        <v>1867</v>
      </c>
      <c r="S137" s="45" t="str">
        <f aca="false">IF(G137=0,"Stockout ⚠",IF(G137&lt;Q137,"Reorder 🔄",IF(G137&gt;Q137+L137,"Overstock 📦","Aman ✅")))</f>
        <v>Overstock 📦</v>
      </c>
      <c r="T137" s="46" t="n">
        <f aca="false">IFERROR(N137/AVERAGE(M137:M141),0)</f>
        <v>0.239700045386301</v>
      </c>
      <c r="U137" s="47" t="n">
        <v>-1302.27</v>
      </c>
      <c r="V137" s="48" t="n">
        <v>0.6057</v>
      </c>
    </row>
    <row r="138" customFormat="false" ht="15" hidden="false" customHeight="true" outlineLevel="0" collapsed="false">
      <c r="A138" s="34" t="n">
        <v>2</v>
      </c>
      <c r="B138" s="35" t="n">
        <v>2022</v>
      </c>
      <c r="C138" s="34" t="s">
        <v>264</v>
      </c>
      <c r="D138" s="34" t="s">
        <v>88</v>
      </c>
      <c r="E138" s="36" t="s">
        <v>89</v>
      </c>
      <c r="F138" s="34" t="s">
        <v>36</v>
      </c>
      <c r="G138" s="37" t="n">
        <v>0</v>
      </c>
      <c r="H138" s="37" t="n">
        <v>9</v>
      </c>
      <c r="I138" s="37" t="n">
        <f aca="false">IFERROR(ROUND('Data Bulanan'!BC32,0),0)</f>
        <v>44664</v>
      </c>
      <c r="J138" s="37" t="n">
        <v>2414671</v>
      </c>
      <c r="K138" s="37" t="n">
        <v>176601</v>
      </c>
      <c r="L138" s="38" t="n">
        <f aca="false">IFERROR(ROUND(SQRT(2*I138*J138/K138),0),0)</f>
        <v>1105</v>
      </c>
      <c r="M138" s="39" t="n">
        <f aca="false">IFERROR(AVERAGE('Data Bulanan'!AF32,'Data Bulanan'!AH32,'Data Bulanan'!AJ32,'Data Bulanan'!AL32,'Data Bulanan'!AN32,'Data Bulanan'!AP32,'Data Bulanan'!AR32,'Data Bulanan'!AT32,'Data Bulanan'!AV32,'Data Bulanan'!AX32,'Data Bulanan'!AZ32,'Data Bulanan'!BB32),0)</f>
        <v>118.85685483871</v>
      </c>
      <c r="N138" s="40" t="n">
        <f aca="false">'Data Bulanan'!BD32</f>
        <v>29.7945836648973</v>
      </c>
      <c r="O138" s="41" t="n">
        <f aca="false">IFERROR(N138*SQRT(H138),0)</f>
        <v>89.3837509946919</v>
      </c>
      <c r="P138" s="42" t="n">
        <f aca="false">IFERROR(ROUND(1.65*O138,0),0)</f>
        <v>147</v>
      </c>
      <c r="Q138" s="43" t="n">
        <f aca="false">IFERROR(ROUND(M138*H138+P138,0),0)</f>
        <v>1217</v>
      </c>
      <c r="R138" s="44" t="n">
        <f aca="false">G138-Q138</f>
        <v>-1217</v>
      </c>
      <c r="S138" s="45" t="str">
        <f aca="false">IF(G138=0,"Stockout ⚠",IF(G138&lt;Q138,"Reorder 🔄",IF(G138&gt;Q138+L138,"Overstock 📦","Aman ✅")))</f>
        <v>Stockout ⚠</v>
      </c>
      <c r="T138" s="46" t="n">
        <f aca="false">IFERROR(N138/AVERAGE(M137:M141),0)</f>
        <v>0.259176574352994</v>
      </c>
      <c r="U138" s="47" t="n">
        <v>-1302.27</v>
      </c>
      <c r="V138" s="48" t="n">
        <v>0.6057</v>
      </c>
    </row>
    <row r="139" customFormat="false" ht="15" hidden="false" customHeight="true" outlineLevel="0" collapsed="false">
      <c r="A139" s="34" t="n">
        <v>3</v>
      </c>
      <c r="B139" s="35" t="n">
        <v>2023</v>
      </c>
      <c r="C139" s="34" t="s">
        <v>264</v>
      </c>
      <c r="D139" s="34" t="s">
        <v>88</v>
      </c>
      <c r="E139" s="36" t="s">
        <v>89</v>
      </c>
      <c r="F139" s="34" t="s">
        <v>36</v>
      </c>
      <c r="G139" s="37" t="n">
        <v>1422</v>
      </c>
      <c r="H139" s="37" t="n">
        <v>9</v>
      </c>
      <c r="I139" s="37" t="n">
        <f aca="false">IFERROR(ROUND('Data Bulanan'!CC32,0),0)</f>
        <v>44999</v>
      </c>
      <c r="J139" s="37" t="n">
        <v>2303880</v>
      </c>
      <c r="K139" s="37" t="n">
        <v>185200</v>
      </c>
      <c r="L139" s="38" t="n">
        <f aca="false">IFERROR(ROUND(SQRT(2*I139*J139/K139),0),0)</f>
        <v>1058</v>
      </c>
      <c r="M139" s="39" t="n">
        <f aca="false">IFERROR(AVERAGE('Data Bulanan'!BF32,'Data Bulanan'!BH32,'Data Bulanan'!BJ32,'Data Bulanan'!BL32,'Data Bulanan'!BN32,'Data Bulanan'!BP32,'Data Bulanan'!BR32,'Data Bulanan'!BT32,'Data Bulanan'!BV32,'Data Bulanan'!BX32,'Data Bulanan'!BZ32,'Data Bulanan'!CB32),0)</f>
        <v>119.527470558116</v>
      </c>
      <c r="N139" s="40" t="n">
        <f aca="false">'Data Bulanan'!CD32</f>
        <v>28.8669688430075</v>
      </c>
      <c r="O139" s="41" t="n">
        <f aca="false">IFERROR(N139*SQRT(H139),0)</f>
        <v>86.6009065290224</v>
      </c>
      <c r="P139" s="42" t="n">
        <f aca="false">IFERROR(ROUND(1.65*O139,0),0)</f>
        <v>143</v>
      </c>
      <c r="Q139" s="43" t="n">
        <f aca="false">IFERROR(ROUND(M139*H139+P139,0),0)</f>
        <v>1219</v>
      </c>
      <c r="R139" s="44" t="n">
        <f aca="false">G139-Q139</f>
        <v>203</v>
      </c>
      <c r="S139" s="45" t="str">
        <f aca="false">IF(G139=0,"Stockout ⚠",IF(G139&lt;Q139,"Reorder 🔄",IF(G139&gt;Q139+L139,"Overstock 📦","Aman ✅")))</f>
        <v>Aman ✅</v>
      </c>
      <c r="T139" s="46" t="n">
        <f aca="false">IFERROR(N139/AVERAGE(M137:M141),0)</f>
        <v>0.251107455664831</v>
      </c>
      <c r="U139" s="47" t="n">
        <v>-1302.27</v>
      </c>
      <c r="V139" s="48" t="n">
        <v>0.6057</v>
      </c>
    </row>
    <row r="140" customFormat="false" ht="15" hidden="false" customHeight="true" outlineLevel="0" collapsed="false">
      <c r="A140" s="34" t="n">
        <v>4</v>
      </c>
      <c r="B140" s="35" t="n">
        <v>2024</v>
      </c>
      <c r="C140" s="34" t="s">
        <v>264</v>
      </c>
      <c r="D140" s="34" t="s">
        <v>88</v>
      </c>
      <c r="E140" s="36" t="s">
        <v>89</v>
      </c>
      <c r="F140" s="34" t="s">
        <v>36</v>
      </c>
      <c r="G140" s="37" t="n">
        <v>8229</v>
      </c>
      <c r="H140" s="37" t="n">
        <v>9</v>
      </c>
      <c r="I140" s="37" t="n">
        <f aca="false">IFERROR(ROUND('Data Bulanan'!DC32,0),0)</f>
        <v>43366</v>
      </c>
      <c r="J140" s="37" t="n">
        <v>2346911</v>
      </c>
      <c r="K140" s="37" t="n">
        <v>204884</v>
      </c>
      <c r="L140" s="38" t="n">
        <f aca="false">IFERROR(ROUND(SQRT(2*I140*J140/K140),0),0)</f>
        <v>997</v>
      </c>
      <c r="M140" s="39" t="n">
        <f aca="false">IFERROR(AVERAGE('Data Bulanan'!CF32,'Data Bulanan'!CH32,'Data Bulanan'!CJ32,'Data Bulanan'!CL32,'Data Bulanan'!CN32,'Data Bulanan'!CP32,'Data Bulanan'!CR32,'Data Bulanan'!CT32,'Data Bulanan'!CV32,'Data Bulanan'!CX32,'Data Bulanan'!CZ32,'Data Bulanan'!DB32),0)</f>
        <v>115.276094470046</v>
      </c>
      <c r="N140" s="40" t="n">
        <f aca="false">'Data Bulanan'!DD32</f>
        <v>21.3930527404822</v>
      </c>
      <c r="O140" s="41" t="n">
        <f aca="false">IFERROR(N140*SQRT(H140),0)</f>
        <v>64.1791582214465</v>
      </c>
      <c r="P140" s="42" t="n">
        <f aca="false">IFERROR(ROUND(1.65*O140,0),0)</f>
        <v>106</v>
      </c>
      <c r="Q140" s="43" t="n">
        <f aca="false">IFERROR(ROUND(M140*H140+P140,0),0)</f>
        <v>1143</v>
      </c>
      <c r="R140" s="44" t="n">
        <f aca="false">G140-Q140</f>
        <v>7086</v>
      </c>
      <c r="S140" s="45" t="str">
        <f aca="false">IF(G140=0,"Stockout ⚠",IF(G140&lt;Q140,"Reorder 🔄",IF(G140&gt;Q140+L140,"Overstock 📦","Aman ✅")))</f>
        <v>Overstock 📦</v>
      </c>
      <c r="T140" s="46" t="n">
        <f aca="false">IFERROR(N140/AVERAGE(M137:M141),0)</f>
        <v>0.186093492246495</v>
      </c>
      <c r="U140" s="47" t="n">
        <v>-1302.27</v>
      </c>
      <c r="V140" s="48" t="n">
        <v>0.6057</v>
      </c>
    </row>
    <row r="141" customFormat="false" ht="15" hidden="false" customHeight="true" outlineLevel="0" collapsed="false">
      <c r="A141" s="34" t="n">
        <v>5</v>
      </c>
      <c r="B141" s="35" t="n">
        <v>2025</v>
      </c>
      <c r="C141" s="34" t="s">
        <v>264</v>
      </c>
      <c r="D141" s="34" t="s">
        <v>88</v>
      </c>
      <c r="E141" s="36" t="s">
        <v>89</v>
      </c>
      <c r="F141" s="34" t="s">
        <v>36</v>
      </c>
      <c r="G141" s="37" t="n">
        <v>2586</v>
      </c>
      <c r="H141" s="37" t="n">
        <v>9</v>
      </c>
      <c r="I141" s="37" t="n">
        <f aca="false">IFERROR(ROUND('Data Bulanan'!EC32,0),0)</f>
        <v>38624</v>
      </c>
      <c r="J141" s="37" t="n">
        <v>2357672</v>
      </c>
      <c r="K141" s="37" t="n">
        <v>206497</v>
      </c>
      <c r="L141" s="38" t="n">
        <f aca="false">IFERROR(ROUND(SQRT(2*I141*J141/K141),0),0)</f>
        <v>939</v>
      </c>
      <c r="M141" s="39" t="n">
        <f aca="false">IFERROR(AVERAGE('Data Bulanan'!DF32,'Data Bulanan'!DH32,'Data Bulanan'!DJ32,'Data Bulanan'!DL32,'Data Bulanan'!DN32,'Data Bulanan'!DP32,'Data Bulanan'!DR32,'Data Bulanan'!DT32,'Data Bulanan'!DV32,'Data Bulanan'!DX32,'Data Bulanan'!DZ32,'Data Bulanan'!EB32),0)</f>
        <v>102.592345110087</v>
      </c>
      <c r="N141" s="40" t="n">
        <f aca="false">'Data Bulanan'!ED32</f>
        <v>21.3990018008847</v>
      </c>
      <c r="O141" s="41" t="n">
        <f aca="false">IFERROR(N141*SQRT(H141),0)</f>
        <v>64.197005402654</v>
      </c>
      <c r="P141" s="42" t="n">
        <f aca="false">IFERROR(ROUND(1.65*O141,0),0)</f>
        <v>106</v>
      </c>
      <c r="Q141" s="43" t="n">
        <f aca="false">IFERROR(ROUND(M141*H141+P141,0),0)</f>
        <v>1029</v>
      </c>
      <c r="R141" s="44" t="n">
        <f aca="false">G141-Q141</f>
        <v>1557</v>
      </c>
      <c r="S141" s="45" t="str">
        <f aca="false">IF(G141=0,"Stockout ⚠",IF(G141&lt;Q141,"Reorder 🔄",IF(G141&gt;Q141+L141,"Overstock 📦","Aman ✅")))</f>
        <v>Overstock 📦</v>
      </c>
      <c r="T141" s="46" t="n">
        <f aca="false">IFERROR(N141/AVERAGE(M137:M141),0)</f>
        <v>0.186145241823299</v>
      </c>
      <c r="U141" s="47" t="n">
        <v>-1302.27</v>
      </c>
      <c r="V141" s="48" t="n">
        <v>0.6057</v>
      </c>
    </row>
    <row r="142" customFormat="false" ht="15" hidden="false" customHeight="true" outlineLevel="0" collapsed="false">
      <c r="A142" s="49" t="n">
        <v>1</v>
      </c>
      <c r="B142" s="35" t="n">
        <v>2021</v>
      </c>
      <c r="C142" s="49" t="s">
        <v>263</v>
      </c>
      <c r="D142" s="49" t="s">
        <v>90</v>
      </c>
      <c r="E142" s="50" t="s">
        <v>91</v>
      </c>
      <c r="F142" s="49" t="s">
        <v>36</v>
      </c>
      <c r="G142" s="37" t="n">
        <v>1418</v>
      </c>
      <c r="H142" s="37" t="n">
        <v>10</v>
      </c>
      <c r="I142" s="37" t="n">
        <f aca="false">IFERROR(ROUND('Data Bulanan'!AC33,0),0)</f>
        <v>18246</v>
      </c>
      <c r="J142" s="37" t="n">
        <v>780175</v>
      </c>
      <c r="K142" s="37" t="n">
        <v>294147</v>
      </c>
      <c r="L142" s="38" t="n">
        <f aca="false">IFERROR(ROUND(SQRT(2*I142*J142/K142),0),0)</f>
        <v>311</v>
      </c>
      <c r="M142" s="39" t="n">
        <f aca="false">IFERROR(AVERAGE('Data Bulanan'!F33,'Data Bulanan'!H33,'Data Bulanan'!J33,'Data Bulanan'!L33,'Data Bulanan'!N33,'Data Bulanan'!P33,'Data Bulanan'!R33,'Data Bulanan'!T33,'Data Bulanan'!V33,'Data Bulanan'!X33,'Data Bulanan'!Z33,'Data Bulanan'!AB33),0)</f>
        <v>48.6341205837174</v>
      </c>
      <c r="N142" s="40" t="n">
        <f aca="false">'Data Bulanan'!AD33</f>
        <v>10.6793504896899</v>
      </c>
      <c r="O142" s="41" t="n">
        <f aca="false">IFERROR(N142*SQRT(H142),0)</f>
        <v>33.7710714786546</v>
      </c>
      <c r="P142" s="42" t="n">
        <f aca="false">IFERROR(ROUND(1.65*O142,0),0)</f>
        <v>56</v>
      </c>
      <c r="Q142" s="43" t="n">
        <f aca="false">IFERROR(ROUND(M142*H142+P142,0),0)</f>
        <v>542</v>
      </c>
      <c r="R142" s="44" t="n">
        <f aca="false">G142-Q142</f>
        <v>876</v>
      </c>
      <c r="S142" s="45" t="str">
        <f aca="false">IF(G142=0,"Stockout ⚠",IF(G142&lt;Q142,"Reorder 🔄",IF(G142&gt;Q142+L142,"Overstock 📦","Aman ✅")))</f>
        <v>Overstock 📦</v>
      </c>
      <c r="T142" s="46" t="n">
        <f aca="false">IFERROR(N142/AVERAGE(M142:M146),0)</f>
        <v>0.211235118204033</v>
      </c>
      <c r="U142" s="47" t="n">
        <v>-46.23</v>
      </c>
      <c r="V142" s="48" t="n">
        <v>0.0017</v>
      </c>
    </row>
    <row r="143" customFormat="false" ht="15" hidden="false" customHeight="true" outlineLevel="0" collapsed="false">
      <c r="A143" s="49" t="n">
        <v>2</v>
      </c>
      <c r="B143" s="35" t="n">
        <v>2022</v>
      </c>
      <c r="C143" s="49" t="s">
        <v>263</v>
      </c>
      <c r="D143" s="49" t="s">
        <v>90</v>
      </c>
      <c r="E143" s="50" t="s">
        <v>91</v>
      </c>
      <c r="F143" s="49" t="s">
        <v>36</v>
      </c>
      <c r="G143" s="37" t="n">
        <v>1119</v>
      </c>
      <c r="H143" s="37" t="n">
        <v>10</v>
      </c>
      <c r="I143" s="37" t="n">
        <f aca="false">IFERROR(ROUND('Data Bulanan'!BC33,0),0)</f>
        <v>19551</v>
      </c>
      <c r="J143" s="37" t="n">
        <v>803674</v>
      </c>
      <c r="K143" s="37" t="n">
        <v>272198</v>
      </c>
      <c r="L143" s="38" t="n">
        <f aca="false">IFERROR(ROUND(SQRT(2*I143*J143/K143),0),0)</f>
        <v>340</v>
      </c>
      <c r="M143" s="39" t="n">
        <f aca="false">IFERROR(AVERAGE('Data Bulanan'!AF33,'Data Bulanan'!AH33,'Data Bulanan'!AJ33,'Data Bulanan'!AL33,'Data Bulanan'!AN33,'Data Bulanan'!AP33,'Data Bulanan'!AR33,'Data Bulanan'!AT33,'Data Bulanan'!AV33,'Data Bulanan'!AX33,'Data Bulanan'!AZ33,'Data Bulanan'!BB33),0)</f>
        <v>52.0907962109575</v>
      </c>
      <c r="N143" s="40" t="n">
        <f aca="false">'Data Bulanan'!BD33</f>
        <v>12.9999243725941</v>
      </c>
      <c r="O143" s="41" t="n">
        <f aca="false">IFERROR(N143*SQRT(H143),0)</f>
        <v>41.1093704273326</v>
      </c>
      <c r="P143" s="42" t="n">
        <f aca="false">IFERROR(ROUND(1.65*O143,0),0)</f>
        <v>68</v>
      </c>
      <c r="Q143" s="43" t="n">
        <f aca="false">IFERROR(ROUND(M143*H143+P143,0),0)</f>
        <v>589</v>
      </c>
      <c r="R143" s="44" t="n">
        <f aca="false">G143-Q143</f>
        <v>530</v>
      </c>
      <c r="S143" s="45" t="str">
        <f aca="false">IF(G143=0,"Stockout ⚠",IF(G143&lt;Q143,"Reorder 🔄",IF(G143&gt;Q143+L143,"Overstock 📦","Aman ✅")))</f>
        <v>Overstock 📦</v>
      </c>
      <c r="T143" s="46" t="n">
        <f aca="false">IFERROR(N143/AVERAGE(M142:M146),0)</f>
        <v>0.257135540606096</v>
      </c>
      <c r="U143" s="47" t="n">
        <v>-46.23</v>
      </c>
      <c r="V143" s="48" t="n">
        <v>0.0017</v>
      </c>
    </row>
    <row r="144" customFormat="false" ht="15" hidden="false" customHeight="true" outlineLevel="0" collapsed="false">
      <c r="A144" s="49" t="n">
        <v>3</v>
      </c>
      <c r="B144" s="35" t="n">
        <v>2023</v>
      </c>
      <c r="C144" s="49" t="s">
        <v>263</v>
      </c>
      <c r="D144" s="49" t="s">
        <v>90</v>
      </c>
      <c r="E144" s="50" t="s">
        <v>91</v>
      </c>
      <c r="F144" s="49" t="s">
        <v>36</v>
      </c>
      <c r="G144" s="37" t="n">
        <v>0</v>
      </c>
      <c r="H144" s="37" t="n">
        <v>10</v>
      </c>
      <c r="I144" s="37" t="n">
        <f aca="false">IFERROR(ROUND('Data Bulanan'!CC33,0),0)</f>
        <v>18498</v>
      </c>
      <c r="J144" s="37" t="n">
        <v>745255</v>
      </c>
      <c r="K144" s="37" t="n">
        <v>257759</v>
      </c>
      <c r="L144" s="38" t="n">
        <f aca="false">IFERROR(ROUND(SQRT(2*I144*J144/K144),0),0)</f>
        <v>327</v>
      </c>
      <c r="M144" s="39" t="n">
        <f aca="false">IFERROR(AVERAGE('Data Bulanan'!BF33,'Data Bulanan'!BH33,'Data Bulanan'!BJ33,'Data Bulanan'!BL33,'Data Bulanan'!BN33,'Data Bulanan'!BP33,'Data Bulanan'!BR33,'Data Bulanan'!BT33,'Data Bulanan'!BV33,'Data Bulanan'!BX33,'Data Bulanan'!BZ33,'Data Bulanan'!CB33),0)</f>
        <v>49.3402969790067</v>
      </c>
      <c r="N144" s="40" t="n">
        <f aca="false">'Data Bulanan'!CD33</f>
        <v>9.14106002057628</v>
      </c>
      <c r="O144" s="41" t="n">
        <f aca="false">IFERROR(N144*SQRT(H144),0)</f>
        <v>28.9065698933267</v>
      </c>
      <c r="P144" s="42" t="n">
        <f aca="false">IFERROR(ROUND(1.65*O144,0),0)</f>
        <v>48</v>
      </c>
      <c r="Q144" s="43" t="n">
        <f aca="false">IFERROR(ROUND(M144*H144+P144,0),0)</f>
        <v>541</v>
      </c>
      <c r="R144" s="44" t="n">
        <f aca="false">G144-Q144</f>
        <v>-541</v>
      </c>
      <c r="S144" s="45" t="str">
        <f aca="false">IF(G144=0,"Stockout ⚠",IF(G144&lt;Q144,"Reorder 🔄",IF(G144&gt;Q144+L144,"Overstock 📦","Aman ✅")))</f>
        <v>Stockout ⚠</v>
      </c>
      <c r="T144" s="46" t="n">
        <f aca="false">IFERROR(N144/AVERAGE(M142:M146),0)</f>
        <v>0.180808083396152</v>
      </c>
      <c r="U144" s="47" t="n">
        <v>-46.23</v>
      </c>
      <c r="V144" s="48" t="n">
        <v>0.0017</v>
      </c>
    </row>
    <row r="145" customFormat="false" ht="15" hidden="false" customHeight="true" outlineLevel="0" collapsed="false">
      <c r="A145" s="49" t="n">
        <v>4</v>
      </c>
      <c r="B145" s="35" t="n">
        <v>2024</v>
      </c>
      <c r="C145" s="49" t="s">
        <v>263</v>
      </c>
      <c r="D145" s="49" t="s">
        <v>90</v>
      </c>
      <c r="E145" s="50" t="s">
        <v>91</v>
      </c>
      <c r="F145" s="49" t="s">
        <v>36</v>
      </c>
      <c r="G145" s="37" t="n">
        <v>1802</v>
      </c>
      <c r="H145" s="37" t="n">
        <v>10</v>
      </c>
      <c r="I145" s="37" t="n">
        <f aca="false">IFERROR(ROUND('Data Bulanan'!DC33,0),0)</f>
        <v>21666</v>
      </c>
      <c r="J145" s="37" t="n">
        <v>821947</v>
      </c>
      <c r="K145" s="37" t="n">
        <v>244990</v>
      </c>
      <c r="L145" s="38" t="n">
        <f aca="false">IFERROR(ROUND(SQRT(2*I145*J145/K145),0),0)</f>
        <v>381</v>
      </c>
      <c r="M145" s="39" t="n">
        <f aca="false">IFERROR(AVERAGE('Data Bulanan'!CF33,'Data Bulanan'!CH33,'Data Bulanan'!CJ33,'Data Bulanan'!CL33,'Data Bulanan'!CN33,'Data Bulanan'!CP33,'Data Bulanan'!CR33,'Data Bulanan'!CT33,'Data Bulanan'!CV33,'Data Bulanan'!CX33,'Data Bulanan'!CZ33,'Data Bulanan'!DB33),0)</f>
        <v>57.469930875576</v>
      </c>
      <c r="N145" s="40" t="n">
        <f aca="false">'Data Bulanan'!DD33</f>
        <v>14.3331970068035</v>
      </c>
      <c r="O145" s="41" t="n">
        <f aca="false">IFERROR(N145*SQRT(H145),0)</f>
        <v>45.3255486934069</v>
      </c>
      <c r="P145" s="42" t="n">
        <f aca="false">IFERROR(ROUND(1.65*O145,0),0)</f>
        <v>75</v>
      </c>
      <c r="Q145" s="43" t="n">
        <f aca="false">IFERROR(ROUND(M145*H145+P145,0),0)</f>
        <v>650</v>
      </c>
      <c r="R145" s="44" t="n">
        <f aca="false">G145-Q145</f>
        <v>1152</v>
      </c>
      <c r="S145" s="45" t="str">
        <f aca="false">IF(G145=0,"Stockout ⚠",IF(G145&lt;Q145,"Reorder 🔄",IF(G145&gt;Q145+L145,"Overstock 📦","Aman ✅")))</f>
        <v>Overstock 📦</v>
      </c>
      <c r="T145" s="46" t="n">
        <f aca="false">IFERROR(N145/AVERAGE(M142:M146),0)</f>
        <v>0.28350736937577</v>
      </c>
      <c r="U145" s="47" t="n">
        <v>-46.23</v>
      </c>
      <c r="V145" s="48" t="n">
        <v>0.0017</v>
      </c>
    </row>
    <row r="146" customFormat="false" ht="15" hidden="false" customHeight="true" outlineLevel="0" collapsed="false">
      <c r="A146" s="49" t="n">
        <v>5</v>
      </c>
      <c r="B146" s="35" t="n">
        <v>2025</v>
      </c>
      <c r="C146" s="49" t="s">
        <v>263</v>
      </c>
      <c r="D146" s="49" t="s">
        <v>90</v>
      </c>
      <c r="E146" s="50" t="s">
        <v>91</v>
      </c>
      <c r="F146" s="49" t="s">
        <v>36</v>
      </c>
      <c r="G146" s="37" t="n">
        <v>0</v>
      </c>
      <c r="H146" s="37" t="n">
        <v>10</v>
      </c>
      <c r="I146" s="37" t="n">
        <f aca="false">IFERROR(ROUND('Data Bulanan'!EC33,0),0)</f>
        <v>16958</v>
      </c>
      <c r="J146" s="37" t="n">
        <v>757874</v>
      </c>
      <c r="K146" s="37" t="n">
        <v>251379</v>
      </c>
      <c r="L146" s="38" t="n">
        <f aca="false">IFERROR(ROUND(SQRT(2*I146*J146/K146),0),0)</f>
        <v>320</v>
      </c>
      <c r="M146" s="39" t="n">
        <f aca="false">IFERROR(AVERAGE('Data Bulanan'!DF33,'Data Bulanan'!DH33,'Data Bulanan'!DJ33,'Data Bulanan'!DL33,'Data Bulanan'!DN33,'Data Bulanan'!DP33,'Data Bulanan'!DR33,'Data Bulanan'!DT33,'Data Bulanan'!DV33,'Data Bulanan'!DX33,'Data Bulanan'!DZ33,'Data Bulanan'!EB33),0)</f>
        <v>45.2483550947261</v>
      </c>
      <c r="N146" s="40" t="n">
        <f aca="false">'Data Bulanan'!ED33</f>
        <v>9.88331378811349</v>
      </c>
      <c r="O146" s="41" t="n">
        <f aca="false">IFERROR(N146*SQRT(H146),0)</f>
        <v>31.2537824005854</v>
      </c>
      <c r="P146" s="42" t="n">
        <f aca="false">IFERROR(ROUND(1.65*O146,0),0)</f>
        <v>52</v>
      </c>
      <c r="Q146" s="43" t="n">
        <f aca="false">IFERROR(ROUND(M146*H146+P146,0),0)</f>
        <v>504</v>
      </c>
      <c r="R146" s="44" t="n">
        <f aca="false">G146-Q146</f>
        <v>-504</v>
      </c>
      <c r="S146" s="45" t="str">
        <f aca="false">IF(G146=0,"Stockout ⚠",IF(G146&lt;Q146,"Reorder 🔄",IF(G146&gt;Q146+L146,"Overstock 📦","Aman ✅")))</f>
        <v>Stockout ⚠</v>
      </c>
      <c r="T146" s="46" t="n">
        <f aca="false">IFERROR(N146/AVERAGE(M142:M146),0)</f>
        <v>0.195489693712667</v>
      </c>
      <c r="U146" s="47" t="n">
        <v>-46.23</v>
      </c>
      <c r="V146" s="48" t="n">
        <v>0.0017</v>
      </c>
    </row>
    <row r="147" customFormat="false" ht="15" hidden="false" customHeight="true" outlineLevel="0" collapsed="false">
      <c r="A147" s="34" t="n">
        <v>1</v>
      </c>
      <c r="B147" s="35" t="n">
        <v>2021</v>
      </c>
      <c r="C147" s="34" t="s">
        <v>264</v>
      </c>
      <c r="D147" s="34" t="s">
        <v>92</v>
      </c>
      <c r="E147" s="36" t="s">
        <v>93</v>
      </c>
      <c r="F147" s="34" t="s">
        <v>36</v>
      </c>
      <c r="G147" s="37" t="n">
        <v>0</v>
      </c>
      <c r="H147" s="37" t="n">
        <v>38</v>
      </c>
      <c r="I147" s="37" t="n">
        <f aca="false">IFERROR(ROUND('Data Bulanan'!AC34,0),0)</f>
        <v>16336</v>
      </c>
      <c r="J147" s="37" t="n">
        <v>9747343</v>
      </c>
      <c r="K147" s="37" t="n">
        <v>259502</v>
      </c>
      <c r="L147" s="38" t="n">
        <f aca="false">IFERROR(ROUND(SQRT(2*I147*J147/K147),0),0)</f>
        <v>1108</v>
      </c>
      <c r="M147" s="39" t="n">
        <f aca="false">IFERROR(AVERAGE('Data Bulanan'!F34,'Data Bulanan'!H34,'Data Bulanan'!J34,'Data Bulanan'!L34,'Data Bulanan'!N34,'Data Bulanan'!P34,'Data Bulanan'!R34,'Data Bulanan'!T34,'Data Bulanan'!V34,'Data Bulanan'!X34,'Data Bulanan'!Z34,'Data Bulanan'!AB34),0)</f>
        <v>43.5549603174603</v>
      </c>
      <c r="N147" s="40" t="n">
        <f aca="false">'Data Bulanan'!AD34</f>
        <v>9.7055031386061</v>
      </c>
      <c r="O147" s="41" t="n">
        <f aca="false">IFERROR(N147*SQRT(H147),0)</f>
        <v>59.8287394534828</v>
      </c>
      <c r="P147" s="42" t="n">
        <f aca="false">IFERROR(ROUND(1.65*O147,0),0)</f>
        <v>99</v>
      </c>
      <c r="Q147" s="43" t="n">
        <f aca="false">IFERROR(ROUND(M147*H147+P147,0),0)</f>
        <v>1754</v>
      </c>
      <c r="R147" s="44" t="n">
        <f aca="false">G147-Q147</f>
        <v>-1754</v>
      </c>
      <c r="S147" s="45" t="str">
        <f aca="false">IF(G147=0,"Stockout ⚠",IF(G147&lt;Q147,"Reorder 🔄",IF(G147&gt;Q147+L147,"Overstock 📦","Aman ✅")))</f>
        <v>Stockout ⚠</v>
      </c>
      <c r="T147" s="46" t="n">
        <f aca="false">IFERROR(N147/AVERAGE(M147:M151),0)</f>
        <v>0.227705968021953</v>
      </c>
      <c r="U147" s="47" t="n">
        <v>67.69</v>
      </c>
      <c r="V147" s="48" t="n">
        <v>0.0108</v>
      </c>
    </row>
    <row r="148" customFormat="false" ht="15" hidden="false" customHeight="true" outlineLevel="0" collapsed="false">
      <c r="A148" s="34" t="n">
        <v>2</v>
      </c>
      <c r="B148" s="35" t="n">
        <v>2022</v>
      </c>
      <c r="C148" s="34" t="s">
        <v>264</v>
      </c>
      <c r="D148" s="34" t="s">
        <v>92</v>
      </c>
      <c r="E148" s="36" t="s">
        <v>93</v>
      </c>
      <c r="F148" s="34" t="s">
        <v>36</v>
      </c>
      <c r="G148" s="37" t="n">
        <v>4995</v>
      </c>
      <c r="H148" s="37" t="n">
        <v>38</v>
      </c>
      <c r="I148" s="37" t="n">
        <f aca="false">IFERROR(ROUND('Data Bulanan'!BC34,0),0)</f>
        <v>15705</v>
      </c>
      <c r="J148" s="37" t="n">
        <v>8304171</v>
      </c>
      <c r="K148" s="37" t="n">
        <v>251004</v>
      </c>
      <c r="L148" s="38" t="n">
        <f aca="false">IFERROR(ROUND(SQRT(2*I148*J148/K148),0),0)</f>
        <v>1019</v>
      </c>
      <c r="M148" s="39" t="n">
        <f aca="false">IFERROR(AVERAGE('Data Bulanan'!AF34,'Data Bulanan'!AH34,'Data Bulanan'!AJ34,'Data Bulanan'!AL34,'Data Bulanan'!AN34,'Data Bulanan'!AP34,'Data Bulanan'!AR34,'Data Bulanan'!AT34,'Data Bulanan'!AV34,'Data Bulanan'!AX34,'Data Bulanan'!AZ34,'Data Bulanan'!BB34),0)</f>
        <v>41.8328853046595</v>
      </c>
      <c r="N148" s="40" t="n">
        <f aca="false">'Data Bulanan'!BD34</f>
        <v>6.98421433131126</v>
      </c>
      <c r="O148" s="41" t="n">
        <f aca="false">IFERROR(N148*SQRT(H148),0)</f>
        <v>43.0535886236718</v>
      </c>
      <c r="P148" s="42" t="n">
        <f aca="false">IFERROR(ROUND(1.65*O148,0),0)</f>
        <v>71</v>
      </c>
      <c r="Q148" s="43" t="n">
        <f aca="false">IFERROR(ROUND(M148*H148+P148,0),0)</f>
        <v>1661</v>
      </c>
      <c r="R148" s="44" t="n">
        <f aca="false">G148-Q148</f>
        <v>3334</v>
      </c>
      <c r="S148" s="45" t="str">
        <f aca="false">IF(G148=0,"Stockout ⚠",IF(G148&lt;Q148,"Reorder 🔄",IF(G148&gt;Q148+L148,"Overstock 📦","Aman ✅")))</f>
        <v>Overstock 📦</v>
      </c>
      <c r="T148" s="46" t="n">
        <f aca="false">IFERROR(N148/AVERAGE(M147:M151),0)</f>
        <v>0.163860364833434</v>
      </c>
      <c r="U148" s="47" t="n">
        <v>67.69</v>
      </c>
      <c r="V148" s="48" t="n">
        <v>0.0108</v>
      </c>
    </row>
    <row r="149" customFormat="false" ht="15" hidden="false" customHeight="true" outlineLevel="0" collapsed="false">
      <c r="A149" s="34" t="n">
        <v>3</v>
      </c>
      <c r="B149" s="35" t="n">
        <v>2023</v>
      </c>
      <c r="C149" s="34" t="s">
        <v>264</v>
      </c>
      <c r="D149" s="34" t="s">
        <v>92</v>
      </c>
      <c r="E149" s="36" t="s">
        <v>93</v>
      </c>
      <c r="F149" s="34" t="s">
        <v>36</v>
      </c>
      <c r="G149" s="37" t="n">
        <v>7202</v>
      </c>
      <c r="H149" s="37" t="n">
        <v>38</v>
      </c>
      <c r="I149" s="37" t="n">
        <f aca="false">IFERROR(ROUND('Data Bulanan'!CC34,0),0)</f>
        <v>14721</v>
      </c>
      <c r="J149" s="37" t="n">
        <v>9067126</v>
      </c>
      <c r="K149" s="37" t="n">
        <v>257879</v>
      </c>
      <c r="L149" s="38" t="n">
        <f aca="false">IFERROR(ROUND(SQRT(2*I149*J149/K149),0),0)</f>
        <v>1017</v>
      </c>
      <c r="M149" s="39" t="n">
        <f aca="false">IFERROR(AVERAGE('Data Bulanan'!BF34,'Data Bulanan'!BH34,'Data Bulanan'!BJ34,'Data Bulanan'!BL34,'Data Bulanan'!BN34,'Data Bulanan'!BP34,'Data Bulanan'!BR34,'Data Bulanan'!BT34,'Data Bulanan'!BV34,'Data Bulanan'!BX34,'Data Bulanan'!BZ34,'Data Bulanan'!CB34),0)</f>
        <v>39.2640104966718</v>
      </c>
      <c r="N149" s="40" t="n">
        <f aca="false">'Data Bulanan'!CD34</f>
        <v>8.54782145427016</v>
      </c>
      <c r="O149" s="41" t="n">
        <f aca="false">IFERROR(N149*SQRT(H149),0)</f>
        <v>52.6923102675816</v>
      </c>
      <c r="P149" s="42" t="n">
        <f aca="false">IFERROR(ROUND(1.65*O149,0),0)</f>
        <v>87</v>
      </c>
      <c r="Q149" s="43" t="n">
        <f aca="false">IFERROR(ROUND(M149*H149+P149,0),0)</f>
        <v>1579</v>
      </c>
      <c r="R149" s="44" t="n">
        <f aca="false">G149-Q149</f>
        <v>5623</v>
      </c>
      <c r="S149" s="45" t="str">
        <f aca="false">IF(G149=0,"Stockout ⚠",IF(G149&lt;Q149,"Reorder 🔄",IF(G149&gt;Q149+L149,"Overstock 📦","Aman ✅")))</f>
        <v>Overstock 📦</v>
      </c>
      <c r="T149" s="46" t="n">
        <f aca="false">IFERROR(N149/AVERAGE(M147:M151),0)</f>
        <v>0.200544982668765</v>
      </c>
      <c r="U149" s="47" t="n">
        <v>67.69</v>
      </c>
      <c r="V149" s="48" t="n">
        <v>0.0108</v>
      </c>
    </row>
    <row r="150" customFormat="false" ht="15" hidden="false" customHeight="true" outlineLevel="0" collapsed="false">
      <c r="A150" s="34" t="n">
        <v>4</v>
      </c>
      <c r="B150" s="35" t="n">
        <v>2024</v>
      </c>
      <c r="C150" s="34" t="s">
        <v>264</v>
      </c>
      <c r="D150" s="34" t="s">
        <v>92</v>
      </c>
      <c r="E150" s="36" t="s">
        <v>93</v>
      </c>
      <c r="F150" s="34" t="s">
        <v>36</v>
      </c>
      <c r="G150" s="37" t="n">
        <v>10488</v>
      </c>
      <c r="H150" s="37" t="n">
        <v>38</v>
      </c>
      <c r="I150" s="37" t="n">
        <f aca="false">IFERROR(ROUND('Data Bulanan'!DC34,0),0)</f>
        <v>17536</v>
      </c>
      <c r="J150" s="37" t="n">
        <v>8479067</v>
      </c>
      <c r="K150" s="37" t="n">
        <v>221137</v>
      </c>
      <c r="L150" s="38" t="n">
        <f aca="false">IFERROR(ROUND(SQRT(2*I150*J150/K150),0),0)</f>
        <v>1160</v>
      </c>
      <c r="M150" s="39" t="n">
        <f aca="false">IFERROR(AVERAGE('Data Bulanan'!CF34,'Data Bulanan'!CH34,'Data Bulanan'!CJ34,'Data Bulanan'!CL34,'Data Bulanan'!CN34,'Data Bulanan'!CP34,'Data Bulanan'!CR34,'Data Bulanan'!CT34,'Data Bulanan'!CV34,'Data Bulanan'!CX34,'Data Bulanan'!CZ34,'Data Bulanan'!DB34),0)</f>
        <v>46.6020225294419</v>
      </c>
      <c r="N150" s="40" t="n">
        <f aca="false">'Data Bulanan'!DD34</f>
        <v>7.90020258486744</v>
      </c>
      <c r="O150" s="41" t="n">
        <f aca="false">IFERROR(N150*SQRT(H150),0)</f>
        <v>48.7001194404486</v>
      </c>
      <c r="P150" s="42" t="n">
        <f aca="false">IFERROR(ROUND(1.65*O150,0),0)</f>
        <v>80</v>
      </c>
      <c r="Q150" s="43" t="n">
        <f aca="false">IFERROR(ROUND(M150*H150+P150,0),0)</f>
        <v>1851</v>
      </c>
      <c r="R150" s="44" t="n">
        <f aca="false">G150-Q150</f>
        <v>8637</v>
      </c>
      <c r="S150" s="45" t="str">
        <f aca="false">IF(G150=0,"Stockout ⚠",IF(G150&lt;Q150,"Reorder 🔄",IF(G150&gt;Q150+L150,"Overstock 📦","Aman ✅")))</f>
        <v>Overstock 📦</v>
      </c>
      <c r="T150" s="46" t="n">
        <f aca="false">IFERROR(N150/AVERAGE(M147:M151),0)</f>
        <v>0.185350852136774</v>
      </c>
      <c r="U150" s="47" t="n">
        <v>67.69</v>
      </c>
      <c r="V150" s="48" t="n">
        <v>0.0108</v>
      </c>
    </row>
    <row r="151" customFormat="false" ht="15" hidden="false" customHeight="true" outlineLevel="0" collapsed="false">
      <c r="A151" s="34" t="n">
        <v>5</v>
      </c>
      <c r="B151" s="35" t="n">
        <v>2025</v>
      </c>
      <c r="C151" s="34" t="s">
        <v>264</v>
      </c>
      <c r="D151" s="34" t="s">
        <v>92</v>
      </c>
      <c r="E151" s="36" t="s">
        <v>93</v>
      </c>
      <c r="F151" s="34" t="s">
        <v>36</v>
      </c>
      <c r="G151" s="37" t="n">
        <v>2683</v>
      </c>
      <c r="H151" s="37" t="n">
        <v>38</v>
      </c>
      <c r="I151" s="37" t="n">
        <f aca="false">IFERROR(ROUND('Data Bulanan'!EC34,0),0)</f>
        <v>15759</v>
      </c>
      <c r="J151" s="37" t="n">
        <v>8589748</v>
      </c>
      <c r="K151" s="37" t="n">
        <v>237006</v>
      </c>
      <c r="L151" s="38" t="n">
        <f aca="false">IFERROR(ROUND(SQRT(2*I151*J151/K151),0),0)</f>
        <v>1069</v>
      </c>
      <c r="M151" s="39" t="n">
        <f aca="false">IFERROR(AVERAGE('Data Bulanan'!DF34,'Data Bulanan'!DH34,'Data Bulanan'!DJ34,'Data Bulanan'!DL34,'Data Bulanan'!DN34,'Data Bulanan'!DP34,'Data Bulanan'!DR34,'Data Bulanan'!DT34,'Data Bulanan'!DV34,'Data Bulanan'!DX34,'Data Bulanan'!DZ34,'Data Bulanan'!EB34),0)</f>
        <v>41.8609383000512</v>
      </c>
      <c r="N151" s="40" t="n">
        <f aca="false">'Data Bulanan'!ED34</f>
        <v>11.5214167758708</v>
      </c>
      <c r="O151" s="41" t="n">
        <f aca="false">IFERROR(N151*SQRT(H151),0)</f>
        <v>71.0227829072198</v>
      </c>
      <c r="P151" s="42" t="n">
        <f aca="false">IFERROR(ROUND(1.65*O151,0),0)</f>
        <v>117</v>
      </c>
      <c r="Q151" s="43" t="n">
        <f aca="false">IFERROR(ROUND(M151*H151+P151,0),0)</f>
        <v>1708</v>
      </c>
      <c r="R151" s="44" t="n">
        <f aca="false">G151-Q151</f>
        <v>975</v>
      </c>
      <c r="S151" s="45" t="str">
        <f aca="false">IF(G151=0,"Stockout ⚠",IF(G151&lt;Q151,"Reorder 🔄",IF(G151&gt;Q151+L151,"Overstock 📦","Aman ✅")))</f>
        <v>Aman ✅</v>
      </c>
      <c r="T151" s="46" t="n">
        <f aca="false">IFERROR(N151/AVERAGE(M147:M151),0)</f>
        <v>0.270310083101042</v>
      </c>
      <c r="U151" s="47" t="n">
        <v>67.69</v>
      </c>
      <c r="V151" s="48" t="n">
        <v>0.0108</v>
      </c>
    </row>
    <row r="152" customFormat="false" ht="15" hidden="false" customHeight="true" outlineLevel="0" collapsed="false">
      <c r="A152" s="49" t="n">
        <v>1</v>
      </c>
      <c r="B152" s="35" t="n">
        <v>2021</v>
      </c>
      <c r="C152" s="49" t="s">
        <v>263</v>
      </c>
      <c r="D152" s="49" t="s">
        <v>94</v>
      </c>
      <c r="E152" s="50" t="s">
        <v>95</v>
      </c>
      <c r="F152" s="49" t="s">
        <v>36</v>
      </c>
      <c r="G152" s="37" t="n">
        <v>0</v>
      </c>
      <c r="H152" s="37" t="n">
        <v>5</v>
      </c>
      <c r="I152" s="37" t="n">
        <f aca="false">IFERROR(ROUND('Data Bulanan'!AC35,0),0)</f>
        <v>12508</v>
      </c>
      <c r="J152" s="37" t="n">
        <v>731241</v>
      </c>
      <c r="K152" s="37" t="n">
        <v>320260</v>
      </c>
      <c r="L152" s="38" t="n">
        <f aca="false">IFERROR(ROUND(SQRT(2*I152*J152/K152),0),0)</f>
        <v>239</v>
      </c>
      <c r="M152" s="39" t="n">
        <f aca="false">IFERROR(AVERAGE('Data Bulanan'!F35,'Data Bulanan'!H35,'Data Bulanan'!J35,'Data Bulanan'!L35,'Data Bulanan'!N35,'Data Bulanan'!P35,'Data Bulanan'!R35,'Data Bulanan'!T35,'Data Bulanan'!V35,'Data Bulanan'!X35,'Data Bulanan'!Z35,'Data Bulanan'!AB35),0)</f>
        <v>33.3567844342038</v>
      </c>
      <c r="N152" s="40" t="n">
        <f aca="false">'Data Bulanan'!AD35</f>
        <v>8.64117088509481</v>
      </c>
      <c r="O152" s="41" t="n">
        <f aca="false">IFERROR(N152*SQRT(H152),0)</f>
        <v>19.322245504264</v>
      </c>
      <c r="P152" s="42" t="n">
        <f aca="false">IFERROR(ROUND(1.65*O152,0),0)</f>
        <v>32</v>
      </c>
      <c r="Q152" s="43" t="n">
        <f aca="false">IFERROR(ROUND(M152*H152+P152,0),0)</f>
        <v>199</v>
      </c>
      <c r="R152" s="44" t="n">
        <f aca="false">G152-Q152</f>
        <v>-199</v>
      </c>
      <c r="S152" s="45" t="str">
        <f aca="false">IF(G152=0,"Stockout ⚠",IF(G152&lt;Q152,"Reorder 🔄",IF(G152&gt;Q152+L152,"Overstock 📦","Aman ✅")))</f>
        <v>Stockout ⚠</v>
      </c>
      <c r="T152" s="46" t="n">
        <f aca="false">IFERROR(N152/AVERAGE(M152:M156),0)</f>
        <v>0.220269092658887</v>
      </c>
      <c r="U152" s="47" t="n">
        <v>529.79</v>
      </c>
      <c r="V152" s="48" t="n">
        <v>0.3193</v>
      </c>
    </row>
    <row r="153" customFormat="false" ht="15" hidden="false" customHeight="true" outlineLevel="0" collapsed="false">
      <c r="A153" s="49" t="n">
        <v>2</v>
      </c>
      <c r="B153" s="35" t="n">
        <v>2022</v>
      </c>
      <c r="C153" s="49" t="s">
        <v>263</v>
      </c>
      <c r="D153" s="49" t="s">
        <v>94</v>
      </c>
      <c r="E153" s="50" t="s">
        <v>95</v>
      </c>
      <c r="F153" s="49" t="s">
        <v>36</v>
      </c>
      <c r="G153" s="37" t="n">
        <v>673</v>
      </c>
      <c r="H153" s="37" t="n">
        <v>5</v>
      </c>
      <c r="I153" s="37" t="n">
        <f aca="false">IFERROR(ROUND('Data Bulanan'!BC35,0),0)</f>
        <v>16105</v>
      </c>
      <c r="J153" s="37" t="n">
        <v>739484</v>
      </c>
      <c r="K153" s="37" t="n">
        <v>301033</v>
      </c>
      <c r="L153" s="38" t="n">
        <f aca="false">IFERROR(ROUND(SQRT(2*I153*J153/K153),0),0)</f>
        <v>281</v>
      </c>
      <c r="M153" s="39" t="n">
        <f aca="false">IFERROR(AVERAGE('Data Bulanan'!AF35,'Data Bulanan'!AH35,'Data Bulanan'!AJ35,'Data Bulanan'!AL35,'Data Bulanan'!AN35,'Data Bulanan'!AP35,'Data Bulanan'!AR35,'Data Bulanan'!AT35,'Data Bulanan'!AV35,'Data Bulanan'!AX35,'Data Bulanan'!AZ35,'Data Bulanan'!BB35),0)</f>
        <v>42.8148169482847</v>
      </c>
      <c r="N153" s="40" t="n">
        <f aca="false">'Data Bulanan'!BD35</f>
        <v>8.07637145431459</v>
      </c>
      <c r="O153" s="41" t="n">
        <f aca="false">IFERROR(N153*SQRT(H153),0)</f>
        <v>18.0593155833863</v>
      </c>
      <c r="P153" s="42" t="n">
        <f aca="false">IFERROR(ROUND(1.65*O153,0),0)</f>
        <v>30</v>
      </c>
      <c r="Q153" s="43" t="n">
        <f aca="false">IFERROR(ROUND(M153*H153+P153,0),0)</f>
        <v>244</v>
      </c>
      <c r="R153" s="44" t="n">
        <f aca="false">G153-Q153</f>
        <v>429</v>
      </c>
      <c r="S153" s="45" t="str">
        <f aca="false">IF(G153=0,"Stockout ⚠",IF(G153&lt;Q153,"Reorder 🔄",IF(G153&gt;Q153+L153,"Overstock 📦","Aman ✅")))</f>
        <v>Overstock 📦</v>
      </c>
      <c r="T153" s="46" t="n">
        <f aca="false">IFERROR(N153/AVERAGE(M152:M156),0)</f>
        <v>0.205871986085423</v>
      </c>
      <c r="U153" s="47" t="n">
        <v>529.79</v>
      </c>
      <c r="V153" s="48" t="n">
        <v>0.3193</v>
      </c>
    </row>
    <row r="154" customFormat="false" ht="15" hidden="false" customHeight="true" outlineLevel="0" collapsed="false">
      <c r="A154" s="49" t="n">
        <v>3</v>
      </c>
      <c r="B154" s="35" t="n">
        <v>2023</v>
      </c>
      <c r="C154" s="49" t="s">
        <v>263</v>
      </c>
      <c r="D154" s="49" t="s">
        <v>94</v>
      </c>
      <c r="E154" s="50" t="s">
        <v>95</v>
      </c>
      <c r="F154" s="49" t="s">
        <v>36</v>
      </c>
      <c r="G154" s="37" t="n">
        <v>1704</v>
      </c>
      <c r="H154" s="37" t="n">
        <v>5</v>
      </c>
      <c r="I154" s="37" t="n">
        <f aca="false">IFERROR(ROUND('Data Bulanan'!CC35,0),0)</f>
        <v>14750</v>
      </c>
      <c r="J154" s="37" t="n">
        <v>793123</v>
      </c>
      <c r="K154" s="37" t="n">
        <v>339860</v>
      </c>
      <c r="L154" s="38" t="n">
        <f aca="false">IFERROR(ROUND(SQRT(2*I154*J154/K154),0),0)</f>
        <v>262</v>
      </c>
      <c r="M154" s="39" t="n">
        <f aca="false">IFERROR(AVERAGE('Data Bulanan'!BF35,'Data Bulanan'!BH35,'Data Bulanan'!BJ35,'Data Bulanan'!BL35,'Data Bulanan'!BN35,'Data Bulanan'!BP35,'Data Bulanan'!BR35,'Data Bulanan'!BT35,'Data Bulanan'!BV35,'Data Bulanan'!BX35,'Data Bulanan'!BZ35,'Data Bulanan'!CB35),0)</f>
        <v>39.3480798771121</v>
      </c>
      <c r="N154" s="40" t="n">
        <f aca="false">'Data Bulanan'!CD35</f>
        <v>9.47976631212601</v>
      </c>
      <c r="O154" s="41" t="n">
        <f aca="false">IFERROR(N154*SQRT(H154),0)</f>
        <v>21.1974018847262</v>
      </c>
      <c r="P154" s="42" t="n">
        <f aca="false">IFERROR(ROUND(1.65*O154,0),0)</f>
        <v>35</v>
      </c>
      <c r="Q154" s="43" t="n">
        <f aca="false">IFERROR(ROUND(M154*H154+P154,0),0)</f>
        <v>232</v>
      </c>
      <c r="R154" s="44" t="n">
        <f aca="false">G154-Q154</f>
        <v>1472</v>
      </c>
      <c r="S154" s="45" t="str">
        <f aca="false">IF(G154=0,"Stockout ⚠",IF(G154&lt;Q154,"Reorder 🔄",IF(G154&gt;Q154+L154,"Overstock 📦","Aman ✅")))</f>
        <v>Overstock 📦</v>
      </c>
      <c r="T154" s="46" t="n">
        <f aca="false">IFERROR(N154/AVERAGE(M152:M156),0)</f>
        <v>0.2416454380959</v>
      </c>
      <c r="U154" s="47" t="n">
        <v>529.79</v>
      </c>
      <c r="V154" s="48" t="n">
        <v>0.3193</v>
      </c>
    </row>
    <row r="155" customFormat="false" ht="15" hidden="false" customHeight="true" outlineLevel="0" collapsed="false">
      <c r="A155" s="49" t="n">
        <v>4</v>
      </c>
      <c r="B155" s="35" t="n">
        <v>2024</v>
      </c>
      <c r="C155" s="49" t="s">
        <v>263</v>
      </c>
      <c r="D155" s="49" t="s">
        <v>94</v>
      </c>
      <c r="E155" s="50" t="s">
        <v>95</v>
      </c>
      <c r="F155" s="49" t="s">
        <v>36</v>
      </c>
      <c r="G155" s="37" t="n">
        <v>159</v>
      </c>
      <c r="H155" s="37" t="n">
        <v>5</v>
      </c>
      <c r="I155" s="37" t="n">
        <f aca="false">IFERROR(ROUND('Data Bulanan'!DC35,0),0)</f>
        <v>14295</v>
      </c>
      <c r="J155" s="37" t="n">
        <v>771732</v>
      </c>
      <c r="K155" s="37" t="n">
        <v>281447</v>
      </c>
      <c r="L155" s="38" t="n">
        <f aca="false">IFERROR(ROUND(SQRT(2*I155*J155/K155),0),0)</f>
        <v>280</v>
      </c>
      <c r="M155" s="39" t="n">
        <f aca="false">IFERROR(AVERAGE('Data Bulanan'!CF35,'Data Bulanan'!CH35,'Data Bulanan'!CJ35,'Data Bulanan'!CL35,'Data Bulanan'!CN35,'Data Bulanan'!CP35,'Data Bulanan'!CR35,'Data Bulanan'!CT35,'Data Bulanan'!CV35,'Data Bulanan'!CX35,'Data Bulanan'!CZ35,'Data Bulanan'!DB35),0)</f>
        <v>37.9234447004608</v>
      </c>
      <c r="N155" s="40" t="n">
        <f aca="false">'Data Bulanan'!DD35</f>
        <v>8.34488683236865</v>
      </c>
      <c r="O155" s="41" t="n">
        <f aca="false">IFERROR(N155*SQRT(H155),0)</f>
        <v>18.6597342217192</v>
      </c>
      <c r="P155" s="42" t="n">
        <f aca="false">IFERROR(ROUND(1.65*O155,0),0)</f>
        <v>31</v>
      </c>
      <c r="Q155" s="43" t="n">
        <f aca="false">IFERROR(ROUND(M155*H155+P155,0),0)</f>
        <v>221</v>
      </c>
      <c r="R155" s="44" t="n">
        <f aca="false">G155-Q155</f>
        <v>-62</v>
      </c>
      <c r="S155" s="45" t="str">
        <f aca="false">IF(G155=0,"Stockout ⚠",IF(G155&lt;Q155,"Reorder 🔄",IF(G155&gt;Q155+L155,"Overstock 📦","Aman ✅")))</f>
        <v>Reorder 🔄</v>
      </c>
      <c r="T155" s="46" t="n">
        <f aca="false">IFERROR(N155/AVERAGE(M152:M156),0)</f>
        <v>0.212716618540378</v>
      </c>
      <c r="U155" s="47" t="n">
        <v>529.79</v>
      </c>
      <c r="V155" s="48" t="n">
        <v>0.3193</v>
      </c>
    </row>
    <row r="156" customFormat="false" ht="15" hidden="false" customHeight="true" outlineLevel="0" collapsed="false">
      <c r="A156" s="49" t="n">
        <v>5</v>
      </c>
      <c r="B156" s="35" t="n">
        <v>2025</v>
      </c>
      <c r="C156" s="49" t="s">
        <v>263</v>
      </c>
      <c r="D156" s="49" t="s">
        <v>94</v>
      </c>
      <c r="E156" s="50" t="s">
        <v>95</v>
      </c>
      <c r="F156" s="49" t="s">
        <v>36</v>
      </c>
      <c r="G156" s="37" t="n">
        <v>0</v>
      </c>
      <c r="H156" s="37" t="n">
        <v>5</v>
      </c>
      <c r="I156" s="37" t="n">
        <f aca="false">IFERROR(ROUND('Data Bulanan'!EC35,0),0)</f>
        <v>16062</v>
      </c>
      <c r="J156" s="37" t="n">
        <v>713433</v>
      </c>
      <c r="K156" s="37" t="n">
        <v>316815</v>
      </c>
      <c r="L156" s="38" t="n">
        <f aca="false">IFERROR(ROUND(SQRT(2*I156*J156/K156),0),0)</f>
        <v>269</v>
      </c>
      <c r="M156" s="39" t="n">
        <f aca="false">IFERROR(AVERAGE('Data Bulanan'!DF35,'Data Bulanan'!DH35,'Data Bulanan'!DJ35,'Data Bulanan'!DL35,'Data Bulanan'!DN35,'Data Bulanan'!DP35,'Data Bulanan'!DR35,'Data Bulanan'!DT35,'Data Bulanan'!DV35,'Data Bulanan'!DX35,'Data Bulanan'!DZ35,'Data Bulanan'!EB35),0)</f>
        <v>42.7072004608295</v>
      </c>
      <c r="N156" s="40" t="n">
        <f aca="false">'Data Bulanan'!ED35</f>
        <v>8.04890635546118</v>
      </c>
      <c r="O156" s="41" t="n">
        <f aca="false">IFERROR(N156*SQRT(H156),0)</f>
        <v>17.9979017553413</v>
      </c>
      <c r="P156" s="42" t="n">
        <f aca="false">IFERROR(ROUND(1.65*O156,0),0)</f>
        <v>30</v>
      </c>
      <c r="Q156" s="43" t="n">
        <f aca="false">IFERROR(ROUND(M156*H156+P156,0),0)</f>
        <v>244</v>
      </c>
      <c r="R156" s="44" t="n">
        <f aca="false">G156-Q156</f>
        <v>-244</v>
      </c>
      <c r="S156" s="45" t="str">
        <f aca="false">IF(G156=0,"Stockout ⚠",IF(G156&lt;Q156,"Reorder 🔄",IF(G156&gt;Q156+L156,"Overstock 📦","Aman ✅")))</f>
        <v>Stockout ⚠</v>
      </c>
      <c r="T156" s="46" t="n">
        <f aca="false">IFERROR(N156/AVERAGE(M152:M156),0)</f>
        <v>0.205171882767867</v>
      </c>
      <c r="U156" s="47" t="n">
        <v>529.79</v>
      </c>
      <c r="V156" s="48" t="n">
        <v>0.3193</v>
      </c>
    </row>
    <row r="157" customFormat="false" ht="15" hidden="false" customHeight="true" outlineLevel="0" collapsed="false">
      <c r="A157" s="34" t="n">
        <v>1</v>
      </c>
      <c r="B157" s="35" t="n">
        <v>2021</v>
      </c>
      <c r="C157" s="34" t="s">
        <v>263</v>
      </c>
      <c r="D157" s="34" t="s">
        <v>96</v>
      </c>
      <c r="E157" s="36" t="s">
        <v>97</v>
      </c>
      <c r="F157" s="34" t="s">
        <v>36</v>
      </c>
      <c r="G157" s="37" t="n">
        <v>18981</v>
      </c>
      <c r="H157" s="37" t="n">
        <v>29</v>
      </c>
      <c r="I157" s="37" t="n">
        <f aca="false">IFERROR(ROUND('Data Bulanan'!AC36,0),0)</f>
        <v>40370</v>
      </c>
      <c r="J157" s="37" t="n">
        <v>4675411</v>
      </c>
      <c r="K157" s="37" t="n">
        <v>267234</v>
      </c>
      <c r="L157" s="38" t="n">
        <f aca="false">IFERROR(ROUND(SQRT(2*I157*J157/K157),0),0)</f>
        <v>1189</v>
      </c>
      <c r="M157" s="39" t="n">
        <f aca="false">IFERROR(AVERAGE('Data Bulanan'!F36,'Data Bulanan'!H36,'Data Bulanan'!J36,'Data Bulanan'!L36,'Data Bulanan'!N36,'Data Bulanan'!P36,'Data Bulanan'!R36,'Data Bulanan'!T36,'Data Bulanan'!V36,'Data Bulanan'!X36,'Data Bulanan'!Z36,'Data Bulanan'!AB36),0)</f>
        <v>107.518733998976</v>
      </c>
      <c r="N157" s="40" t="n">
        <f aca="false">'Data Bulanan'!AD36</f>
        <v>27.3438149880265</v>
      </c>
      <c r="O157" s="41" t="n">
        <f aca="false">IFERROR(N157*SQRT(H157),0)</f>
        <v>147.250950166317</v>
      </c>
      <c r="P157" s="42" t="n">
        <f aca="false">IFERROR(ROUND(1.65*O157,0),0)</f>
        <v>243</v>
      </c>
      <c r="Q157" s="43" t="n">
        <f aca="false">IFERROR(ROUND(M157*H157+P157,0),0)</f>
        <v>3361</v>
      </c>
      <c r="R157" s="44" t="n">
        <f aca="false">G157-Q157</f>
        <v>15620</v>
      </c>
      <c r="S157" s="45" t="str">
        <f aca="false">IF(G157=0,"Stockout ⚠",IF(G157&lt;Q157,"Reorder 🔄",IF(G157&gt;Q157+L157,"Overstock 📦","Aman ✅")))</f>
        <v>Overstock 📦</v>
      </c>
      <c r="T157" s="46" t="n">
        <f aca="false">IFERROR(N157/AVERAGE(M157:M161),0)</f>
        <v>0.232055521241096</v>
      </c>
      <c r="U157" s="47" t="n">
        <v>105.48</v>
      </c>
      <c r="V157" s="48" t="n">
        <v>0.0008</v>
      </c>
    </row>
    <row r="158" customFormat="false" ht="15" hidden="false" customHeight="true" outlineLevel="0" collapsed="false">
      <c r="A158" s="34" t="n">
        <v>2</v>
      </c>
      <c r="B158" s="35" t="n">
        <v>2022</v>
      </c>
      <c r="C158" s="34" t="s">
        <v>263</v>
      </c>
      <c r="D158" s="34" t="s">
        <v>96</v>
      </c>
      <c r="E158" s="36" t="s">
        <v>97</v>
      </c>
      <c r="F158" s="34" t="s">
        <v>36</v>
      </c>
      <c r="G158" s="37" t="n">
        <v>23882</v>
      </c>
      <c r="H158" s="37" t="n">
        <v>29</v>
      </c>
      <c r="I158" s="37" t="n">
        <f aca="false">IFERROR(ROUND('Data Bulanan'!BC36,0),0)</f>
        <v>53290</v>
      </c>
      <c r="J158" s="37" t="n">
        <v>5420166</v>
      </c>
      <c r="K158" s="37" t="n">
        <v>240955</v>
      </c>
      <c r="L158" s="38" t="n">
        <f aca="false">IFERROR(ROUND(SQRT(2*I158*J158/K158),0),0)</f>
        <v>1548</v>
      </c>
      <c r="M158" s="39" t="n">
        <f aca="false">IFERROR(AVERAGE('Data Bulanan'!AF36,'Data Bulanan'!AH36,'Data Bulanan'!AJ36,'Data Bulanan'!AL36,'Data Bulanan'!AN36,'Data Bulanan'!AP36,'Data Bulanan'!AR36,'Data Bulanan'!AT36,'Data Bulanan'!AV36,'Data Bulanan'!AX36,'Data Bulanan'!AZ36,'Data Bulanan'!BB36),0)</f>
        <v>141.951312083973</v>
      </c>
      <c r="N158" s="40" t="n">
        <f aca="false">'Data Bulanan'!BD36</f>
        <v>30.8605606251257</v>
      </c>
      <c r="O158" s="41" t="n">
        <f aca="false">IFERROR(N158*SQRT(H158),0)</f>
        <v>166.189205006868</v>
      </c>
      <c r="P158" s="42" t="n">
        <f aca="false">IFERROR(ROUND(1.65*O158,0),0)</f>
        <v>274</v>
      </c>
      <c r="Q158" s="43" t="n">
        <f aca="false">IFERROR(ROUND(M158*H158+P158,0),0)</f>
        <v>4391</v>
      </c>
      <c r="R158" s="44" t="n">
        <f aca="false">G158-Q158</f>
        <v>19491</v>
      </c>
      <c r="S158" s="45" t="str">
        <f aca="false">IF(G158=0,"Stockout ⚠",IF(G158&lt;Q158,"Reorder 🔄",IF(G158&gt;Q158+L158,"Overstock 📦","Aman ✅")))</f>
        <v>Overstock 📦</v>
      </c>
      <c r="T158" s="46" t="n">
        <f aca="false">IFERROR(N158/AVERAGE(M157:M161),0)</f>
        <v>0.261900670582794</v>
      </c>
      <c r="U158" s="47" t="n">
        <v>105.48</v>
      </c>
      <c r="V158" s="48" t="n">
        <v>0.0008</v>
      </c>
    </row>
    <row r="159" customFormat="false" ht="15" hidden="false" customHeight="true" outlineLevel="0" collapsed="false">
      <c r="A159" s="34" t="n">
        <v>3</v>
      </c>
      <c r="B159" s="35" t="n">
        <v>2023</v>
      </c>
      <c r="C159" s="34" t="s">
        <v>263</v>
      </c>
      <c r="D159" s="34" t="s">
        <v>96</v>
      </c>
      <c r="E159" s="36" t="s">
        <v>97</v>
      </c>
      <c r="F159" s="34" t="s">
        <v>36</v>
      </c>
      <c r="G159" s="37" t="n">
        <v>9122</v>
      </c>
      <c r="H159" s="37" t="n">
        <v>29</v>
      </c>
      <c r="I159" s="37" t="n">
        <f aca="false">IFERROR(ROUND('Data Bulanan'!CC36,0),0)</f>
        <v>38881</v>
      </c>
      <c r="J159" s="37" t="n">
        <v>5510108</v>
      </c>
      <c r="K159" s="37" t="n">
        <v>258783</v>
      </c>
      <c r="L159" s="38" t="n">
        <f aca="false">IFERROR(ROUND(SQRT(2*I159*J159/K159),0),0)</f>
        <v>1287</v>
      </c>
      <c r="M159" s="39" t="n">
        <f aca="false">IFERROR(AVERAGE('Data Bulanan'!BF36,'Data Bulanan'!BH36,'Data Bulanan'!BJ36,'Data Bulanan'!BL36,'Data Bulanan'!BN36,'Data Bulanan'!BP36,'Data Bulanan'!BR36,'Data Bulanan'!BT36,'Data Bulanan'!BV36,'Data Bulanan'!BX36,'Data Bulanan'!BZ36,'Data Bulanan'!CB36),0)</f>
        <v>103.218087557604</v>
      </c>
      <c r="N159" s="40" t="n">
        <f aca="false">'Data Bulanan'!CD36</f>
        <v>21.3146311342495</v>
      </c>
      <c r="O159" s="41" t="n">
        <f aca="false">IFERROR(N159*SQRT(H159),0)</f>
        <v>114.782801461214</v>
      </c>
      <c r="P159" s="42" t="n">
        <f aca="false">IFERROR(ROUND(1.65*O159,0),0)</f>
        <v>189</v>
      </c>
      <c r="Q159" s="43" t="n">
        <f aca="false">IFERROR(ROUND(M159*H159+P159,0),0)</f>
        <v>3182</v>
      </c>
      <c r="R159" s="44" t="n">
        <f aca="false">G159-Q159</f>
        <v>5940</v>
      </c>
      <c r="S159" s="45" t="str">
        <f aca="false">IF(G159=0,"Stockout ⚠",IF(G159&lt;Q159,"Reorder 🔄",IF(G159&gt;Q159+L159,"Overstock 📦","Aman ✅")))</f>
        <v>Overstock 📦</v>
      </c>
      <c r="T159" s="46" t="n">
        <f aca="false">IFERROR(N159/AVERAGE(M157:M161),0)</f>
        <v>0.18088835958281</v>
      </c>
      <c r="U159" s="47" t="n">
        <v>105.48</v>
      </c>
      <c r="V159" s="48" t="n">
        <v>0.0008</v>
      </c>
    </row>
    <row r="160" customFormat="false" ht="15" hidden="false" customHeight="true" outlineLevel="0" collapsed="false">
      <c r="A160" s="34" t="n">
        <v>4</v>
      </c>
      <c r="B160" s="35" t="n">
        <v>2024</v>
      </c>
      <c r="C160" s="34" t="s">
        <v>263</v>
      </c>
      <c r="D160" s="34" t="s">
        <v>96</v>
      </c>
      <c r="E160" s="36" t="s">
        <v>97</v>
      </c>
      <c r="F160" s="34" t="s">
        <v>36</v>
      </c>
      <c r="G160" s="37" t="n">
        <v>3596</v>
      </c>
      <c r="H160" s="37" t="n">
        <v>29</v>
      </c>
      <c r="I160" s="37" t="n">
        <f aca="false">IFERROR(ROUND('Data Bulanan'!DC36,0),0)</f>
        <v>42447</v>
      </c>
      <c r="J160" s="37" t="n">
        <v>5492524</v>
      </c>
      <c r="K160" s="37" t="n">
        <v>264909</v>
      </c>
      <c r="L160" s="38" t="n">
        <f aca="false">IFERROR(ROUND(SQRT(2*I160*J160/K160),0),0)</f>
        <v>1327</v>
      </c>
      <c r="M160" s="39" t="n">
        <f aca="false">IFERROR(AVERAGE('Data Bulanan'!CF36,'Data Bulanan'!CH36,'Data Bulanan'!CJ36,'Data Bulanan'!CL36,'Data Bulanan'!CN36,'Data Bulanan'!CP36,'Data Bulanan'!CR36,'Data Bulanan'!CT36,'Data Bulanan'!CV36,'Data Bulanan'!CX36,'Data Bulanan'!CZ36,'Data Bulanan'!DB36),0)</f>
        <v>113.210093445981</v>
      </c>
      <c r="N160" s="40" t="n">
        <f aca="false">'Data Bulanan'!DD36</f>
        <v>31.6777819724841</v>
      </c>
      <c r="O160" s="41" t="n">
        <f aca="false">IFERROR(N160*SQRT(H160),0)</f>
        <v>170.590076646301</v>
      </c>
      <c r="P160" s="42" t="n">
        <f aca="false">IFERROR(ROUND(1.65*O160,0),0)</f>
        <v>281</v>
      </c>
      <c r="Q160" s="43" t="n">
        <f aca="false">IFERROR(ROUND(M160*H160+P160,0),0)</f>
        <v>3564</v>
      </c>
      <c r="R160" s="44" t="n">
        <f aca="false">G160-Q160</f>
        <v>32</v>
      </c>
      <c r="S160" s="45" t="str">
        <f aca="false">IF(G160=0,"Stockout ⚠",IF(G160&lt;Q160,"Reorder 🔄",IF(G160&gt;Q160+L160,"Overstock 📦","Aman ✅")))</f>
        <v>Aman ✅</v>
      </c>
      <c r="T160" s="46" t="n">
        <f aca="false">IFERROR(N160/AVERAGE(M157:M161),0)</f>
        <v>0.268836086354647</v>
      </c>
      <c r="U160" s="47" t="n">
        <v>105.48</v>
      </c>
      <c r="V160" s="48" t="n">
        <v>0.0008</v>
      </c>
    </row>
    <row r="161" customFormat="false" ht="15" hidden="false" customHeight="true" outlineLevel="0" collapsed="false">
      <c r="A161" s="34" t="n">
        <v>5</v>
      </c>
      <c r="B161" s="35" t="n">
        <v>2025</v>
      </c>
      <c r="C161" s="34" t="s">
        <v>263</v>
      </c>
      <c r="D161" s="34" t="s">
        <v>96</v>
      </c>
      <c r="E161" s="36" t="s">
        <v>97</v>
      </c>
      <c r="F161" s="34" t="s">
        <v>36</v>
      </c>
      <c r="G161" s="37" t="n">
        <v>16122</v>
      </c>
      <c r="H161" s="37" t="n">
        <v>29</v>
      </c>
      <c r="I161" s="37" t="n">
        <f aca="false">IFERROR(ROUND('Data Bulanan'!EC36,0),0)</f>
        <v>46318</v>
      </c>
      <c r="J161" s="37" t="n">
        <v>4669805</v>
      </c>
      <c r="K161" s="37" t="n">
        <v>248030</v>
      </c>
      <c r="L161" s="38" t="n">
        <f aca="false">IFERROR(ROUND(SQRT(2*I161*J161/K161),0),0)</f>
        <v>1321</v>
      </c>
      <c r="M161" s="39" t="n">
        <f aca="false">IFERROR(AVERAGE('Data Bulanan'!DF36,'Data Bulanan'!DH36,'Data Bulanan'!DJ36,'Data Bulanan'!DL36,'Data Bulanan'!DN36,'Data Bulanan'!DP36,'Data Bulanan'!DR36,'Data Bulanan'!DT36,'Data Bulanan'!DV36,'Data Bulanan'!DX36,'Data Bulanan'!DZ36,'Data Bulanan'!EB36),0)</f>
        <v>123.267133896569</v>
      </c>
      <c r="N161" s="40" t="n">
        <f aca="false">'Data Bulanan'!ED36</f>
        <v>29.8822395514673</v>
      </c>
      <c r="O161" s="41" t="n">
        <f aca="false">IFERROR(N161*SQRT(H161),0)</f>
        <v>160.920784790924</v>
      </c>
      <c r="P161" s="42" t="n">
        <f aca="false">IFERROR(ROUND(1.65*O161,0),0)</f>
        <v>266</v>
      </c>
      <c r="Q161" s="43" t="n">
        <f aca="false">IFERROR(ROUND(M161*H161+P161,0),0)</f>
        <v>3841</v>
      </c>
      <c r="R161" s="44" t="n">
        <f aca="false">G161-Q161</f>
        <v>12281</v>
      </c>
      <c r="S161" s="45" t="str">
        <f aca="false">IF(G161=0,"Stockout ⚠",IF(G161&lt;Q161,"Reorder 🔄",IF(G161&gt;Q161+L161,"Overstock 📦","Aman ✅")))</f>
        <v>Overstock 📦</v>
      </c>
      <c r="T161" s="46" t="n">
        <f aca="false">IFERROR(N161/AVERAGE(M157:M161),0)</f>
        <v>0.253598068813861</v>
      </c>
      <c r="U161" s="47" t="n">
        <v>105.48</v>
      </c>
      <c r="V161" s="48" t="n">
        <v>0.0008</v>
      </c>
    </row>
    <row r="162" customFormat="false" ht="15" hidden="false" customHeight="true" outlineLevel="0" collapsed="false">
      <c r="A162" s="49" t="n">
        <v>1</v>
      </c>
      <c r="B162" s="35" t="n">
        <v>2021</v>
      </c>
      <c r="C162" s="49" t="s">
        <v>264</v>
      </c>
      <c r="D162" s="49" t="s">
        <v>98</v>
      </c>
      <c r="E162" s="50" t="s">
        <v>99</v>
      </c>
      <c r="F162" s="49" t="s">
        <v>36</v>
      </c>
      <c r="G162" s="37" t="n">
        <v>4396</v>
      </c>
      <c r="H162" s="37" t="n">
        <v>45</v>
      </c>
      <c r="I162" s="37" t="n">
        <f aca="false">IFERROR(ROUND('Data Bulanan'!AC37,0),0)</f>
        <v>16743</v>
      </c>
      <c r="J162" s="37" t="n">
        <v>6597609</v>
      </c>
      <c r="K162" s="37" t="n">
        <v>416286</v>
      </c>
      <c r="L162" s="38" t="n">
        <f aca="false">IFERROR(ROUND(SQRT(2*I162*J162/K162),0),0)</f>
        <v>728</v>
      </c>
      <c r="M162" s="39" t="n">
        <f aca="false">IFERROR(AVERAGE('Data Bulanan'!F37,'Data Bulanan'!H37,'Data Bulanan'!J37,'Data Bulanan'!L37,'Data Bulanan'!N37,'Data Bulanan'!P37,'Data Bulanan'!R37,'Data Bulanan'!T37,'Data Bulanan'!V37,'Data Bulanan'!X37,'Data Bulanan'!Z37,'Data Bulanan'!AB37),0)</f>
        <v>44.6494367639529</v>
      </c>
      <c r="N162" s="40" t="n">
        <f aca="false">'Data Bulanan'!AD37</f>
        <v>11.3656322070503</v>
      </c>
      <c r="O162" s="41" t="n">
        <f aca="false">IFERROR(N162*SQRT(H162),0)</f>
        <v>76.2429786666764</v>
      </c>
      <c r="P162" s="42" t="n">
        <f aca="false">IFERROR(ROUND(1.65*O162,0),0)</f>
        <v>126</v>
      </c>
      <c r="Q162" s="43" t="n">
        <f aca="false">IFERROR(ROUND(M162*H162+P162,0),0)</f>
        <v>2135</v>
      </c>
      <c r="R162" s="44" t="n">
        <f aca="false">G162-Q162</f>
        <v>2261</v>
      </c>
      <c r="S162" s="45" t="str">
        <f aca="false">IF(G162=0,"Stockout ⚠",IF(G162&lt;Q162,"Reorder 🔄",IF(G162&gt;Q162+L162,"Overstock 📦","Aman ✅")))</f>
        <v>Overstock 📦</v>
      </c>
      <c r="T162" s="46" t="n">
        <f aca="false">IFERROR(N162/AVERAGE(M162:M166),0)</f>
        <v>0.280976830543735</v>
      </c>
      <c r="U162" s="47" t="n">
        <v>-646.25</v>
      </c>
      <c r="V162" s="48" t="n">
        <v>0.4733</v>
      </c>
    </row>
    <row r="163" customFormat="false" ht="15" hidden="false" customHeight="true" outlineLevel="0" collapsed="false">
      <c r="A163" s="49" t="n">
        <v>2</v>
      </c>
      <c r="B163" s="35" t="n">
        <v>2022</v>
      </c>
      <c r="C163" s="49" t="s">
        <v>264</v>
      </c>
      <c r="D163" s="49" t="s">
        <v>98</v>
      </c>
      <c r="E163" s="50" t="s">
        <v>99</v>
      </c>
      <c r="F163" s="49" t="s">
        <v>36</v>
      </c>
      <c r="G163" s="37" t="n">
        <v>5338</v>
      </c>
      <c r="H163" s="37" t="n">
        <v>45</v>
      </c>
      <c r="I163" s="37" t="n">
        <f aca="false">IFERROR(ROUND('Data Bulanan'!BC37,0),0)</f>
        <v>14596</v>
      </c>
      <c r="J163" s="37" t="n">
        <v>6629243</v>
      </c>
      <c r="K163" s="37" t="n">
        <v>403659</v>
      </c>
      <c r="L163" s="38" t="n">
        <f aca="false">IFERROR(ROUND(SQRT(2*I163*J163/K163),0),0)</f>
        <v>692</v>
      </c>
      <c r="M163" s="39" t="n">
        <f aca="false">IFERROR(AVERAGE('Data Bulanan'!AF37,'Data Bulanan'!AH37,'Data Bulanan'!AJ37,'Data Bulanan'!AL37,'Data Bulanan'!AN37,'Data Bulanan'!AP37,'Data Bulanan'!AR37,'Data Bulanan'!AT37,'Data Bulanan'!AV37,'Data Bulanan'!AX37,'Data Bulanan'!AZ37,'Data Bulanan'!BB37),0)</f>
        <v>38.9662314388121</v>
      </c>
      <c r="N163" s="40" t="n">
        <f aca="false">'Data Bulanan'!BD37</f>
        <v>10.0175188528588</v>
      </c>
      <c r="O163" s="41" t="n">
        <f aca="false">IFERROR(N163*SQRT(H163),0)</f>
        <v>67.1995593626343</v>
      </c>
      <c r="P163" s="42" t="n">
        <f aca="false">IFERROR(ROUND(1.65*O163,0),0)</f>
        <v>111</v>
      </c>
      <c r="Q163" s="43" t="n">
        <f aca="false">IFERROR(ROUND(M163*H163+P163,0),0)</f>
        <v>1864</v>
      </c>
      <c r="R163" s="44" t="n">
        <f aca="false">G163-Q163</f>
        <v>3474</v>
      </c>
      <c r="S163" s="45" t="str">
        <f aca="false">IF(G163=0,"Stockout ⚠",IF(G163&lt;Q163,"Reorder 🔄",IF(G163&gt;Q163+L163,"Overstock 📦","Aman ✅")))</f>
        <v>Overstock 📦</v>
      </c>
      <c r="T163" s="46" t="n">
        <f aca="false">IFERROR(N163/AVERAGE(M162:M166),0)</f>
        <v>0.247649285663351</v>
      </c>
      <c r="U163" s="47" t="n">
        <v>-646.25</v>
      </c>
      <c r="V163" s="48" t="n">
        <v>0.4733</v>
      </c>
    </row>
    <row r="164" customFormat="false" ht="15" hidden="false" customHeight="true" outlineLevel="0" collapsed="false">
      <c r="A164" s="49" t="n">
        <v>3</v>
      </c>
      <c r="B164" s="35" t="n">
        <v>2023</v>
      </c>
      <c r="C164" s="49" t="s">
        <v>264</v>
      </c>
      <c r="D164" s="49" t="s">
        <v>98</v>
      </c>
      <c r="E164" s="50" t="s">
        <v>99</v>
      </c>
      <c r="F164" s="49" t="s">
        <v>36</v>
      </c>
      <c r="G164" s="37" t="n">
        <v>0</v>
      </c>
      <c r="H164" s="37" t="n">
        <v>45</v>
      </c>
      <c r="I164" s="37" t="n">
        <f aca="false">IFERROR(ROUND('Data Bulanan'!CC37,0),0)</f>
        <v>16819</v>
      </c>
      <c r="J164" s="37" t="n">
        <v>6616138</v>
      </c>
      <c r="K164" s="37" t="n">
        <v>425482</v>
      </c>
      <c r="L164" s="38" t="n">
        <f aca="false">IFERROR(ROUND(SQRT(2*I164*J164/K164),0),0)</f>
        <v>723</v>
      </c>
      <c r="M164" s="39" t="n">
        <f aca="false">IFERROR(AVERAGE('Data Bulanan'!BF37,'Data Bulanan'!BH37,'Data Bulanan'!BJ37,'Data Bulanan'!BL37,'Data Bulanan'!BN37,'Data Bulanan'!BP37,'Data Bulanan'!BR37,'Data Bulanan'!BT37,'Data Bulanan'!BV37,'Data Bulanan'!BX37,'Data Bulanan'!BZ37,'Data Bulanan'!CB37),0)</f>
        <v>44.6763952892985</v>
      </c>
      <c r="N164" s="40" t="n">
        <f aca="false">'Data Bulanan'!CD37</f>
        <v>9.55886176587658</v>
      </c>
      <c r="O164" s="41" t="n">
        <f aca="false">IFERROR(N164*SQRT(H164),0)</f>
        <v>64.1227940880712</v>
      </c>
      <c r="P164" s="42" t="n">
        <f aca="false">IFERROR(ROUND(1.65*O164,0),0)</f>
        <v>106</v>
      </c>
      <c r="Q164" s="43" t="n">
        <f aca="false">IFERROR(ROUND(M164*H164+P164,0),0)</f>
        <v>2116</v>
      </c>
      <c r="R164" s="44" t="n">
        <f aca="false">G164-Q164</f>
        <v>-2116</v>
      </c>
      <c r="S164" s="45" t="str">
        <f aca="false">IF(G164=0,"Stockout ⚠",IF(G164&lt;Q164,"Reorder 🔄",IF(G164&gt;Q164+L164,"Overstock 📦","Aman ✅")))</f>
        <v>Stockout ⚠</v>
      </c>
      <c r="T164" s="46" t="n">
        <f aca="false">IFERROR(N164/AVERAGE(M162:M166),0)</f>
        <v>0.236310539849743</v>
      </c>
      <c r="U164" s="47" t="n">
        <v>-646.25</v>
      </c>
      <c r="V164" s="48" t="n">
        <v>0.4733</v>
      </c>
    </row>
    <row r="165" customFormat="false" ht="15" hidden="false" customHeight="true" outlineLevel="0" collapsed="false">
      <c r="A165" s="49" t="n">
        <v>4</v>
      </c>
      <c r="B165" s="35" t="n">
        <v>2024</v>
      </c>
      <c r="C165" s="49" t="s">
        <v>264</v>
      </c>
      <c r="D165" s="49" t="s">
        <v>98</v>
      </c>
      <c r="E165" s="50" t="s">
        <v>99</v>
      </c>
      <c r="F165" s="49" t="s">
        <v>36</v>
      </c>
      <c r="G165" s="37" t="n">
        <v>5061</v>
      </c>
      <c r="H165" s="37" t="n">
        <v>45</v>
      </c>
      <c r="I165" s="37" t="n">
        <f aca="false">IFERROR(ROUND('Data Bulanan'!DC37,0),0)</f>
        <v>13920</v>
      </c>
      <c r="J165" s="37" t="n">
        <v>6133041</v>
      </c>
      <c r="K165" s="37" t="n">
        <v>412554</v>
      </c>
      <c r="L165" s="38" t="n">
        <f aca="false">IFERROR(ROUND(SQRT(2*I165*J165/K165),0),0)</f>
        <v>643</v>
      </c>
      <c r="M165" s="39" t="n">
        <f aca="false">IFERROR(AVERAGE('Data Bulanan'!CF37,'Data Bulanan'!CH37,'Data Bulanan'!CJ37,'Data Bulanan'!CL37,'Data Bulanan'!CN37,'Data Bulanan'!CP37,'Data Bulanan'!CR37,'Data Bulanan'!CT37,'Data Bulanan'!CV37,'Data Bulanan'!CX37,'Data Bulanan'!CZ37,'Data Bulanan'!DB37),0)</f>
        <v>37.0451420890937</v>
      </c>
      <c r="N165" s="40" t="n">
        <f aca="false">'Data Bulanan'!DD37</f>
        <v>7.99160796317419</v>
      </c>
      <c r="O165" s="41" t="n">
        <f aca="false">IFERROR(N165*SQRT(H165),0)</f>
        <v>53.6093359655584</v>
      </c>
      <c r="P165" s="42" t="n">
        <f aca="false">IFERROR(ROUND(1.65*O165,0),0)</f>
        <v>88</v>
      </c>
      <c r="Q165" s="43" t="n">
        <f aca="false">IFERROR(ROUND(M165*H165+P165,0),0)</f>
        <v>1755</v>
      </c>
      <c r="R165" s="44" t="n">
        <f aca="false">G165-Q165</f>
        <v>3306</v>
      </c>
      <c r="S165" s="45" t="str">
        <f aca="false">IF(G165=0,"Stockout ⚠",IF(G165&lt;Q165,"Reorder 🔄",IF(G165&gt;Q165+L165,"Overstock 📦","Aman ✅")))</f>
        <v>Overstock 📦</v>
      </c>
      <c r="T165" s="46" t="n">
        <f aca="false">IFERROR(N165/AVERAGE(M162:M166),0)</f>
        <v>0.197565488266271</v>
      </c>
      <c r="U165" s="47" t="n">
        <v>-646.25</v>
      </c>
      <c r="V165" s="48" t="n">
        <v>0.4733</v>
      </c>
    </row>
    <row r="166" customFormat="false" ht="15" hidden="false" customHeight="true" outlineLevel="0" collapsed="false">
      <c r="A166" s="49" t="n">
        <v>5</v>
      </c>
      <c r="B166" s="35" t="n">
        <v>2025</v>
      </c>
      <c r="C166" s="49" t="s">
        <v>264</v>
      </c>
      <c r="D166" s="49" t="s">
        <v>98</v>
      </c>
      <c r="E166" s="50" t="s">
        <v>99</v>
      </c>
      <c r="F166" s="49" t="s">
        <v>36</v>
      </c>
      <c r="G166" s="37" t="n">
        <v>4927</v>
      </c>
      <c r="H166" s="37" t="n">
        <v>45</v>
      </c>
      <c r="I166" s="37" t="n">
        <f aca="false">IFERROR(ROUND('Data Bulanan'!EC37,0),0)</f>
        <v>13850</v>
      </c>
      <c r="J166" s="37" t="n">
        <v>6080266</v>
      </c>
      <c r="K166" s="37" t="n">
        <v>453432</v>
      </c>
      <c r="L166" s="38" t="n">
        <f aca="false">IFERROR(ROUND(SQRT(2*I166*J166/K166),0),0)</f>
        <v>609</v>
      </c>
      <c r="M166" s="39" t="n">
        <f aca="false">IFERROR(AVERAGE('Data Bulanan'!DF37,'Data Bulanan'!DH37,'Data Bulanan'!DJ37,'Data Bulanan'!DL37,'Data Bulanan'!DN37,'Data Bulanan'!DP37,'Data Bulanan'!DR37,'Data Bulanan'!DT37,'Data Bulanan'!DV37,'Data Bulanan'!DX37,'Data Bulanan'!DZ37,'Data Bulanan'!EB37),0)</f>
        <v>36.9149193548387</v>
      </c>
      <c r="N166" s="40" t="n">
        <f aca="false">'Data Bulanan'!ED37</f>
        <v>7.39143667887749</v>
      </c>
      <c r="O166" s="41" t="n">
        <f aca="false">IFERROR(N166*SQRT(H166),0)</f>
        <v>49.5832645960661</v>
      </c>
      <c r="P166" s="42" t="n">
        <f aca="false">IFERROR(ROUND(1.65*O166,0),0)</f>
        <v>82</v>
      </c>
      <c r="Q166" s="43" t="n">
        <f aca="false">IFERROR(ROUND(M166*H166+P166,0),0)</f>
        <v>1743</v>
      </c>
      <c r="R166" s="44" t="n">
        <f aca="false">G166-Q166</f>
        <v>3184</v>
      </c>
      <c r="S166" s="45" t="str">
        <f aca="false">IF(G166=0,"Stockout ⚠",IF(G166&lt;Q166,"Reorder 🔄",IF(G166&gt;Q166+L166,"Overstock 📦","Aman ✅")))</f>
        <v>Overstock 📦</v>
      </c>
      <c r="T166" s="46" t="n">
        <f aca="false">IFERROR(N166/AVERAGE(M162:M166),0)</f>
        <v>0.182728282365799</v>
      </c>
      <c r="U166" s="47" t="n">
        <v>-646.25</v>
      </c>
      <c r="V166" s="48" t="n">
        <v>0.4733</v>
      </c>
    </row>
    <row r="167" customFormat="false" ht="15" hidden="false" customHeight="true" outlineLevel="0" collapsed="false">
      <c r="A167" s="34" t="n">
        <v>1</v>
      </c>
      <c r="B167" s="35" t="n">
        <v>2021</v>
      </c>
      <c r="C167" s="34" t="s">
        <v>264</v>
      </c>
      <c r="D167" s="34" t="s">
        <v>100</v>
      </c>
      <c r="E167" s="36" t="s">
        <v>101</v>
      </c>
      <c r="F167" s="34" t="s">
        <v>36</v>
      </c>
      <c r="G167" s="37" t="n">
        <v>898</v>
      </c>
      <c r="H167" s="37" t="n">
        <v>6</v>
      </c>
      <c r="I167" s="37" t="n">
        <f aca="false">IFERROR(ROUND('Data Bulanan'!AC38,0),0)</f>
        <v>17693</v>
      </c>
      <c r="J167" s="37" t="n">
        <v>2083801</v>
      </c>
      <c r="K167" s="37" t="n">
        <v>315455</v>
      </c>
      <c r="L167" s="38" t="n">
        <f aca="false">IFERROR(ROUND(SQRT(2*I167*J167/K167),0),0)</f>
        <v>483</v>
      </c>
      <c r="M167" s="39" t="n">
        <f aca="false">IFERROR(AVERAGE('Data Bulanan'!F38,'Data Bulanan'!H38,'Data Bulanan'!J38,'Data Bulanan'!L38,'Data Bulanan'!N38,'Data Bulanan'!P38,'Data Bulanan'!R38,'Data Bulanan'!T38,'Data Bulanan'!V38,'Data Bulanan'!X38,'Data Bulanan'!Z38,'Data Bulanan'!AB38),0)</f>
        <v>47.0380888376856</v>
      </c>
      <c r="N167" s="40" t="n">
        <f aca="false">'Data Bulanan'!AD38</f>
        <v>7.73134573036409</v>
      </c>
      <c r="O167" s="41" t="n">
        <f aca="false">IFERROR(N167*SQRT(H167),0)</f>
        <v>18.9378520644373</v>
      </c>
      <c r="P167" s="42" t="n">
        <f aca="false">IFERROR(ROUND(1.65*O167,0),0)</f>
        <v>31</v>
      </c>
      <c r="Q167" s="43" t="n">
        <f aca="false">IFERROR(ROUND(M167*H167+P167,0),0)</f>
        <v>313</v>
      </c>
      <c r="R167" s="44" t="n">
        <f aca="false">G167-Q167</f>
        <v>585</v>
      </c>
      <c r="S167" s="45" t="str">
        <f aca="false">IF(G167=0,"Stockout ⚠",IF(G167&lt;Q167,"Reorder 🔄",IF(G167&gt;Q167+L167,"Overstock 📦","Aman ✅")))</f>
        <v>Overstock 📦</v>
      </c>
      <c r="T167" s="46" t="n">
        <f aca="false">IFERROR(N167/AVERAGE(M167:M171),0)</f>
        <v>0.176443833202696</v>
      </c>
      <c r="U167" s="47" t="n">
        <v>-1016.76</v>
      </c>
      <c r="V167" s="48" t="n">
        <v>0.7805</v>
      </c>
    </row>
    <row r="168" customFormat="false" ht="15" hidden="false" customHeight="true" outlineLevel="0" collapsed="false">
      <c r="A168" s="34" t="n">
        <v>2</v>
      </c>
      <c r="B168" s="35" t="n">
        <v>2022</v>
      </c>
      <c r="C168" s="34" t="s">
        <v>264</v>
      </c>
      <c r="D168" s="34" t="s">
        <v>100</v>
      </c>
      <c r="E168" s="36" t="s">
        <v>101</v>
      </c>
      <c r="F168" s="34" t="s">
        <v>36</v>
      </c>
      <c r="G168" s="37" t="n">
        <v>0</v>
      </c>
      <c r="H168" s="37" t="n">
        <v>6</v>
      </c>
      <c r="I168" s="37" t="n">
        <f aca="false">IFERROR(ROUND('Data Bulanan'!BC38,0),0)</f>
        <v>18540</v>
      </c>
      <c r="J168" s="37" t="n">
        <v>1997708</v>
      </c>
      <c r="K168" s="37" t="n">
        <v>303655</v>
      </c>
      <c r="L168" s="38" t="n">
        <f aca="false">IFERROR(ROUND(SQRT(2*I168*J168/K168),0),0)</f>
        <v>494</v>
      </c>
      <c r="M168" s="39" t="n">
        <f aca="false">IFERROR(AVERAGE('Data Bulanan'!AF38,'Data Bulanan'!AH38,'Data Bulanan'!AJ38,'Data Bulanan'!AL38,'Data Bulanan'!AN38,'Data Bulanan'!AP38,'Data Bulanan'!AR38,'Data Bulanan'!AT38,'Data Bulanan'!AV38,'Data Bulanan'!AX38,'Data Bulanan'!AZ38,'Data Bulanan'!BB38),0)</f>
        <v>49.3433115719406</v>
      </c>
      <c r="N168" s="40" t="n">
        <f aca="false">'Data Bulanan'!BD38</f>
        <v>15.4633503169114</v>
      </c>
      <c r="O168" s="41" t="n">
        <f aca="false">IFERROR(N168*SQRT(H168),0)</f>
        <v>37.8773179903374</v>
      </c>
      <c r="P168" s="42" t="n">
        <f aca="false">IFERROR(ROUND(1.65*O168,0),0)</f>
        <v>62</v>
      </c>
      <c r="Q168" s="43" t="n">
        <f aca="false">IFERROR(ROUND(M168*H168+P168,0),0)</f>
        <v>358</v>
      </c>
      <c r="R168" s="44" t="n">
        <f aca="false">G168-Q168</f>
        <v>-358</v>
      </c>
      <c r="S168" s="45" t="str">
        <f aca="false">IF(G168=0,"Stockout ⚠",IF(G168&lt;Q168,"Reorder 🔄",IF(G168&gt;Q168+L168,"Overstock 📦","Aman ✅")))</f>
        <v>Stockout ⚠</v>
      </c>
      <c r="T168" s="46" t="n">
        <f aca="false">IFERROR(N168/AVERAGE(M167:M171),0)</f>
        <v>0.35290270274118</v>
      </c>
      <c r="U168" s="47" t="n">
        <v>-1016.76</v>
      </c>
      <c r="V168" s="48" t="n">
        <v>0.7805</v>
      </c>
    </row>
    <row r="169" customFormat="false" ht="15" hidden="false" customHeight="true" outlineLevel="0" collapsed="false">
      <c r="A169" s="34" t="n">
        <v>3</v>
      </c>
      <c r="B169" s="35" t="n">
        <v>2023</v>
      </c>
      <c r="C169" s="34" t="s">
        <v>264</v>
      </c>
      <c r="D169" s="34" t="s">
        <v>100</v>
      </c>
      <c r="E169" s="36" t="s">
        <v>101</v>
      </c>
      <c r="F169" s="34" t="s">
        <v>36</v>
      </c>
      <c r="G169" s="37" t="n">
        <v>0</v>
      </c>
      <c r="H169" s="37" t="n">
        <v>6</v>
      </c>
      <c r="I169" s="37" t="n">
        <f aca="false">IFERROR(ROUND('Data Bulanan'!CC38,0),0)</f>
        <v>16977</v>
      </c>
      <c r="J169" s="37" t="n">
        <v>2135221</v>
      </c>
      <c r="K169" s="37" t="n">
        <v>316651</v>
      </c>
      <c r="L169" s="38" t="n">
        <f aca="false">IFERROR(ROUND(SQRT(2*I169*J169/K169),0),0)</f>
        <v>478</v>
      </c>
      <c r="M169" s="39" t="n">
        <f aca="false">IFERROR(AVERAGE('Data Bulanan'!BF38,'Data Bulanan'!BH38,'Data Bulanan'!BJ38,'Data Bulanan'!BL38,'Data Bulanan'!BN38,'Data Bulanan'!BP38,'Data Bulanan'!BR38,'Data Bulanan'!BT38,'Data Bulanan'!BV38,'Data Bulanan'!BX38,'Data Bulanan'!BZ38,'Data Bulanan'!CB38),0)</f>
        <v>45.1158346134153</v>
      </c>
      <c r="N169" s="40" t="n">
        <f aca="false">'Data Bulanan'!CD38</f>
        <v>6.9619835181363</v>
      </c>
      <c r="O169" s="41" t="n">
        <f aca="false">IFERROR(N169*SQRT(H169),0)</f>
        <v>17.0533072171004</v>
      </c>
      <c r="P169" s="42" t="n">
        <f aca="false">IFERROR(ROUND(1.65*O169,0),0)</f>
        <v>28</v>
      </c>
      <c r="Q169" s="43" t="n">
        <f aca="false">IFERROR(ROUND(M169*H169+P169,0),0)</f>
        <v>299</v>
      </c>
      <c r="R169" s="44" t="n">
        <f aca="false">G169-Q169</f>
        <v>-299</v>
      </c>
      <c r="S169" s="45" t="str">
        <f aca="false">IF(G169=0,"Stockout ⚠",IF(G169&lt;Q169,"Reorder 🔄",IF(G169&gt;Q169+L169,"Overstock 📦","Aman ✅")))</f>
        <v>Stockout ⚠</v>
      </c>
      <c r="T169" s="46" t="n">
        <f aca="false">IFERROR(N169/AVERAGE(M167:M171),0)</f>
        <v>0.158885542242607</v>
      </c>
      <c r="U169" s="47" t="n">
        <v>-1016.76</v>
      </c>
      <c r="V169" s="48" t="n">
        <v>0.7805</v>
      </c>
    </row>
    <row r="170" customFormat="false" ht="15" hidden="false" customHeight="true" outlineLevel="0" collapsed="false">
      <c r="A170" s="34" t="n">
        <v>4</v>
      </c>
      <c r="B170" s="35" t="n">
        <v>2024</v>
      </c>
      <c r="C170" s="34" t="s">
        <v>264</v>
      </c>
      <c r="D170" s="34" t="s">
        <v>100</v>
      </c>
      <c r="E170" s="36" t="s">
        <v>101</v>
      </c>
      <c r="F170" s="34" t="s">
        <v>36</v>
      </c>
      <c r="G170" s="37" t="n">
        <v>723</v>
      </c>
      <c r="H170" s="37" t="n">
        <v>6</v>
      </c>
      <c r="I170" s="37" t="n">
        <f aca="false">IFERROR(ROUND('Data Bulanan'!DC38,0),0)</f>
        <v>14529</v>
      </c>
      <c r="J170" s="37" t="n">
        <v>2081084</v>
      </c>
      <c r="K170" s="37" t="n">
        <v>301603</v>
      </c>
      <c r="L170" s="38" t="n">
        <f aca="false">IFERROR(ROUND(SQRT(2*I170*J170/K170),0),0)</f>
        <v>448</v>
      </c>
      <c r="M170" s="39" t="n">
        <f aca="false">IFERROR(AVERAGE('Data Bulanan'!CF38,'Data Bulanan'!CH38,'Data Bulanan'!CJ38,'Data Bulanan'!CL38,'Data Bulanan'!CN38,'Data Bulanan'!CP38,'Data Bulanan'!CR38,'Data Bulanan'!CT38,'Data Bulanan'!CV38,'Data Bulanan'!CX38,'Data Bulanan'!CZ38,'Data Bulanan'!DB38),0)</f>
        <v>38.7579045058884</v>
      </c>
      <c r="N170" s="40" t="n">
        <f aca="false">'Data Bulanan'!DD38</f>
        <v>9.28976776854047</v>
      </c>
      <c r="O170" s="41" t="n">
        <f aca="false">IFERROR(N170*SQRT(H170),0)</f>
        <v>22.7551908618777</v>
      </c>
      <c r="P170" s="42" t="n">
        <f aca="false">IFERROR(ROUND(1.65*O170,0),0)</f>
        <v>38</v>
      </c>
      <c r="Q170" s="43" t="n">
        <f aca="false">IFERROR(ROUND(M170*H170+P170,0),0)</f>
        <v>271</v>
      </c>
      <c r="R170" s="44" t="n">
        <f aca="false">G170-Q170</f>
        <v>452</v>
      </c>
      <c r="S170" s="45" t="str">
        <f aca="false">IF(G170=0,"Stockout ⚠",IF(G170&lt;Q170,"Reorder 🔄",IF(G170&gt;Q170+L170,"Overstock 📦","Aman ✅")))</f>
        <v>Overstock 📦</v>
      </c>
      <c r="T170" s="46" t="n">
        <f aca="false">IFERROR(N170/AVERAGE(M167:M171),0)</f>
        <v>0.212009951670723</v>
      </c>
      <c r="U170" s="47" t="n">
        <v>-1016.76</v>
      </c>
      <c r="V170" s="48" t="n">
        <v>0.7805</v>
      </c>
    </row>
    <row r="171" customFormat="false" ht="15" hidden="false" customHeight="true" outlineLevel="0" collapsed="false">
      <c r="A171" s="34" t="n">
        <v>5</v>
      </c>
      <c r="B171" s="35" t="n">
        <v>2025</v>
      </c>
      <c r="C171" s="34" t="s">
        <v>264</v>
      </c>
      <c r="D171" s="34" t="s">
        <v>100</v>
      </c>
      <c r="E171" s="36" t="s">
        <v>101</v>
      </c>
      <c r="F171" s="34" t="s">
        <v>36</v>
      </c>
      <c r="G171" s="37" t="n">
        <v>2343</v>
      </c>
      <c r="H171" s="37" t="n">
        <v>6</v>
      </c>
      <c r="I171" s="37" t="n">
        <f aca="false">IFERROR(ROUND('Data Bulanan'!EC38,0),0)</f>
        <v>14614</v>
      </c>
      <c r="J171" s="37" t="n">
        <v>2017129</v>
      </c>
      <c r="K171" s="37" t="n">
        <v>281526</v>
      </c>
      <c r="L171" s="38" t="n">
        <f aca="false">IFERROR(ROUND(SQRT(2*I171*J171/K171),0),0)</f>
        <v>458</v>
      </c>
      <c r="M171" s="39" t="n">
        <f aca="false">IFERROR(AVERAGE('Data Bulanan'!DF38,'Data Bulanan'!DH38,'Data Bulanan'!DJ38,'Data Bulanan'!DL38,'Data Bulanan'!DN38,'Data Bulanan'!DP38,'Data Bulanan'!DR38,'Data Bulanan'!DT38,'Data Bulanan'!DV38,'Data Bulanan'!DX38,'Data Bulanan'!DZ38,'Data Bulanan'!EB38),0)</f>
        <v>38.8328725038402</v>
      </c>
      <c r="N171" s="40" t="n">
        <f aca="false">'Data Bulanan'!ED38</f>
        <v>10.1853447543033</v>
      </c>
      <c r="O171" s="41" t="n">
        <f aca="false">IFERROR(N171*SQRT(H171),0)</f>
        <v>24.9488975023763</v>
      </c>
      <c r="P171" s="42" t="n">
        <f aca="false">IFERROR(ROUND(1.65*O171,0),0)</f>
        <v>41</v>
      </c>
      <c r="Q171" s="43" t="n">
        <f aca="false">IFERROR(ROUND(M171*H171+P171,0),0)</f>
        <v>274</v>
      </c>
      <c r="R171" s="44" t="n">
        <f aca="false">G171-Q171</f>
        <v>2069</v>
      </c>
      <c r="S171" s="45" t="str">
        <f aca="false">IF(G171=0,"Stockout ⚠",IF(G171&lt;Q171,"Reorder 🔄",IF(G171&gt;Q171+L171,"Overstock 📦","Aman ✅")))</f>
        <v>Overstock 📦</v>
      </c>
      <c r="T171" s="46" t="n">
        <f aca="false">IFERROR(N171/AVERAGE(M167:M171),0)</f>
        <v>0.232448700862277</v>
      </c>
      <c r="U171" s="47" t="n">
        <v>-1016.76</v>
      </c>
      <c r="V171" s="48" t="n">
        <v>0.7805</v>
      </c>
    </row>
    <row r="172" customFormat="false" ht="15" hidden="false" customHeight="true" outlineLevel="0" collapsed="false">
      <c r="A172" s="49" t="n">
        <v>1</v>
      </c>
      <c r="B172" s="35" t="n">
        <v>2021</v>
      </c>
      <c r="C172" s="49" t="s">
        <v>263</v>
      </c>
      <c r="D172" s="49" t="s">
        <v>102</v>
      </c>
      <c r="E172" s="50" t="s">
        <v>103</v>
      </c>
      <c r="F172" s="49" t="s">
        <v>36</v>
      </c>
      <c r="G172" s="37" t="n">
        <v>2668</v>
      </c>
      <c r="H172" s="37" t="n">
        <v>9</v>
      </c>
      <c r="I172" s="37" t="n">
        <f aca="false">IFERROR(ROUND('Data Bulanan'!AC39,0),0)</f>
        <v>38149</v>
      </c>
      <c r="J172" s="37" t="n">
        <v>1455914</v>
      </c>
      <c r="K172" s="37" t="n">
        <v>273817</v>
      </c>
      <c r="L172" s="38" t="n">
        <f aca="false">IFERROR(ROUND(SQRT(2*I172*J172/K172),0),0)</f>
        <v>637</v>
      </c>
      <c r="M172" s="39" t="n">
        <f aca="false">IFERROR(AVERAGE('Data Bulanan'!F39,'Data Bulanan'!H39,'Data Bulanan'!J39,'Data Bulanan'!L39,'Data Bulanan'!N39,'Data Bulanan'!P39,'Data Bulanan'!R39,'Data Bulanan'!T39,'Data Bulanan'!V39,'Data Bulanan'!X39,'Data Bulanan'!Z39,'Data Bulanan'!AB39),0)</f>
        <v>101.359562211982</v>
      </c>
      <c r="N172" s="40" t="n">
        <f aca="false">'Data Bulanan'!AD39</f>
        <v>26.4652321233947</v>
      </c>
      <c r="O172" s="41" t="n">
        <f aca="false">IFERROR(N172*SQRT(H172),0)</f>
        <v>79.3956963701841</v>
      </c>
      <c r="P172" s="42" t="n">
        <f aca="false">IFERROR(ROUND(1.65*O172,0),0)</f>
        <v>131</v>
      </c>
      <c r="Q172" s="43" t="n">
        <f aca="false">IFERROR(ROUND(M172*H172+P172,0),0)</f>
        <v>1043</v>
      </c>
      <c r="R172" s="44" t="n">
        <f aca="false">G172-Q172</f>
        <v>1625</v>
      </c>
      <c r="S172" s="45" t="str">
        <f aca="false">IF(G172=0,"Stockout ⚠",IF(G172&lt;Q172,"Reorder 🔄",IF(G172&gt;Q172+L172,"Overstock 📦","Aman ✅")))</f>
        <v>Overstock 📦</v>
      </c>
      <c r="T172" s="46" t="n">
        <f aca="false">IFERROR(N172/AVERAGE(M172:M176),0)</f>
        <v>0.238193850742444</v>
      </c>
      <c r="U172" s="47" t="n">
        <v>1331.51</v>
      </c>
      <c r="V172" s="48" t="n">
        <v>0.3075</v>
      </c>
    </row>
    <row r="173" customFormat="false" ht="15" hidden="false" customHeight="true" outlineLevel="0" collapsed="false">
      <c r="A173" s="49" t="n">
        <v>2</v>
      </c>
      <c r="B173" s="35" t="n">
        <v>2022</v>
      </c>
      <c r="C173" s="49" t="s">
        <v>263</v>
      </c>
      <c r="D173" s="49" t="s">
        <v>102</v>
      </c>
      <c r="E173" s="50" t="s">
        <v>103</v>
      </c>
      <c r="F173" s="49" t="s">
        <v>36</v>
      </c>
      <c r="G173" s="37" t="n">
        <v>3981</v>
      </c>
      <c r="H173" s="37" t="n">
        <v>9</v>
      </c>
      <c r="I173" s="37" t="n">
        <f aca="false">IFERROR(ROUND('Data Bulanan'!BC39,0),0)</f>
        <v>38075</v>
      </c>
      <c r="J173" s="37" t="n">
        <v>1418465</v>
      </c>
      <c r="K173" s="37" t="n">
        <v>244854</v>
      </c>
      <c r="L173" s="38" t="n">
        <f aca="false">IFERROR(ROUND(SQRT(2*I173*J173/K173),0),0)</f>
        <v>664</v>
      </c>
      <c r="M173" s="39" t="n">
        <f aca="false">IFERROR(AVERAGE('Data Bulanan'!AF39,'Data Bulanan'!AH39,'Data Bulanan'!AJ39,'Data Bulanan'!AL39,'Data Bulanan'!AN39,'Data Bulanan'!AP39,'Data Bulanan'!AR39,'Data Bulanan'!AT39,'Data Bulanan'!AV39,'Data Bulanan'!AX39,'Data Bulanan'!AZ39,'Data Bulanan'!BB39),0)</f>
        <v>101.474238351254</v>
      </c>
      <c r="N173" s="40" t="n">
        <f aca="false">'Data Bulanan'!BD39</f>
        <v>21.0308314464307</v>
      </c>
      <c r="O173" s="41" t="n">
        <f aca="false">IFERROR(N173*SQRT(H173),0)</f>
        <v>63.0924943392922</v>
      </c>
      <c r="P173" s="42" t="n">
        <f aca="false">IFERROR(ROUND(1.65*O173,0),0)</f>
        <v>104</v>
      </c>
      <c r="Q173" s="43" t="n">
        <f aca="false">IFERROR(ROUND(M173*H173+P173,0),0)</f>
        <v>1017</v>
      </c>
      <c r="R173" s="44" t="n">
        <f aca="false">G173-Q173</f>
        <v>2964</v>
      </c>
      <c r="S173" s="45" t="str">
        <f aca="false">IF(G173=0,"Stockout ⚠",IF(G173&lt;Q173,"Reorder 🔄",IF(G173&gt;Q173+L173,"Overstock 📦","Aman ✅")))</f>
        <v>Overstock 📦</v>
      </c>
      <c r="T173" s="46" t="n">
        <f aca="false">IFERROR(N173/AVERAGE(M172:M176),0)</f>
        <v>0.189282856208633</v>
      </c>
      <c r="U173" s="47" t="n">
        <v>1331.51</v>
      </c>
      <c r="V173" s="48" t="n">
        <v>0.3075</v>
      </c>
    </row>
    <row r="174" customFormat="false" ht="15" hidden="false" customHeight="true" outlineLevel="0" collapsed="false">
      <c r="A174" s="49" t="n">
        <v>3</v>
      </c>
      <c r="B174" s="35" t="n">
        <v>2023</v>
      </c>
      <c r="C174" s="49" t="s">
        <v>263</v>
      </c>
      <c r="D174" s="49" t="s">
        <v>102</v>
      </c>
      <c r="E174" s="50" t="s">
        <v>103</v>
      </c>
      <c r="F174" s="49" t="s">
        <v>36</v>
      </c>
      <c r="G174" s="37" t="n">
        <v>1130</v>
      </c>
      <c r="H174" s="37" t="n">
        <v>9</v>
      </c>
      <c r="I174" s="37" t="n">
        <f aca="false">IFERROR(ROUND('Data Bulanan'!CC39,0),0)</f>
        <v>46062</v>
      </c>
      <c r="J174" s="37" t="n">
        <v>1347340</v>
      </c>
      <c r="K174" s="37" t="n">
        <v>229178</v>
      </c>
      <c r="L174" s="38" t="n">
        <f aca="false">IFERROR(ROUND(SQRT(2*I174*J174/K174),0),0)</f>
        <v>736</v>
      </c>
      <c r="M174" s="39" t="n">
        <f aca="false">IFERROR(AVERAGE('Data Bulanan'!BF39,'Data Bulanan'!BH39,'Data Bulanan'!BJ39,'Data Bulanan'!BL39,'Data Bulanan'!BN39,'Data Bulanan'!BP39,'Data Bulanan'!BR39,'Data Bulanan'!BT39,'Data Bulanan'!BV39,'Data Bulanan'!BX39,'Data Bulanan'!BZ39,'Data Bulanan'!CB39),0)</f>
        <v>122.813031233999</v>
      </c>
      <c r="N174" s="40" t="n">
        <f aca="false">'Data Bulanan'!CD39</f>
        <v>27.0788362825567</v>
      </c>
      <c r="O174" s="41" t="n">
        <f aca="false">IFERROR(N174*SQRT(H174),0)</f>
        <v>81.2365088476702</v>
      </c>
      <c r="P174" s="42" t="n">
        <f aca="false">IFERROR(ROUND(1.65*O174,0),0)</f>
        <v>134</v>
      </c>
      <c r="Q174" s="43" t="n">
        <f aca="false">IFERROR(ROUND(M174*H174+P174,0),0)</f>
        <v>1239</v>
      </c>
      <c r="R174" s="44" t="n">
        <f aca="false">G174-Q174</f>
        <v>-109</v>
      </c>
      <c r="S174" s="45" t="str">
        <f aca="false">IF(G174=0,"Stockout ⚠",IF(G174&lt;Q174,"Reorder 🔄",IF(G174&gt;Q174+L174,"Overstock 📦","Aman ✅")))</f>
        <v>Reorder 🔄</v>
      </c>
      <c r="T174" s="46" t="n">
        <f aca="false">IFERROR(N174/AVERAGE(M172:M176),0)</f>
        <v>0.243716444945319</v>
      </c>
      <c r="U174" s="47" t="n">
        <v>1331.51</v>
      </c>
      <c r="V174" s="48" t="n">
        <v>0.3075</v>
      </c>
    </row>
    <row r="175" customFormat="false" ht="15" hidden="false" customHeight="true" outlineLevel="0" collapsed="false">
      <c r="A175" s="49" t="n">
        <v>4</v>
      </c>
      <c r="B175" s="35" t="n">
        <v>2024</v>
      </c>
      <c r="C175" s="49" t="s">
        <v>263</v>
      </c>
      <c r="D175" s="49" t="s">
        <v>102</v>
      </c>
      <c r="E175" s="50" t="s">
        <v>103</v>
      </c>
      <c r="F175" s="49" t="s">
        <v>36</v>
      </c>
      <c r="G175" s="37" t="n">
        <v>3085</v>
      </c>
      <c r="H175" s="37" t="n">
        <v>9</v>
      </c>
      <c r="I175" s="37" t="n">
        <f aca="false">IFERROR(ROUND('Data Bulanan'!DC39,0),0)</f>
        <v>45256</v>
      </c>
      <c r="J175" s="37" t="n">
        <v>1310253</v>
      </c>
      <c r="K175" s="37" t="n">
        <v>266595</v>
      </c>
      <c r="L175" s="38" t="n">
        <f aca="false">IFERROR(ROUND(SQRT(2*I175*J175/K175),0),0)</f>
        <v>667</v>
      </c>
      <c r="M175" s="39" t="n">
        <f aca="false">IFERROR(AVERAGE('Data Bulanan'!CF39,'Data Bulanan'!CH39,'Data Bulanan'!CJ39,'Data Bulanan'!CL39,'Data Bulanan'!CN39,'Data Bulanan'!CP39,'Data Bulanan'!CR39,'Data Bulanan'!CT39,'Data Bulanan'!CV39,'Data Bulanan'!CX39,'Data Bulanan'!CZ39,'Data Bulanan'!DB39),0)</f>
        <v>120.322177419355</v>
      </c>
      <c r="N175" s="40" t="n">
        <f aca="false">'Data Bulanan'!DD39</f>
        <v>22.7297527147725</v>
      </c>
      <c r="O175" s="41" t="n">
        <f aca="false">IFERROR(N175*SQRT(H175),0)</f>
        <v>68.1892581443174</v>
      </c>
      <c r="P175" s="42" t="n">
        <f aca="false">IFERROR(ROUND(1.65*O175,0),0)</f>
        <v>113</v>
      </c>
      <c r="Q175" s="43" t="n">
        <f aca="false">IFERROR(ROUND(M175*H175+P175,0),0)</f>
        <v>1196</v>
      </c>
      <c r="R175" s="44" t="n">
        <f aca="false">G175-Q175</f>
        <v>1889</v>
      </c>
      <c r="S175" s="45" t="str">
        <f aca="false">IF(G175=0,"Stockout ⚠",IF(G175&lt;Q175,"Reorder 🔄",IF(G175&gt;Q175+L175,"Overstock 📦","Aman ✅")))</f>
        <v>Overstock 📦</v>
      </c>
      <c r="T175" s="46" t="n">
        <f aca="false">IFERROR(N175/AVERAGE(M172:M176),0)</f>
        <v>0.204573581683013</v>
      </c>
      <c r="U175" s="47" t="n">
        <v>1331.51</v>
      </c>
      <c r="V175" s="48" t="n">
        <v>0.3075</v>
      </c>
    </row>
    <row r="176" customFormat="false" ht="15" hidden="false" customHeight="true" outlineLevel="0" collapsed="false">
      <c r="A176" s="49" t="n">
        <v>5</v>
      </c>
      <c r="B176" s="35" t="n">
        <v>2025</v>
      </c>
      <c r="C176" s="49" t="s">
        <v>263</v>
      </c>
      <c r="D176" s="49" t="s">
        <v>102</v>
      </c>
      <c r="E176" s="50" t="s">
        <v>103</v>
      </c>
      <c r="F176" s="49" t="s">
        <v>36</v>
      </c>
      <c r="G176" s="37" t="n">
        <v>2967</v>
      </c>
      <c r="H176" s="37" t="n">
        <v>9</v>
      </c>
      <c r="I176" s="37" t="n">
        <f aca="false">IFERROR(ROUND('Data Bulanan'!EC39,0),0)</f>
        <v>41216</v>
      </c>
      <c r="J176" s="37" t="n">
        <v>1588776</v>
      </c>
      <c r="K176" s="37" t="n">
        <v>241878</v>
      </c>
      <c r="L176" s="38" t="n">
        <f aca="false">IFERROR(ROUND(SQRT(2*I176*J176/K176),0),0)</f>
        <v>736</v>
      </c>
      <c r="M176" s="39" t="n">
        <f aca="false">IFERROR(AVERAGE('Data Bulanan'!DF39,'Data Bulanan'!DH39,'Data Bulanan'!DJ39,'Data Bulanan'!DL39,'Data Bulanan'!DN39,'Data Bulanan'!DP39,'Data Bulanan'!DR39,'Data Bulanan'!DT39,'Data Bulanan'!DV39,'Data Bulanan'!DX39,'Data Bulanan'!DZ39,'Data Bulanan'!EB39),0)</f>
        <v>109.570775729647</v>
      </c>
      <c r="N176" s="40" t="n">
        <f aca="false">'Data Bulanan'!ED39</f>
        <v>26.6433241951612</v>
      </c>
      <c r="O176" s="41" t="n">
        <f aca="false">IFERROR(N176*SQRT(H176),0)</f>
        <v>79.9299725854836</v>
      </c>
      <c r="P176" s="42" t="n">
        <f aca="false">IFERROR(ROUND(1.65*O176,0),0)</f>
        <v>132</v>
      </c>
      <c r="Q176" s="43" t="n">
        <f aca="false">IFERROR(ROUND(M176*H176+P176,0),0)</f>
        <v>1118</v>
      </c>
      <c r="R176" s="44" t="n">
        <f aca="false">G176-Q176</f>
        <v>1849</v>
      </c>
      <c r="S176" s="45" t="str">
        <f aca="false">IF(G176=0,"Stockout ⚠",IF(G176&lt;Q176,"Reorder 🔄",IF(G176&gt;Q176+L176,"Overstock 📦","Aman ✅")))</f>
        <v>Overstock 📦</v>
      </c>
      <c r="T176" s="46" t="n">
        <f aca="false">IFERROR(N176/AVERAGE(M172:M176),0)</f>
        <v>0.239796724889286</v>
      </c>
      <c r="U176" s="47" t="n">
        <v>1331.51</v>
      </c>
      <c r="V176" s="48" t="n">
        <v>0.3075</v>
      </c>
    </row>
    <row r="177" customFormat="false" ht="15" hidden="false" customHeight="true" outlineLevel="0" collapsed="false">
      <c r="A177" s="34" t="n">
        <v>1</v>
      </c>
      <c r="B177" s="35" t="n">
        <v>2021</v>
      </c>
      <c r="C177" s="34" t="s">
        <v>263</v>
      </c>
      <c r="D177" s="34" t="s">
        <v>104</v>
      </c>
      <c r="E177" s="36" t="s">
        <v>105</v>
      </c>
      <c r="F177" s="34" t="s">
        <v>57</v>
      </c>
      <c r="G177" s="37" t="n">
        <v>446</v>
      </c>
      <c r="H177" s="37" t="n">
        <v>12</v>
      </c>
      <c r="I177" s="37" t="n">
        <f aca="false">IFERROR(ROUND('Data Bulanan'!AC40,0),0)</f>
        <v>4328</v>
      </c>
      <c r="J177" s="37" t="n">
        <v>1082757</v>
      </c>
      <c r="K177" s="37" t="n">
        <v>161031</v>
      </c>
      <c r="L177" s="38" t="n">
        <f aca="false">IFERROR(ROUND(SQRT(2*I177*J177/K177),0),0)</f>
        <v>241</v>
      </c>
      <c r="M177" s="39" t="n">
        <f aca="false">IFERROR(AVERAGE('Data Bulanan'!F40,'Data Bulanan'!H40,'Data Bulanan'!J40,'Data Bulanan'!L40,'Data Bulanan'!N40,'Data Bulanan'!P40,'Data Bulanan'!R40,'Data Bulanan'!T40,'Data Bulanan'!V40,'Data Bulanan'!X40,'Data Bulanan'!Z40,'Data Bulanan'!AB40),0)</f>
        <v>11.529640296979</v>
      </c>
      <c r="N177" s="40" t="n">
        <f aca="false">'Data Bulanan'!AD40</f>
        <v>2.64532686547257</v>
      </c>
      <c r="O177" s="41" t="n">
        <f aca="false">IFERROR(N177*SQRT(H177),0)</f>
        <v>9.16368106725084</v>
      </c>
      <c r="P177" s="42" t="n">
        <f aca="false">IFERROR(ROUND(1.65*O177,0),0)</f>
        <v>15</v>
      </c>
      <c r="Q177" s="43" t="n">
        <f aca="false">IFERROR(ROUND(M177*H177+P177,0),0)</f>
        <v>153</v>
      </c>
      <c r="R177" s="44" t="n">
        <f aca="false">G177-Q177</f>
        <v>293</v>
      </c>
      <c r="S177" s="45" t="str">
        <f aca="false">IF(G177=0,"Stockout ⚠",IF(G177&lt;Q177,"Reorder 🔄",IF(G177&gt;Q177+L177,"Overstock 📦","Aman ✅")))</f>
        <v>Overstock 📦</v>
      </c>
      <c r="T177" s="46" t="n">
        <f aca="false">IFERROR(N177/AVERAGE(M177:M181),0)</f>
        <v>0.194731382149815</v>
      </c>
      <c r="U177" s="47" t="n">
        <v>22.08</v>
      </c>
      <c r="V177" s="48" t="n">
        <v>0.003</v>
      </c>
    </row>
    <row r="178" customFormat="false" ht="15" hidden="false" customHeight="true" outlineLevel="0" collapsed="false">
      <c r="A178" s="34" t="n">
        <v>2</v>
      </c>
      <c r="B178" s="35" t="n">
        <v>2022</v>
      </c>
      <c r="C178" s="34" t="s">
        <v>263</v>
      </c>
      <c r="D178" s="34" t="s">
        <v>104</v>
      </c>
      <c r="E178" s="36" t="s">
        <v>105</v>
      </c>
      <c r="F178" s="34" t="s">
        <v>57</v>
      </c>
      <c r="G178" s="37" t="n">
        <v>0</v>
      </c>
      <c r="H178" s="37" t="n">
        <v>12</v>
      </c>
      <c r="I178" s="37" t="n">
        <f aca="false">IFERROR(ROUND('Data Bulanan'!BC40,0),0)</f>
        <v>5813</v>
      </c>
      <c r="J178" s="37" t="n">
        <v>982836</v>
      </c>
      <c r="K178" s="37" t="n">
        <v>166242</v>
      </c>
      <c r="L178" s="38" t="n">
        <f aca="false">IFERROR(ROUND(SQRT(2*I178*J178/K178),0),0)</f>
        <v>262</v>
      </c>
      <c r="M178" s="39" t="n">
        <f aca="false">IFERROR(AVERAGE('Data Bulanan'!AF40,'Data Bulanan'!AH40,'Data Bulanan'!AJ40,'Data Bulanan'!AL40,'Data Bulanan'!AN40,'Data Bulanan'!AP40,'Data Bulanan'!AR40,'Data Bulanan'!AT40,'Data Bulanan'!AV40,'Data Bulanan'!AX40,'Data Bulanan'!AZ40,'Data Bulanan'!BB40),0)</f>
        <v>15.419572452637</v>
      </c>
      <c r="N178" s="40" t="n">
        <f aca="false">'Data Bulanan'!BD40</f>
        <v>3.30495369206605</v>
      </c>
      <c r="O178" s="41" t="n">
        <f aca="false">IFERROR(N178*SQRT(H178),0)</f>
        <v>11.4486954226415</v>
      </c>
      <c r="P178" s="42" t="n">
        <f aca="false">IFERROR(ROUND(1.65*O178,0),0)</f>
        <v>19</v>
      </c>
      <c r="Q178" s="43" t="n">
        <f aca="false">IFERROR(ROUND(M178*H178+P178,0),0)</f>
        <v>204</v>
      </c>
      <c r="R178" s="44" t="n">
        <f aca="false">G178-Q178</f>
        <v>-204</v>
      </c>
      <c r="S178" s="45" t="str">
        <f aca="false">IF(G178=0,"Stockout ⚠",IF(G178&lt;Q178,"Reorder 🔄",IF(G178&gt;Q178+L178,"Overstock 📦","Aman ✅")))</f>
        <v>Stockout ⚠</v>
      </c>
      <c r="T178" s="46" t="n">
        <f aca="false">IFERROR(N178/AVERAGE(M177:M181),0)</f>
        <v>0.243288725033299</v>
      </c>
      <c r="U178" s="47" t="n">
        <v>22.08</v>
      </c>
      <c r="V178" s="48" t="n">
        <v>0.003</v>
      </c>
    </row>
    <row r="179" customFormat="false" ht="15" hidden="false" customHeight="true" outlineLevel="0" collapsed="false">
      <c r="A179" s="34" t="n">
        <v>3</v>
      </c>
      <c r="B179" s="35" t="n">
        <v>2023</v>
      </c>
      <c r="C179" s="34" t="s">
        <v>263</v>
      </c>
      <c r="D179" s="34" t="s">
        <v>104</v>
      </c>
      <c r="E179" s="36" t="s">
        <v>105</v>
      </c>
      <c r="F179" s="34" t="s">
        <v>57</v>
      </c>
      <c r="G179" s="37" t="n">
        <v>593</v>
      </c>
      <c r="H179" s="37" t="n">
        <v>12</v>
      </c>
      <c r="I179" s="37" t="n">
        <f aca="false">IFERROR(ROUND('Data Bulanan'!CC40,0),0)</f>
        <v>5693</v>
      </c>
      <c r="J179" s="37" t="n">
        <v>1004040</v>
      </c>
      <c r="K179" s="37" t="n">
        <v>148156</v>
      </c>
      <c r="L179" s="38" t="n">
        <f aca="false">IFERROR(ROUND(SQRT(2*I179*J179/K179),0),0)</f>
        <v>278</v>
      </c>
      <c r="M179" s="39" t="n">
        <f aca="false">IFERROR(AVERAGE('Data Bulanan'!BF40,'Data Bulanan'!BH40,'Data Bulanan'!BJ40,'Data Bulanan'!BL40,'Data Bulanan'!BN40,'Data Bulanan'!BP40,'Data Bulanan'!BR40,'Data Bulanan'!BT40,'Data Bulanan'!BV40,'Data Bulanan'!BX40,'Data Bulanan'!BZ40,'Data Bulanan'!CB40),0)</f>
        <v>15.151113671275</v>
      </c>
      <c r="N179" s="40" t="n">
        <f aca="false">'Data Bulanan'!CD40</f>
        <v>3.18827856299316</v>
      </c>
      <c r="O179" s="41" t="n">
        <f aca="false">IFERROR(N179*SQRT(H179),0)</f>
        <v>11.0445209195737</v>
      </c>
      <c r="P179" s="42" t="n">
        <f aca="false">IFERROR(ROUND(1.65*O179,0),0)</f>
        <v>18</v>
      </c>
      <c r="Q179" s="43" t="n">
        <f aca="false">IFERROR(ROUND(M179*H179+P179,0),0)</f>
        <v>200</v>
      </c>
      <c r="R179" s="44" t="n">
        <f aca="false">G179-Q179</f>
        <v>393</v>
      </c>
      <c r="S179" s="45" t="str">
        <f aca="false">IF(G179=0,"Stockout ⚠",IF(G179&lt;Q179,"Reorder 🔄",IF(G179&gt;Q179+L179,"Overstock 📦","Aman ✅")))</f>
        <v>Overstock 📦</v>
      </c>
      <c r="T179" s="46" t="n">
        <f aca="false">IFERROR(N179/AVERAGE(M177:M181),0)</f>
        <v>0.234699877491083</v>
      </c>
      <c r="U179" s="47" t="n">
        <v>22.08</v>
      </c>
      <c r="V179" s="48" t="n">
        <v>0.003</v>
      </c>
    </row>
    <row r="180" customFormat="false" ht="15" hidden="false" customHeight="true" outlineLevel="0" collapsed="false">
      <c r="A180" s="34" t="n">
        <v>4</v>
      </c>
      <c r="B180" s="35" t="n">
        <v>2024</v>
      </c>
      <c r="C180" s="34" t="s">
        <v>263</v>
      </c>
      <c r="D180" s="34" t="s">
        <v>104</v>
      </c>
      <c r="E180" s="36" t="s">
        <v>105</v>
      </c>
      <c r="F180" s="34" t="s">
        <v>57</v>
      </c>
      <c r="G180" s="37" t="n">
        <v>415</v>
      </c>
      <c r="H180" s="37" t="n">
        <v>12</v>
      </c>
      <c r="I180" s="37" t="n">
        <f aca="false">IFERROR(ROUND('Data Bulanan'!DC40,0),0)</f>
        <v>4740</v>
      </c>
      <c r="J180" s="37" t="n">
        <v>1045438</v>
      </c>
      <c r="K180" s="37" t="n">
        <v>153190</v>
      </c>
      <c r="L180" s="38" t="n">
        <f aca="false">IFERROR(ROUND(SQRT(2*I180*J180/K180),0),0)</f>
        <v>254</v>
      </c>
      <c r="M180" s="39" t="n">
        <f aca="false">IFERROR(AVERAGE('Data Bulanan'!CF40,'Data Bulanan'!CH40,'Data Bulanan'!CJ40,'Data Bulanan'!CL40,'Data Bulanan'!CN40,'Data Bulanan'!CP40,'Data Bulanan'!CR40,'Data Bulanan'!CT40,'Data Bulanan'!CV40,'Data Bulanan'!CX40,'Data Bulanan'!CZ40,'Data Bulanan'!DB40),0)</f>
        <v>12.6057603686636</v>
      </c>
      <c r="N180" s="40" t="n">
        <f aca="false">'Data Bulanan'!DD40</f>
        <v>2.66706260450001</v>
      </c>
      <c r="O180" s="41" t="n">
        <f aca="false">IFERROR(N180*SQRT(H180),0)</f>
        <v>9.238975875922</v>
      </c>
      <c r="P180" s="42" t="n">
        <f aca="false">IFERROR(ROUND(1.65*O180,0),0)</f>
        <v>15</v>
      </c>
      <c r="Q180" s="43" t="n">
        <f aca="false">IFERROR(ROUND(M180*H180+P180,0),0)</f>
        <v>166</v>
      </c>
      <c r="R180" s="44" t="n">
        <f aca="false">G180-Q180</f>
        <v>249</v>
      </c>
      <c r="S180" s="45" t="str">
        <f aca="false">IF(G180=0,"Stockout ⚠",IF(G180&lt;Q180,"Reorder 🔄",IF(G180&gt;Q180+L180,"Overstock 📦","Aman ✅")))</f>
        <v>Aman ✅</v>
      </c>
      <c r="T180" s="46" t="n">
        <f aca="false">IFERROR(N180/AVERAGE(M177:M181),0)</f>
        <v>0.196331422794359</v>
      </c>
      <c r="U180" s="47" t="n">
        <v>22.08</v>
      </c>
      <c r="V180" s="48" t="n">
        <v>0.003</v>
      </c>
    </row>
    <row r="181" customFormat="false" ht="15" hidden="false" customHeight="true" outlineLevel="0" collapsed="false">
      <c r="A181" s="34" t="n">
        <v>5</v>
      </c>
      <c r="B181" s="35" t="n">
        <v>2025</v>
      </c>
      <c r="C181" s="34" t="s">
        <v>263</v>
      </c>
      <c r="D181" s="34" t="s">
        <v>104</v>
      </c>
      <c r="E181" s="36" t="s">
        <v>105</v>
      </c>
      <c r="F181" s="34" t="s">
        <v>57</v>
      </c>
      <c r="G181" s="37" t="n">
        <v>0</v>
      </c>
      <c r="H181" s="37" t="n">
        <v>12</v>
      </c>
      <c r="I181" s="37" t="n">
        <f aca="false">IFERROR(ROUND('Data Bulanan'!EC40,0),0)</f>
        <v>4975</v>
      </c>
      <c r="J181" s="37" t="n">
        <v>1022935</v>
      </c>
      <c r="K181" s="37" t="n">
        <v>166267</v>
      </c>
      <c r="L181" s="38" t="n">
        <f aca="false">IFERROR(ROUND(SQRT(2*I181*J181/K181),0),0)</f>
        <v>247</v>
      </c>
      <c r="M181" s="39" t="n">
        <f aca="false">IFERROR(AVERAGE('Data Bulanan'!DF40,'Data Bulanan'!DH40,'Data Bulanan'!DJ40,'Data Bulanan'!DL40,'Data Bulanan'!DN40,'Data Bulanan'!DP40,'Data Bulanan'!DR40,'Data Bulanan'!DT40,'Data Bulanan'!DV40,'Data Bulanan'!DX40,'Data Bulanan'!DZ40,'Data Bulanan'!EB40),0)</f>
        <v>13.2163722478239</v>
      </c>
      <c r="N181" s="40" t="n">
        <f aca="false">'Data Bulanan'!ED40</f>
        <v>2.60709038674599</v>
      </c>
      <c r="O181" s="41" t="n">
        <f aca="false">IFERROR(N181*SQRT(H181),0)</f>
        <v>9.03122601953688</v>
      </c>
      <c r="P181" s="42" t="n">
        <f aca="false">IFERROR(ROUND(1.65*O181,0),0)</f>
        <v>15</v>
      </c>
      <c r="Q181" s="43" t="n">
        <f aca="false">IFERROR(ROUND(M181*H181+P181,0),0)</f>
        <v>174</v>
      </c>
      <c r="R181" s="44" t="n">
        <f aca="false">G181-Q181</f>
        <v>-174</v>
      </c>
      <c r="S181" s="45" t="str">
        <f aca="false">IF(G181=0,"Stockout ⚠",IF(G181&lt;Q181,"Reorder 🔄",IF(G181&gt;Q181+L181,"Overstock 📦","Aman ✅")))</f>
        <v>Stockout ⚠</v>
      </c>
      <c r="T181" s="46" t="n">
        <f aca="false">IFERROR(N181/AVERAGE(M177:M181),0)</f>
        <v>0.191916666717799</v>
      </c>
      <c r="U181" s="47" t="n">
        <v>22.08</v>
      </c>
      <c r="V181" s="48" t="n">
        <v>0.003</v>
      </c>
    </row>
    <row r="182" customFormat="false" ht="15" hidden="false" customHeight="true" outlineLevel="0" collapsed="false">
      <c r="A182" s="49" t="n">
        <v>1</v>
      </c>
      <c r="B182" s="35" t="n">
        <v>2021</v>
      </c>
      <c r="C182" s="49" t="s">
        <v>263</v>
      </c>
      <c r="D182" s="49" t="s">
        <v>106</v>
      </c>
      <c r="E182" s="50" t="s">
        <v>107</v>
      </c>
      <c r="F182" s="49" t="s">
        <v>36</v>
      </c>
      <c r="G182" s="37" t="n">
        <v>0</v>
      </c>
      <c r="H182" s="37" t="n">
        <v>33</v>
      </c>
      <c r="I182" s="37" t="n">
        <f aca="false">IFERROR(ROUND('Data Bulanan'!AC41,0),0)</f>
        <v>12045</v>
      </c>
      <c r="J182" s="37" t="n">
        <v>8365774</v>
      </c>
      <c r="K182" s="37" t="n">
        <v>398114</v>
      </c>
      <c r="L182" s="38" t="n">
        <f aca="false">IFERROR(ROUND(SQRT(2*I182*J182/K182),0),0)</f>
        <v>711</v>
      </c>
      <c r="M182" s="39" t="n">
        <f aca="false">IFERROR(AVERAGE('Data Bulanan'!F41,'Data Bulanan'!H41,'Data Bulanan'!J41,'Data Bulanan'!L41,'Data Bulanan'!N41,'Data Bulanan'!P41,'Data Bulanan'!R41,'Data Bulanan'!T41,'Data Bulanan'!V41,'Data Bulanan'!X41,'Data Bulanan'!Z41,'Data Bulanan'!AB41),0)</f>
        <v>32.0454493087558</v>
      </c>
      <c r="N182" s="40" t="n">
        <f aca="false">'Data Bulanan'!AD41</f>
        <v>7.53206244820864</v>
      </c>
      <c r="O182" s="41" t="n">
        <f aca="false">IFERROR(N182*SQRT(H182),0)</f>
        <v>43.2684045913711</v>
      </c>
      <c r="P182" s="42" t="n">
        <f aca="false">IFERROR(ROUND(1.65*O182,0),0)</f>
        <v>71</v>
      </c>
      <c r="Q182" s="43" t="n">
        <f aca="false">IFERROR(ROUND(M182*H182+P182,0),0)</f>
        <v>1128</v>
      </c>
      <c r="R182" s="44" t="n">
        <f aca="false">G182-Q182</f>
        <v>-1128</v>
      </c>
      <c r="S182" s="45" t="str">
        <f aca="false">IF(G182=0,"Stockout ⚠",IF(G182&lt;Q182,"Reorder 🔄",IF(G182&gt;Q182+L182,"Overstock 📦","Aman ✅")))</f>
        <v>Stockout ⚠</v>
      </c>
      <c r="T182" s="46" t="n">
        <f aca="false">IFERROR(N182/AVERAGE(M182:M186),0)</f>
        <v>0.240434261678665</v>
      </c>
      <c r="U182" s="47" t="n">
        <v>-401.52</v>
      </c>
      <c r="V182" s="48" t="n">
        <v>0.6042</v>
      </c>
    </row>
    <row r="183" customFormat="false" ht="15" hidden="false" customHeight="true" outlineLevel="0" collapsed="false">
      <c r="A183" s="49" t="n">
        <v>2</v>
      </c>
      <c r="B183" s="35" t="n">
        <v>2022</v>
      </c>
      <c r="C183" s="49" t="s">
        <v>263</v>
      </c>
      <c r="D183" s="49" t="s">
        <v>106</v>
      </c>
      <c r="E183" s="50" t="s">
        <v>107</v>
      </c>
      <c r="F183" s="49" t="s">
        <v>36</v>
      </c>
      <c r="G183" s="37" t="n">
        <v>2108</v>
      </c>
      <c r="H183" s="37" t="n">
        <v>33</v>
      </c>
      <c r="I183" s="37" t="n">
        <f aca="false">IFERROR(ROUND('Data Bulanan'!BC41,0),0)</f>
        <v>13025</v>
      </c>
      <c r="J183" s="37" t="n">
        <v>8783506</v>
      </c>
      <c r="K183" s="37" t="n">
        <v>389995</v>
      </c>
      <c r="L183" s="38" t="n">
        <f aca="false">IFERROR(ROUND(SQRT(2*I183*J183/K183),0),0)</f>
        <v>766</v>
      </c>
      <c r="M183" s="39" t="n">
        <f aca="false">IFERROR(AVERAGE('Data Bulanan'!AF41,'Data Bulanan'!AH41,'Data Bulanan'!AJ41,'Data Bulanan'!AL41,'Data Bulanan'!AN41,'Data Bulanan'!AP41,'Data Bulanan'!AR41,'Data Bulanan'!AT41,'Data Bulanan'!AV41,'Data Bulanan'!AX41,'Data Bulanan'!AZ41,'Data Bulanan'!BB41),0)</f>
        <v>34.675051203277</v>
      </c>
      <c r="N183" s="40" t="n">
        <f aca="false">'Data Bulanan'!BD41</f>
        <v>7.59823097324076</v>
      </c>
      <c r="O183" s="41" t="n">
        <f aca="false">IFERROR(N183*SQRT(H183),0)</f>
        <v>43.6485138286471</v>
      </c>
      <c r="P183" s="42" t="n">
        <f aca="false">IFERROR(ROUND(1.65*O183,0),0)</f>
        <v>72</v>
      </c>
      <c r="Q183" s="43" t="n">
        <f aca="false">IFERROR(ROUND(M183*H183+P183,0),0)</f>
        <v>1216</v>
      </c>
      <c r="R183" s="44" t="n">
        <f aca="false">G183-Q183</f>
        <v>892</v>
      </c>
      <c r="S183" s="45" t="str">
        <f aca="false">IF(G183=0,"Stockout ⚠",IF(G183&lt;Q183,"Reorder 🔄",IF(G183&gt;Q183+L183,"Overstock 📦","Aman ✅")))</f>
        <v>Overstock 📦</v>
      </c>
      <c r="T183" s="46" t="n">
        <f aca="false">IFERROR(N183/AVERAGE(M182:M186),0)</f>
        <v>0.24254645612366</v>
      </c>
      <c r="U183" s="47" t="n">
        <v>-401.52</v>
      </c>
      <c r="V183" s="48" t="n">
        <v>0.6042</v>
      </c>
    </row>
    <row r="184" customFormat="false" ht="15" hidden="false" customHeight="true" outlineLevel="0" collapsed="false">
      <c r="A184" s="49" t="n">
        <v>3</v>
      </c>
      <c r="B184" s="35" t="n">
        <v>2023</v>
      </c>
      <c r="C184" s="49" t="s">
        <v>263</v>
      </c>
      <c r="D184" s="49" t="s">
        <v>106</v>
      </c>
      <c r="E184" s="50" t="s">
        <v>107</v>
      </c>
      <c r="F184" s="49" t="s">
        <v>36</v>
      </c>
      <c r="G184" s="37" t="n">
        <v>3478</v>
      </c>
      <c r="H184" s="37" t="n">
        <v>33</v>
      </c>
      <c r="I184" s="37" t="n">
        <f aca="false">IFERROR(ROUND('Data Bulanan'!CC41,0),0)</f>
        <v>11573</v>
      </c>
      <c r="J184" s="37" t="n">
        <v>8128776</v>
      </c>
      <c r="K184" s="37" t="n">
        <v>392641</v>
      </c>
      <c r="L184" s="38" t="n">
        <f aca="false">IFERROR(ROUND(SQRT(2*I184*J184/K184),0),0)</f>
        <v>692</v>
      </c>
      <c r="M184" s="39" t="n">
        <f aca="false">IFERROR(AVERAGE('Data Bulanan'!BF41,'Data Bulanan'!BH41,'Data Bulanan'!BJ41,'Data Bulanan'!BL41,'Data Bulanan'!BN41,'Data Bulanan'!BP41,'Data Bulanan'!BR41,'Data Bulanan'!BT41,'Data Bulanan'!BV41,'Data Bulanan'!BX41,'Data Bulanan'!BZ41,'Data Bulanan'!CB41),0)</f>
        <v>30.9228366615463</v>
      </c>
      <c r="N184" s="40" t="n">
        <f aca="false">'Data Bulanan'!CD41</f>
        <v>9.72428662869642</v>
      </c>
      <c r="O184" s="41" t="n">
        <f aca="false">IFERROR(N184*SQRT(H184),0)</f>
        <v>55.8617737314387</v>
      </c>
      <c r="P184" s="42" t="n">
        <f aca="false">IFERROR(ROUND(1.65*O184,0),0)</f>
        <v>92</v>
      </c>
      <c r="Q184" s="43" t="n">
        <f aca="false">IFERROR(ROUND(M184*H184+P184,0),0)</f>
        <v>1112</v>
      </c>
      <c r="R184" s="44" t="n">
        <f aca="false">G184-Q184</f>
        <v>2366</v>
      </c>
      <c r="S184" s="45" t="str">
        <f aca="false">IF(G184=0,"Stockout ⚠",IF(G184&lt;Q184,"Reorder 🔄",IF(G184&gt;Q184+L184,"Overstock 📦","Aman ✅")))</f>
        <v>Overstock 📦</v>
      </c>
      <c r="T184" s="46" t="n">
        <f aca="false">IFERROR(N184/AVERAGE(M182:M186),0)</f>
        <v>0.310413209130841</v>
      </c>
      <c r="U184" s="47" t="n">
        <v>-401.52</v>
      </c>
      <c r="V184" s="48" t="n">
        <v>0.6042</v>
      </c>
    </row>
    <row r="185" customFormat="false" ht="15" hidden="false" customHeight="true" outlineLevel="0" collapsed="false">
      <c r="A185" s="49" t="n">
        <v>4</v>
      </c>
      <c r="B185" s="35" t="n">
        <v>2024</v>
      </c>
      <c r="C185" s="49" t="s">
        <v>263</v>
      </c>
      <c r="D185" s="49" t="s">
        <v>106</v>
      </c>
      <c r="E185" s="50" t="s">
        <v>107</v>
      </c>
      <c r="F185" s="49" t="s">
        <v>36</v>
      </c>
      <c r="G185" s="37" t="n">
        <v>0</v>
      </c>
      <c r="H185" s="37" t="n">
        <v>33</v>
      </c>
      <c r="I185" s="37" t="n">
        <f aca="false">IFERROR(ROUND('Data Bulanan'!DC41,0),0)</f>
        <v>11306</v>
      </c>
      <c r="J185" s="37" t="n">
        <v>8736598</v>
      </c>
      <c r="K185" s="37" t="n">
        <v>428943</v>
      </c>
      <c r="L185" s="38" t="n">
        <f aca="false">IFERROR(ROUND(SQRT(2*I185*J185/K185),0),0)</f>
        <v>679</v>
      </c>
      <c r="M185" s="39" t="n">
        <f aca="false">IFERROR(AVERAGE('Data Bulanan'!CF41,'Data Bulanan'!CH41,'Data Bulanan'!CJ41,'Data Bulanan'!CL41,'Data Bulanan'!CN41,'Data Bulanan'!CP41,'Data Bulanan'!CR41,'Data Bulanan'!CT41,'Data Bulanan'!CV41,'Data Bulanan'!CX41,'Data Bulanan'!CZ41,'Data Bulanan'!DB41),0)</f>
        <v>30.0417498719918</v>
      </c>
      <c r="N185" s="40" t="n">
        <f aca="false">'Data Bulanan'!DD41</f>
        <v>5.38127077512274</v>
      </c>
      <c r="O185" s="41" t="n">
        <f aca="false">IFERROR(N185*SQRT(H185),0)</f>
        <v>30.9130470856768</v>
      </c>
      <c r="P185" s="42" t="n">
        <f aca="false">IFERROR(ROUND(1.65*O185,0),0)</f>
        <v>51</v>
      </c>
      <c r="Q185" s="43" t="n">
        <f aca="false">IFERROR(ROUND(M185*H185+P185,0),0)</f>
        <v>1042</v>
      </c>
      <c r="R185" s="44" t="n">
        <f aca="false">G185-Q185</f>
        <v>-1042</v>
      </c>
      <c r="S185" s="45" t="str">
        <f aca="false">IF(G185=0,"Stockout ⚠",IF(G185&lt;Q185,"Reorder 🔄",IF(G185&gt;Q185+L185,"Overstock 📦","Aman ✅")))</f>
        <v>Stockout ⚠</v>
      </c>
      <c r="T185" s="46" t="n">
        <f aca="false">IFERROR(N185/AVERAGE(M182:M186),0)</f>
        <v>0.171777899427444</v>
      </c>
      <c r="U185" s="47" t="n">
        <v>-401.52</v>
      </c>
      <c r="V185" s="48" t="n">
        <v>0.6042</v>
      </c>
    </row>
    <row r="186" customFormat="false" ht="15" hidden="false" customHeight="true" outlineLevel="0" collapsed="false">
      <c r="A186" s="49" t="n">
        <v>5</v>
      </c>
      <c r="B186" s="35" t="n">
        <v>2025</v>
      </c>
      <c r="C186" s="49" t="s">
        <v>263</v>
      </c>
      <c r="D186" s="49" t="s">
        <v>106</v>
      </c>
      <c r="E186" s="50" t="s">
        <v>107</v>
      </c>
      <c r="F186" s="49" t="s">
        <v>36</v>
      </c>
      <c r="G186" s="37" t="n">
        <v>5183</v>
      </c>
      <c r="H186" s="37" t="n">
        <v>33</v>
      </c>
      <c r="I186" s="37" t="n">
        <f aca="false">IFERROR(ROUND('Data Bulanan'!EC41,0),0)</f>
        <v>10897</v>
      </c>
      <c r="J186" s="37" t="n">
        <v>8287166</v>
      </c>
      <c r="K186" s="37" t="n">
        <v>442862</v>
      </c>
      <c r="L186" s="38" t="n">
        <f aca="false">IFERROR(ROUND(SQRT(2*I186*J186/K186),0),0)</f>
        <v>639</v>
      </c>
      <c r="M186" s="39" t="n">
        <f aca="false">IFERROR(AVERAGE('Data Bulanan'!DF41,'Data Bulanan'!DH41,'Data Bulanan'!DJ41,'Data Bulanan'!DL41,'Data Bulanan'!DN41,'Data Bulanan'!DP41,'Data Bulanan'!DR41,'Data Bulanan'!DT41,'Data Bulanan'!DV41,'Data Bulanan'!DX41,'Data Bulanan'!DZ41,'Data Bulanan'!EB41),0)</f>
        <v>28.9494623655914</v>
      </c>
      <c r="N186" s="40" t="n">
        <f aca="false">'Data Bulanan'!ED41</f>
        <v>6.91410177013768</v>
      </c>
      <c r="O186" s="41" t="n">
        <f aca="false">IFERROR(N186*SQRT(H186),0)</f>
        <v>39.7184907630954</v>
      </c>
      <c r="P186" s="42" t="n">
        <f aca="false">IFERROR(ROUND(1.65*O186,0),0)</f>
        <v>66</v>
      </c>
      <c r="Q186" s="43" t="n">
        <f aca="false">IFERROR(ROUND(M186*H186+P186,0),0)</f>
        <v>1021</v>
      </c>
      <c r="R186" s="44" t="n">
        <f aca="false">G186-Q186</f>
        <v>4162</v>
      </c>
      <c r="S186" s="45" t="str">
        <f aca="false">IF(G186=0,"Stockout ⚠",IF(G186&lt;Q186,"Reorder 🔄",IF(G186&gt;Q186+L186,"Overstock 📦","Aman ✅")))</f>
        <v>Overstock 📦</v>
      </c>
      <c r="T186" s="46" t="n">
        <f aca="false">IFERROR(N186/AVERAGE(M182:M186),0)</f>
        <v>0.220708068434771</v>
      </c>
      <c r="U186" s="47" t="n">
        <v>-401.52</v>
      </c>
      <c r="V186" s="48" t="n">
        <v>0.6042</v>
      </c>
    </row>
    <row r="187" customFormat="false" ht="15" hidden="false" customHeight="true" outlineLevel="0" collapsed="false">
      <c r="A187" s="34" t="n">
        <v>1</v>
      </c>
      <c r="B187" s="35" t="n">
        <v>2021</v>
      </c>
      <c r="C187" s="34" t="s">
        <v>263</v>
      </c>
      <c r="D187" s="34" t="s">
        <v>108</v>
      </c>
      <c r="E187" s="36" t="s">
        <v>109</v>
      </c>
      <c r="F187" s="34" t="s">
        <v>36</v>
      </c>
      <c r="G187" s="37" t="n">
        <v>917</v>
      </c>
      <c r="H187" s="37" t="n">
        <v>5</v>
      </c>
      <c r="I187" s="37" t="n">
        <f aca="false">IFERROR(ROUND('Data Bulanan'!AC42,0),0)</f>
        <v>28442</v>
      </c>
      <c r="J187" s="37" t="n">
        <v>2663902</v>
      </c>
      <c r="K187" s="37" t="n">
        <v>199085</v>
      </c>
      <c r="L187" s="38" t="n">
        <f aca="false">IFERROR(ROUND(SQRT(2*I187*J187/K187),0),0)</f>
        <v>872</v>
      </c>
      <c r="M187" s="39" t="n">
        <f aca="false">IFERROR(AVERAGE('Data Bulanan'!F42,'Data Bulanan'!H42,'Data Bulanan'!J42,'Data Bulanan'!L42,'Data Bulanan'!N42,'Data Bulanan'!P42,'Data Bulanan'!R42,'Data Bulanan'!T42,'Data Bulanan'!V42,'Data Bulanan'!X42,'Data Bulanan'!Z42,'Data Bulanan'!AB42),0)</f>
        <v>75.7823732718894</v>
      </c>
      <c r="N187" s="40" t="n">
        <f aca="false">'Data Bulanan'!AD42</f>
        <v>22.8950624616221</v>
      </c>
      <c r="O187" s="41" t="n">
        <f aca="false">IFERROR(N187*SQRT(H187),0)</f>
        <v>51.1949160132906</v>
      </c>
      <c r="P187" s="42" t="n">
        <f aca="false">IFERROR(ROUND(1.65*O187,0),0)</f>
        <v>84</v>
      </c>
      <c r="Q187" s="43" t="n">
        <f aca="false">IFERROR(ROUND(M187*H187+P187,0),0)</f>
        <v>463</v>
      </c>
      <c r="R187" s="44" t="n">
        <f aca="false">G187-Q187</f>
        <v>454</v>
      </c>
      <c r="S187" s="45" t="str">
        <f aca="false">IF(G187=0,"Stockout ⚠",IF(G187&lt;Q187,"Reorder 🔄",IF(G187&gt;Q187+L187,"Overstock 📦","Aman ✅")))</f>
        <v>Aman ✅</v>
      </c>
      <c r="T187" s="46" t="n">
        <f aca="false">IFERROR(N187/AVERAGE(M187:M191),0)</f>
        <v>0.294128449964962</v>
      </c>
      <c r="U187" s="47" t="n">
        <v>314.5</v>
      </c>
      <c r="V187" s="48" t="n">
        <v>0.0178</v>
      </c>
    </row>
    <row r="188" customFormat="false" ht="15" hidden="false" customHeight="true" outlineLevel="0" collapsed="false">
      <c r="A188" s="34" t="n">
        <v>2</v>
      </c>
      <c r="B188" s="35" t="n">
        <v>2022</v>
      </c>
      <c r="C188" s="34" t="s">
        <v>263</v>
      </c>
      <c r="D188" s="34" t="s">
        <v>108</v>
      </c>
      <c r="E188" s="36" t="s">
        <v>109</v>
      </c>
      <c r="F188" s="34" t="s">
        <v>36</v>
      </c>
      <c r="G188" s="37" t="n">
        <v>1251</v>
      </c>
      <c r="H188" s="37" t="n">
        <v>5</v>
      </c>
      <c r="I188" s="37" t="n">
        <f aca="false">IFERROR(ROUND('Data Bulanan'!BC42,0),0)</f>
        <v>28071</v>
      </c>
      <c r="J188" s="37" t="n">
        <v>2289759</v>
      </c>
      <c r="K188" s="37" t="n">
        <v>226957</v>
      </c>
      <c r="L188" s="38" t="n">
        <f aca="false">IFERROR(ROUND(SQRT(2*I188*J188/K188),0),0)</f>
        <v>753</v>
      </c>
      <c r="M188" s="39" t="n">
        <f aca="false">IFERROR(AVERAGE('Data Bulanan'!AF42,'Data Bulanan'!AH42,'Data Bulanan'!AJ42,'Data Bulanan'!AL42,'Data Bulanan'!AN42,'Data Bulanan'!AP42,'Data Bulanan'!AR42,'Data Bulanan'!AT42,'Data Bulanan'!AV42,'Data Bulanan'!AX42,'Data Bulanan'!AZ42,'Data Bulanan'!BB42),0)</f>
        <v>74.9883320532514</v>
      </c>
      <c r="N188" s="40" t="n">
        <f aca="false">'Data Bulanan'!BD42</f>
        <v>21.4292495895395</v>
      </c>
      <c r="O188" s="41" t="n">
        <f aca="false">IFERROR(N188*SQRT(H188),0)</f>
        <v>47.9172587890198</v>
      </c>
      <c r="P188" s="42" t="n">
        <f aca="false">IFERROR(ROUND(1.65*O188,0),0)</f>
        <v>79</v>
      </c>
      <c r="Q188" s="43" t="n">
        <f aca="false">IFERROR(ROUND(M188*H188+P188,0),0)</f>
        <v>454</v>
      </c>
      <c r="R188" s="44" t="n">
        <f aca="false">G188-Q188</f>
        <v>797</v>
      </c>
      <c r="S188" s="45" t="str">
        <f aca="false">IF(G188=0,"Stockout ⚠",IF(G188&lt;Q188,"Reorder 🔄",IF(G188&gt;Q188+L188,"Overstock 📦","Aman ✅")))</f>
        <v>Overstock 📦</v>
      </c>
      <c r="T188" s="46" t="n">
        <f aca="false">IFERROR(N188/AVERAGE(M187:M191),0)</f>
        <v>0.275297434818048</v>
      </c>
      <c r="U188" s="47" t="n">
        <v>314.5</v>
      </c>
      <c r="V188" s="48" t="n">
        <v>0.0178</v>
      </c>
    </row>
    <row r="189" customFormat="false" ht="15" hidden="false" customHeight="true" outlineLevel="0" collapsed="false">
      <c r="A189" s="34" t="n">
        <v>3</v>
      </c>
      <c r="B189" s="35" t="n">
        <v>2023</v>
      </c>
      <c r="C189" s="34" t="s">
        <v>263</v>
      </c>
      <c r="D189" s="34" t="s">
        <v>108</v>
      </c>
      <c r="E189" s="36" t="s">
        <v>109</v>
      </c>
      <c r="F189" s="34" t="s">
        <v>36</v>
      </c>
      <c r="G189" s="37" t="n">
        <v>1573</v>
      </c>
      <c r="H189" s="37" t="n">
        <v>5</v>
      </c>
      <c r="I189" s="37" t="n">
        <f aca="false">IFERROR(ROUND('Data Bulanan'!CC42,0),0)</f>
        <v>27513</v>
      </c>
      <c r="J189" s="37" t="n">
        <v>2676259</v>
      </c>
      <c r="K189" s="37" t="n">
        <v>198877</v>
      </c>
      <c r="L189" s="38" t="n">
        <f aca="false">IFERROR(ROUND(SQRT(2*I189*J189/K189),0),0)</f>
        <v>861</v>
      </c>
      <c r="M189" s="39" t="n">
        <f aca="false">IFERROR(AVERAGE('Data Bulanan'!BF42,'Data Bulanan'!BH42,'Data Bulanan'!BJ42,'Data Bulanan'!BL42,'Data Bulanan'!BN42,'Data Bulanan'!BP42,'Data Bulanan'!BR42,'Data Bulanan'!BT42,'Data Bulanan'!BV42,'Data Bulanan'!BX42,'Data Bulanan'!BZ42,'Data Bulanan'!CB42),0)</f>
        <v>73.5267025089606</v>
      </c>
      <c r="N189" s="40" t="n">
        <f aca="false">'Data Bulanan'!CD42</f>
        <v>18.9876834682246</v>
      </c>
      <c r="O189" s="41" t="n">
        <f aca="false">IFERROR(N189*SQRT(H189),0)</f>
        <v>42.4577509701992</v>
      </c>
      <c r="P189" s="42" t="n">
        <f aca="false">IFERROR(ROUND(1.65*O189,0),0)</f>
        <v>70</v>
      </c>
      <c r="Q189" s="43" t="n">
        <f aca="false">IFERROR(ROUND(M189*H189+P189,0),0)</f>
        <v>438</v>
      </c>
      <c r="R189" s="44" t="n">
        <f aca="false">G189-Q189</f>
        <v>1135</v>
      </c>
      <c r="S189" s="45" t="str">
        <f aca="false">IF(G189=0,"Stockout ⚠",IF(G189&lt;Q189,"Reorder 🔄",IF(G189&gt;Q189+L189,"Overstock 📦","Aman ✅")))</f>
        <v>Overstock 📦</v>
      </c>
      <c r="T189" s="46" t="n">
        <f aca="false">IFERROR(N189/AVERAGE(M187:M191),0)</f>
        <v>0.243931105944603</v>
      </c>
      <c r="U189" s="47" t="n">
        <v>314.5</v>
      </c>
      <c r="V189" s="48" t="n">
        <v>0.0178</v>
      </c>
    </row>
    <row r="190" customFormat="false" ht="15" hidden="false" customHeight="true" outlineLevel="0" collapsed="false">
      <c r="A190" s="34" t="n">
        <v>4</v>
      </c>
      <c r="B190" s="35" t="n">
        <v>2024</v>
      </c>
      <c r="C190" s="34" t="s">
        <v>263</v>
      </c>
      <c r="D190" s="34" t="s">
        <v>108</v>
      </c>
      <c r="E190" s="36" t="s">
        <v>109</v>
      </c>
      <c r="F190" s="34" t="s">
        <v>36</v>
      </c>
      <c r="G190" s="37" t="n">
        <v>582</v>
      </c>
      <c r="H190" s="37" t="n">
        <v>5</v>
      </c>
      <c r="I190" s="37" t="n">
        <f aca="false">IFERROR(ROUND('Data Bulanan'!DC42,0),0)</f>
        <v>35684</v>
      </c>
      <c r="J190" s="37" t="n">
        <v>2531419</v>
      </c>
      <c r="K190" s="37" t="n">
        <v>192884</v>
      </c>
      <c r="L190" s="38" t="n">
        <f aca="false">IFERROR(ROUND(SQRT(2*I190*J190/K190),0),0)</f>
        <v>968</v>
      </c>
      <c r="M190" s="39" t="n">
        <f aca="false">IFERROR(AVERAGE('Data Bulanan'!CF42,'Data Bulanan'!CH42,'Data Bulanan'!CJ42,'Data Bulanan'!CL42,'Data Bulanan'!CN42,'Data Bulanan'!CP42,'Data Bulanan'!CR42,'Data Bulanan'!CT42,'Data Bulanan'!CV42,'Data Bulanan'!CX42,'Data Bulanan'!CZ42,'Data Bulanan'!DB42),0)</f>
        <v>95.0050819252432</v>
      </c>
      <c r="N190" s="40" t="n">
        <f aca="false">'Data Bulanan'!DD42</f>
        <v>23.0997968053045</v>
      </c>
      <c r="O190" s="41" t="n">
        <f aca="false">IFERROR(N190*SQRT(H190),0)</f>
        <v>51.6527159230934</v>
      </c>
      <c r="P190" s="42" t="n">
        <f aca="false">IFERROR(ROUND(1.65*O190,0),0)</f>
        <v>85</v>
      </c>
      <c r="Q190" s="43" t="n">
        <f aca="false">IFERROR(ROUND(M190*H190+P190,0),0)</f>
        <v>560</v>
      </c>
      <c r="R190" s="44" t="n">
        <f aca="false">G190-Q190</f>
        <v>22</v>
      </c>
      <c r="S190" s="45" t="str">
        <f aca="false">IF(G190=0,"Stockout ⚠",IF(G190&lt;Q190,"Reorder 🔄",IF(G190&gt;Q190+L190,"Overstock 📦","Aman ✅")))</f>
        <v>Aman ✅</v>
      </c>
      <c r="T190" s="46" t="n">
        <f aca="false">IFERROR(N190/AVERAGE(M187:M191),0)</f>
        <v>0.296758632575857</v>
      </c>
      <c r="U190" s="47" t="n">
        <v>314.5</v>
      </c>
      <c r="V190" s="48" t="n">
        <v>0.0178</v>
      </c>
    </row>
    <row r="191" customFormat="false" ht="15" hidden="false" customHeight="true" outlineLevel="0" collapsed="false">
      <c r="A191" s="34" t="n">
        <v>5</v>
      </c>
      <c r="B191" s="35" t="n">
        <v>2025</v>
      </c>
      <c r="C191" s="34" t="s">
        <v>263</v>
      </c>
      <c r="D191" s="34" t="s">
        <v>108</v>
      </c>
      <c r="E191" s="36" t="s">
        <v>109</v>
      </c>
      <c r="F191" s="34" t="s">
        <v>36</v>
      </c>
      <c r="G191" s="37" t="n">
        <v>3662</v>
      </c>
      <c r="H191" s="37" t="n">
        <v>5</v>
      </c>
      <c r="I191" s="37" t="n">
        <f aca="false">IFERROR(ROUND('Data Bulanan'!EC42,0),0)</f>
        <v>26208</v>
      </c>
      <c r="J191" s="37" t="n">
        <v>2382000</v>
      </c>
      <c r="K191" s="37" t="n">
        <v>199916</v>
      </c>
      <c r="L191" s="38" t="n">
        <f aca="false">IFERROR(ROUND(SQRT(2*I191*J191/K191),0),0)</f>
        <v>790</v>
      </c>
      <c r="M191" s="39" t="n">
        <f aca="false">IFERROR(AVERAGE('Data Bulanan'!DF42,'Data Bulanan'!DH42,'Data Bulanan'!DJ42,'Data Bulanan'!DL42,'Data Bulanan'!DN42,'Data Bulanan'!DP42,'Data Bulanan'!DR42,'Data Bulanan'!DT42,'Data Bulanan'!DV42,'Data Bulanan'!DX42,'Data Bulanan'!DZ42,'Data Bulanan'!EB42),0)</f>
        <v>69.8992767537122</v>
      </c>
      <c r="N191" s="40" t="n">
        <f aca="false">'Data Bulanan'!ED42</f>
        <v>15.9386966648765</v>
      </c>
      <c r="O191" s="41" t="n">
        <f aca="false">IFERROR(N191*SQRT(H191),0)</f>
        <v>35.6400092154131</v>
      </c>
      <c r="P191" s="42" t="n">
        <f aca="false">IFERROR(ROUND(1.65*O191,0),0)</f>
        <v>59</v>
      </c>
      <c r="Q191" s="43" t="n">
        <f aca="false">IFERROR(ROUND(M191*H191+P191,0),0)</f>
        <v>408</v>
      </c>
      <c r="R191" s="44" t="n">
        <f aca="false">G191-Q191</f>
        <v>3254</v>
      </c>
      <c r="S191" s="45" t="str">
        <f aca="false">IF(G191=0,"Stockout ⚠",IF(G191&lt;Q191,"Reorder 🔄",IF(G191&gt;Q191+L191,"Overstock 📦","Aman ✅")))</f>
        <v>Overstock 📦</v>
      </c>
      <c r="T191" s="46" t="n">
        <f aca="false">IFERROR(N191/AVERAGE(M187:M191),0)</f>
        <v>0.20476136076764</v>
      </c>
      <c r="U191" s="47" t="n">
        <v>314.5</v>
      </c>
      <c r="V191" s="48" t="n">
        <v>0.0178</v>
      </c>
    </row>
    <row r="192" customFormat="false" ht="15" hidden="false" customHeight="true" outlineLevel="0" collapsed="false">
      <c r="A192" s="49" t="n">
        <v>1</v>
      </c>
      <c r="B192" s="35" t="n">
        <v>2021</v>
      </c>
      <c r="C192" s="49" t="s">
        <v>263</v>
      </c>
      <c r="D192" s="49" t="s">
        <v>110</v>
      </c>
      <c r="E192" s="50" t="s">
        <v>111</v>
      </c>
      <c r="F192" s="49" t="s">
        <v>36</v>
      </c>
      <c r="G192" s="37" t="n">
        <v>13251</v>
      </c>
      <c r="H192" s="37" t="n">
        <v>33</v>
      </c>
      <c r="I192" s="37" t="n">
        <f aca="false">IFERROR(ROUND('Data Bulanan'!AC43,0),0)</f>
        <v>42345</v>
      </c>
      <c r="J192" s="37" t="n">
        <v>5820972</v>
      </c>
      <c r="K192" s="37" t="n">
        <v>323211</v>
      </c>
      <c r="L192" s="38" t="n">
        <f aca="false">IFERROR(ROUND(SQRT(2*I192*J192/K192),0),0)</f>
        <v>1235</v>
      </c>
      <c r="M192" s="39" t="n">
        <f aca="false">IFERROR(AVERAGE('Data Bulanan'!F43,'Data Bulanan'!H43,'Data Bulanan'!J43,'Data Bulanan'!L43,'Data Bulanan'!N43,'Data Bulanan'!P43,'Data Bulanan'!R43,'Data Bulanan'!T43,'Data Bulanan'!V43,'Data Bulanan'!X43,'Data Bulanan'!Z43,'Data Bulanan'!AB43),0)</f>
        <v>112.493465181772</v>
      </c>
      <c r="N192" s="40" t="n">
        <f aca="false">'Data Bulanan'!AD43</f>
        <v>18.2570891809516</v>
      </c>
      <c r="O192" s="41" t="n">
        <f aca="false">IFERROR(N192*SQRT(H192),0)</f>
        <v>104.878992543408</v>
      </c>
      <c r="P192" s="42" t="n">
        <f aca="false">IFERROR(ROUND(1.65*O192,0),0)</f>
        <v>173</v>
      </c>
      <c r="Q192" s="43" t="n">
        <f aca="false">IFERROR(ROUND(M192*H192+P192,0),0)</f>
        <v>3885</v>
      </c>
      <c r="R192" s="44" t="n">
        <f aca="false">G192-Q192</f>
        <v>9366</v>
      </c>
      <c r="S192" s="45" t="str">
        <f aca="false">IF(G192=0,"Stockout ⚠",IF(G192&lt;Q192,"Reorder 🔄",IF(G192&gt;Q192+L192,"Overstock 📦","Aman ✅")))</f>
        <v>Overstock 📦</v>
      </c>
      <c r="T192" s="46" t="n">
        <f aca="false">IFERROR(N192/AVERAGE(M192:M196),0)</f>
        <v>0.1336521551344</v>
      </c>
      <c r="U192" s="47" t="n">
        <v>2870.35</v>
      </c>
      <c r="V192" s="48" t="n">
        <v>0.537</v>
      </c>
    </row>
    <row r="193" customFormat="false" ht="15" hidden="false" customHeight="true" outlineLevel="0" collapsed="false">
      <c r="A193" s="49" t="n">
        <v>2</v>
      </c>
      <c r="B193" s="35" t="n">
        <v>2022</v>
      </c>
      <c r="C193" s="49" t="s">
        <v>263</v>
      </c>
      <c r="D193" s="49" t="s">
        <v>110</v>
      </c>
      <c r="E193" s="50" t="s">
        <v>111</v>
      </c>
      <c r="F193" s="49" t="s">
        <v>36</v>
      </c>
      <c r="G193" s="37" t="n">
        <v>10055</v>
      </c>
      <c r="H193" s="37" t="n">
        <v>33</v>
      </c>
      <c r="I193" s="37" t="n">
        <f aca="false">IFERROR(ROUND('Data Bulanan'!BC43,0),0)</f>
        <v>48405</v>
      </c>
      <c r="J193" s="37" t="n">
        <v>5946906</v>
      </c>
      <c r="K193" s="37" t="n">
        <v>364719</v>
      </c>
      <c r="L193" s="38" t="n">
        <f aca="false">IFERROR(ROUND(SQRT(2*I193*J193/K193),0),0)</f>
        <v>1256</v>
      </c>
      <c r="M193" s="39" t="n">
        <f aca="false">IFERROR(AVERAGE('Data Bulanan'!AF43,'Data Bulanan'!AH43,'Data Bulanan'!AJ43,'Data Bulanan'!AL43,'Data Bulanan'!AN43,'Data Bulanan'!AP43,'Data Bulanan'!AR43,'Data Bulanan'!AT43,'Data Bulanan'!AV43,'Data Bulanan'!AX43,'Data Bulanan'!AZ43,'Data Bulanan'!BB43),0)</f>
        <v>128.959331797235</v>
      </c>
      <c r="N193" s="40" t="n">
        <f aca="false">'Data Bulanan'!BD43</f>
        <v>34.1431981935371</v>
      </c>
      <c r="O193" s="41" t="n">
        <f aca="false">IFERROR(N193*SQRT(H193),0)</f>
        <v>196.137740975938</v>
      </c>
      <c r="P193" s="42" t="n">
        <f aca="false">IFERROR(ROUND(1.65*O193,0),0)</f>
        <v>324</v>
      </c>
      <c r="Q193" s="43" t="n">
        <f aca="false">IFERROR(ROUND(M193*H193+P193,0),0)</f>
        <v>4580</v>
      </c>
      <c r="R193" s="44" t="n">
        <f aca="false">G193-Q193</f>
        <v>5475</v>
      </c>
      <c r="S193" s="45" t="str">
        <f aca="false">IF(G193=0,"Stockout ⚠",IF(G193&lt;Q193,"Reorder 🔄",IF(G193&gt;Q193+L193,"Overstock 📦","Aman ✅")))</f>
        <v>Overstock 📦</v>
      </c>
      <c r="T193" s="46" t="n">
        <f aca="false">IFERROR(N193/AVERAGE(M192:M196),0)</f>
        <v>0.249947402705809</v>
      </c>
      <c r="U193" s="47" t="n">
        <v>2870.35</v>
      </c>
      <c r="V193" s="48" t="n">
        <v>0.537</v>
      </c>
    </row>
    <row r="194" customFormat="false" ht="15" hidden="false" customHeight="true" outlineLevel="0" collapsed="false">
      <c r="A194" s="49" t="n">
        <v>3</v>
      </c>
      <c r="B194" s="35" t="n">
        <v>2023</v>
      </c>
      <c r="C194" s="49" t="s">
        <v>263</v>
      </c>
      <c r="D194" s="49" t="s">
        <v>110</v>
      </c>
      <c r="E194" s="50" t="s">
        <v>111</v>
      </c>
      <c r="F194" s="49" t="s">
        <v>36</v>
      </c>
      <c r="G194" s="37" t="n">
        <v>13851</v>
      </c>
      <c r="H194" s="37" t="n">
        <v>33</v>
      </c>
      <c r="I194" s="37" t="n">
        <f aca="false">IFERROR(ROUND('Data Bulanan'!CC43,0),0)</f>
        <v>56791</v>
      </c>
      <c r="J194" s="37" t="n">
        <v>5496067</v>
      </c>
      <c r="K194" s="37" t="n">
        <v>391869</v>
      </c>
      <c r="L194" s="38" t="n">
        <f aca="false">IFERROR(ROUND(SQRT(2*I194*J194/K194),0),0)</f>
        <v>1262</v>
      </c>
      <c r="M194" s="39" t="n">
        <f aca="false">IFERROR(AVERAGE('Data Bulanan'!BF43,'Data Bulanan'!BH43,'Data Bulanan'!BJ43,'Data Bulanan'!BL43,'Data Bulanan'!BN43,'Data Bulanan'!BP43,'Data Bulanan'!BR43,'Data Bulanan'!BT43,'Data Bulanan'!BV43,'Data Bulanan'!BX43,'Data Bulanan'!BZ43,'Data Bulanan'!CB43),0)</f>
        <v>151.021364567332</v>
      </c>
      <c r="N194" s="40" t="n">
        <f aca="false">'Data Bulanan'!CD43</f>
        <v>23.5702375129314</v>
      </c>
      <c r="O194" s="41" t="n">
        <f aca="false">IFERROR(N194*SQRT(H194),0)</f>
        <v>135.400705986815</v>
      </c>
      <c r="P194" s="42" t="n">
        <f aca="false">IFERROR(ROUND(1.65*O194,0),0)</f>
        <v>223</v>
      </c>
      <c r="Q194" s="43" t="n">
        <f aca="false">IFERROR(ROUND(M194*H194+P194,0),0)</f>
        <v>5207</v>
      </c>
      <c r="R194" s="44" t="n">
        <f aca="false">G194-Q194</f>
        <v>8644</v>
      </c>
      <c r="S194" s="45" t="str">
        <f aca="false">IF(G194=0,"Stockout ⚠",IF(G194&lt;Q194,"Reorder 🔄",IF(G194&gt;Q194+L194,"Overstock 📦","Aman ✅")))</f>
        <v>Overstock 📦</v>
      </c>
      <c r="T194" s="46" t="n">
        <f aca="false">IFERROR(N194/AVERAGE(M192:M196),0)</f>
        <v>0.172547387450992</v>
      </c>
      <c r="U194" s="47" t="n">
        <v>2870.35</v>
      </c>
      <c r="V194" s="48" t="n">
        <v>0.537</v>
      </c>
    </row>
    <row r="195" customFormat="false" ht="15" hidden="false" customHeight="true" outlineLevel="0" collapsed="false">
      <c r="A195" s="49" t="n">
        <v>4</v>
      </c>
      <c r="B195" s="35" t="n">
        <v>2024</v>
      </c>
      <c r="C195" s="49" t="s">
        <v>263</v>
      </c>
      <c r="D195" s="49" t="s">
        <v>110</v>
      </c>
      <c r="E195" s="50" t="s">
        <v>111</v>
      </c>
      <c r="F195" s="49" t="s">
        <v>36</v>
      </c>
      <c r="G195" s="37" t="n">
        <v>0</v>
      </c>
      <c r="H195" s="37" t="n">
        <v>33</v>
      </c>
      <c r="I195" s="37" t="n">
        <f aca="false">IFERROR(ROUND('Data Bulanan'!DC43,0),0)</f>
        <v>57100</v>
      </c>
      <c r="J195" s="37" t="n">
        <v>5950510</v>
      </c>
      <c r="K195" s="37" t="n">
        <v>323703</v>
      </c>
      <c r="L195" s="38" t="n">
        <f aca="false">IFERROR(ROUND(SQRT(2*I195*J195/K195),0),0)</f>
        <v>1449</v>
      </c>
      <c r="M195" s="39" t="n">
        <f aca="false">IFERROR(AVERAGE('Data Bulanan'!CF43,'Data Bulanan'!CH43,'Data Bulanan'!CJ43,'Data Bulanan'!CL43,'Data Bulanan'!CN43,'Data Bulanan'!CP43,'Data Bulanan'!CR43,'Data Bulanan'!CT43,'Data Bulanan'!CV43,'Data Bulanan'!CX43,'Data Bulanan'!CZ43,'Data Bulanan'!DB43),0)</f>
        <v>151.660048643113</v>
      </c>
      <c r="N195" s="40" t="n">
        <f aca="false">'Data Bulanan'!DD43</f>
        <v>32.5159108879561</v>
      </c>
      <c r="O195" s="41" t="n">
        <f aca="false">IFERROR(N195*SQRT(H195),0)</f>
        <v>186.789687105112</v>
      </c>
      <c r="P195" s="42" t="n">
        <f aca="false">IFERROR(ROUND(1.65*O195,0),0)</f>
        <v>308</v>
      </c>
      <c r="Q195" s="43" t="n">
        <f aca="false">IFERROR(ROUND(M195*H195+P195,0),0)</f>
        <v>5313</v>
      </c>
      <c r="R195" s="44" t="n">
        <f aca="false">G195-Q195</f>
        <v>-5313</v>
      </c>
      <c r="S195" s="45" t="str">
        <f aca="false">IF(G195=0,"Stockout ⚠",IF(G195&lt;Q195,"Reorder 🔄",IF(G195&gt;Q195+L195,"Overstock 📦","Aman ✅")))</f>
        <v>Stockout ⚠</v>
      </c>
      <c r="T195" s="46" t="n">
        <f aca="false">IFERROR(N195/AVERAGE(M192:M196),0)</f>
        <v>0.238034744928979</v>
      </c>
      <c r="U195" s="47" t="n">
        <v>2870.35</v>
      </c>
      <c r="V195" s="48" t="n">
        <v>0.537</v>
      </c>
    </row>
    <row r="196" customFormat="false" ht="15" hidden="false" customHeight="true" outlineLevel="0" collapsed="false">
      <c r="A196" s="49" t="n">
        <v>5</v>
      </c>
      <c r="B196" s="35" t="n">
        <v>2025</v>
      </c>
      <c r="C196" s="49" t="s">
        <v>263</v>
      </c>
      <c r="D196" s="49" t="s">
        <v>110</v>
      </c>
      <c r="E196" s="50" t="s">
        <v>111</v>
      </c>
      <c r="F196" s="49" t="s">
        <v>36</v>
      </c>
      <c r="G196" s="37" t="n">
        <v>0</v>
      </c>
      <c r="H196" s="37" t="n">
        <v>33</v>
      </c>
      <c r="I196" s="37" t="n">
        <f aca="false">IFERROR(ROUND('Data Bulanan'!EC43,0),0)</f>
        <v>52349</v>
      </c>
      <c r="J196" s="37" t="n">
        <v>5946973</v>
      </c>
      <c r="K196" s="37" t="n">
        <v>337492</v>
      </c>
      <c r="L196" s="38" t="n">
        <f aca="false">IFERROR(ROUND(SQRT(2*I196*J196/K196),0),0)</f>
        <v>1358</v>
      </c>
      <c r="M196" s="39" t="n">
        <f aca="false">IFERROR(AVERAGE('Data Bulanan'!DF43,'Data Bulanan'!DH43,'Data Bulanan'!DJ43,'Data Bulanan'!DL43,'Data Bulanan'!DN43,'Data Bulanan'!DP43,'Data Bulanan'!DR43,'Data Bulanan'!DT43,'Data Bulanan'!DV43,'Data Bulanan'!DX43,'Data Bulanan'!DZ43,'Data Bulanan'!EB43),0)</f>
        <v>138.87345110087</v>
      </c>
      <c r="N196" s="40" t="n">
        <f aca="false">'Data Bulanan'!ED43</f>
        <v>32.6004801653719</v>
      </c>
      <c r="O196" s="41" t="n">
        <f aca="false">IFERROR(N196*SQRT(H196),0)</f>
        <v>187.275500617199</v>
      </c>
      <c r="P196" s="42" t="n">
        <f aca="false">IFERROR(ROUND(1.65*O196,0),0)</f>
        <v>309</v>
      </c>
      <c r="Q196" s="43" t="n">
        <f aca="false">IFERROR(ROUND(M196*H196+P196,0),0)</f>
        <v>4892</v>
      </c>
      <c r="R196" s="44" t="n">
        <f aca="false">G196-Q196</f>
        <v>-4892</v>
      </c>
      <c r="S196" s="45" t="str">
        <f aca="false">IF(G196=0,"Stockout ⚠",IF(G196&lt;Q196,"Reorder 🔄",IF(G196&gt;Q196+L196,"Overstock 📦","Aman ✅")))</f>
        <v>Stockout ⚠</v>
      </c>
      <c r="T196" s="46" t="n">
        <f aca="false">IFERROR(N196/AVERAGE(M192:M196),0)</f>
        <v>0.238653839576146</v>
      </c>
      <c r="U196" s="47" t="n">
        <v>2870.35</v>
      </c>
      <c r="V196" s="48" t="n">
        <v>0.537</v>
      </c>
    </row>
    <row r="197" customFormat="false" ht="15" hidden="false" customHeight="true" outlineLevel="0" collapsed="false">
      <c r="A197" s="34" t="n">
        <v>1</v>
      </c>
      <c r="B197" s="35" t="n">
        <v>2021</v>
      </c>
      <c r="C197" s="34" t="s">
        <v>263</v>
      </c>
      <c r="D197" s="34" t="s">
        <v>112</v>
      </c>
      <c r="E197" s="36" t="s">
        <v>113</v>
      </c>
      <c r="F197" s="34" t="s">
        <v>36</v>
      </c>
      <c r="G197" s="37" t="n">
        <v>4056</v>
      </c>
      <c r="H197" s="37" t="n">
        <v>39</v>
      </c>
      <c r="I197" s="37" t="n">
        <f aca="false">IFERROR(ROUND('Data Bulanan'!AC44,0),0)</f>
        <v>23251</v>
      </c>
      <c r="J197" s="37" t="n">
        <v>9900743</v>
      </c>
      <c r="K197" s="37" t="n">
        <v>157949</v>
      </c>
      <c r="L197" s="38" t="n">
        <f aca="false">IFERROR(ROUND(SQRT(2*I197*J197/K197),0),0)</f>
        <v>1707</v>
      </c>
      <c r="M197" s="39" t="n">
        <f aca="false">IFERROR(AVERAGE('Data Bulanan'!F44,'Data Bulanan'!H44,'Data Bulanan'!J44,'Data Bulanan'!L44,'Data Bulanan'!N44,'Data Bulanan'!P44,'Data Bulanan'!R44,'Data Bulanan'!T44,'Data Bulanan'!V44,'Data Bulanan'!X44,'Data Bulanan'!Z44,'Data Bulanan'!AB44),0)</f>
        <v>61.8794034818228</v>
      </c>
      <c r="N197" s="40" t="n">
        <f aca="false">'Data Bulanan'!AD44</f>
        <v>11.3838918644813</v>
      </c>
      <c r="O197" s="41" t="n">
        <f aca="false">IFERROR(N197*SQRT(H197),0)</f>
        <v>71.0923819076693</v>
      </c>
      <c r="P197" s="42" t="n">
        <f aca="false">IFERROR(ROUND(1.65*O197,0),0)</f>
        <v>117</v>
      </c>
      <c r="Q197" s="43" t="n">
        <f aca="false">IFERROR(ROUND(M197*H197+P197,0),0)</f>
        <v>2530</v>
      </c>
      <c r="R197" s="44" t="n">
        <f aca="false">G197-Q197</f>
        <v>1526</v>
      </c>
      <c r="S197" s="45" t="str">
        <f aca="false">IF(G197=0,"Stockout ⚠",IF(G197&lt;Q197,"Reorder 🔄",IF(G197&gt;Q197+L197,"Overstock 📦","Aman ✅")))</f>
        <v>Aman ✅</v>
      </c>
      <c r="T197" s="46" t="n">
        <f aca="false">IFERROR(N197/AVERAGE(M197:M201),0)</f>
        <v>0.170236600172688</v>
      </c>
      <c r="U197" s="47" t="n">
        <v>353.61</v>
      </c>
      <c r="V197" s="48" t="n">
        <v>0.0242</v>
      </c>
    </row>
    <row r="198" customFormat="false" ht="15" hidden="false" customHeight="true" outlineLevel="0" collapsed="false">
      <c r="A198" s="34" t="n">
        <v>2</v>
      </c>
      <c r="B198" s="35" t="n">
        <v>2022</v>
      </c>
      <c r="C198" s="34" t="s">
        <v>263</v>
      </c>
      <c r="D198" s="34" t="s">
        <v>112</v>
      </c>
      <c r="E198" s="36" t="s">
        <v>113</v>
      </c>
      <c r="F198" s="34" t="s">
        <v>36</v>
      </c>
      <c r="G198" s="37" t="n">
        <v>13392</v>
      </c>
      <c r="H198" s="37" t="n">
        <v>39</v>
      </c>
      <c r="I198" s="37" t="n">
        <f aca="false">IFERROR(ROUND('Data Bulanan'!BC44,0),0)</f>
        <v>22489</v>
      </c>
      <c r="J198" s="37" t="n">
        <v>9430624</v>
      </c>
      <c r="K198" s="37" t="n">
        <v>146490</v>
      </c>
      <c r="L198" s="38" t="n">
        <f aca="false">IFERROR(ROUND(SQRT(2*I198*J198/K198),0),0)</f>
        <v>1702</v>
      </c>
      <c r="M198" s="39" t="n">
        <f aca="false">IFERROR(AVERAGE('Data Bulanan'!AF44,'Data Bulanan'!AH44,'Data Bulanan'!AJ44,'Data Bulanan'!AL44,'Data Bulanan'!AN44,'Data Bulanan'!AP44,'Data Bulanan'!AR44,'Data Bulanan'!AT44,'Data Bulanan'!AV44,'Data Bulanan'!AX44,'Data Bulanan'!AZ44,'Data Bulanan'!BB44),0)</f>
        <v>59.8773937532002</v>
      </c>
      <c r="N198" s="40" t="n">
        <f aca="false">'Data Bulanan'!BD44</f>
        <v>8.87930324214568</v>
      </c>
      <c r="O198" s="41" t="n">
        <f aca="false">IFERROR(N198*SQRT(H198),0)</f>
        <v>55.4512309743722</v>
      </c>
      <c r="P198" s="42" t="n">
        <f aca="false">IFERROR(ROUND(1.65*O198,0),0)</f>
        <v>91</v>
      </c>
      <c r="Q198" s="43" t="n">
        <f aca="false">IFERROR(ROUND(M198*H198+P198,0),0)</f>
        <v>2426</v>
      </c>
      <c r="R198" s="44" t="n">
        <f aca="false">G198-Q198</f>
        <v>10966</v>
      </c>
      <c r="S198" s="45" t="str">
        <f aca="false">IF(G198=0,"Stockout ⚠",IF(G198&lt;Q198,"Reorder 🔄",IF(G198&gt;Q198+L198,"Overstock 📦","Aman ✅")))</f>
        <v>Overstock 📦</v>
      </c>
      <c r="T198" s="46" t="n">
        <f aca="false">IFERROR(N198/AVERAGE(M197:M201),0)</f>
        <v>0.132782568021528</v>
      </c>
      <c r="U198" s="47" t="n">
        <v>353.61</v>
      </c>
      <c r="V198" s="48" t="n">
        <v>0.0242</v>
      </c>
    </row>
    <row r="199" customFormat="false" ht="15" hidden="false" customHeight="true" outlineLevel="0" collapsed="false">
      <c r="A199" s="34" t="n">
        <v>3</v>
      </c>
      <c r="B199" s="35" t="n">
        <v>2023</v>
      </c>
      <c r="C199" s="34" t="s">
        <v>263</v>
      </c>
      <c r="D199" s="34" t="s">
        <v>112</v>
      </c>
      <c r="E199" s="36" t="s">
        <v>113</v>
      </c>
      <c r="F199" s="34" t="s">
        <v>36</v>
      </c>
      <c r="G199" s="37" t="n">
        <v>0</v>
      </c>
      <c r="H199" s="37" t="n">
        <v>39</v>
      </c>
      <c r="I199" s="37" t="n">
        <f aca="false">IFERROR(ROUND('Data Bulanan'!CC44,0),0)</f>
        <v>29317</v>
      </c>
      <c r="J199" s="37" t="n">
        <v>9615545</v>
      </c>
      <c r="K199" s="37" t="n">
        <v>153255</v>
      </c>
      <c r="L199" s="38" t="n">
        <f aca="false">IFERROR(ROUND(SQRT(2*I199*J199/K199),0),0)</f>
        <v>1918</v>
      </c>
      <c r="M199" s="39" t="n">
        <f aca="false">IFERROR(AVERAGE('Data Bulanan'!BF44,'Data Bulanan'!BH44,'Data Bulanan'!BJ44,'Data Bulanan'!BL44,'Data Bulanan'!BN44,'Data Bulanan'!BP44,'Data Bulanan'!BR44,'Data Bulanan'!BT44,'Data Bulanan'!BV44,'Data Bulanan'!BX44,'Data Bulanan'!BZ44,'Data Bulanan'!CB44),0)</f>
        <v>77.7180811571941</v>
      </c>
      <c r="N199" s="40" t="n">
        <f aca="false">'Data Bulanan'!CD44</f>
        <v>13.9411601468092</v>
      </c>
      <c r="O199" s="41" t="n">
        <f aca="false">IFERROR(N199*SQRT(H199),0)</f>
        <v>87.062517212175</v>
      </c>
      <c r="P199" s="42" t="n">
        <f aca="false">IFERROR(ROUND(1.65*O199,0),0)</f>
        <v>144</v>
      </c>
      <c r="Q199" s="43" t="n">
        <f aca="false">IFERROR(ROUND(M199*H199+P199,0),0)</f>
        <v>3175</v>
      </c>
      <c r="R199" s="44" t="n">
        <f aca="false">G199-Q199</f>
        <v>-3175</v>
      </c>
      <c r="S199" s="45" t="str">
        <f aca="false">IF(G199=0,"Stockout ⚠",IF(G199&lt;Q199,"Reorder 🔄",IF(G199&gt;Q199+L199,"Overstock 📦","Aman ✅")))</f>
        <v>Stockout ⚠</v>
      </c>
      <c r="T199" s="46" t="n">
        <f aca="false">IFERROR(N199/AVERAGE(M197:M201),0)</f>
        <v>0.208478412664887</v>
      </c>
      <c r="U199" s="47" t="n">
        <v>353.61</v>
      </c>
      <c r="V199" s="48" t="n">
        <v>0.0242</v>
      </c>
    </row>
    <row r="200" customFormat="false" ht="15" hidden="false" customHeight="true" outlineLevel="0" collapsed="false">
      <c r="A200" s="34" t="n">
        <v>4</v>
      </c>
      <c r="B200" s="35" t="n">
        <v>2024</v>
      </c>
      <c r="C200" s="34" t="s">
        <v>263</v>
      </c>
      <c r="D200" s="34" t="s">
        <v>112</v>
      </c>
      <c r="E200" s="36" t="s">
        <v>113</v>
      </c>
      <c r="F200" s="34" t="s">
        <v>36</v>
      </c>
      <c r="G200" s="37" t="n">
        <v>6171</v>
      </c>
      <c r="H200" s="37" t="n">
        <v>39</v>
      </c>
      <c r="I200" s="37" t="n">
        <f aca="false">IFERROR(ROUND('Data Bulanan'!DC44,0),0)</f>
        <v>28745</v>
      </c>
      <c r="J200" s="37" t="n">
        <v>8957300</v>
      </c>
      <c r="K200" s="37" t="n">
        <v>134517</v>
      </c>
      <c r="L200" s="38" t="n">
        <f aca="false">IFERROR(ROUND(SQRT(2*I200*J200/K200),0),0)</f>
        <v>1957</v>
      </c>
      <c r="M200" s="39" t="n">
        <f aca="false">IFERROR(AVERAGE('Data Bulanan'!CF44,'Data Bulanan'!CH44,'Data Bulanan'!CJ44,'Data Bulanan'!CL44,'Data Bulanan'!CN44,'Data Bulanan'!CP44,'Data Bulanan'!CR44,'Data Bulanan'!CT44,'Data Bulanan'!CV44,'Data Bulanan'!CX44,'Data Bulanan'!CZ44,'Data Bulanan'!DB44),0)</f>
        <v>76.6360215053764</v>
      </c>
      <c r="N200" s="40" t="n">
        <f aca="false">'Data Bulanan'!DD44</f>
        <v>17.0386317244775</v>
      </c>
      <c r="O200" s="41" t="n">
        <f aca="false">IFERROR(N200*SQRT(H200),0)</f>
        <v>106.406221014809</v>
      </c>
      <c r="P200" s="42" t="n">
        <f aca="false">IFERROR(ROUND(1.65*O200,0),0)</f>
        <v>176</v>
      </c>
      <c r="Q200" s="43" t="n">
        <f aca="false">IFERROR(ROUND(M200*H200+P200,0),0)</f>
        <v>3165</v>
      </c>
      <c r="R200" s="44" t="n">
        <f aca="false">G200-Q200</f>
        <v>3006</v>
      </c>
      <c r="S200" s="45" t="str">
        <f aca="false">IF(G200=0,"Stockout ⚠",IF(G200&lt;Q200,"Reorder 🔄",IF(G200&gt;Q200+L200,"Overstock 📦","Aman ✅")))</f>
        <v>Overstock 📦</v>
      </c>
      <c r="T200" s="46" t="n">
        <f aca="false">IFERROR(N200/AVERAGE(M197:M201),0)</f>
        <v>0.254798514506245</v>
      </c>
      <c r="U200" s="47" t="n">
        <v>353.61</v>
      </c>
      <c r="V200" s="48" t="n">
        <v>0.0242</v>
      </c>
    </row>
    <row r="201" customFormat="false" ht="15" hidden="false" customHeight="true" outlineLevel="0" collapsed="false">
      <c r="A201" s="34" t="n">
        <v>5</v>
      </c>
      <c r="B201" s="35" t="n">
        <v>2025</v>
      </c>
      <c r="C201" s="34" t="s">
        <v>263</v>
      </c>
      <c r="D201" s="34" t="s">
        <v>112</v>
      </c>
      <c r="E201" s="36" t="s">
        <v>113</v>
      </c>
      <c r="F201" s="34" t="s">
        <v>36</v>
      </c>
      <c r="G201" s="37" t="n">
        <v>2369</v>
      </c>
      <c r="H201" s="37" t="n">
        <v>39</v>
      </c>
      <c r="I201" s="37" t="n">
        <f aca="false">IFERROR(ROUND('Data Bulanan'!EC44,0),0)</f>
        <v>21891</v>
      </c>
      <c r="J201" s="37" t="n">
        <v>10265796</v>
      </c>
      <c r="K201" s="37" t="n">
        <v>141723</v>
      </c>
      <c r="L201" s="38" t="n">
        <f aca="false">IFERROR(ROUND(SQRT(2*I201*J201/K201),0),0)</f>
        <v>1781</v>
      </c>
      <c r="M201" s="39" t="n">
        <f aca="false">IFERROR(AVERAGE('Data Bulanan'!DF44,'Data Bulanan'!DH44,'Data Bulanan'!DJ44,'Data Bulanan'!DL44,'Data Bulanan'!DN44,'Data Bulanan'!DP44,'Data Bulanan'!DR44,'Data Bulanan'!DT44,'Data Bulanan'!DV44,'Data Bulanan'!DX44,'Data Bulanan'!DZ44,'Data Bulanan'!EB44),0)</f>
        <v>58.2441052227343</v>
      </c>
      <c r="N201" s="40" t="n">
        <f aca="false">'Data Bulanan'!ED44</f>
        <v>10.9301993917376</v>
      </c>
      <c r="O201" s="41" t="n">
        <f aca="false">IFERROR(N201*SQRT(H201),0)</f>
        <v>68.259073323497</v>
      </c>
      <c r="P201" s="42" t="n">
        <f aca="false">IFERROR(ROUND(1.65*O201,0),0)</f>
        <v>113</v>
      </c>
      <c r="Q201" s="43" t="n">
        <f aca="false">IFERROR(ROUND(M201*H201+P201,0),0)</f>
        <v>2385</v>
      </c>
      <c r="R201" s="44" t="n">
        <f aca="false">G201-Q201</f>
        <v>-16</v>
      </c>
      <c r="S201" s="45" t="str">
        <f aca="false">IF(G201=0,"Stockout ⚠",IF(G201&lt;Q201,"Reorder 🔄",IF(G201&gt;Q201+L201,"Overstock 📦","Aman ✅")))</f>
        <v>Reorder 🔄</v>
      </c>
      <c r="T201" s="46" t="n">
        <f aca="false">IFERROR(N201/AVERAGE(M197:M201),0)</f>
        <v>0.163452007960881</v>
      </c>
      <c r="U201" s="47" t="n">
        <v>353.61</v>
      </c>
      <c r="V201" s="48" t="n">
        <v>0.0242</v>
      </c>
    </row>
    <row r="202" customFormat="false" ht="15" hidden="false" customHeight="true" outlineLevel="0" collapsed="false">
      <c r="A202" s="49" t="n">
        <v>1</v>
      </c>
      <c r="B202" s="35" t="n">
        <v>2021</v>
      </c>
      <c r="C202" s="49" t="s">
        <v>263</v>
      </c>
      <c r="D202" s="49" t="s">
        <v>114</v>
      </c>
      <c r="E202" s="50" t="s">
        <v>115</v>
      </c>
      <c r="F202" s="49" t="s">
        <v>36</v>
      </c>
      <c r="G202" s="37" t="n">
        <v>8633</v>
      </c>
      <c r="H202" s="37" t="n">
        <v>41</v>
      </c>
      <c r="I202" s="37" t="n">
        <f aca="false">IFERROR(ROUND('Data Bulanan'!AC45,0),0)</f>
        <v>54055</v>
      </c>
      <c r="J202" s="37" t="n">
        <v>6334122</v>
      </c>
      <c r="K202" s="37" t="n">
        <v>314681</v>
      </c>
      <c r="L202" s="38" t="n">
        <f aca="false">IFERROR(ROUND(SQRT(2*I202*J202/K202),0),0)</f>
        <v>1475</v>
      </c>
      <c r="M202" s="39" t="n">
        <f aca="false">IFERROR(AVERAGE('Data Bulanan'!F45,'Data Bulanan'!H45,'Data Bulanan'!J45,'Data Bulanan'!L45,'Data Bulanan'!N45,'Data Bulanan'!P45,'Data Bulanan'!R45,'Data Bulanan'!T45,'Data Bulanan'!V45,'Data Bulanan'!X45,'Data Bulanan'!Z45,'Data Bulanan'!AB45),0)</f>
        <v>143.835291858679</v>
      </c>
      <c r="N202" s="40" t="n">
        <f aca="false">'Data Bulanan'!AD45</f>
        <v>39.3499982187719</v>
      </c>
      <c r="O202" s="41" t="n">
        <f aca="false">IFERROR(N202*SQRT(H202),0)</f>
        <v>251.962927337558</v>
      </c>
      <c r="P202" s="42" t="n">
        <f aca="false">IFERROR(ROUND(1.65*O202,0),0)</f>
        <v>416</v>
      </c>
      <c r="Q202" s="43" t="n">
        <f aca="false">IFERROR(ROUND(M202*H202+P202,0),0)</f>
        <v>6313</v>
      </c>
      <c r="R202" s="44" t="n">
        <f aca="false">G202-Q202</f>
        <v>2320</v>
      </c>
      <c r="S202" s="45" t="str">
        <f aca="false">IF(G202=0,"Stockout ⚠",IF(G202&lt;Q202,"Reorder 🔄",IF(G202&gt;Q202+L202,"Overstock 📦","Aman ✅")))</f>
        <v>Overstock 📦</v>
      </c>
      <c r="T202" s="46" t="n">
        <f aca="false">IFERROR(N202/AVERAGE(M202:M206),0)</f>
        <v>0.286299528800379</v>
      </c>
      <c r="U202" s="47" t="n">
        <v>-228.55</v>
      </c>
      <c r="V202" s="48" t="n">
        <v>0.0043</v>
      </c>
    </row>
    <row r="203" customFormat="false" ht="15" hidden="false" customHeight="true" outlineLevel="0" collapsed="false">
      <c r="A203" s="49" t="n">
        <v>2</v>
      </c>
      <c r="B203" s="35" t="n">
        <v>2022</v>
      </c>
      <c r="C203" s="49" t="s">
        <v>263</v>
      </c>
      <c r="D203" s="49" t="s">
        <v>114</v>
      </c>
      <c r="E203" s="50" t="s">
        <v>115</v>
      </c>
      <c r="F203" s="49" t="s">
        <v>36</v>
      </c>
      <c r="G203" s="37" t="n">
        <v>36280</v>
      </c>
      <c r="H203" s="37" t="n">
        <v>41</v>
      </c>
      <c r="I203" s="37" t="n">
        <f aca="false">IFERROR(ROUND('Data Bulanan'!BC45,0),0)</f>
        <v>55798</v>
      </c>
      <c r="J203" s="37" t="n">
        <v>5787273</v>
      </c>
      <c r="K203" s="37" t="n">
        <v>348851</v>
      </c>
      <c r="L203" s="38" t="n">
        <f aca="false">IFERROR(ROUND(SQRT(2*I203*J203/K203),0),0)</f>
        <v>1361</v>
      </c>
      <c r="M203" s="39" t="n">
        <f aca="false">IFERROR(AVERAGE('Data Bulanan'!AF45,'Data Bulanan'!AH45,'Data Bulanan'!AJ45,'Data Bulanan'!AL45,'Data Bulanan'!AN45,'Data Bulanan'!AP45,'Data Bulanan'!AR45,'Data Bulanan'!AT45,'Data Bulanan'!AV45,'Data Bulanan'!AX45,'Data Bulanan'!AZ45,'Data Bulanan'!BB45),0)</f>
        <v>148.553897849462</v>
      </c>
      <c r="N203" s="40" t="n">
        <f aca="false">'Data Bulanan'!BD45</f>
        <v>29.8225754554605</v>
      </c>
      <c r="O203" s="41" t="n">
        <f aca="false">IFERROR(N203*SQRT(H203),0)</f>
        <v>190.957655721529</v>
      </c>
      <c r="P203" s="42" t="n">
        <f aca="false">IFERROR(ROUND(1.65*O203,0),0)</f>
        <v>315</v>
      </c>
      <c r="Q203" s="43" t="n">
        <f aca="false">IFERROR(ROUND(M203*H203+P203,0),0)</f>
        <v>6406</v>
      </c>
      <c r="R203" s="44" t="n">
        <f aca="false">G203-Q203</f>
        <v>29874</v>
      </c>
      <c r="S203" s="45" t="str">
        <f aca="false">IF(G203=0,"Stockout ⚠",IF(G203&lt;Q203,"Reorder 🔄",IF(G203&gt;Q203+L203,"Overstock 📦","Aman ✅")))</f>
        <v>Overstock 📦</v>
      </c>
      <c r="T203" s="46" t="n">
        <f aca="false">IFERROR(N203/AVERAGE(M202:M206),0)</f>
        <v>0.216980678195785</v>
      </c>
      <c r="U203" s="47" t="n">
        <v>-228.55</v>
      </c>
      <c r="V203" s="48" t="n">
        <v>0.0043</v>
      </c>
    </row>
    <row r="204" customFormat="false" ht="15" hidden="false" customHeight="true" outlineLevel="0" collapsed="false">
      <c r="A204" s="49" t="n">
        <v>3</v>
      </c>
      <c r="B204" s="35" t="n">
        <v>2023</v>
      </c>
      <c r="C204" s="49" t="s">
        <v>263</v>
      </c>
      <c r="D204" s="49" t="s">
        <v>114</v>
      </c>
      <c r="E204" s="50" t="s">
        <v>115</v>
      </c>
      <c r="F204" s="49" t="s">
        <v>36</v>
      </c>
      <c r="G204" s="37" t="n">
        <v>0</v>
      </c>
      <c r="H204" s="37" t="n">
        <v>41</v>
      </c>
      <c r="I204" s="37" t="n">
        <f aca="false">IFERROR(ROUND('Data Bulanan'!CC45,0),0)</f>
        <v>42981</v>
      </c>
      <c r="J204" s="37" t="n">
        <v>6668731</v>
      </c>
      <c r="K204" s="37" t="n">
        <v>293998</v>
      </c>
      <c r="L204" s="38" t="n">
        <f aca="false">IFERROR(ROUND(SQRT(2*I204*J204/K204),0),0)</f>
        <v>1396</v>
      </c>
      <c r="M204" s="39" t="n">
        <f aca="false">IFERROR(AVERAGE('Data Bulanan'!BF45,'Data Bulanan'!BH45,'Data Bulanan'!BJ45,'Data Bulanan'!BL45,'Data Bulanan'!BN45,'Data Bulanan'!BP45,'Data Bulanan'!BR45,'Data Bulanan'!BT45,'Data Bulanan'!BV45,'Data Bulanan'!BX45,'Data Bulanan'!BZ45,'Data Bulanan'!CB45),0)</f>
        <v>114.174468766001</v>
      </c>
      <c r="N204" s="40" t="n">
        <f aca="false">'Data Bulanan'!CD45</f>
        <v>30.1847157320207</v>
      </c>
      <c r="O204" s="41" t="n">
        <f aca="false">IFERROR(N204*SQRT(H204),0)</f>
        <v>193.276484903722</v>
      </c>
      <c r="P204" s="42" t="n">
        <f aca="false">IFERROR(ROUND(1.65*O204,0),0)</f>
        <v>319</v>
      </c>
      <c r="Q204" s="43" t="n">
        <f aca="false">IFERROR(ROUND(M204*H204+P204,0),0)</f>
        <v>5000</v>
      </c>
      <c r="R204" s="44" t="n">
        <f aca="false">G204-Q204</f>
        <v>-5000</v>
      </c>
      <c r="S204" s="45" t="str">
        <f aca="false">IF(G204=0,"Stockout ⚠",IF(G204&lt;Q204,"Reorder 🔄",IF(G204&gt;Q204+L204,"Overstock 📦","Aman ✅")))</f>
        <v>Stockout ⚠</v>
      </c>
      <c r="T204" s="46" t="n">
        <f aca="false">IFERROR(N204/AVERAGE(M202:M206),0)</f>
        <v>0.21961550907843</v>
      </c>
      <c r="U204" s="47" t="n">
        <v>-228.55</v>
      </c>
      <c r="V204" s="48" t="n">
        <v>0.0043</v>
      </c>
    </row>
    <row r="205" customFormat="false" ht="15" hidden="false" customHeight="true" outlineLevel="0" collapsed="false">
      <c r="A205" s="49" t="n">
        <v>4</v>
      </c>
      <c r="B205" s="35" t="n">
        <v>2024</v>
      </c>
      <c r="C205" s="49" t="s">
        <v>263</v>
      </c>
      <c r="D205" s="49" t="s">
        <v>114</v>
      </c>
      <c r="E205" s="50" t="s">
        <v>115</v>
      </c>
      <c r="F205" s="49" t="s">
        <v>36</v>
      </c>
      <c r="G205" s="37" t="n">
        <v>15355</v>
      </c>
      <c r="H205" s="37" t="n">
        <v>41</v>
      </c>
      <c r="I205" s="37" t="n">
        <f aca="false">IFERROR(ROUND('Data Bulanan'!DC45,0),0)</f>
        <v>49468</v>
      </c>
      <c r="J205" s="37" t="n">
        <v>5793653</v>
      </c>
      <c r="K205" s="37" t="n">
        <v>298458</v>
      </c>
      <c r="L205" s="38" t="n">
        <f aca="false">IFERROR(ROUND(SQRT(2*I205*J205/K205),0),0)</f>
        <v>1386</v>
      </c>
      <c r="M205" s="39" t="n">
        <f aca="false">IFERROR(AVERAGE('Data Bulanan'!CF45,'Data Bulanan'!CH45,'Data Bulanan'!CJ45,'Data Bulanan'!CL45,'Data Bulanan'!CN45,'Data Bulanan'!CP45,'Data Bulanan'!CR45,'Data Bulanan'!CT45,'Data Bulanan'!CV45,'Data Bulanan'!CX45,'Data Bulanan'!CZ45,'Data Bulanan'!DB45),0)</f>
        <v>131.261687147977</v>
      </c>
      <c r="N205" s="40" t="n">
        <f aca="false">'Data Bulanan'!DD45</f>
        <v>31.2029730504758</v>
      </c>
      <c r="O205" s="41" t="n">
        <f aca="false">IFERROR(N205*SQRT(H205),0)</f>
        <v>199.796513019466</v>
      </c>
      <c r="P205" s="42" t="n">
        <f aca="false">IFERROR(ROUND(1.65*O205,0),0)</f>
        <v>330</v>
      </c>
      <c r="Q205" s="43" t="n">
        <f aca="false">IFERROR(ROUND(M205*H205+P205,0),0)</f>
        <v>5712</v>
      </c>
      <c r="R205" s="44" t="n">
        <f aca="false">G205-Q205</f>
        <v>9643</v>
      </c>
      <c r="S205" s="45" t="str">
        <f aca="false">IF(G205=0,"Stockout ⚠",IF(G205&lt;Q205,"Reorder 🔄",IF(G205&gt;Q205+L205,"Overstock 📦","Aman ✅")))</f>
        <v>Overstock 📦</v>
      </c>
      <c r="T205" s="46" t="n">
        <f aca="false">IFERROR(N205/AVERAGE(M202:M206),0)</f>
        <v>0.227024063174175</v>
      </c>
      <c r="U205" s="47" t="n">
        <v>-228.55</v>
      </c>
      <c r="V205" s="48" t="n">
        <v>0.0043</v>
      </c>
    </row>
    <row r="206" customFormat="false" ht="15" hidden="false" customHeight="true" outlineLevel="0" collapsed="false">
      <c r="A206" s="49" t="n">
        <v>5</v>
      </c>
      <c r="B206" s="35" t="n">
        <v>2025</v>
      </c>
      <c r="C206" s="49" t="s">
        <v>263</v>
      </c>
      <c r="D206" s="49" t="s">
        <v>114</v>
      </c>
      <c r="E206" s="50" t="s">
        <v>115</v>
      </c>
      <c r="F206" s="49" t="s">
        <v>36</v>
      </c>
      <c r="G206" s="37" t="n">
        <v>17734</v>
      </c>
      <c r="H206" s="37" t="n">
        <v>41</v>
      </c>
      <c r="I206" s="37" t="n">
        <f aca="false">IFERROR(ROUND('Data Bulanan'!EC45,0),0)</f>
        <v>56078</v>
      </c>
      <c r="J206" s="37" t="n">
        <v>6183240</v>
      </c>
      <c r="K206" s="37" t="n">
        <v>310687</v>
      </c>
      <c r="L206" s="38" t="n">
        <f aca="false">IFERROR(ROUND(SQRT(2*I206*J206/K206),0),0)</f>
        <v>1494</v>
      </c>
      <c r="M206" s="39" t="n">
        <f aca="false">IFERROR(AVERAGE('Data Bulanan'!DF45,'Data Bulanan'!DH45,'Data Bulanan'!DJ45,'Data Bulanan'!DL45,'Data Bulanan'!DN45,'Data Bulanan'!DP45,'Data Bulanan'!DR45,'Data Bulanan'!DT45,'Data Bulanan'!DV45,'Data Bulanan'!DX45,'Data Bulanan'!DZ45,'Data Bulanan'!EB45),0)</f>
        <v>149.391961085509</v>
      </c>
      <c r="N206" s="40" t="n">
        <f aca="false">'Data Bulanan'!ED45</f>
        <v>22.7255147422116</v>
      </c>
      <c r="O206" s="41" t="n">
        <f aca="false">IFERROR(N206*SQRT(H206),0)</f>
        <v>145.514294253993</v>
      </c>
      <c r="P206" s="42" t="n">
        <f aca="false">IFERROR(ROUND(1.65*O206,0),0)</f>
        <v>240</v>
      </c>
      <c r="Q206" s="43" t="n">
        <f aca="false">IFERROR(ROUND(M206*H206+P206,0),0)</f>
        <v>6365</v>
      </c>
      <c r="R206" s="44" t="n">
        <f aca="false">G206-Q206</f>
        <v>11369</v>
      </c>
      <c r="S206" s="45" t="str">
        <f aca="false">IF(G206=0,"Stockout ⚠",IF(G206&lt;Q206,"Reorder 🔄",IF(G206&gt;Q206+L206,"Overstock 📦","Aman ✅")))</f>
        <v>Overstock 📦</v>
      </c>
      <c r="T206" s="46" t="n">
        <f aca="false">IFERROR(N206/AVERAGE(M202:M206),0)</f>
        <v>0.165344458880748</v>
      </c>
      <c r="U206" s="47" t="n">
        <v>-228.55</v>
      </c>
      <c r="V206" s="48" t="n">
        <v>0.0043</v>
      </c>
    </row>
    <row r="207" customFormat="false" ht="15" hidden="false" customHeight="true" outlineLevel="0" collapsed="false">
      <c r="A207" s="34" t="n">
        <v>1</v>
      </c>
      <c r="B207" s="35" t="n">
        <v>2021</v>
      </c>
      <c r="C207" s="34" t="s">
        <v>263</v>
      </c>
      <c r="D207" s="34" t="s">
        <v>116</v>
      </c>
      <c r="E207" s="36" t="s">
        <v>117</v>
      </c>
      <c r="F207" s="34" t="s">
        <v>36</v>
      </c>
      <c r="G207" s="37" t="n">
        <v>3715</v>
      </c>
      <c r="H207" s="37" t="n">
        <v>11</v>
      </c>
      <c r="I207" s="37" t="n">
        <f aca="false">IFERROR(ROUND('Data Bulanan'!AC46,0),0)</f>
        <v>40901</v>
      </c>
      <c r="J207" s="37" t="n">
        <v>1777911</v>
      </c>
      <c r="K207" s="37" t="n">
        <v>516570</v>
      </c>
      <c r="L207" s="38" t="n">
        <f aca="false">IFERROR(ROUND(SQRT(2*I207*J207/K207),0),0)</f>
        <v>531</v>
      </c>
      <c r="M207" s="39" t="n">
        <f aca="false">IFERROR(AVERAGE('Data Bulanan'!F46,'Data Bulanan'!H46,'Data Bulanan'!J46,'Data Bulanan'!L46,'Data Bulanan'!N46,'Data Bulanan'!P46,'Data Bulanan'!R46,'Data Bulanan'!T46,'Data Bulanan'!V46,'Data Bulanan'!X46,'Data Bulanan'!Z46,'Data Bulanan'!AB46),0)</f>
        <v>109.05855734767</v>
      </c>
      <c r="N207" s="40" t="n">
        <f aca="false">'Data Bulanan'!AD46</f>
        <v>25.481906407914</v>
      </c>
      <c r="O207" s="41" t="n">
        <f aca="false">IFERROR(N207*SQRT(H207),0)</f>
        <v>84.5139224980037</v>
      </c>
      <c r="P207" s="42" t="n">
        <f aca="false">IFERROR(ROUND(1.65*O207,0),0)</f>
        <v>139</v>
      </c>
      <c r="Q207" s="43" t="n">
        <f aca="false">IFERROR(ROUND(M207*H207+P207,0),0)</f>
        <v>1339</v>
      </c>
      <c r="R207" s="44" t="n">
        <f aca="false">G207-Q207</f>
        <v>2376</v>
      </c>
      <c r="S207" s="45" t="str">
        <f aca="false">IF(G207=0,"Stockout ⚠",IF(G207&lt;Q207,"Reorder 🔄",IF(G207&gt;Q207+L207,"Overstock 📦","Aman ✅")))</f>
        <v>Overstock 📦</v>
      </c>
      <c r="T207" s="46" t="n">
        <f aca="false">IFERROR(N207/AVERAGE(M207:M211),0)</f>
        <v>0.220680137734871</v>
      </c>
      <c r="U207" s="47" t="n">
        <v>-35.45</v>
      </c>
      <c r="V207" s="48" t="n">
        <v>0.0001</v>
      </c>
    </row>
    <row r="208" customFormat="false" ht="15" hidden="false" customHeight="true" outlineLevel="0" collapsed="false">
      <c r="A208" s="34" t="n">
        <v>2</v>
      </c>
      <c r="B208" s="35" t="n">
        <v>2022</v>
      </c>
      <c r="C208" s="34" t="s">
        <v>263</v>
      </c>
      <c r="D208" s="34" t="s">
        <v>116</v>
      </c>
      <c r="E208" s="36" t="s">
        <v>117</v>
      </c>
      <c r="F208" s="34" t="s">
        <v>36</v>
      </c>
      <c r="G208" s="37" t="n">
        <v>8428</v>
      </c>
      <c r="H208" s="37" t="n">
        <v>11</v>
      </c>
      <c r="I208" s="37" t="n">
        <f aca="false">IFERROR(ROUND('Data Bulanan'!BC46,0),0)</f>
        <v>49023</v>
      </c>
      <c r="J208" s="37" t="n">
        <v>1882108</v>
      </c>
      <c r="K208" s="37" t="n">
        <v>454875</v>
      </c>
      <c r="L208" s="38" t="n">
        <f aca="false">IFERROR(ROUND(SQRT(2*I208*J208/K208),0),0)</f>
        <v>637</v>
      </c>
      <c r="M208" s="39" t="n">
        <f aca="false">IFERROR(AVERAGE('Data Bulanan'!AF46,'Data Bulanan'!AH46,'Data Bulanan'!AJ46,'Data Bulanan'!AL46,'Data Bulanan'!AN46,'Data Bulanan'!AP46,'Data Bulanan'!AR46,'Data Bulanan'!AT46,'Data Bulanan'!AV46,'Data Bulanan'!AX46,'Data Bulanan'!AZ46,'Data Bulanan'!BB46),0)</f>
        <v>130.4577124936</v>
      </c>
      <c r="N208" s="40" t="n">
        <f aca="false">'Data Bulanan'!BD46</f>
        <v>27.3027599089805</v>
      </c>
      <c r="O208" s="41" t="n">
        <f aca="false">IFERROR(N208*SQRT(H208),0)</f>
        <v>90.5530103592463</v>
      </c>
      <c r="P208" s="42" t="n">
        <f aca="false">IFERROR(ROUND(1.65*O208,0),0)</f>
        <v>149</v>
      </c>
      <c r="Q208" s="43" t="n">
        <f aca="false">IFERROR(ROUND(M208*H208+P208,0),0)</f>
        <v>1584</v>
      </c>
      <c r="R208" s="44" t="n">
        <f aca="false">G208-Q208</f>
        <v>6844</v>
      </c>
      <c r="S208" s="45" t="str">
        <f aca="false">IF(G208=0,"Stockout ⚠",IF(G208&lt;Q208,"Reorder 🔄",IF(G208&gt;Q208+L208,"Overstock 📦","Aman ✅")))</f>
        <v>Overstock 📦</v>
      </c>
      <c r="T208" s="46" t="n">
        <f aca="false">IFERROR(N208/AVERAGE(M207:M211),0)</f>
        <v>0.236449216977921</v>
      </c>
      <c r="U208" s="47" t="n">
        <v>-35.45</v>
      </c>
      <c r="V208" s="48" t="n">
        <v>0.0001</v>
      </c>
    </row>
    <row r="209" customFormat="false" ht="15" hidden="false" customHeight="true" outlineLevel="0" collapsed="false">
      <c r="A209" s="34" t="n">
        <v>3</v>
      </c>
      <c r="B209" s="35" t="n">
        <v>2023</v>
      </c>
      <c r="C209" s="34" t="s">
        <v>263</v>
      </c>
      <c r="D209" s="34" t="s">
        <v>116</v>
      </c>
      <c r="E209" s="36" t="s">
        <v>117</v>
      </c>
      <c r="F209" s="34" t="s">
        <v>36</v>
      </c>
      <c r="G209" s="37" t="n">
        <v>6928</v>
      </c>
      <c r="H209" s="37" t="n">
        <v>11</v>
      </c>
      <c r="I209" s="37" t="n">
        <f aca="false">IFERROR(ROUND('Data Bulanan'!CC46,0),0)</f>
        <v>43170</v>
      </c>
      <c r="J209" s="37" t="n">
        <v>1789984</v>
      </c>
      <c r="K209" s="37" t="n">
        <v>519885</v>
      </c>
      <c r="L209" s="38" t="n">
        <f aca="false">IFERROR(ROUND(SQRT(2*I209*J209/K209),0),0)</f>
        <v>545</v>
      </c>
      <c r="M209" s="39" t="n">
        <f aca="false">IFERROR(AVERAGE('Data Bulanan'!BF46,'Data Bulanan'!BH46,'Data Bulanan'!BJ46,'Data Bulanan'!BL46,'Data Bulanan'!BN46,'Data Bulanan'!BP46,'Data Bulanan'!BR46,'Data Bulanan'!BT46,'Data Bulanan'!BV46,'Data Bulanan'!BX46,'Data Bulanan'!BZ46,'Data Bulanan'!CB46),0)</f>
        <v>114.98184203789</v>
      </c>
      <c r="N209" s="40" t="n">
        <f aca="false">'Data Bulanan'!CD46</f>
        <v>29.44317267868</v>
      </c>
      <c r="O209" s="41" t="n">
        <f aca="false">IFERROR(N209*SQRT(H209),0)</f>
        <v>97.6519564128248</v>
      </c>
      <c r="P209" s="42" t="n">
        <f aca="false">IFERROR(ROUND(1.65*O209,0),0)</f>
        <v>161</v>
      </c>
      <c r="Q209" s="43" t="n">
        <f aca="false">IFERROR(ROUND(M209*H209+P209,0),0)</f>
        <v>1426</v>
      </c>
      <c r="R209" s="44" t="n">
        <f aca="false">G209-Q209</f>
        <v>5502</v>
      </c>
      <c r="S209" s="45" t="str">
        <f aca="false">IF(G209=0,"Stockout ⚠",IF(G209&lt;Q209,"Reorder 🔄",IF(G209&gt;Q209+L209,"Overstock 📦","Aman ✅")))</f>
        <v>Overstock 📦</v>
      </c>
      <c r="T209" s="46" t="n">
        <f aca="false">IFERROR(N209/AVERAGE(M207:M211),0)</f>
        <v>0.254985765117822</v>
      </c>
      <c r="U209" s="47" t="n">
        <v>-35.45</v>
      </c>
      <c r="V209" s="48" t="n">
        <v>0.0001</v>
      </c>
    </row>
    <row r="210" customFormat="false" ht="15" hidden="false" customHeight="true" outlineLevel="0" collapsed="false">
      <c r="A210" s="34" t="n">
        <v>4</v>
      </c>
      <c r="B210" s="35" t="n">
        <v>2024</v>
      </c>
      <c r="C210" s="34" t="s">
        <v>263</v>
      </c>
      <c r="D210" s="34" t="s">
        <v>116</v>
      </c>
      <c r="E210" s="36" t="s">
        <v>117</v>
      </c>
      <c r="F210" s="34" t="s">
        <v>36</v>
      </c>
      <c r="G210" s="37" t="n">
        <v>1356</v>
      </c>
      <c r="H210" s="37" t="n">
        <v>11</v>
      </c>
      <c r="I210" s="37" t="n">
        <f aca="false">IFERROR(ROUND('Data Bulanan'!DC46,0),0)</f>
        <v>37002</v>
      </c>
      <c r="J210" s="37" t="n">
        <v>1743938</v>
      </c>
      <c r="K210" s="37" t="n">
        <v>505114</v>
      </c>
      <c r="L210" s="38" t="n">
        <f aca="false">IFERROR(ROUND(SQRT(2*I210*J210/K210),0),0)</f>
        <v>505</v>
      </c>
      <c r="M210" s="39" t="n">
        <f aca="false">IFERROR(AVERAGE('Data Bulanan'!CF46,'Data Bulanan'!CH46,'Data Bulanan'!CJ46,'Data Bulanan'!CL46,'Data Bulanan'!CN46,'Data Bulanan'!CP46,'Data Bulanan'!CR46,'Data Bulanan'!CT46,'Data Bulanan'!CV46,'Data Bulanan'!CX46,'Data Bulanan'!CZ46,'Data Bulanan'!DB46),0)</f>
        <v>98.2739311315924</v>
      </c>
      <c r="N210" s="40" t="n">
        <f aca="false">'Data Bulanan'!DD46</f>
        <v>23.033878736607</v>
      </c>
      <c r="O210" s="41" t="n">
        <f aca="false">IFERROR(N210*SQRT(H210),0)</f>
        <v>76.3947332358708</v>
      </c>
      <c r="P210" s="42" t="n">
        <f aca="false">IFERROR(ROUND(1.65*O210,0),0)</f>
        <v>126</v>
      </c>
      <c r="Q210" s="43" t="n">
        <f aca="false">IFERROR(ROUND(M210*H210+P210,0),0)</f>
        <v>1207</v>
      </c>
      <c r="R210" s="44" t="n">
        <f aca="false">G210-Q210</f>
        <v>149</v>
      </c>
      <c r="S210" s="45" t="str">
        <f aca="false">IF(G210=0,"Stockout ⚠",IF(G210&lt;Q210,"Reorder 🔄",IF(G210&gt;Q210+L210,"Overstock 📦","Aman ✅")))</f>
        <v>Aman ✅</v>
      </c>
      <c r="T210" s="46" t="n">
        <f aca="false">IFERROR(N210/AVERAGE(M207:M211),0)</f>
        <v>0.199479562117223</v>
      </c>
      <c r="U210" s="47" t="n">
        <v>-35.45</v>
      </c>
      <c r="V210" s="48" t="n">
        <v>0.0001</v>
      </c>
    </row>
    <row r="211" customFormat="false" ht="15" hidden="false" customHeight="true" outlineLevel="0" collapsed="false">
      <c r="A211" s="34" t="n">
        <v>5</v>
      </c>
      <c r="B211" s="35" t="n">
        <v>2025</v>
      </c>
      <c r="C211" s="34" t="s">
        <v>263</v>
      </c>
      <c r="D211" s="34" t="s">
        <v>116</v>
      </c>
      <c r="E211" s="36" t="s">
        <v>117</v>
      </c>
      <c r="F211" s="34" t="s">
        <v>36</v>
      </c>
      <c r="G211" s="37" t="n">
        <v>9723</v>
      </c>
      <c r="H211" s="37" t="n">
        <v>11</v>
      </c>
      <c r="I211" s="37" t="n">
        <f aca="false">IFERROR(ROUND('Data Bulanan'!EC46,0),0)</f>
        <v>46735</v>
      </c>
      <c r="J211" s="37" t="n">
        <v>1868637</v>
      </c>
      <c r="K211" s="37" t="n">
        <v>441644</v>
      </c>
      <c r="L211" s="38" t="n">
        <f aca="false">IFERROR(ROUND(SQRT(2*I211*J211/K211),0),0)</f>
        <v>629</v>
      </c>
      <c r="M211" s="39" t="n">
        <f aca="false">IFERROR(AVERAGE('Data Bulanan'!DF46,'Data Bulanan'!DH46,'Data Bulanan'!DJ46,'Data Bulanan'!DL46,'Data Bulanan'!DN46,'Data Bulanan'!DP46,'Data Bulanan'!DR46,'Data Bulanan'!DT46,'Data Bulanan'!DV46,'Data Bulanan'!DX46,'Data Bulanan'!DZ46,'Data Bulanan'!EB46),0)</f>
        <v>124.577297747056</v>
      </c>
      <c r="N211" s="40" t="n">
        <f aca="false">'Data Bulanan'!ED46</f>
        <v>32.1598653908935</v>
      </c>
      <c r="O211" s="41" t="n">
        <f aca="false">IFERROR(N211*SQRT(H211),0)</f>
        <v>106.66220680993</v>
      </c>
      <c r="P211" s="42" t="n">
        <f aca="false">IFERROR(ROUND(1.65*O211,0),0)</f>
        <v>176</v>
      </c>
      <c r="Q211" s="43" t="n">
        <f aca="false">IFERROR(ROUND(M211*H211+P211,0),0)</f>
        <v>1546</v>
      </c>
      <c r="R211" s="44" t="n">
        <f aca="false">G211-Q211</f>
        <v>8177</v>
      </c>
      <c r="S211" s="45" t="str">
        <f aca="false">IF(G211=0,"Stockout ⚠",IF(G211&lt;Q211,"Reorder 🔄",IF(G211&gt;Q211+L211,"Overstock 📦","Aman ✅")))</f>
        <v>Overstock 📦</v>
      </c>
      <c r="T211" s="46" t="n">
        <f aca="false">IFERROR(N211/AVERAGE(M207:M211),0)</f>
        <v>0.278513051982371</v>
      </c>
      <c r="U211" s="47" t="n">
        <v>-35.45</v>
      </c>
      <c r="V211" s="48" t="n">
        <v>0.0001</v>
      </c>
    </row>
    <row r="212" customFormat="false" ht="15" hidden="false" customHeight="true" outlineLevel="0" collapsed="false">
      <c r="A212" s="49" t="n">
        <v>1</v>
      </c>
      <c r="B212" s="35" t="n">
        <v>2021</v>
      </c>
      <c r="C212" s="49" t="s">
        <v>264</v>
      </c>
      <c r="D212" s="49" t="s">
        <v>118</v>
      </c>
      <c r="E212" s="50" t="s">
        <v>119</v>
      </c>
      <c r="F212" s="49" t="s">
        <v>36</v>
      </c>
      <c r="G212" s="37" t="n">
        <v>0</v>
      </c>
      <c r="H212" s="37" t="n">
        <v>43</v>
      </c>
      <c r="I212" s="37" t="n">
        <f aca="false">IFERROR(ROUND('Data Bulanan'!AC47,0),0)</f>
        <v>31445</v>
      </c>
      <c r="J212" s="37" t="n">
        <v>12402685</v>
      </c>
      <c r="K212" s="37" t="n">
        <v>247295</v>
      </c>
      <c r="L212" s="38" t="n">
        <f aca="false">IFERROR(ROUND(SQRT(2*I212*J212/K212),0),0)</f>
        <v>1776</v>
      </c>
      <c r="M212" s="39" t="n">
        <f aca="false">IFERROR(AVERAGE('Data Bulanan'!F47,'Data Bulanan'!H47,'Data Bulanan'!J47,'Data Bulanan'!L47,'Data Bulanan'!N47,'Data Bulanan'!P47,'Data Bulanan'!R47,'Data Bulanan'!T47,'Data Bulanan'!V47,'Data Bulanan'!X47,'Data Bulanan'!Z47,'Data Bulanan'!AB47),0)</f>
        <v>83.7450652841782</v>
      </c>
      <c r="N212" s="40" t="n">
        <f aca="false">'Data Bulanan'!AD47</f>
        <v>18.0845677453304</v>
      </c>
      <c r="O212" s="41" t="n">
        <f aca="false">IFERROR(N212*SQRT(H212),0)</f>
        <v>118.588441228579</v>
      </c>
      <c r="P212" s="42" t="n">
        <f aca="false">IFERROR(ROUND(1.65*O212,0),0)</f>
        <v>196</v>
      </c>
      <c r="Q212" s="43" t="n">
        <f aca="false">IFERROR(ROUND(M212*H212+P212,0),0)</f>
        <v>3797</v>
      </c>
      <c r="R212" s="44" t="n">
        <f aca="false">G212-Q212</f>
        <v>-3797</v>
      </c>
      <c r="S212" s="45" t="str">
        <f aca="false">IF(G212=0,"Stockout ⚠",IF(G212&lt;Q212,"Reorder 🔄",IF(G212&gt;Q212+L212,"Overstock 📦","Aman ✅")))</f>
        <v>Stockout ⚠</v>
      </c>
      <c r="T212" s="46" t="n">
        <f aca="false">IFERROR(N212/AVERAGE(M212:M216),0)</f>
        <v>0.244904321447958</v>
      </c>
      <c r="U212" s="47" t="n">
        <v>-917.49</v>
      </c>
      <c r="V212" s="48" t="n">
        <v>0.3284</v>
      </c>
    </row>
    <row r="213" customFormat="false" ht="15" hidden="false" customHeight="true" outlineLevel="0" collapsed="false">
      <c r="A213" s="49" t="n">
        <v>2</v>
      </c>
      <c r="B213" s="35" t="n">
        <v>2022</v>
      </c>
      <c r="C213" s="49" t="s">
        <v>264</v>
      </c>
      <c r="D213" s="49" t="s">
        <v>118</v>
      </c>
      <c r="E213" s="50" t="s">
        <v>119</v>
      </c>
      <c r="F213" s="49" t="s">
        <v>36</v>
      </c>
      <c r="G213" s="37" t="n">
        <v>23901</v>
      </c>
      <c r="H213" s="37" t="n">
        <v>43</v>
      </c>
      <c r="I213" s="37" t="n">
        <f aca="false">IFERROR(ROUND('Data Bulanan'!BC47,0),0)</f>
        <v>28304</v>
      </c>
      <c r="J213" s="37" t="n">
        <v>12684014</v>
      </c>
      <c r="K213" s="37" t="n">
        <v>216726</v>
      </c>
      <c r="L213" s="38" t="n">
        <f aca="false">IFERROR(ROUND(SQRT(2*I213*J213/K213),0),0)</f>
        <v>1820</v>
      </c>
      <c r="M213" s="39" t="n">
        <f aca="false">IFERROR(AVERAGE('Data Bulanan'!AF47,'Data Bulanan'!AH47,'Data Bulanan'!AJ47,'Data Bulanan'!AL47,'Data Bulanan'!AN47,'Data Bulanan'!AP47,'Data Bulanan'!AR47,'Data Bulanan'!AT47,'Data Bulanan'!AV47,'Data Bulanan'!AX47,'Data Bulanan'!AZ47,'Data Bulanan'!BB47),0)</f>
        <v>75.4640296979007</v>
      </c>
      <c r="N213" s="40" t="n">
        <f aca="false">'Data Bulanan'!BD47</f>
        <v>16.1680167208004</v>
      </c>
      <c r="O213" s="41" t="n">
        <f aca="false">IFERROR(N213*SQRT(H213),0)</f>
        <v>106.020775706536</v>
      </c>
      <c r="P213" s="42" t="n">
        <f aca="false">IFERROR(ROUND(1.65*O213,0),0)</f>
        <v>175</v>
      </c>
      <c r="Q213" s="43" t="n">
        <f aca="false">IFERROR(ROUND(M213*H213+P213,0),0)</f>
        <v>3420</v>
      </c>
      <c r="R213" s="44" t="n">
        <f aca="false">G213-Q213</f>
        <v>20481</v>
      </c>
      <c r="S213" s="45" t="str">
        <f aca="false">IF(G213=0,"Stockout ⚠",IF(G213&lt;Q213,"Reorder 🔄",IF(G213&gt;Q213+L213,"Overstock 📦","Aman ✅")))</f>
        <v>Overstock 📦</v>
      </c>
      <c r="T213" s="46" t="n">
        <f aca="false">IFERROR(N213/AVERAGE(M212:M216),0)</f>
        <v>0.218950058410398</v>
      </c>
      <c r="U213" s="47" t="n">
        <v>-917.49</v>
      </c>
      <c r="V213" s="48" t="n">
        <v>0.3284</v>
      </c>
    </row>
    <row r="214" customFormat="false" ht="15" hidden="false" customHeight="true" outlineLevel="0" collapsed="false">
      <c r="A214" s="49" t="n">
        <v>3</v>
      </c>
      <c r="B214" s="35" t="n">
        <v>2023</v>
      </c>
      <c r="C214" s="49" t="s">
        <v>264</v>
      </c>
      <c r="D214" s="49" t="s">
        <v>118</v>
      </c>
      <c r="E214" s="50" t="s">
        <v>119</v>
      </c>
      <c r="F214" s="49" t="s">
        <v>36</v>
      </c>
      <c r="G214" s="37" t="n">
        <v>4876</v>
      </c>
      <c r="H214" s="37" t="n">
        <v>43</v>
      </c>
      <c r="I214" s="37" t="n">
        <f aca="false">IFERROR(ROUND('Data Bulanan'!CC47,0),0)</f>
        <v>24377</v>
      </c>
      <c r="J214" s="37" t="n">
        <v>10820534</v>
      </c>
      <c r="K214" s="37" t="n">
        <v>217558</v>
      </c>
      <c r="L214" s="38" t="n">
        <f aca="false">IFERROR(ROUND(SQRT(2*I214*J214/K214),0),0)</f>
        <v>1557</v>
      </c>
      <c r="M214" s="39" t="n">
        <f aca="false">IFERROR(AVERAGE('Data Bulanan'!BF47,'Data Bulanan'!BH47,'Data Bulanan'!BJ47,'Data Bulanan'!BL47,'Data Bulanan'!BN47,'Data Bulanan'!BP47,'Data Bulanan'!BR47,'Data Bulanan'!BT47,'Data Bulanan'!BV47,'Data Bulanan'!BX47,'Data Bulanan'!BZ47,'Data Bulanan'!CB47),0)</f>
        <v>64.6984062980031</v>
      </c>
      <c r="N214" s="40" t="n">
        <f aca="false">'Data Bulanan'!CD47</f>
        <v>15.9223155006778</v>
      </c>
      <c r="O214" s="41" t="n">
        <f aca="false">IFERROR(N214*SQRT(H214),0)</f>
        <v>104.409605060235</v>
      </c>
      <c r="P214" s="42" t="n">
        <f aca="false">IFERROR(ROUND(1.65*O214,0),0)</f>
        <v>172</v>
      </c>
      <c r="Q214" s="43" t="n">
        <f aca="false">IFERROR(ROUND(M214*H214+P214,0),0)</f>
        <v>2954</v>
      </c>
      <c r="R214" s="44" t="n">
        <f aca="false">G214-Q214</f>
        <v>1922</v>
      </c>
      <c r="S214" s="45" t="str">
        <f aca="false">IF(G214=0,"Stockout ⚠",IF(G214&lt;Q214,"Reorder 🔄",IF(G214&gt;Q214+L214,"Overstock 📦","Aman ✅")))</f>
        <v>Overstock 📦</v>
      </c>
      <c r="T214" s="46" t="n">
        <f aca="false">IFERROR(N214/AVERAGE(M212:M216),0)</f>
        <v>0.215622730301679</v>
      </c>
      <c r="U214" s="47" t="n">
        <v>-917.49</v>
      </c>
      <c r="V214" s="48" t="n">
        <v>0.3284</v>
      </c>
    </row>
    <row r="215" customFormat="false" ht="15" hidden="false" customHeight="true" outlineLevel="0" collapsed="false">
      <c r="A215" s="49" t="n">
        <v>4</v>
      </c>
      <c r="B215" s="35" t="n">
        <v>2024</v>
      </c>
      <c r="C215" s="49" t="s">
        <v>264</v>
      </c>
      <c r="D215" s="49" t="s">
        <v>118</v>
      </c>
      <c r="E215" s="50" t="s">
        <v>119</v>
      </c>
      <c r="F215" s="49" t="s">
        <v>36</v>
      </c>
      <c r="G215" s="37" t="n">
        <v>0</v>
      </c>
      <c r="H215" s="37" t="n">
        <v>43</v>
      </c>
      <c r="I215" s="37" t="n">
        <f aca="false">IFERROR(ROUND('Data Bulanan'!DC47,0),0)</f>
        <v>27521</v>
      </c>
      <c r="J215" s="37" t="n">
        <v>11528236</v>
      </c>
      <c r="K215" s="37" t="n">
        <v>229264</v>
      </c>
      <c r="L215" s="38" t="n">
        <f aca="false">IFERROR(ROUND(SQRT(2*I215*J215/K215),0),0)</f>
        <v>1664</v>
      </c>
      <c r="M215" s="39" t="n">
        <f aca="false">IFERROR(AVERAGE('Data Bulanan'!CF47,'Data Bulanan'!CH47,'Data Bulanan'!CJ47,'Data Bulanan'!CL47,'Data Bulanan'!CN47,'Data Bulanan'!CP47,'Data Bulanan'!CR47,'Data Bulanan'!CT47,'Data Bulanan'!CV47,'Data Bulanan'!CX47,'Data Bulanan'!CZ47,'Data Bulanan'!DB47),0)</f>
        <v>73.0936699948797</v>
      </c>
      <c r="N215" s="40" t="n">
        <f aca="false">'Data Bulanan'!DD47</f>
        <v>10.459887014098</v>
      </c>
      <c r="O215" s="41" t="n">
        <f aca="false">IFERROR(N215*SQRT(H215),0)</f>
        <v>68.5900660660926</v>
      </c>
      <c r="P215" s="42" t="n">
        <f aca="false">IFERROR(ROUND(1.65*O215,0),0)</f>
        <v>113</v>
      </c>
      <c r="Q215" s="43" t="n">
        <f aca="false">IFERROR(ROUND(M215*H215+P215,0),0)</f>
        <v>3256</v>
      </c>
      <c r="R215" s="44" t="n">
        <f aca="false">G215-Q215</f>
        <v>-3256</v>
      </c>
      <c r="S215" s="45" t="str">
        <f aca="false">IF(G215=0,"Stockout ⚠",IF(G215&lt;Q215,"Reorder 🔄",IF(G215&gt;Q215+L215,"Overstock 📦","Aman ✅")))</f>
        <v>Stockout ⚠</v>
      </c>
      <c r="T215" s="46" t="n">
        <f aca="false">IFERROR(N215/AVERAGE(M212:M216),0)</f>
        <v>0.141649585861484</v>
      </c>
      <c r="U215" s="47" t="n">
        <v>-917.49</v>
      </c>
      <c r="V215" s="48" t="n">
        <v>0.3284</v>
      </c>
    </row>
    <row r="216" customFormat="false" ht="15" hidden="false" customHeight="true" outlineLevel="0" collapsed="false">
      <c r="A216" s="49" t="n">
        <v>5</v>
      </c>
      <c r="B216" s="35" t="n">
        <v>2025</v>
      </c>
      <c r="C216" s="49" t="s">
        <v>264</v>
      </c>
      <c r="D216" s="49" t="s">
        <v>118</v>
      </c>
      <c r="E216" s="50" t="s">
        <v>119</v>
      </c>
      <c r="F216" s="49" t="s">
        <v>36</v>
      </c>
      <c r="G216" s="37" t="n">
        <v>5561</v>
      </c>
      <c r="H216" s="37" t="n">
        <v>43</v>
      </c>
      <c r="I216" s="37" t="n">
        <f aca="false">IFERROR(ROUND('Data Bulanan'!EC47,0),0)</f>
        <v>27248</v>
      </c>
      <c r="J216" s="37" t="n">
        <v>10778011</v>
      </c>
      <c r="K216" s="37" t="n">
        <v>237492</v>
      </c>
      <c r="L216" s="38" t="n">
        <f aca="false">IFERROR(ROUND(SQRT(2*I216*J216/K216),0),0)</f>
        <v>1573</v>
      </c>
      <c r="M216" s="39" t="n">
        <f aca="false">IFERROR(AVERAGE('Data Bulanan'!DF47,'Data Bulanan'!DH47,'Data Bulanan'!DJ47,'Data Bulanan'!DL47,'Data Bulanan'!DN47,'Data Bulanan'!DP47,'Data Bulanan'!DR47,'Data Bulanan'!DT47,'Data Bulanan'!DV47,'Data Bulanan'!DX47,'Data Bulanan'!DZ47,'Data Bulanan'!EB47),0)</f>
        <v>72.2158282130056</v>
      </c>
      <c r="N216" s="40" t="n">
        <f aca="false">'Data Bulanan'!ED47</f>
        <v>17.2060002164706</v>
      </c>
      <c r="O216" s="41" t="n">
        <f aca="false">IFERROR(N216*SQRT(H216),0)</f>
        <v>112.827288668633</v>
      </c>
      <c r="P216" s="42" t="n">
        <f aca="false">IFERROR(ROUND(1.65*O216,0),0)</f>
        <v>186</v>
      </c>
      <c r="Q216" s="43" t="n">
        <f aca="false">IFERROR(ROUND(M216*H216+P216,0),0)</f>
        <v>3291</v>
      </c>
      <c r="R216" s="44" t="n">
        <f aca="false">G216-Q216</f>
        <v>2270</v>
      </c>
      <c r="S216" s="45" t="str">
        <f aca="false">IF(G216=0,"Stockout ⚠",IF(G216&lt;Q216,"Reorder 🔄",IF(G216&gt;Q216+L216,"Overstock 📦","Aman ✅")))</f>
        <v>Overstock 📦</v>
      </c>
      <c r="T216" s="46" t="n">
        <f aca="false">IFERROR(N216/AVERAGE(M212:M216),0)</f>
        <v>0.233006609125961</v>
      </c>
      <c r="U216" s="47" t="n">
        <v>-917.49</v>
      </c>
      <c r="V216" s="48" t="n">
        <v>0.3284</v>
      </c>
    </row>
    <row r="217" customFormat="false" ht="15" hidden="false" customHeight="true" outlineLevel="0" collapsed="false">
      <c r="A217" s="34" t="n">
        <v>1</v>
      </c>
      <c r="B217" s="35" t="n">
        <v>2021</v>
      </c>
      <c r="C217" s="34" t="s">
        <v>264</v>
      </c>
      <c r="D217" s="34" t="s">
        <v>120</v>
      </c>
      <c r="E217" s="36" t="s">
        <v>121</v>
      </c>
      <c r="F217" s="34" t="s">
        <v>36</v>
      </c>
      <c r="G217" s="37" t="n">
        <v>20631</v>
      </c>
      <c r="H217" s="37" t="n">
        <v>41</v>
      </c>
      <c r="I217" s="37" t="n">
        <f aca="false">IFERROR(ROUND('Data Bulanan'!AC48,0),0)</f>
        <v>53246</v>
      </c>
      <c r="J217" s="37" t="n">
        <v>6491887</v>
      </c>
      <c r="K217" s="37" t="n">
        <v>541217</v>
      </c>
      <c r="L217" s="38" t="n">
        <f aca="false">IFERROR(ROUND(SQRT(2*I217*J217/K217),0),0)</f>
        <v>1130</v>
      </c>
      <c r="M217" s="39" t="n">
        <f aca="false">IFERROR(AVERAGE('Data Bulanan'!F48,'Data Bulanan'!H48,'Data Bulanan'!J48,'Data Bulanan'!L48,'Data Bulanan'!N48,'Data Bulanan'!P48,'Data Bulanan'!R48,'Data Bulanan'!T48,'Data Bulanan'!V48,'Data Bulanan'!X48,'Data Bulanan'!Z48,'Data Bulanan'!AB48),0)</f>
        <v>141.787013568868</v>
      </c>
      <c r="N217" s="40" t="n">
        <f aca="false">'Data Bulanan'!AD48</f>
        <v>26.9876330235503</v>
      </c>
      <c r="O217" s="41" t="n">
        <f aca="false">IFERROR(N217*SQRT(H217),0)</f>
        <v>172.805167124038</v>
      </c>
      <c r="P217" s="42" t="n">
        <f aca="false">IFERROR(ROUND(1.65*O217,0),0)</f>
        <v>285</v>
      </c>
      <c r="Q217" s="43" t="n">
        <f aca="false">IFERROR(ROUND(M217*H217+P217,0),0)</f>
        <v>6098</v>
      </c>
      <c r="R217" s="44" t="n">
        <f aca="false">G217-Q217</f>
        <v>14533</v>
      </c>
      <c r="S217" s="45" t="str">
        <f aca="false">IF(G217=0,"Stockout ⚠",IF(G217&lt;Q217,"Reorder 🔄",IF(G217&gt;Q217+L217,"Overstock 📦","Aman ✅")))</f>
        <v>Overstock 📦</v>
      </c>
      <c r="T217" s="46" t="n">
        <f aca="false">IFERROR(N217/AVERAGE(M217:M221),0)</f>
        <v>0.189850434924317</v>
      </c>
      <c r="U217" s="47" t="n">
        <v>-514.82</v>
      </c>
      <c r="V217" s="48" t="n">
        <v>0.0266</v>
      </c>
    </row>
    <row r="218" customFormat="false" ht="15" hidden="false" customHeight="true" outlineLevel="0" collapsed="false">
      <c r="A218" s="34" t="n">
        <v>2</v>
      </c>
      <c r="B218" s="35" t="n">
        <v>2022</v>
      </c>
      <c r="C218" s="34" t="s">
        <v>264</v>
      </c>
      <c r="D218" s="34" t="s">
        <v>120</v>
      </c>
      <c r="E218" s="36" t="s">
        <v>121</v>
      </c>
      <c r="F218" s="34" t="s">
        <v>36</v>
      </c>
      <c r="G218" s="37" t="n">
        <v>16952</v>
      </c>
      <c r="H218" s="37" t="n">
        <v>41</v>
      </c>
      <c r="I218" s="37" t="n">
        <f aca="false">IFERROR(ROUND('Data Bulanan'!BC48,0),0)</f>
        <v>59245</v>
      </c>
      <c r="J218" s="37" t="n">
        <v>6212398</v>
      </c>
      <c r="K218" s="37" t="n">
        <v>471147</v>
      </c>
      <c r="L218" s="38" t="n">
        <f aca="false">IFERROR(ROUND(SQRT(2*I218*J218/K218),0),0)</f>
        <v>1250</v>
      </c>
      <c r="M218" s="39" t="n">
        <f aca="false">IFERROR(AVERAGE('Data Bulanan'!AF48,'Data Bulanan'!AH48,'Data Bulanan'!AJ48,'Data Bulanan'!AL48,'Data Bulanan'!AN48,'Data Bulanan'!AP48,'Data Bulanan'!AR48,'Data Bulanan'!AT48,'Data Bulanan'!AV48,'Data Bulanan'!AX48,'Data Bulanan'!AZ48,'Data Bulanan'!BB48),0)</f>
        <v>157.531432411674</v>
      </c>
      <c r="N218" s="40" t="n">
        <f aca="false">'Data Bulanan'!BD48</f>
        <v>39.4322219789526</v>
      </c>
      <c r="O218" s="41" t="n">
        <f aca="false">IFERROR(N218*SQRT(H218),0)</f>
        <v>252.489416289264</v>
      </c>
      <c r="P218" s="42" t="n">
        <f aca="false">IFERROR(ROUND(1.65*O218,0),0)</f>
        <v>417</v>
      </c>
      <c r="Q218" s="43" t="n">
        <f aca="false">IFERROR(ROUND(M218*H218+P218,0),0)</f>
        <v>6876</v>
      </c>
      <c r="R218" s="44" t="n">
        <f aca="false">G218-Q218</f>
        <v>10076</v>
      </c>
      <c r="S218" s="45" t="str">
        <f aca="false">IF(G218=0,"Stockout ⚠",IF(G218&lt;Q218,"Reorder 🔄",IF(G218&gt;Q218+L218,"Overstock 📦","Aman ✅")))</f>
        <v>Overstock 📦</v>
      </c>
      <c r="T218" s="46" t="n">
        <f aca="false">IFERROR(N218/AVERAGE(M217:M221),0)</f>
        <v>0.277394630577778</v>
      </c>
      <c r="U218" s="47" t="n">
        <v>-514.82</v>
      </c>
      <c r="V218" s="48" t="n">
        <v>0.0266</v>
      </c>
    </row>
    <row r="219" customFormat="false" ht="15" hidden="false" customHeight="true" outlineLevel="0" collapsed="false">
      <c r="A219" s="34" t="n">
        <v>3</v>
      </c>
      <c r="B219" s="35" t="n">
        <v>2023</v>
      </c>
      <c r="C219" s="34" t="s">
        <v>264</v>
      </c>
      <c r="D219" s="34" t="s">
        <v>120</v>
      </c>
      <c r="E219" s="36" t="s">
        <v>121</v>
      </c>
      <c r="F219" s="34" t="s">
        <v>36</v>
      </c>
      <c r="G219" s="37" t="n">
        <v>9780</v>
      </c>
      <c r="H219" s="37" t="n">
        <v>41</v>
      </c>
      <c r="I219" s="37" t="n">
        <f aca="false">IFERROR(ROUND('Data Bulanan'!CC48,0),0)</f>
        <v>45974</v>
      </c>
      <c r="J219" s="37" t="n">
        <v>6876922</v>
      </c>
      <c r="K219" s="37" t="n">
        <v>565939</v>
      </c>
      <c r="L219" s="38" t="n">
        <f aca="false">IFERROR(ROUND(SQRT(2*I219*J219/K219),0),0)</f>
        <v>1057</v>
      </c>
      <c r="M219" s="39" t="n">
        <f aca="false">IFERROR(AVERAGE('Data Bulanan'!BF48,'Data Bulanan'!BH48,'Data Bulanan'!BJ48,'Data Bulanan'!BL48,'Data Bulanan'!BN48,'Data Bulanan'!BP48,'Data Bulanan'!BR48,'Data Bulanan'!BT48,'Data Bulanan'!BV48,'Data Bulanan'!BX48,'Data Bulanan'!BZ48,'Data Bulanan'!CB48),0)</f>
        <v>122.018426779314</v>
      </c>
      <c r="N219" s="40" t="n">
        <f aca="false">'Data Bulanan'!CD48</f>
        <v>28.8380705828159</v>
      </c>
      <c r="O219" s="41" t="n">
        <f aca="false">IFERROR(N219*SQRT(H219),0)</f>
        <v>184.653748709628</v>
      </c>
      <c r="P219" s="42" t="n">
        <f aca="false">IFERROR(ROUND(1.65*O219,0),0)</f>
        <v>305</v>
      </c>
      <c r="Q219" s="43" t="n">
        <f aca="false">IFERROR(ROUND(M219*H219+P219,0),0)</f>
        <v>5308</v>
      </c>
      <c r="R219" s="44" t="n">
        <f aca="false">G219-Q219</f>
        <v>4472</v>
      </c>
      <c r="S219" s="45" t="str">
        <f aca="false">IF(G219=0,"Stockout ⚠",IF(G219&lt;Q219,"Reorder 🔄",IF(G219&gt;Q219+L219,"Overstock 📦","Aman ✅")))</f>
        <v>Overstock 📦</v>
      </c>
      <c r="T219" s="46" t="n">
        <f aca="false">IFERROR(N219/AVERAGE(M217:M221),0)</f>
        <v>0.202867744560931</v>
      </c>
      <c r="U219" s="47" t="n">
        <v>-514.82</v>
      </c>
      <c r="V219" s="48" t="n">
        <v>0.0266</v>
      </c>
    </row>
    <row r="220" customFormat="false" ht="15" hidden="false" customHeight="true" outlineLevel="0" collapsed="false">
      <c r="A220" s="34" t="n">
        <v>4</v>
      </c>
      <c r="B220" s="35" t="n">
        <v>2024</v>
      </c>
      <c r="C220" s="34" t="s">
        <v>264</v>
      </c>
      <c r="D220" s="34" t="s">
        <v>120</v>
      </c>
      <c r="E220" s="36" t="s">
        <v>121</v>
      </c>
      <c r="F220" s="34" t="s">
        <v>36</v>
      </c>
      <c r="G220" s="37" t="n">
        <v>38861</v>
      </c>
      <c r="H220" s="37" t="n">
        <v>41</v>
      </c>
      <c r="I220" s="37" t="n">
        <f aca="false">IFERROR(ROUND('Data Bulanan'!DC48,0),0)</f>
        <v>56344</v>
      </c>
      <c r="J220" s="37" t="n">
        <v>5900916</v>
      </c>
      <c r="K220" s="37" t="n">
        <v>541170</v>
      </c>
      <c r="L220" s="38" t="n">
        <f aca="false">IFERROR(ROUND(SQRT(2*I220*J220/K220),0),0)</f>
        <v>1108</v>
      </c>
      <c r="M220" s="39" t="n">
        <f aca="false">IFERROR(AVERAGE('Data Bulanan'!CF48,'Data Bulanan'!CH48,'Data Bulanan'!CJ48,'Data Bulanan'!CL48,'Data Bulanan'!CN48,'Data Bulanan'!CP48,'Data Bulanan'!CR48,'Data Bulanan'!CT48,'Data Bulanan'!CV48,'Data Bulanan'!CX48,'Data Bulanan'!CZ48,'Data Bulanan'!DB48),0)</f>
        <v>150.247574244752</v>
      </c>
      <c r="N220" s="40" t="n">
        <f aca="false">'Data Bulanan'!DD48</f>
        <v>33.7236812313937</v>
      </c>
      <c r="O220" s="41" t="n">
        <f aca="false">IFERROR(N220*SQRT(H220),0)</f>
        <v>215.936920668196</v>
      </c>
      <c r="P220" s="42" t="n">
        <f aca="false">IFERROR(ROUND(1.65*O220,0),0)</f>
        <v>356</v>
      </c>
      <c r="Q220" s="43" t="n">
        <f aca="false">IFERROR(ROUND(M220*H220+P220,0),0)</f>
        <v>6516</v>
      </c>
      <c r="R220" s="44" t="n">
        <f aca="false">G220-Q220</f>
        <v>32345</v>
      </c>
      <c r="S220" s="45" t="str">
        <f aca="false">IF(G220=0,"Stockout ⚠",IF(G220&lt;Q220,"Reorder 🔄",IF(G220&gt;Q220+L220,"Overstock 📦","Aman ✅")))</f>
        <v>Overstock 📦</v>
      </c>
      <c r="T220" s="46" t="n">
        <f aca="false">IFERROR(N220/AVERAGE(M217:M221),0)</f>
        <v>0.23723664626098</v>
      </c>
      <c r="U220" s="47" t="n">
        <v>-514.82</v>
      </c>
      <c r="V220" s="48" t="n">
        <v>0.0266</v>
      </c>
    </row>
    <row r="221" customFormat="false" ht="15" hidden="false" customHeight="true" outlineLevel="0" collapsed="false">
      <c r="A221" s="34" t="n">
        <v>5</v>
      </c>
      <c r="B221" s="35" t="n">
        <v>2025</v>
      </c>
      <c r="C221" s="34" t="s">
        <v>264</v>
      </c>
      <c r="D221" s="34" t="s">
        <v>120</v>
      </c>
      <c r="E221" s="36" t="s">
        <v>121</v>
      </c>
      <c r="F221" s="34" t="s">
        <v>36</v>
      </c>
      <c r="G221" s="37" t="n">
        <v>9750</v>
      </c>
      <c r="H221" s="37" t="n">
        <v>41</v>
      </c>
      <c r="I221" s="37" t="n">
        <f aca="false">IFERROR(ROUND('Data Bulanan'!EC48,0),0)</f>
        <v>52122</v>
      </c>
      <c r="J221" s="37" t="n">
        <v>6984393</v>
      </c>
      <c r="K221" s="37" t="n">
        <v>482177</v>
      </c>
      <c r="L221" s="38" t="n">
        <f aca="false">IFERROR(ROUND(SQRT(2*I221*J221/K221),0),0)</f>
        <v>1229</v>
      </c>
      <c r="M221" s="39" t="n">
        <f aca="false">IFERROR(AVERAGE('Data Bulanan'!DF48,'Data Bulanan'!DH48,'Data Bulanan'!DJ48,'Data Bulanan'!DL48,'Data Bulanan'!DN48,'Data Bulanan'!DP48,'Data Bulanan'!DR48,'Data Bulanan'!DT48,'Data Bulanan'!DV48,'Data Bulanan'!DX48,'Data Bulanan'!DZ48,'Data Bulanan'!EB48),0)</f>
        <v>139.175921658986</v>
      </c>
      <c r="N221" s="40" t="n">
        <f aca="false">'Data Bulanan'!ED48</f>
        <v>41.2473510663398</v>
      </c>
      <c r="O221" s="41" t="n">
        <f aca="false">IFERROR(N221*SQRT(H221),0)</f>
        <v>264.111913342782</v>
      </c>
      <c r="P221" s="42" t="n">
        <f aca="false">IFERROR(ROUND(1.65*O221,0),0)</f>
        <v>436</v>
      </c>
      <c r="Q221" s="43" t="n">
        <f aca="false">IFERROR(ROUND(M221*H221+P221,0),0)</f>
        <v>6142</v>
      </c>
      <c r="R221" s="44" t="n">
        <f aca="false">G221-Q221</f>
        <v>3608</v>
      </c>
      <c r="S221" s="45" t="str">
        <f aca="false">IF(G221=0,"Stockout ⚠",IF(G221&lt;Q221,"Reorder 🔄",IF(G221&gt;Q221+L221,"Overstock 📦","Aman ✅")))</f>
        <v>Overstock 📦</v>
      </c>
      <c r="T221" s="46" t="n">
        <f aca="false">IFERROR(N221/AVERAGE(M217:M221),0)</f>
        <v>0.290163555010073</v>
      </c>
      <c r="U221" s="47" t="n">
        <v>-514.82</v>
      </c>
      <c r="V221" s="48" t="n">
        <v>0.0266</v>
      </c>
    </row>
    <row r="222" customFormat="false" ht="15" hidden="false" customHeight="true" outlineLevel="0" collapsed="false">
      <c r="A222" s="49" t="n">
        <v>1</v>
      </c>
      <c r="B222" s="35" t="n">
        <v>2021</v>
      </c>
      <c r="C222" s="49" t="s">
        <v>264</v>
      </c>
      <c r="D222" s="49" t="s">
        <v>122</v>
      </c>
      <c r="E222" s="50" t="s">
        <v>123</v>
      </c>
      <c r="F222" s="49" t="s">
        <v>36</v>
      </c>
      <c r="G222" s="37" t="n">
        <v>871</v>
      </c>
      <c r="H222" s="37" t="n">
        <v>10</v>
      </c>
      <c r="I222" s="37" t="n">
        <f aca="false">IFERROR(ROUND('Data Bulanan'!AC49,0),0)</f>
        <v>12898</v>
      </c>
      <c r="J222" s="37" t="n">
        <v>1702857</v>
      </c>
      <c r="K222" s="37" t="n">
        <v>586512</v>
      </c>
      <c r="L222" s="38" t="n">
        <f aca="false">IFERROR(ROUND(SQRT(2*I222*J222/K222),0),0)</f>
        <v>274</v>
      </c>
      <c r="M222" s="39" t="n">
        <f aca="false">IFERROR(AVERAGE('Data Bulanan'!F49,'Data Bulanan'!H49,'Data Bulanan'!J49,'Data Bulanan'!L49,'Data Bulanan'!N49,'Data Bulanan'!P49,'Data Bulanan'!R49,'Data Bulanan'!T49,'Data Bulanan'!V49,'Data Bulanan'!X49,'Data Bulanan'!Z49,'Data Bulanan'!AB49),0)</f>
        <v>34.3822644649258</v>
      </c>
      <c r="N222" s="40" t="n">
        <f aca="false">'Data Bulanan'!AD49</f>
        <v>9.02399547475173</v>
      </c>
      <c r="O222" s="41" t="n">
        <f aca="false">IFERROR(N222*SQRT(H222),0)</f>
        <v>28.536379295268</v>
      </c>
      <c r="P222" s="42" t="n">
        <f aca="false">IFERROR(ROUND(1.65*O222,0),0)</f>
        <v>47</v>
      </c>
      <c r="Q222" s="43" t="n">
        <f aca="false">IFERROR(ROUND(M222*H222+P222,0),0)</f>
        <v>391</v>
      </c>
      <c r="R222" s="44" t="n">
        <f aca="false">G222-Q222</f>
        <v>480</v>
      </c>
      <c r="S222" s="45" t="str">
        <f aca="false">IF(G222=0,"Stockout ⚠",IF(G222&lt;Q222,"Reorder 🔄",IF(G222&gt;Q222+L222,"Overstock 📦","Aman ✅")))</f>
        <v>Overstock 📦</v>
      </c>
      <c r="T222" s="46" t="n">
        <f aca="false">IFERROR(N222/AVERAGE(M222:M226),0)</f>
        <v>0.244561028690596</v>
      </c>
      <c r="U222" s="47" t="n">
        <v>-121.95</v>
      </c>
      <c r="V222" s="48" t="n">
        <v>0.0319</v>
      </c>
    </row>
    <row r="223" customFormat="false" ht="15" hidden="false" customHeight="true" outlineLevel="0" collapsed="false">
      <c r="A223" s="49" t="n">
        <v>2</v>
      </c>
      <c r="B223" s="35" t="n">
        <v>2022</v>
      </c>
      <c r="C223" s="49" t="s">
        <v>264</v>
      </c>
      <c r="D223" s="49" t="s">
        <v>122</v>
      </c>
      <c r="E223" s="50" t="s">
        <v>123</v>
      </c>
      <c r="F223" s="49" t="s">
        <v>36</v>
      </c>
      <c r="G223" s="37" t="n">
        <v>613</v>
      </c>
      <c r="H223" s="37" t="n">
        <v>10</v>
      </c>
      <c r="I223" s="37" t="n">
        <f aca="false">IFERROR(ROUND('Data Bulanan'!BC49,0),0)</f>
        <v>15049</v>
      </c>
      <c r="J223" s="37" t="n">
        <v>1479029</v>
      </c>
      <c r="K223" s="37" t="n">
        <v>577863</v>
      </c>
      <c r="L223" s="38" t="n">
        <f aca="false">IFERROR(ROUND(SQRT(2*I223*J223/K223),0),0)</f>
        <v>278</v>
      </c>
      <c r="M223" s="39" t="n">
        <f aca="false">IFERROR(AVERAGE('Data Bulanan'!AF49,'Data Bulanan'!AH49,'Data Bulanan'!AJ49,'Data Bulanan'!AL49,'Data Bulanan'!AN49,'Data Bulanan'!AP49,'Data Bulanan'!AR49,'Data Bulanan'!AT49,'Data Bulanan'!AV49,'Data Bulanan'!AX49,'Data Bulanan'!AZ49,'Data Bulanan'!BB49),0)</f>
        <v>40.0021121351767</v>
      </c>
      <c r="N223" s="40" t="n">
        <f aca="false">'Data Bulanan'!BD49</f>
        <v>10.1965500371676</v>
      </c>
      <c r="O223" s="41" t="n">
        <f aca="false">IFERROR(N223*SQRT(H223),0)</f>
        <v>32.244322393324</v>
      </c>
      <c r="P223" s="42" t="n">
        <f aca="false">IFERROR(ROUND(1.65*O223,0),0)</f>
        <v>53</v>
      </c>
      <c r="Q223" s="43" t="n">
        <f aca="false">IFERROR(ROUND(M223*H223+P223,0),0)</f>
        <v>453</v>
      </c>
      <c r="R223" s="44" t="n">
        <f aca="false">G223-Q223</f>
        <v>160</v>
      </c>
      <c r="S223" s="45" t="str">
        <f aca="false">IF(G223=0,"Stockout ⚠",IF(G223&lt;Q223,"Reorder 🔄",IF(G223&gt;Q223+L223,"Overstock 📦","Aman ✅")))</f>
        <v>Aman ✅</v>
      </c>
      <c r="T223" s="46" t="n">
        <f aca="false">IFERROR(N223/AVERAGE(M222:M226),0)</f>
        <v>0.276338654331322</v>
      </c>
      <c r="U223" s="47" t="n">
        <v>-121.95</v>
      </c>
      <c r="V223" s="48" t="n">
        <v>0.0319</v>
      </c>
    </row>
    <row r="224" customFormat="false" ht="15" hidden="false" customHeight="true" outlineLevel="0" collapsed="false">
      <c r="A224" s="49" t="n">
        <v>3</v>
      </c>
      <c r="B224" s="35" t="n">
        <v>2023</v>
      </c>
      <c r="C224" s="49" t="s">
        <v>264</v>
      </c>
      <c r="D224" s="49" t="s">
        <v>122</v>
      </c>
      <c r="E224" s="50" t="s">
        <v>123</v>
      </c>
      <c r="F224" s="49" t="s">
        <v>36</v>
      </c>
      <c r="G224" s="37" t="n">
        <v>535</v>
      </c>
      <c r="H224" s="37" t="n">
        <v>10</v>
      </c>
      <c r="I224" s="37" t="n">
        <f aca="false">IFERROR(ROUND('Data Bulanan'!CC49,0),0)</f>
        <v>15056</v>
      </c>
      <c r="J224" s="37" t="n">
        <v>1668331</v>
      </c>
      <c r="K224" s="37" t="n">
        <v>563415</v>
      </c>
      <c r="L224" s="38" t="n">
        <f aca="false">IFERROR(ROUND(SQRT(2*I224*J224/K224),0),0)</f>
        <v>299</v>
      </c>
      <c r="M224" s="39" t="n">
        <f aca="false">IFERROR(AVERAGE('Data Bulanan'!BF49,'Data Bulanan'!BH49,'Data Bulanan'!BJ49,'Data Bulanan'!BL49,'Data Bulanan'!BN49,'Data Bulanan'!BP49,'Data Bulanan'!BR49,'Data Bulanan'!BT49,'Data Bulanan'!BV49,'Data Bulanan'!BX49,'Data Bulanan'!BZ49,'Data Bulanan'!CB49),0)</f>
        <v>39.986763952893</v>
      </c>
      <c r="N224" s="40" t="n">
        <f aca="false">'Data Bulanan'!CD49</f>
        <v>6.53466483433208</v>
      </c>
      <c r="O224" s="41" t="n">
        <f aca="false">IFERROR(N224*SQRT(H224),0)</f>
        <v>20.6644246222962</v>
      </c>
      <c r="P224" s="42" t="n">
        <f aca="false">IFERROR(ROUND(1.65*O224,0),0)</f>
        <v>34</v>
      </c>
      <c r="Q224" s="43" t="n">
        <f aca="false">IFERROR(ROUND(M224*H224+P224,0),0)</f>
        <v>434</v>
      </c>
      <c r="R224" s="44" t="n">
        <f aca="false">G224-Q224</f>
        <v>101</v>
      </c>
      <c r="S224" s="45" t="str">
        <f aca="false">IF(G224=0,"Stockout ⚠",IF(G224&lt;Q224,"Reorder 🔄",IF(G224&gt;Q224+L224,"Overstock 📦","Aman ✅")))</f>
        <v>Aman ✅</v>
      </c>
      <c r="T224" s="46" t="n">
        <f aca="false">IFERROR(N224/AVERAGE(M222:M226),0)</f>
        <v>0.177097202509012</v>
      </c>
      <c r="U224" s="47" t="n">
        <v>-121.95</v>
      </c>
      <c r="V224" s="48" t="n">
        <v>0.0319</v>
      </c>
    </row>
    <row r="225" customFormat="false" ht="15" hidden="false" customHeight="true" outlineLevel="0" collapsed="false">
      <c r="A225" s="49" t="n">
        <v>4</v>
      </c>
      <c r="B225" s="35" t="n">
        <v>2024</v>
      </c>
      <c r="C225" s="49" t="s">
        <v>264</v>
      </c>
      <c r="D225" s="49" t="s">
        <v>122</v>
      </c>
      <c r="E225" s="50" t="s">
        <v>123</v>
      </c>
      <c r="F225" s="49" t="s">
        <v>36</v>
      </c>
      <c r="G225" s="37" t="n">
        <v>970</v>
      </c>
      <c r="H225" s="37" t="n">
        <v>10</v>
      </c>
      <c r="I225" s="37" t="n">
        <f aca="false">IFERROR(ROUND('Data Bulanan'!DC49,0),0)</f>
        <v>13152</v>
      </c>
      <c r="J225" s="37" t="n">
        <v>1644309</v>
      </c>
      <c r="K225" s="37" t="n">
        <v>644640</v>
      </c>
      <c r="L225" s="38" t="n">
        <f aca="false">IFERROR(ROUND(SQRT(2*I225*J225/K225),0),0)</f>
        <v>259</v>
      </c>
      <c r="M225" s="39" t="n">
        <f aca="false">IFERROR(AVERAGE('Data Bulanan'!CF49,'Data Bulanan'!CH49,'Data Bulanan'!CJ49,'Data Bulanan'!CL49,'Data Bulanan'!CN49,'Data Bulanan'!CP49,'Data Bulanan'!CR49,'Data Bulanan'!CT49,'Data Bulanan'!CV49,'Data Bulanan'!CX49,'Data Bulanan'!CZ49,'Data Bulanan'!DB49),0)</f>
        <v>35.0052163338454</v>
      </c>
      <c r="N225" s="40" t="n">
        <f aca="false">'Data Bulanan'!DD49</f>
        <v>8.42127563196108</v>
      </c>
      <c r="O225" s="41" t="n">
        <f aca="false">IFERROR(N225*SQRT(H225),0)</f>
        <v>26.6304118010709</v>
      </c>
      <c r="P225" s="42" t="n">
        <f aca="false">IFERROR(ROUND(1.65*O225,0),0)</f>
        <v>44</v>
      </c>
      <c r="Q225" s="43" t="n">
        <f aca="false">IFERROR(ROUND(M225*H225+P225,0),0)</f>
        <v>394</v>
      </c>
      <c r="R225" s="44" t="n">
        <f aca="false">G225-Q225</f>
        <v>576</v>
      </c>
      <c r="S225" s="45" t="str">
        <f aca="false">IF(G225=0,"Stockout ⚠",IF(G225&lt;Q225,"Reorder 🔄",IF(G225&gt;Q225+L225,"Overstock 📦","Aman ✅")))</f>
        <v>Overstock 📦</v>
      </c>
      <c r="T225" s="46" t="n">
        <f aca="false">IFERROR(N225/AVERAGE(M222:M226),0)</f>
        <v>0.228226602861424</v>
      </c>
      <c r="U225" s="47" t="n">
        <v>-121.95</v>
      </c>
      <c r="V225" s="48" t="n">
        <v>0.0319</v>
      </c>
    </row>
    <row r="226" customFormat="false" ht="15" hidden="false" customHeight="true" outlineLevel="0" collapsed="false">
      <c r="A226" s="49" t="n">
        <v>5</v>
      </c>
      <c r="B226" s="35" t="n">
        <v>2025</v>
      </c>
      <c r="C226" s="49" t="s">
        <v>264</v>
      </c>
      <c r="D226" s="49" t="s">
        <v>122</v>
      </c>
      <c r="E226" s="50" t="s">
        <v>123</v>
      </c>
      <c r="F226" s="49" t="s">
        <v>36</v>
      </c>
      <c r="G226" s="37" t="n">
        <v>1205</v>
      </c>
      <c r="H226" s="37" t="n">
        <v>10</v>
      </c>
      <c r="I226" s="37" t="n">
        <f aca="false">IFERROR(ROUND('Data Bulanan'!EC49,0),0)</f>
        <v>13237</v>
      </c>
      <c r="J226" s="37" t="n">
        <v>1476743</v>
      </c>
      <c r="K226" s="37" t="n">
        <v>652657</v>
      </c>
      <c r="L226" s="38" t="n">
        <f aca="false">IFERROR(ROUND(SQRT(2*I226*J226/K226),0),0)</f>
        <v>245</v>
      </c>
      <c r="M226" s="39" t="n">
        <f aca="false">IFERROR(AVERAGE('Data Bulanan'!DF49,'Data Bulanan'!DH49,'Data Bulanan'!DJ49,'Data Bulanan'!DL49,'Data Bulanan'!DN49,'Data Bulanan'!DP49,'Data Bulanan'!DR49,'Data Bulanan'!DT49,'Data Bulanan'!DV49,'Data Bulanan'!DX49,'Data Bulanan'!DZ49,'Data Bulanan'!EB49),0)</f>
        <v>35.1173771121352</v>
      </c>
      <c r="N226" s="40" t="n">
        <f aca="false">'Data Bulanan'!ED49</f>
        <v>9.17488252924408</v>
      </c>
      <c r="O226" s="41" t="n">
        <f aca="false">IFERROR(N226*SQRT(H226),0)</f>
        <v>29.0135260568977</v>
      </c>
      <c r="P226" s="42" t="n">
        <f aca="false">IFERROR(ROUND(1.65*O226,0),0)</f>
        <v>48</v>
      </c>
      <c r="Q226" s="43" t="n">
        <f aca="false">IFERROR(ROUND(M226*H226+P226,0),0)</f>
        <v>399</v>
      </c>
      <c r="R226" s="44" t="n">
        <f aca="false">G226-Q226</f>
        <v>806</v>
      </c>
      <c r="S226" s="45" t="str">
        <f aca="false">IF(G226=0,"Stockout ⚠",IF(G226&lt;Q226,"Reorder 🔄",IF(G226&gt;Q226+L226,"Overstock 📦","Aman ✅")))</f>
        <v>Overstock 📦</v>
      </c>
      <c r="T226" s="46" t="n">
        <f aca="false">IFERROR(N226/AVERAGE(M222:M226),0)</f>
        <v>0.248650247636459</v>
      </c>
      <c r="U226" s="47" t="n">
        <v>-121.95</v>
      </c>
      <c r="V226" s="48" t="n">
        <v>0.0319</v>
      </c>
    </row>
    <row r="227" customFormat="false" ht="15" hidden="false" customHeight="true" outlineLevel="0" collapsed="false">
      <c r="A227" s="34" t="n">
        <v>1</v>
      </c>
      <c r="B227" s="35" t="n">
        <v>2021</v>
      </c>
      <c r="C227" s="34" t="s">
        <v>264</v>
      </c>
      <c r="D227" s="34" t="s">
        <v>124</v>
      </c>
      <c r="E227" s="36" t="s">
        <v>125</v>
      </c>
      <c r="F227" s="34" t="s">
        <v>36</v>
      </c>
      <c r="G227" s="37" t="n">
        <v>2259</v>
      </c>
      <c r="H227" s="37" t="n">
        <v>9</v>
      </c>
      <c r="I227" s="37" t="n">
        <f aca="false">IFERROR(ROUND('Data Bulanan'!AC50,0),0)</f>
        <v>23672</v>
      </c>
      <c r="J227" s="37" t="n">
        <v>1348224</v>
      </c>
      <c r="K227" s="37" t="n">
        <v>307460</v>
      </c>
      <c r="L227" s="38" t="n">
        <f aca="false">IFERROR(ROUND(SQRT(2*I227*J227/K227),0),0)</f>
        <v>456</v>
      </c>
      <c r="M227" s="39" t="n">
        <f aca="false">IFERROR(AVERAGE('Data Bulanan'!F50,'Data Bulanan'!H50,'Data Bulanan'!J50,'Data Bulanan'!L50,'Data Bulanan'!N50,'Data Bulanan'!P50,'Data Bulanan'!R50,'Data Bulanan'!T50,'Data Bulanan'!V50,'Data Bulanan'!X50,'Data Bulanan'!Z50,'Data Bulanan'!AB50),0)</f>
        <v>62.8157514080901</v>
      </c>
      <c r="N227" s="40" t="n">
        <f aca="false">'Data Bulanan'!AD50</f>
        <v>13.0829546040062</v>
      </c>
      <c r="O227" s="41" t="n">
        <f aca="false">IFERROR(N227*SQRT(H227),0)</f>
        <v>39.2488638120187</v>
      </c>
      <c r="P227" s="42" t="n">
        <f aca="false">IFERROR(ROUND(1.65*O227,0),0)</f>
        <v>65</v>
      </c>
      <c r="Q227" s="43" t="n">
        <f aca="false">IFERROR(ROUND(M227*H227+P227,0),0)</f>
        <v>630</v>
      </c>
      <c r="R227" s="44" t="n">
        <f aca="false">G227-Q227</f>
        <v>1629</v>
      </c>
      <c r="S227" s="45" t="str">
        <f aca="false">IF(G227=0,"Stockout ⚠",IF(G227&lt;Q227,"Reorder 🔄",IF(G227&gt;Q227+L227,"Overstock 📦","Aman ✅")))</f>
        <v>Overstock 📦</v>
      </c>
      <c r="T227" s="46" t="n">
        <f aca="false">IFERROR(N227/AVERAGE(M227:M231),0)</f>
        <v>0.171092917703738</v>
      </c>
      <c r="U227" s="47" t="n">
        <v>1040.07</v>
      </c>
      <c r="V227" s="48" t="n">
        <v>0.2112</v>
      </c>
    </row>
    <row r="228" customFormat="false" ht="15" hidden="false" customHeight="true" outlineLevel="0" collapsed="false">
      <c r="A228" s="34" t="n">
        <v>2</v>
      </c>
      <c r="B228" s="35" t="n">
        <v>2022</v>
      </c>
      <c r="C228" s="34" t="s">
        <v>264</v>
      </c>
      <c r="D228" s="34" t="s">
        <v>124</v>
      </c>
      <c r="E228" s="36" t="s">
        <v>125</v>
      </c>
      <c r="F228" s="34" t="s">
        <v>36</v>
      </c>
      <c r="G228" s="37" t="n">
        <v>1520</v>
      </c>
      <c r="H228" s="37" t="n">
        <v>9</v>
      </c>
      <c r="I228" s="37" t="n">
        <f aca="false">IFERROR(ROUND('Data Bulanan'!BC50,0),0)</f>
        <v>32055</v>
      </c>
      <c r="J228" s="37" t="n">
        <v>1436982</v>
      </c>
      <c r="K228" s="37" t="n">
        <v>317536</v>
      </c>
      <c r="L228" s="38" t="n">
        <f aca="false">IFERROR(ROUND(SQRT(2*I228*J228/K228),0),0)</f>
        <v>539</v>
      </c>
      <c r="M228" s="39" t="n">
        <f aca="false">IFERROR(AVERAGE('Data Bulanan'!AF50,'Data Bulanan'!AH50,'Data Bulanan'!AJ50,'Data Bulanan'!AL50,'Data Bulanan'!AN50,'Data Bulanan'!AP50,'Data Bulanan'!AR50,'Data Bulanan'!AT50,'Data Bulanan'!AV50,'Data Bulanan'!AX50,'Data Bulanan'!AZ50,'Data Bulanan'!BB50),0)</f>
        <v>85.4162378392217</v>
      </c>
      <c r="N228" s="40" t="n">
        <f aca="false">'Data Bulanan'!BD50</f>
        <v>16.7012281534964</v>
      </c>
      <c r="O228" s="41" t="n">
        <f aca="false">IFERROR(N228*SQRT(H228),0)</f>
        <v>50.1036844604891</v>
      </c>
      <c r="P228" s="42" t="n">
        <f aca="false">IFERROR(ROUND(1.65*O228,0),0)</f>
        <v>83</v>
      </c>
      <c r="Q228" s="43" t="n">
        <f aca="false">IFERROR(ROUND(M228*H228+P228,0),0)</f>
        <v>852</v>
      </c>
      <c r="R228" s="44" t="n">
        <f aca="false">G228-Q228</f>
        <v>668</v>
      </c>
      <c r="S228" s="45" t="str">
        <f aca="false">IF(G228=0,"Stockout ⚠",IF(G228&lt;Q228,"Reorder 🔄",IF(G228&gt;Q228+L228,"Overstock 📦","Aman ✅")))</f>
        <v>Overstock 📦</v>
      </c>
      <c r="T228" s="46" t="n">
        <f aca="false">IFERROR(N228/AVERAGE(M227:M231),0)</f>
        <v>0.218411050141724</v>
      </c>
      <c r="U228" s="47" t="n">
        <v>1040.07</v>
      </c>
      <c r="V228" s="48" t="n">
        <v>0.2112</v>
      </c>
    </row>
    <row r="229" customFormat="false" ht="15" hidden="false" customHeight="true" outlineLevel="0" collapsed="false">
      <c r="A229" s="34" t="n">
        <v>3</v>
      </c>
      <c r="B229" s="35" t="n">
        <v>2023</v>
      </c>
      <c r="C229" s="34" t="s">
        <v>264</v>
      </c>
      <c r="D229" s="34" t="s">
        <v>124</v>
      </c>
      <c r="E229" s="36" t="s">
        <v>125</v>
      </c>
      <c r="F229" s="34" t="s">
        <v>36</v>
      </c>
      <c r="G229" s="37" t="n">
        <v>1983</v>
      </c>
      <c r="H229" s="37" t="n">
        <v>9</v>
      </c>
      <c r="I229" s="37" t="n">
        <f aca="false">IFERROR(ROUND('Data Bulanan'!CC50,0),0)</f>
        <v>27007</v>
      </c>
      <c r="J229" s="37" t="n">
        <v>1508872</v>
      </c>
      <c r="K229" s="37" t="n">
        <v>343327</v>
      </c>
      <c r="L229" s="38" t="n">
        <f aca="false">IFERROR(ROUND(SQRT(2*I229*J229/K229),0),0)</f>
        <v>487</v>
      </c>
      <c r="M229" s="39" t="n">
        <f aca="false">IFERROR(AVERAGE('Data Bulanan'!BF50,'Data Bulanan'!BH50,'Data Bulanan'!BJ50,'Data Bulanan'!BL50,'Data Bulanan'!BN50,'Data Bulanan'!BP50,'Data Bulanan'!BR50,'Data Bulanan'!BT50,'Data Bulanan'!BV50,'Data Bulanan'!BX50,'Data Bulanan'!BZ50,'Data Bulanan'!CB50),0)</f>
        <v>71.7891257040451</v>
      </c>
      <c r="N229" s="40" t="n">
        <f aca="false">'Data Bulanan'!CD50</f>
        <v>16.1062344959614</v>
      </c>
      <c r="O229" s="41" t="n">
        <f aca="false">IFERROR(N229*SQRT(H229),0)</f>
        <v>48.3187034878841</v>
      </c>
      <c r="P229" s="42" t="n">
        <f aca="false">IFERROR(ROUND(1.65*O229,0),0)</f>
        <v>80</v>
      </c>
      <c r="Q229" s="43" t="n">
        <f aca="false">IFERROR(ROUND(M229*H229+P229,0),0)</f>
        <v>726</v>
      </c>
      <c r="R229" s="44" t="n">
        <f aca="false">G229-Q229</f>
        <v>1257</v>
      </c>
      <c r="S229" s="45" t="str">
        <f aca="false">IF(G229=0,"Stockout ⚠",IF(G229&lt;Q229,"Reorder 🔄",IF(G229&gt;Q229+L229,"Overstock 📦","Aman ✅")))</f>
        <v>Overstock 📦</v>
      </c>
      <c r="T229" s="46" t="n">
        <f aca="false">IFERROR(N229/AVERAGE(M227:M231),0)</f>
        <v>0.210629994259156</v>
      </c>
      <c r="U229" s="47" t="n">
        <v>1040.07</v>
      </c>
      <c r="V229" s="48" t="n">
        <v>0.2112</v>
      </c>
    </row>
    <row r="230" customFormat="false" ht="15" hidden="false" customHeight="true" outlineLevel="0" collapsed="false">
      <c r="A230" s="34" t="n">
        <v>4</v>
      </c>
      <c r="B230" s="35" t="n">
        <v>2024</v>
      </c>
      <c r="C230" s="34" t="s">
        <v>264</v>
      </c>
      <c r="D230" s="34" t="s">
        <v>124</v>
      </c>
      <c r="E230" s="36" t="s">
        <v>125</v>
      </c>
      <c r="F230" s="34" t="s">
        <v>36</v>
      </c>
      <c r="G230" s="37" t="n">
        <v>862</v>
      </c>
      <c r="H230" s="37" t="n">
        <v>9</v>
      </c>
      <c r="I230" s="37" t="n">
        <f aca="false">IFERROR(ROUND('Data Bulanan'!DC50,0),0)</f>
        <v>32136</v>
      </c>
      <c r="J230" s="37" t="n">
        <v>1383229</v>
      </c>
      <c r="K230" s="37" t="n">
        <v>336476</v>
      </c>
      <c r="L230" s="38" t="n">
        <f aca="false">IFERROR(ROUND(SQRT(2*I230*J230/K230),0),0)</f>
        <v>514</v>
      </c>
      <c r="M230" s="39" t="n">
        <f aca="false">IFERROR(AVERAGE('Data Bulanan'!CF50,'Data Bulanan'!CH50,'Data Bulanan'!CJ50,'Data Bulanan'!CL50,'Data Bulanan'!CN50,'Data Bulanan'!CP50,'Data Bulanan'!CR50,'Data Bulanan'!CT50,'Data Bulanan'!CV50,'Data Bulanan'!CX50,'Data Bulanan'!CZ50,'Data Bulanan'!DB50),0)</f>
        <v>85.6861431131593</v>
      </c>
      <c r="N230" s="40" t="n">
        <f aca="false">'Data Bulanan'!DD50</f>
        <v>24.2820500385262</v>
      </c>
      <c r="O230" s="41" t="n">
        <f aca="false">IFERROR(N230*SQRT(H230),0)</f>
        <v>72.8461501155786</v>
      </c>
      <c r="P230" s="42" t="n">
        <f aca="false">IFERROR(ROUND(1.65*O230,0),0)</f>
        <v>120</v>
      </c>
      <c r="Q230" s="43" t="n">
        <f aca="false">IFERROR(ROUND(M230*H230+P230,0),0)</f>
        <v>891</v>
      </c>
      <c r="R230" s="44" t="n">
        <f aca="false">G230-Q230</f>
        <v>-29</v>
      </c>
      <c r="S230" s="45" t="str">
        <f aca="false">IF(G230=0,"Stockout ⚠",IF(G230&lt;Q230,"Reorder 🔄",IF(G230&gt;Q230+L230,"Overstock 📦","Aman ✅")))</f>
        <v>Reorder 🔄</v>
      </c>
      <c r="T230" s="46" t="n">
        <f aca="false">IFERROR(N230/AVERAGE(M227:M231),0)</f>
        <v>0.31754958376508</v>
      </c>
      <c r="U230" s="47" t="n">
        <v>1040.07</v>
      </c>
      <c r="V230" s="48" t="n">
        <v>0.2112</v>
      </c>
    </row>
    <row r="231" customFormat="false" ht="15" hidden="false" customHeight="true" outlineLevel="0" collapsed="false">
      <c r="A231" s="34" t="n">
        <v>5</v>
      </c>
      <c r="B231" s="35" t="n">
        <v>2025</v>
      </c>
      <c r="C231" s="34" t="s">
        <v>264</v>
      </c>
      <c r="D231" s="34" t="s">
        <v>124</v>
      </c>
      <c r="E231" s="36" t="s">
        <v>125</v>
      </c>
      <c r="F231" s="34" t="s">
        <v>36</v>
      </c>
      <c r="G231" s="37" t="n">
        <v>2240</v>
      </c>
      <c r="H231" s="37" t="n">
        <v>9</v>
      </c>
      <c r="I231" s="37" t="n">
        <f aca="false">IFERROR(ROUND('Data Bulanan'!EC50,0),0)</f>
        <v>28832</v>
      </c>
      <c r="J231" s="37" t="n">
        <v>1382752</v>
      </c>
      <c r="K231" s="37" t="n">
        <v>341120</v>
      </c>
      <c r="L231" s="38" t="n">
        <f aca="false">IFERROR(ROUND(SQRT(2*I231*J231/K231),0),0)</f>
        <v>483</v>
      </c>
      <c r="M231" s="39" t="n">
        <f aca="false">IFERROR(AVERAGE('Data Bulanan'!DF50,'Data Bulanan'!DH50,'Data Bulanan'!DJ50,'Data Bulanan'!DL50,'Data Bulanan'!DN50,'Data Bulanan'!DP50,'Data Bulanan'!DR50,'Data Bulanan'!DT50,'Data Bulanan'!DV50,'Data Bulanan'!DX50,'Data Bulanan'!DZ50,'Data Bulanan'!EB50),0)</f>
        <v>76.6275217613927</v>
      </c>
      <c r="N231" s="40" t="n">
        <f aca="false">'Data Bulanan'!ED50</f>
        <v>14.8175762248346</v>
      </c>
      <c r="O231" s="41" t="n">
        <f aca="false">IFERROR(N231*SQRT(H231),0)</f>
        <v>44.4527286745037</v>
      </c>
      <c r="P231" s="42" t="n">
        <f aca="false">IFERROR(ROUND(1.65*O231,0),0)</f>
        <v>73</v>
      </c>
      <c r="Q231" s="43" t="n">
        <f aca="false">IFERROR(ROUND(M231*H231+P231,0),0)</f>
        <v>763</v>
      </c>
      <c r="R231" s="44" t="n">
        <f aca="false">G231-Q231</f>
        <v>1477</v>
      </c>
      <c r="S231" s="45" t="str">
        <f aca="false">IF(G231=0,"Stockout ⚠",IF(G231&lt;Q231,"Reorder 🔄",IF(G231&gt;Q231+L231,"Overstock 📦","Aman ✅")))</f>
        <v>Overstock 📦</v>
      </c>
      <c r="T231" s="46" t="n">
        <f aca="false">IFERROR(N231/AVERAGE(M227:M231),0)</f>
        <v>0.19377750870038</v>
      </c>
      <c r="U231" s="47" t="n">
        <v>1040.07</v>
      </c>
      <c r="V231" s="48" t="n">
        <v>0.2112</v>
      </c>
    </row>
    <row r="232" customFormat="false" ht="15" hidden="false" customHeight="true" outlineLevel="0" collapsed="false">
      <c r="A232" s="49" t="n">
        <v>1</v>
      </c>
      <c r="B232" s="35" t="n">
        <v>2021</v>
      </c>
      <c r="C232" s="49" t="s">
        <v>264</v>
      </c>
      <c r="D232" s="49" t="s">
        <v>126</v>
      </c>
      <c r="E232" s="50" t="s">
        <v>127</v>
      </c>
      <c r="F232" s="49" t="s">
        <v>36</v>
      </c>
      <c r="G232" s="37" t="n">
        <v>0</v>
      </c>
      <c r="H232" s="37" t="n">
        <v>11</v>
      </c>
      <c r="I232" s="37" t="n">
        <f aca="false">IFERROR(ROUND('Data Bulanan'!AC51,0),0)</f>
        <v>25695</v>
      </c>
      <c r="J232" s="37" t="n">
        <v>351695</v>
      </c>
      <c r="K232" s="37" t="n">
        <v>256087</v>
      </c>
      <c r="L232" s="38" t="n">
        <f aca="false">IFERROR(ROUND(SQRT(2*I232*J232/K232),0),0)</f>
        <v>266</v>
      </c>
      <c r="M232" s="39" t="n">
        <f aca="false">IFERROR(AVERAGE('Data Bulanan'!F51,'Data Bulanan'!H51,'Data Bulanan'!J51,'Data Bulanan'!L51,'Data Bulanan'!N51,'Data Bulanan'!P51,'Data Bulanan'!R51,'Data Bulanan'!T51,'Data Bulanan'!V51,'Data Bulanan'!X51,'Data Bulanan'!Z51,'Data Bulanan'!AB51),0)</f>
        <v>68.4028673835125</v>
      </c>
      <c r="N232" s="40" t="n">
        <f aca="false">'Data Bulanan'!AD51</f>
        <v>16.8431508915969</v>
      </c>
      <c r="O232" s="41" t="n">
        <f aca="false">IFERROR(N232*SQRT(H232),0)</f>
        <v>55.8624117947669</v>
      </c>
      <c r="P232" s="42" t="n">
        <f aca="false">IFERROR(ROUND(1.65*O232,0),0)</f>
        <v>92</v>
      </c>
      <c r="Q232" s="43" t="n">
        <f aca="false">IFERROR(ROUND(M232*H232+P232,0),0)</f>
        <v>844</v>
      </c>
      <c r="R232" s="44" t="n">
        <f aca="false">G232-Q232</f>
        <v>-844</v>
      </c>
      <c r="S232" s="45" t="str">
        <f aca="false">IF(G232=0,"Stockout ⚠",IF(G232&lt;Q232,"Reorder 🔄",IF(G232&gt;Q232+L232,"Overstock 📦","Aman ✅")))</f>
        <v>Stockout ⚠</v>
      </c>
      <c r="T232" s="46" t="n">
        <f aca="false">IFERROR(N232/AVERAGE(M232:M236),0)</f>
        <v>0.226451674556277</v>
      </c>
      <c r="U232" s="47" t="n">
        <v>1048.39</v>
      </c>
      <c r="V232" s="48" t="n">
        <v>0.6665</v>
      </c>
    </row>
    <row r="233" customFormat="false" ht="15" hidden="false" customHeight="true" outlineLevel="0" collapsed="false">
      <c r="A233" s="49" t="n">
        <v>2</v>
      </c>
      <c r="B233" s="35" t="n">
        <v>2022</v>
      </c>
      <c r="C233" s="49" t="s">
        <v>264</v>
      </c>
      <c r="D233" s="49" t="s">
        <v>126</v>
      </c>
      <c r="E233" s="50" t="s">
        <v>127</v>
      </c>
      <c r="F233" s="49" t="s">
        <v>36</v>
      </c>
      <c r="G233" s="37" t="n">
        <v>4759</v>
      </c>
      <c r="H233" s="37" t="n">
        <v>11</v>
      </c>
      <c r="I233" s="37" t="n">
        <f aca="false">IFERROR(ROUND('Data Bulanan'!BC51,0),0)</f>
        <v>26887</v>
      </c>
      <c r="J233" s="37" t="n">
        <v>349765</v>
      </c>
      <c r="K233" s="37" t="n">
        <v>252196</v>
      </c>
      <c r="L233" s="38" t="n">
        <f aca="false">IFERROR(ROUND(SQRT(2*I233*J233/K233),0),0)</f>
        <v>273</v>
      </c>
      <c r="M233" s="39" t="n">
        <f aca="false">IFERROR(AVERAGE('Data Bulanan'!AF51,'Data Bulanan'!AH51,'Data Bulanan'!AJ51,'Data Bulanan'!AL51,'Data Bulanan'!AN51,'Data Bulanan'!AP51,'Data Bulanan'!AR51,'Data Bulanan'!AT51,'Data Bulanan'!AV51,'Data Bulanan'!AX51,'Data Bulanan'!AZ51,'Data Bulanan'!BB51),0)</f>
        <v>71.5272785458269</v>
      </c>
      <c r="N233" s="40" t="n">
        <f aca="false">'Data Bulanan'!BD51</f>
        <v>14.091356094787</v>
      </c>
      <c r="O233" s="41" t="n">
        <f aca="false">IFERROR(N233*SQRT(H233),0)</f>
        <v>46.7357409536962</v>
      </c>
      <c r="P233" s="42" t="n">
        <f aca="false">IFERROR(ROUND(1.65*O233,0),0)</f>
        <v>77</v>
      </c>
      <c r="Q233" s="43" t="n">
        <f aca="false">IFERROR(ROUND(M233*H233+P233,0),0)</f>
        <v>864</v>
      </c>
      <c r="R233" s="44" t="n">
        <f aca="false">G233-Q233</f>
        <v>3895</v>
      </c>
      <c r="S233" s="45" t="str">
        <f aca="false">IF(G233=0,"Stockout ⚠",IF(G233&lt;Q233,"Reorder 🔄",IF(G233&gt;Q233+L233,"Overstock 📦","Aman ✅")))</f>
        <v>Overstock 📦</v>
      </c>
      <c r="T233" s="46" t="n">
        <f aca="false">IFERROR(N233/AVERAGE(M232:M236),0)</f>
        <v>0.189454526945153</v>
      </c>
      <c r="U233" s="47" t="n">
        <v>1048.39</v>
      </c>
      <c r="V233" s="48" t="n">
        <v>0.6665</v>
      </c>
    </row>
    <row r="234" customFormat="false" ht="15" hidden="false" customHeight="true" outlineLevel="0" collapsed="false">
      <c r="A234" s="49" t="n">
        <v>3</v>
      </c>
      <c r="B234" s="35" t="n">
        <v>2023</v>
      </c>
      <c r="C234" s="49" t="s">
        <v>264</v>
      </c>
      <c r="D234" s="49" t="s">
        <v>126</v>
      </c>
      <c r="E234" s="50" t="s">
        <v>127</v>
      </c>
      <c r="F234" s="49" t="s">
        <v>36</v>
      </c>
      <c r="G234" s="37" t="n">
        <v>2318</v>
      </c>
      <c r="H234" s="37" t="n">
        <v>11</v>
      </c>
      <c r="I234" s="37" t="n">
        <f aca="false">IFERROR(ROUND('Data Bulanan'!CC51,0),0)</f>
        <v>27370</v>
      </c>
      <c r="J234" s="37" t="n">
        <v>310354</v>
      </c>
      <c r="K234" s="37" t="n">
        <v>271808</v>
      </c>
      <c r="L234" s="38" t="n">
        <f aca="false">IFERROR(ROUND(SQRT(2*I234*J234/K234),0),0)</f>
        <v>250</v>
      </c>
      <c r="M234" s="39" t="n">
        <f aca="false">IFERROR(AVERAGE('Data Bulanan'!BF51,'Data Bulanan'!BH51,'Data Bulanan'!BJ51,'Data Bulanan'!BL51,'Data Bulanan'!BN51,'Data Bulanan'!BP51,'Data Bulanan'!BR51,'Data Bulanan'!BT51,'Data Bulanan'!BV51,'Data Bulanan'!BX51,'Data Bulanan'!BZ51,'Data Bulanan'!CB51),0)</f>
        <v>72.649366359447</v>
      </c>
      <c r="N234" s="40" t="n">
        <f aca="false">'Data Bulanan'!CD51</f>
        <v>19.9824790693941</v>
      </c>
      <c r="O234" s="41" t="n">
        <f aca="false">IFERROR(N234*SQRT(H234),0)</f>
        <v>66.2743854543105</v>
      </c>
      <c r="P234" s="42" t="n">
        <f aca="false">IFERROR(ROUND(1.65*O234,0),0)</f>
        <v>109</v>
      </c>
      <c r="Q234" s="43" t="n">
        <f aca="false">IFERROR(ROUND(M234*H234+P234,0),0)</f>
        <v>908</v>
      </c>
      <c r="R234" s="44" t="n">
        <f aca="false">G234-Q234</f>
        <v>1410</v>
      </c>
      <c r="S234" s="45" t="str">
        <f aca="false">IF(G234=0,"Stockout ⚠",IF(G234&lt;Q234,"Reorder 🔄",IF(G234&gt;Q234+L234,"Overstock 📦","Aman ✅")))</f>
        <v>Overstock 📦</v>
      </c>
      <c r="T234" s="46" t="n">
        <f aca="false">IFERROR(N234/AVERAGE(M232:M236),0)</f>
        <v>0.268659105186051</v>
      </c>
      <c r="U234" s="47" t="n">
        <v>1048.39</v>
      </c>
      <c r="V234" s="48" t="n">
        <v>0.6665</v>
      </c>
    </row>
    <row r="235" customFormat="false" ht="15" hidden="false" customHeight="true" outlineLevel="0" collapsed="false">
      <c r="A235" s="49" t="n">
        <v>4</v>
      </c>
      <c r="B235" s="35" t="n">
        <v>2024</v>
      </c>
      <c r="C235" s="49" t="s">
        <v>264</v>
      </c>
      <c r="D235" s="49" t="s">
        <v>126</v>
      </c>
      <c r="E235" s="50" t="s">
        <v>127</v>
      </c>
      <c r="F235" s="49" t="s">
        <v>36</v>
      </c>
      <c r="G235" s="37" t="n">
        <v>2901</v>
      </c>
      <c r="H235" s="37" t="n">
        <v>11</v>
      </c>
      <c r="I235" s="37" t="n">
        <f aca="false">IFERROR(ROUND('Data Bulanan'!DC51,0),0)</f>
        <v>30955</v>
      </c>
      <c r="J235" s="37" t="n">
        <v>296965</v>
      </c>
      <c r="K235" s="37" t="n">
        <v>246885</v>
      </c>
      <c r="L235" s="38" t="n">
        <f aca="false">IFERROR(ROUND(SQRT(2*I235*J235/K235),0),0)</f>
        <v>273</v>
      </c>
      <c r="M235" s="39" t="n">
        <f aca="false">IFERROR(AVERAGE('Data Bulanan'!CF51,'Data Bulanan'!CH51,'Data Bulanan'!CJ51,'Data Bulanan'!CL51,'Data Bulanan'!CN51,'Data Bulanan'!CP51,'Data Bulanan'!CR51,'Data Bulanan'!CT51,'Data Bulanan'!CV51,'Data Bulanan'!CX51,'Data Bulanan'!CZ51,'Data Bulanan'!DB51),0)</f>
        <v>82.3981438812084</v>
      </c>
      <c r="N235" s="40" t="n">
        <f aca="false">'Data Bulanan'!DD51</f>
        <v>15.8595380347639</v>
      </c>
      <c r="O235" s="41" t="n">
        <f aca="false">IFERROR(N235*SQRT(H235),0)</f>
        <v>52.6001370096824</v>
      </c>
      <c r="P235" s="42" t="n">
        <f aca="false">IFERROR(ROUND(1.65*O235,0),0)</f>
        <v>87</v>
      </c>
      <c r="Q235" s="43" t="n">
        <f aca="false">IFERROR(ROUND(M235*H235+P235,0),0)</f>
        <v>993</v>
      </c>
      <c r="R235" s="44" t="n">
        <f aca="false">G235-Q235</f>
        <v>1908</v>
      </c>
      <c r="S235" s="45" t="str">
        <f aca="false">IF(G235=0,"Stockout ⚠",IF(G235&lt;Q235,"Reorder 🔄",IF(G235&gt;Q235+L235,"Overstock 📦","Aman ✅")))</f>
        <v>Overstock 📦</v>
      </c>
      <c r="T235" s="46" t="n">
        <f aca="false">IFERROR(N235/AVERAGE(M232:M236),0)</f>
        <v>0.213227261857105</v>
      </c>
      <c r="U235" s="47" t="n">
        <v>1048.39</v>
      </c>
      <c r="V235" s="48" t="n">
        <v>0.6665</v>
      </c>
    </row>
    <row r="236" customFormat="false" ht="15" hidden="false" customHeight="true" outlineLevel="0" collapsed="false">
      <c r="A236" s="49" t="n">
        <v>5</v>
      </c>
      <c r="B236" s="35" t="n">
        <v>2025</v>
      </c>
      <c r="C236" s="49" t="s">
        <v>264</v>
      </c>
      <c r="D236" s="49" t="s">
        <v>126</v>
      </c>
      <c r="E236" s="50" t="s">
        <v>127</v>
      </c>
      <c r="F236" s="49" t="s">
        <v>36</v>
      </c>
      <c r="G236" s="37" t="n">
        <v>0</v>
      </c>
      <c r="H236" s="37" t="n">
        <v>11</v>
      </c>
      <c r="I236" s="37" t="n">
        <f aca="false">IFERROR(ROUND('Data Bulanan'!EC51,0),0)</f>
        <v>28902</v>
      </c>
      <c r="J236" s="37" t="n">
        <v>295368</v>
      </c>
      <c r="K236" s="37" t="n">
        <v>284205</v>
      </c>
      <c r="L236" s="38" t="n">
        <f aca="false">IFERROR(ROUND(SQRT(2*I236*J236/K236),0),0)</f>
        <v>245</v>
      </c>
      <c r="M236" s="39" t="n">
        <f aca="false">IFERROR(AVERAGE('Data Bulanan'!DF51,'Data Bulanan'!DH51,'Data Bulanan'!DJ51,'Data Bulanan'!DL51,'Data Bulanan'!DN51,'Data Bulanan'!DP51,'Data Bulanan'!DR51,'Data Bulanan'!DT51,'Data Bulanan'!DV51,'Data Bulanan'!DX51,'Data Bulanan'!DZ51,'Data Bulanan'!EB51),0)</f>
        <v>76.9151753712238</v>
      </c>
      <c r="N236" s="40" t="n">
        <f aca="false">'Data Bulanan'!ED51</f>
        <v>22.0435116890292</v>
      </c>
      <c r="O236" s="41" t="n">
        <f aca="false">IFERROR(N236*SQRT(H236),0)</f>
        <v>73.1100573343234</v>
      </c>
      <c r="P236" s="42" t="n">
        <f aca="false">IFERROR(ROUND(1.65*O236,0),0)</f>
        <v>121</v>
      </c>
      <c r="Q236" s="43" t="n">
        <f aca="false">IFERROR(ROUND(M236*H236+P236,0),0)</f>
        <v>967</v>
      </c>
      <c r="R236" s="44" t="n">
        <f aca="false">G236-Q236</f>
        <v>-967</v>
      </c>
      <c r="S236" s="45" t="str">
        <f aca="false">IF(G236=0,"Stockout ⚠",IF(G236&lt;Q236,"Reorder 🔄",IF(G236&gt;Q236+L236,"Overstock 📦","Aman ✅")))</f>
        <v>Stockout ⚠</v>
      </c>
      <c r="T236" s="46" t="n">
        <f aca="false">IFERROR(N236/AVERAGE(M232:M236),0)</f>
        <v>0.296369139432929</v>
      </c>
      <c r="U236" s="47" t="n">
        <v>1048.39</v>
      </c>
      <c r="V236" s="48" t="n">
        <v>0.6665</v>
      </c>
    </row>
    <row r="237" customFormat="false" ht="15" hidden="false" customHeight="true" outlineLevel="0" collapsed="false">
      <c r="A237" s="34" t="n">
        <v>1</v>
      </c>
      <c r="B237" s="35" t="n">
        <v>2021</v>
      </c>
      <c r="C237" s="34" t="s">
        <v>264</v>
      </c>
      <c r="D237" s="34" t="s">
        <v>128</v>
      </c>
      <c r="E237" s="36" t="s">
        <v>129</v>
      </c>
      <c r="F237" s="34" t="s">
        <v>36</v>
      </c>
      <c r="G237" s="37" t="n">
        <v>8864</v>
      </c>
      <c r="H237" s="37" t="n">
        <v>34</v>
      </c>
      <c r="I237" s="37" t="n">
        <f aca="false">IFERROR(ROUND('Data Bulanan'!AC52,0),0)</f>
        <v>39376</v>
      </c>
      <c r="J237" s="37" t="n">
        <v>6597207</v>
      </c>
      <c r="K237" s="37" t="n">
        <v>266104</v>
      </c>
      <c r="L237" s="38" t="n">
        <f aca="false">IFERROR(ROUND(SQRT(2*I237*J237/K237),0),0)</f>
        <v>1397</v>
      </c>
      <c r="M237" s="39" t="n">
        <f aca="false">IFERROR(AVERAGE('Data Bulanan'!F52,'Data Bulanan'!H52,'Data Bulanan'!J52,'Data Bulanan'!L52,'Data Bulanan'!N52,'Data Bulanan'!P52,'Data Bulanan'!R52,'Data Bulanan'!T52,'Data Bulanan'!V52,'Data Bulanan'!X52,'Data Bulanan'!Z52,'Data Bulanan'!AB52),0)</f>
        <v>104.598828725038</v>
      </c>
      <c r="N237" s="40" t="n">
        <f aca="false">'Data Bulanan'!AD52</f>
        <v>24.8771109059859</v>
      </c>
      <c r="O237" s="41" t="n">
        <f aca="false">IFERROR(N237*SQRT(H237),0)</f>
        <v>145.057236975535</v>
      </c>
      <c r="P237" s="42" t="n">
        <f aca="false">IFERROR(ROUND(1.65*O237,0),0)</f>
        <v>239</v>
      </c>
      <c r="Q237" s="43" t="n">
        <f aca="false">IFERROR(ROUND(M237*H237+P237,0),0)</f>
        <v>3795</v>
      </c>
      <c r="R237" s="44" t="n">
        <f aca="false">G237-Q237</f>
        <v>5069</v>
      </c>
      <c r="S237" s="45" t="str">
        <f aca="false">IF(G237=0,"Stockout ⚠",IF(G237&lt;Q237,"Reorder 🔄",IF(G237&gt;Q237+L237,"Overstock 📦","Aman ✅")))</f>
        <v>Overstock 📦</v>
      </c>
      <c r="T237" s="46" t="n">
        <f aca="false">IFERROR(N237/AVERAGE(M237:M241),0)</f>
        <v>0.214863255902175</v>
      </c>
      <c r="U237" s="47" t="n">
        <v>405.58</v>
      </c>
      <c r="V237" s="48" t="n">
        <v>0.0161</v>
      </c>
    </row>
    <row r="238" customFormat="false" ht="15" hidden="false" customHeight="true" outlineLevel="0" collapsed="false">
      <c r="A238" s="34" t="n">
        <v>2</v>
      </c>
      <c r="B238" s="35" t="n">
        <v>2022</v>
      </c>
      <c r="C238" s="34" t="s">
        <v>264</v>
      </c>
      <c r="D238" s="34" t="s">
        <v>128</v>
      </c>
      <c r="E238" s="36" t="s">
        <v>129</v>
      </c>
      <c r="F238" s="34" t="s">
        <v>36</v>
      </c>
      <c r="G238" s="37" t="n">
        <v>22282</v>
      </c>
      <c r="H238" s="37" t="n">
        <v>34</v>
      </c>
      <c r="I238" s="37" t="n">
        <f aca="false">IFERROR(ROUND('Data Bulanan'!BC52,0),0)</f>
        <v>42890</v>
      </c>
      <c r="J238" s="37" t="n">
        <v>6734140</v>
      </c>
      <c r="K238" s="37" t="n">
        <v>294490</v>
      </c>
      <c r="L238" s="38" t="n">
        <f aca="false">IFERROR(ROUND(SQRT(2*I238*J238/K238),0),0)</f>
        <v>1401</v>
      </c>
      <c r="M238" s="39" t="n">
        <f aca="false">IFERROR(AVERAGE('Data Bulanan'!AF52,'Data Bulanan'!AH52,'Data Bulanan'!AJ52,'Data Bulanan'!AL52,'Data Bulanan'!AN52,'Data Bulanan'!AP52,'Data Bulanan'!AR52,'Data Bulanan'!AT52,'Data Bulanan'!AV52,'Data Bulanan'!AX52,'Data Bulanan'!AZ52,'Data Bulanan'!BB52),0)</f>
        <v>113.801734511009</v>
      </c>
      <c r="N238" s="40" t="n">
        <f aca="false">'Data Bulanan'!BD52</f>
        <v>32.308037980901</v>
      </c>
      <c r="O238" s="41" t="n">
        <f aca="false">IFERROR(N238*SQRT(H238),0)</f>
        <v>188.386615283468</v>
      </c>
      <c r="P238" s="42" t="n">
        <f aca="false">IFERROR(ROUND(1.65*O238,0),0)</f>
        <v>311</v>
      </c>
      <c r="Q238" s="43" t="n">
        <f aca="false">IFERROR(ROUND(M238*H238+P238,0),0)</f>
        <v>4180</v>
      </c>
      <c r="R238" s="44" t="n">
        <f aca="false">G238-Q238</f>
        <v>18102</v>
      </c>
      <c r="S238" s="45" t="str">
        <f aca="false">IF(G238=0,"Stockout ⚠",IF(G238&lt;Q238,"Reorder 🔄",IF(G238&gt;Q238+L238,"Overstock 📦","Aman ✅")))</f>
        <v>Overstock 📦</v>
      </c>
      <c r="T238" s="46" t="n">
        <f aca="false">IFERROR(N238/AVERAGE(M237:M241),0)</f>
        <v>0.279044068204768</v>
      </c>
      <c r="U238" s="47" t="n">
        <v>405.58</v>
      </c>
      <c r="V238" s="48" t="n">
        <v>0.0161</v>
      </c>
    </row>
    <row r="239" customFormat="false" ht="15" hidden="false" customHeight="true" outlineLevel="0" collapsed="false">
      <c r="A239" s="34" t="n">
        <v>3</v>
      </c>
      <c r="B239" s="35" t="n">
        <v>2023</v>
      </c>
      <c r="C239" s="34" t="s">
        <v>264</v>
      </c>
      <c r="D239" s="34" t="s">
        <v>128</v>
      </c>
      <c r="E239" s="36" t="s">
        <v>129</v>
      </c>
      <c r="F239" s="34" t="s">
        <v>36</v>
      </c>
      <c r="G239" s="37" t="n">
        <v>13684</v>
      </c>
      <c r="H239" s="37" t="n">
        <v>34</v>
      </c>
      <c r="I239" s="37" t="n">
        <f aca="false">IFERROR(ROUND('Data Bulanan'!CC52,0),0)</f>
        <v>52210</v>
      </c>
      <c r="J239" s="37" t="n">
        <v>7042439</v>
      </c>
      <c r="K239" s="37" t="n">
        <v>291944</v>
      </c>
      <c r="L239" s="38" t="n">
        <f aca="false">IFERROR(ROUND(SQRT(2*I239*J239/K239),0),0)</f>
        <v>1587</v>
      </c>
      <c r="M239" s="39" t="n">
        <f aca="false">IFERROR(AVERAGE('Data Bulanan'!BF52,'Data Bulanan'!BH52,'Data Bulanan'!BJ52,'Data Bulanan'!BL52,'Data Bulanan'!BN52,'Data Bulanan'!BP52,'Data Bulanan'!BR52,'Data Bulanan'!BT52,'Data Bulanan'!BV52,'Data Bulanan'!BX52,'Data Bulanan'!BZ52,'Data Bulanan'!CB52),0)</f>
        <v>139.044290834613</v>
      </c>
      <c r="N239" s="40" t="n">
        <f aca="false">'Data Bulanan'!CD52</f>
        <v>32.5148934844056</v>
      </c>
      <c r="O239" s="41" t="n">
        <f aca="false">IFERROR(N239*SQRT(H239),0)</f>
        <v>189.592779773588</v>
      </c>
      <c r="P239" s="42" t="n">
        <f aca="false">IFERROR(ROUND(1.65*O239,0),0)</f>
        <v>313</v>
      </c>
      <c r="Q239" s="43" t="n">
        <f aca="false">IFERROR(ROUND(M239*H239+P239,0),0)</f>
        <v>5041</v>
      </c>
      <c r="R239" s="44" t="n">
        <f aca="false">G239-Q239</f>
        <v>8643</v>
      </c>
      <c r="S239" s="45" t="str">
        <f aca="false">IF(G239=0,"Stockout ⚠",IF(G239&lt;Q239,"Reorder 🔄",IF(G239&gt;Q239+L239,"Overstock 📦","Aman ✅")))</f>
        <v>Overstock 📦</v>
      </c>
      <c r="T239" s="46" t="n">
        <f aca="false">IFERROR(N239/AVERAGE(M237:M241),0)</f>
        <v>0.280830676269999</v>
      </c>
      <c r="U239" s="47" t="n">
        <v>405.58</v>
      </c>
      <c r="V239" s="48" t="n">
        <v>0.0161</v>
      </c>
    </row>
    <row r="240" customFormat="false" ht="15" hidden="false" customHeight="true" outlineLevel="0" collapsed="false">
      <c r="A240" s="34" t="n">
        <v>4</v>
      </c>
      <c r="B240" s="35" t="n">
        <v>2024</v>
      </c>
      <c r="C240" s="34" t="s">
        <v>264</v>
      </c>
      <c r="D240" s="34" t="s">
        <v>128</v>
      </c>
      <c r="E240" s="36" t="s">
        <v>129</v>
      </c>
      <c r="F240" s="34" t="s">
        <v>36</v>
      </c>
      <c r="G240" s="37" t="n">
        <v>2733</v>
      </c>
      <c r="H240" s="37" t="n">
        <v>34</v>
      </c>
      <c r="I240" s="37" t="n">
        <f aca="false">IFERROR(ROUND('Data Bulanan'!DC52,0),0)</f>
        <v>40682</v>
      </c>
      <c r="J240" s="37" t="n">
        <v>6951229</v>
      </c>
      <c r="K240" s="37" t="n">
        <v>292627</v>
      </c>
      <c r="L240" s="38" t="n">
        <f aca="false">IFERROR(ROUND(SQRT(2*I240*J240/K240),0),0)</f>
        <v>1390</v>
      </c>
      <c r="M240" s="39" t="n">
        <f aca="false">IFERROR(AVERAGE('Data Bulanan'!CF52,'Data Bulanan'!CH52,'Data Bulanan'!CJ52,'Data Bulanan'!CL52,'Data Bulanan'!CN52,'Data Bulanan'!CP52,'Data Bulanan'!CR52,'Data Bulanan'!CT52,'Data Bulanan'!CV52,'Data Bulanan'!CX52,'Data Bulanan'!CZ52,'Data Bulanan'!DB52),0)</f>
        <v>108.292005888377</v>
      </c>
      <c r="N240" s="40" t="n">
        <f aca="false">'Data Bulanan'!DD52</f>
        <v>27.9875585134259</v>
      </c>
      <c r="O240" s="41" t="n">
        <f aca="false">IFERROR(N240*SQRT(H240),0)</f>
        <v>163.194107345955</v>
      </c>
      <c r="P240" s="42" t="n">
        <f aca="false">IFERROR(ROUND(1.65*O240,0),0)</f>
        <v>269</v>
      </c>
      <c r="Q240" s="43" t="n">
        <f aca="false">IFERROR(ROUND(M240*H240+P240,0),0)</f>
        <v>3951</v>
      </c>
      <c r="R240" s="44" t="n">
        <f aca="false">G240-Q240</f>
        <v>-1218</v>
      </c>
      <c r="S240" s="45" t="str">
        <f aca="false">IF(G240=0,"Stockout ⚠",IF(G240&lt;Q240,"Reorder 🔄",IF(G240&gt;Q240+L240,"Overstock 📦","Aman ✅")))</f>
        <v>Reorder 🔄</v>
      </c>
      <c r="T240" s="46" t="n">
        <f aca="false">IFERROR(N240/AVERAGE(M237:M241),0)</f>
        <v>0.24172814800212</v>
      </c>
      <c r="U240" s="47" t="n">
        <v>405.58</v>
      </c>
      <c r="V240" s="48" t="n">
        <v>0.0161</v>
      </c>
    </row>
    <row r="241" customFormat="false" ht="15" hidden="false" customHeight="true" outlineLevel="0" collapsed="false">
      <c r="A241" s="34" t="n">
        <v>5</v>
      </c>
      <c r="B241" s="35" t="n">
        <v>2025</v>
      </c>
      <c r="C241" s="34" t="s">
        <v>264</v>
      </c>
      <c r="D241" s="34" t="s">
        <v>128</v>
      </c>
      <c r="E241" s="36" t="s">
        <v>129</v>
      </c>
      <c r="F241" s="34" t="s">
        <v>36</v>
      </c>
      <c r="G241" s="37" t="n">
        <v>7799</v>
      </c>
      <c r="H241" s="37" t="n">
        <v>34</v>
      </c>
      <c r="I241" s="37" t="n">
        <f aca="false">IFERROR(ROUND('Data Bulanan'!EC52,0),0)</f>
        <v>42508</v>
      </c>
      <c r="J241" s="37" t="n">
        <v>6701381</v>
      </c>
      <c r="K241" s="37" t="n">
        <v>259157</v>
      </c>
      <c r="L241" s="38" t="n">
        <f aca="false">IFERROR(ROUND(SQRT(2*I241*J241/K241),0),0)</f>
        <v>1483</v>
      </c>
      <c r="M241" s="39" t="n">
        <f aca="false">IFERROR(AVERAGE('Data Bulanan'!DF52,'Data Bulanan'!DH52,'Data Bulanan'!DJ52,'Data Bulanan'!DL52,'Data Bulanan'!DN52,'Data Bulanan'!DP52,'Data Bulanan'!DR52,'Data Bulanan'!DT52,'Data Bulanan'!DV52,'Data Bulanan'!DX52,'Data Bulanan'!DZ52,'Data Bulanan'!EB52),0)</f>
        <v>113.168798003072</v>
      </c>
      <c r="N241" s="40" t="n">
        <f aca="false">'Data Bulanan'!ED52</f>
        <v>27.528572559343</v>
      </c>
      <c r="O241" s="41" t="n">
        <f aca="false">IFERROR(N241*SQRT(H241),0)</f>
        <v>160.517782327288</v>
      </c>
      <c r="P241" s="42" t="n">
        <f aca="false">IFERROR(ROUND(1.65*O241,0),0)</f>
        <v>265</v>
      </c>
      <c r="Q241" s="43" t="n">
        <f aca="false">IFERROR(ROUND(M241*H241+P241,0),0)</f>
        <v>4113</v>
      </c>
      <c r="R241" s="44" t="n">
        <f aca="false">G241-Q241</f>
        <v>3686</v>
      </c>
      <c r="S241" s="45" t="str">
        <f aca="false">IF(G241=0,"Stockout ⚠",IF(G241&lt;Q241,"Reorder 🔄",IF(G241&gt;Q241+L241,"Overstock 📦","Aman ✅")))</f>
        <v>Overstock 📦</v>
      </c>
      <c r="T241" s="46" t="n">
        <f aca="false">IFERROR(N241/AVERAGE(M237:M241),0)</f>
        <v>0.23776389279257</v>
      </c>
      <c r="U241" s="47" t="n">
        <v>405.58</v>
      </c>
      <c r="V241" s="48" t="n">
        <v>0.0161</v>
      </c>
    </row>
    <row r="242" customFormat="false" ht="15" hidden="false" customHeight="true" outlineLevel="0" collapsed="false">
      <c r="A242" s="49" t="n">
        <v>1</v>
      </c>
      <c r="B242" s="35" t="n">
        <v>2021</v>
      </c>
      <c r="C242" s="49" t="s">
        <v>263</v>
      </c>
      <c r="D242" s="49" t="s">
        <v>130</v>
      </c>
      <c r="E242" s="50" t="s">
        <v>131</v>
      </c>
      <c r="F242" s="49" t="s">
        <v>57</v>
      </c>
      <c r="G242" s="37" t="n">
        <v>6364</v>
      </c>
      <c r="H242" s="37" t="n">
        <v>12</v>
      </c>
      <c r="I242" s="37" t="n">
        <f aca="false">IFERROR(ROUND('Data Bulanan'!AC53,0),0)</f>
        <v>30361</v>
      </c>
      <c r="J242" s="37" t="n">
        <v>1040090</v>
      </c>
      <c r="K242" s="37" t="n">
        <v>432875</v>
      </c>
      <c r="L242" s="38" t="n">
        <f aca="false">IFERROR(ROUND(SQRT(2*I242*J242/K242),0),0)</f>
        <v>382</v>
      </c>
      <c r="M242" s="39" t="n">
        <f aca="false">IFERROR(AVERAGE('Data Bulanan'!F53,'Data Bulanan'!H53,'Data Bulanan'!J53,'Data Bulanan'!L53,'Data Bulanan'!N53,'Data Bulanan'!P53,'Data Bulanan'!R53,'Data Bulanan'!T53,'Data Bulanan'!V53,'Data Bulanan'!X53,'Data Bulanan'!Z53,'Data Bulanan'!AB53),0)</f>
        <v>80.5603878648233</v>
      </c>
      <c r="N242" s="40" t="n">
        <f aca="false">'Data Bulanan'!AD53</f>
        <v>20.0341555773377</v>
      </c>
      <c r="O242" s="41" t="n">
        <f aca="false">IFERROR(N242*SQRT(H242),0)</f>
        <v>69.4003506933765</v>
      </c>
      <c r="P242" s="42" t="n">
        <f aca="false">IFERROR(ROUND(1.65*O242,0),0)</f>
        <v>115</v>
      </c>
      <c r="Q242" s="43" t="n">
        <f aca="false">IFERROR(ROUND(M242*H242+P242,0),0)</f>
        <v>1082</v>
      </c>
      <c r="R242" s="44" t="n">
        <f aca="false">G242-Q242</f>
        <v>5282</v>
      </c>
      <c r="S242" s="45" t="str">
        <f aca="false">IF(G242=0,"Stockout ⚠",IF(G242&lt;Q242,"Reorder 🔄",IF(G242&gt;Q242+L242,"Overstock 📦","Aman ✅")))</f>
        <v>Overstock 📦</v>
      </c>
      <c r="T242" s="46" t="n">
        <f aca="false">IFERROR(N242/AVERAGE(M242:M246),0)</f>
        <v>0.292005389102629</v>
      </c>
      <c r="U242" s="47" t="n">
        <v>-153.67</v>
      </c>
      <c r="V242" s="48" t="n">
        <v>0.0035</v>
      </c>
    </row>
    <row r="243" customFormat="false" ht="15" hidden="false" customHeight="true" outlineLevel="0" collapsed="false">
      <c r="A243" s="49" t="n">
        <v>2</v>
      </c>
      <c r="B243" s="35" t="n">
        <v>2022</v>
      </c>
      <c r="C243" s="49" t="s">
        <v>263</v>
      </c>
      <c r="D243" s="49" t="s">
        <v>130</v>
      </c>
      <c r="E243" s="50" t="s">
        <v>131</v>
      </c>
      <c r="F243" s="49" t="s">
        <v>57</v>
      </c>
      <c r="G243" s="37" t="n">
        <v>2292</v>
      </c>
      <c r="H243" s="37" t="n">
        <v>12</v>
      </c>
      <c r="I243" s="37" t="n">
        <f aca="false">IFERROR(ROUND('Data Bulanan'!BC53,0),0)</f>
        <v>23699</v>
      </c>
      <c r="J243" s="37" t="n">
        <v>990816</v>
      </c>
      <c r="K243" s="37" t="n">
        <v>426880</v>
      </c>
      <c r="L243" s="38" t="n">
        <f aca="false">IFERROR(ROUND(SQRT(2*I243*J243/K243),0),0)</f>
        <v>332</v>
      </c>
      <c r="M243" s="39" t="n">
        <f aca="false">IFERROR(AVERAGE('Data Bulanan'!AF53,'Data Bulanan'!AH53,'Data Bulanan'!AJ53,'Data Bulanan'!AL53,'Data Bulanan'!AN53,'Data Bulanan'!AP53,'Data Bulanan'!AR53,'Data Bulanan'!AT53,'Data Bulanan'!AV53,'Data Bulanan'!AX53,'Data Bulanan'!AZ53,'Data Bulanan'!BB53),0)</f>
        <v>63.0760688684076</v>
      </c>
      <c r="N243" s="40" t="n">
        <f aca="false">'Data Bulanan'!BD53</f>
        <v>16.9182652527962</v>
      </c>
      <c r="O243" s="41" t="n">
        <f aca="false">IFERROR(N243*SQRT(H243),0)</f>
        <v>58.6065899875403</v>
      </c>
      <c r="P243" s="42" t="n">
        <f aca="false">IFERROR(ROUND(1.65*O243,0),0)</f>
        <v>97</v>
      </c>
      <c r="Q243" s="43" t="n">
        <f aca="false">IFERROR(ROUND(M243*H243+P243,0),0)</f>
        <v>854</v>
      </c>
      <c r="R243" s="44" t="n">
        <f aca="false">G243-Q243</f>
        <v>1438</v>
      </c>
      <c r="S243" s="45" t="str">
        <f aca="false">IF(G243=0,"Stockout ⚠",IF(G243&lt;Q243,"Reorder 🔄",IF(G243&gt;Q243+L243,"Overstock 📦","Aman ✅")))</f>
        <v>Overstock 📦</v>
      </c>
      <c r="T243" s="46" t="n">
        <f aca="false">IFERROR(N243/AVERAGE(M242:M246),0)</f>
        <v>0.246590110025528</v>
      </c>
      <c r="U243" s="47" t="n">
        <v>-153.67</v>
      </c>
      <c r="V243" s="48" t="n">
        <v>0.0035</v>
      </c>
    </row>
    <row r="244" customFormat="false" ht="15" hidden="false" customHeight="true" outlineLevel="0" collapsed="false">
      <c r="A244" s="49" t="n">
        <v>3</v>
      </c>
      <c r="B244" s="35" t="n">
        <v>2023</v>
      </c>
      <c r="C244" s="49" t="s">
        <v>263</v>
      </c>
      <c r="D244" s="49" t="s">
        <v>130</v>
      </c>
      <c r="E244" s="50" t="s">
        <v>131</v>
      </c>
      <c r="F244" s="49" t="s">
        <v>57</v>
      </c>
      <c r="G244" s="37" t="n">
        <v>0</v>
      </c>
      <c r="H244" s="37" t="n">
        <v>12</v>
      </c>
      <c r="I244" s="37" t="n">
        <f aca="false">IFERROR(ROUND('Data Bulanan'!CC53,0),0)</f>
        <v>22259</v>
      </c>
      <c r="J244" s="37" t="n">
        <v>959710</v>
      </c>
      <c r="K244" s="37" t="n">
        <v>468461</v>
      </c>
      <c r="L244" s="38" t="n">
        <f aca="false">IFERROR(ROUND(SQRT(2*I244*J244/K244),0),0)</f>
        <v>302</v>
      </c>
      <c r="M244" s="39" t="n">
        <f aca="false">IFERROR(AVERAGE('Data Bulanan'!BF53,'Data Bulanan'!BH53,'Data Bulanan'!BJ53,'Data Bulanan'!BL53,'Data Bulanan'!BN53,'Data Bulanan'!BP53,'Data Bulanan'!BR53,'Data Bulanan'!BT53,'Data Bulanan'!BV53,'Data Bulanan'!BX53,'Data Bulanan'!BZ53,'Data Bulanan'!CB53),0)</f>
        <v>59.2940220174091</v>
      </c>
      <c r="N244" s="40" t="n">
        <f aca="false">'Data Bulanan'!CD53</f>
        <v>14.0740730491338</v>
      </c>
      <c r="O244" s="41" t="n">
        <f aca="false">IFERROR(N244*SQRT(H244),0)</f>
        <v>48.754019181071</v>
      </c>
      <c r="P244" s="42" t="n">
        <f aca="false">IFERROR(ROUND(1.65*O244,0),0)</f>
        <v>80</v>
      </c>
      <c r="Q244" s="43" t="n">
        <f aca="false">IFERROR(ROUND(M244*H244+P244,0),0)</f>
        <v>792</v>
      </c>
      <c r="R244" s="44" t="n">
        <f aca="false">G244-Q244</f>
        <v>-792</v>
      </c>
      <c r="S244" s="45" t="str">
        <f aca="false">IF(G244=0,"Stockout ⚠",IF(G244&lt;Q244,"Reorder 🔄",IF(G244&gt;Q244+L244,"Overstock 📦","Aman ✅")))</f>
        <v>Stockout ⚠</v>
      </c>
      <c r="T244" s="46" t="n">
        <f aca="false">IFERROR(N244/AVERAGE(M242:M246),0)</f>
        <v>0.205134933743849</v>
      </c>
      <c r="U244" s="47" t="n">
        <v>-153.67</v>
      </c>
      <c r="V244" s="48" t="n">
        <v>0.0035</v>
      </c>
    </row>
    <row r="245" customFormat="false" ht="15" hidden="false" customHeight="true" outlineLevel="0" collapsed="false">
      <c r="A245" s="49" t="n">
        <v>4</v>
      </c>
      <c r="B245" s="35" t="n">
        <v>2024</v>
      </c>
      <c r="C245" s="49" t="s">
        <v>263</v>
      </c>
      <c r="D245" s="49" t="s">
        <v>130</v>
      </c>
      <c r="E245" s="50" t="s">
        <v>131</v>
      </c>
      <c r="F245" s="49" t="s">
        <v>57</v>
      </c>
      <c r="G245" s="37" t="n">
        <v>2337</v>
      </c>
      <c r="H245" s="37" t="n">
        <v>12</v>
      </c>
      <c r="I245" s="37" t="n">
        <f aca="false">IFERROR(ROUND('Data Bulanan'!DC53,0),0)</f>
        <v>22541</v>
      </c>
      <c r="J245" s="37" t="n">
        <v>1070492</v>
      </c>
      <c r="K245" s="37" t="n">
        <v>458409</v>
      </c>
      <c r="L245" s="38" t="n">
        <f aca="false">IFERROR(ROUND(SQRT(2*I245*J245/K245),0),0)</f>
        <v>324</v>
      </c>
      <c r="M245" s="39" t="n">
        <f aca="false">IFERROR(AVERAGE('Data Bulanan'!CF53,'Data Bulanan'!CH53,'Data Bulanan'!CJ53,'Data Bulanan'!CL53,'Data Bulanan'!CN53,'Data Bulanan'!CP53,'Data Bulanan'!CR53,'Data Bulanan'!CT53,'Data Bulanan'!CV53,'Data Bulanan'!CX53,'Data Bulanan'!CZ53,'Data Bulanan'!DB53),0)</f>
        <v>59.8534818228367</v>
      </c>
      <c r="N245" s="40" t="n">
        <f aca="false">'Data Bulanan'!DD53</f>
        <v>14.5842527733526</v>
      </c>
      <c r="O245" s="41" t="n">
        <f aca="false">IFERROR(N245*SQRT(H245),0)</f>
        <v>50.5213335877481</v>
      </c>
      <c r="P245" s="42" t="n">
        <f aca="false">IFERROR(ROUND(1.65*O245,0),0)</f>
        <v>83</v>
      </c>
      <c r="Q245" s="43" t="n">
        <f aca="false">IFERROR(ROUND(M245*H245+P245,0),0)</f>
        <v>801</v>
      </c>
      <c r="R245" s="44" t="n">
        <f aca="false">G245-Q245</f>
        <v>1536</v>
      </c>
      <c r="S245" s="45" t="str">
        <f aca="false">IF(G245=0,"Stockout ⚠",IF(G245&lt;Q245,"Reorder 🔄",IF(G245&gt;Q245+L245,"Overstock 📦","Aman ✅")))</f>
        <v>Overstock 📦</v>
      </c>
      <c r="T245" s="46" t="n">
        <f aca="false">IFERROR(N245/AVERAGE(M242:M246),0)</f>
        <v>0.21257099603795</v>
      </c>
      <c r="U245" s="47" t="n">
        <v>-153.67</v>
      </c>
      <c r="V245" s="48" t="n">
        <v>0.0035</v>
      </c>
    </row>
    <row r="246" customFormat="false" ht="15" hidden="false" customHeight="true" outlineLevel="0" collapsed="false">
      <c r="A246" s="49" t="n">
        <v>5</v>
      </c>
      <c r="B246" s="35" t="n">
        <v>2025</v>
      </c>
      <c r="C246" s="49" t="s">
        <v>263</v>
      </c>
      <c r="D246" s="49" t="s">
        <v>130</v>
      </c>
      <c r="E246" s="50" t="s">
        <v>131</v>
      </c>
      <c r="F246" s="49" t="s">
        <v>57</v>
      </c>
      <c r="G246" s="37" t="n">
        <v>0</v>
      </c>
      <c r="H246" s="37" t="n">
        <v>12</v>
      </c>
      <c r="I246" s="37" t="n">
        <f aca="false">IFERROR(ROUND('Data Bulanan'!EC53,0),0)</f>
        <v>30172</v>
      </c>
      <c r="J246" s="37" t="n">
        <v>956568</v>
      </c>
      <c r="K246" s="37" t="n">
        <v>455551</v>
      </c>
      <c r="L246" s="38" t="n">
        <f aca="false">IFERROR(ROUND(SQRT(2*I246*J246/K246),0),0)</f>
        <v>356</v>
      </c>
      <c r="M246" s="39" t="n">
        <f aca="false">IFERROR(AVERAGE('Data Bulanan'!DF53,'Data Bulanan'!DH53,'Data Bulanan'!DJ53,'Data Bulanan'!DL53,'Data Bulanan'!DN53,'Data Bulanan'!DP53,'Data Bulanan'!DR53,'Data Bulanan'!DT53,'Data Bulanan'!DV53,'Data Bulanan'!DX53,'Data Bulanan'!DZ53,'Data Bulanan'!EB53),0)</f>
        <v>80.2603174603175</v>
      </c>
      <c r="N246" s="40" t="n">
        <f aca="false">'Data Bulanan'!ED53</f>
        <v>12.0119661610277</v>
      </c>
      <c r="O246" s="41" t="n">
        <f aca="false">IFERROR(N246*SQRT(H246),0)</f>
        <v>41.6106713793963</v>
      </c>
      <c r="P246" s="42" t="n">
        <f aca="false">IFERROR(ROUND(1.65*O246,0),0)</f>
        <v>69</v>
      </c>
      <c r="Q246" s="43" t="n">
        <f aca="false">IFERROR(ROUND(M246*H246+P246,0),0)</f>
        <v>1032</v>
      </c>
      <c r="R246" s="44" t="n">
        <f aca="false">G246-Q246</f>
        <v>-1032</v>
      </c>
      <c r="S246" s="45" t="str">
        <f aca="false">IF(G246=0,"Stockout ⚠",IF(G246&lt;Q246,"Reorder 🔄",IF(G246&gt;Q246+L246,"Overstock 📦","Aman ✅")))</f>
        <v>Stockout ⚠</v>
      </c>
      <c r="T246" s="46" t="n">
        <f aca="false">IFERROR(N246/AVERAGE(M242:M246),0)</f>
        <v>0.175078946512036</v>
      </c>
      <c r="U246" s="47" t="n">
        <v>-153.67</v>
      </c>
      <c r="V246" s="48" t="n">
        <v>0.0035</v>
      </c>
    </row>
    <row r="247" customFormat="false" ht="15" hidden="false" customHeight="true" outlineLevel="0" collapsed="false">
      <c r="A247" s="34" t="n">
        <v>1</v>
      </c>
      <c r="B247" s="35" t="n">
        <v>2021</v>
      </c>
      <c r="C247" s="34" t="s">
        <v>263</v>
      </c>
      <c r="D247" s="34" t="s">
        <v>132</v>
      </c>
      <c r="E247" s="36" t="s">
        <v>133</v>
      </c>
      <c r="F247" s="34" t="s">
        <v>57</v>
      </c>
      <c r="G247" s="37" t="n">
        <v>6033</v>
      </c>
      <c r="H247" s="37" t="n">
        <v>31</v>
      </c>
      <c r="I247" s="37" t="n">
        <f aca="false">IFERROR(ROUND('Data Bulanan'!AC54,0),0)</f>
        <v>15691</v>
      </c>
      <c r="J247" s="37" t="n">
        <v>9078551</v>
      </c>
      <c r="K247" s="37" t="n">
        <v>393438</v>
      </c>
      <c r="L247" s="38" t="n">
        <f aca="false">IFERROR(ROUND(SQRT(2*I247*J247/K247),0),0)</f>
        <v>851</v>
      </c>
      <c r="M247" s="39" t="n">
        <f aca="false">IFERROR(AVERAGE('Data Bulanan'!F54,'Data Bulanan'!H54,'Data Bulanan'!J54,'Data Bulanan'!L54,'Data Bulanan'!N54,'Data Bulanan'!P54,'Data Bulanan'!R54,'Data Bulanan'!T54,'Data Bulanan'!V54,'Data Bulanan'!X54,'Data Bulanan'!Z54,'Data Bulanan'!AB54),0)</f>
        <v>41.6934139784946</v>
      </c>
      <c r="N247" s="40" t="n">
        <f aca="false">'Data Bulanan'!AD54</f>
        <v>11.72991899809</v>
      </c>
      <c r="O247" s="41" t="n">
        <f aca="false">IFERROR(N247*SQRT(H247),0)</f>
        <v>65.3094249764482</v>
      </c>
      <c r="P247" s="42" t="n">
        <f aca="false">IFERROR(ROUND(1.65*O247,0),0)</f>
        <v>108</v>
      </c>
      <c r="Q247" s="43" t="n">
        <f aca="false">IFERROR(ROUND(M247*H247+P247,0),0)</f>
        <v>1400</v>
      </c>
      <c r="R247" s="44" t="n">
        <f aca="false">G247-Q247</f>
        <v>4633</v>
      </c>
      <c r="S247" s="45" t="str">
        <f aca="false">IF(G247=0,"Stockout ⚠",IF(G247&lt;Q247,"Reorder 🔄",IF(G247&gt;Q247+L247,"Overstock 📦","Aman ✅")))</f>
        <v>Overstock 📦</v>
      </c>
      <c r="T247" s="46" t="n">
        <f aca="false">IFERROR(N247/AVERAGE(M247:M251),0)</f>
        <v>0.316398977656011</v>
      </c>
      <c r="U247" s="47" t="n">
        <v>-637.1</v>
      </c>
      <c r="V247" s="48" t="n">
        <v>0.6007</v>
      </c>
    </row>
    <row r="248" customFormat="false" ht="15" hidden="false" customHeight="true" outlineLevel="0" collapsed="false">
      <c r="A248" s="34" t="n">
        <v>2</v>
      </c>
      <c r="B248" s="35" t="n">
        <v>2022</v>
      </c>
      <c r="C248" s="34" t="s">
        <v>263</v>
      </c>
      <c r="D248" s="34" t="s">
        <v>132</v>
      </c>
      <c r="E248" s="36" t="s">
        <v>133</v>
      </c>
      <c r="F248" s="34" t="s">
        <v>57</v>
      </c>
      <c r="G248" s="37" t="n">
        <v>3332</v>
      </c>
      <c r="H248" s="37" t="n">
        <v>31</v>
      </c>
      <c r="I248" s="37" t="n">
        <f aca="false">IFERROR(ROUND('Data Bulanan'!BC54,0),0)</f>
        <v>13500</v>
      </c>
      <c r="J248" s="37" t="n">
        <v>8487086</v>
      </c>
      <c r="K248" s="37" t="n">
        <v>363554</v>
      </c>
      <c r="L248" s="38" t="n">
        <f aca="false">IFERROR(ROUND(SQRT(2*I248*J248/K248),0),0)</f>
        <v>794</v>
      </c>
      <c r="M248" s="39" t="n">
        <f aca="false">IFERROR(AVERAGE('Data Bulanan'!AF54,'Data Bulanan'!AH54,'Data Bulanan'!AJ54,'Data Bulanan'!AL54,'Data Bulanan'!AN54,'Data Bulanan'!AP54,'Data Bulanan'!AR54,'Data Bulanan'!AT54,'Data Bulanan'!AV54,'Data Bulanan'!AX54,'Data Bulanan'!AZ54,'Data Bulanan'!BB54),0)</f>
        <v>35.9334101382488</v>
      </c>
      <c r="N248" s="40" t="n">
        <f aca="false">'Data Bulanan'!BD54</f>
        <v>8.30192405785977</v>
      </c>
      <c r="O248" s="41" t="n">
        <f aca="false">IFERROR(N248*SQRT(H248),0)</f>
        <v>46.2231569122728</v>
      </c>
      <c r="P248" s="42" t="n">
        <f aca="false">IFERROR(ROUND(1.65*O248,0),0)</f>
        <v>76</v>
      </c>
      <c r="Q248" s="43" t="n">
        <f aca="false">IFERROR(ROUND(M248*H248+P248,0),0)</f>
        <v>1190</v>
      </c>
      <c r="R248" s="44" t="n">
        <f aca="false">G248-Q248</f>
        <v>2142</v>
      </c>
      <c r="S248" s="45" t="str">
        <f aca="false">IF(G248=0,"Stockout ⚠",IF(G248&lt;Q248,"Reorder 🔄",IF(G248&gt;Q248+L248,"Overstock 📦","Aman ✅")))</f>
        <v>Overstock 📦</v>
      </c>
      <c r="T248" s="46" t="n">
        <f aca="false">IFERROR(N248/AVERAGE(M247:M251),0)</f>
        <v>0.223933369438646</v>
      </c>
      <c r="U248" s="47" t="n">
        <v>-637.1</v>
      </c>
      <c r="V248" s="48" t="n">
        <v>0.6007</v>
      </c>
    </row>
    <row r="249" customFormat="false" ht="15" hidden="false" customHeight="true" outlineLevel="0" collapsed="false">
      <c r="A249" s="34" t="n">
        <v>3</v>
      </c>
      <c r="B249" s="35" t="n">
        <v>2023</v>
      </c>
      <c r="C249" s="34" t="s">
        <v>263</v>
      </c>
      <c r="D249" s="34" t="s">
        <v>132</v>
      </c>
      <c r="E249" s="36" t="s">
        <v>133</v>
      </c>
      <c r="F249" s="34" t="s">
        <v>57</v>
      </c>
      <c r="G249" s="37" t="n">
        <v>3880</v>
      </c>
      <c r="H249" s="37" t="n">
        <v>31</v>
      </c>
      <c r="I249" s="37" t="n">
        <f aca="false">IFERROR(ROUND('Data Bulanan'!CC54,0),0)</f>
        <v>14888</v>
      </c>
      <c r="J249" s="37" t="n">
        <v>9206959</v>
      </c>
      <c r="K249" s="37" t="n">
        <v>393373</v>
      </c>
      <c r="L249" s="38" t="n">
        <f aca="false">IFERROR(ROUND(SQRT(2*I249*J249/K249),0),0)</f>
        <v>835</v>
      </c>
      <c r="M249" s="39" t="n">
        <f aca="false">IFERROR(AVERAGE('Data Bulanan'!BF54,'Data Bulanan'!BH54,'Data Bulanan'!BJ54,'Data Bulanan'!BL54,'Data Bulanan'!BN54,'Data Bulanan'!BP54,'Data Bulanan'!BR54,'Data Bulanan'!BT54,'Data Bulanan'!BV54,'Data Bulanan'!BX54,'Data Bulanan'!BZ54,'Data Bulanan'!CB54),0)</f>
        <v>39.5838133640553</v>
      </c>
      <c r="N249" s="40" t="n">
        <f aca="false">'Data Bulanan'!CD54</f>
        <v>9.04803992314351</v>
      </c>
      <c r="O249" s="41" t="n">
        <f aca="false">IFERROR(N249*SQRT(H249),0)</f>
        <v>50.3773542375417</v>
      </c>
      <c r="P249" s="42" t="n">
        <f aca="false">IFERROR(ROUND(1.65*O249,0),0)</f>
        <v>83</v>
      </c>
      <c r="Q249" s="43" t="n">
        <f aca="false">IFERROR(ROUND(M249*H249+P249,0),0)</f>
        <v>1310</v>
      </c>
      <c r="R249" s="44" t="n">
        <f aca="false">G249-Q249</f>
        <v>2570</v>
      </c>
      <c r="S249" s="45" t="str">
        <f aca="false">IF(G249=0,"Stockout ⚠",IF(G249&lt;Q249,"Reorder 🔄",IF(G249&gt;Q249+L249,"Overstock 📦","Aman ✅")))</f>
        <v>Overstock 📦</v>
      </c>
      <c r="T249" s="46" t="n">
        <f aca="false">IFERROR(N249/AVERAGE(M247:M251),0)</f>
        <v>0.244058853427678</v>
      </c>
      <c r="U249" s="47" t="n">
        <v>-637.1</v>
      </c>
      <c r="V249" s="48" t="n">
        <v>0.6007</v>
      </c>
    </row>
    <row r="250" customFormat="false" ht="15" hidden="false" customHeight="true" outlineLevel="0" collapsed="false">
      <c r="A250" s="34" t="n">
        <v>4</v>
      </c>
      <c r="B250" s="35" t="n">
        <v>2024</v>
      </c>
      <c r="C250" s="34" t="s">
        <v>263</v>
      </c>
      <c r="D250" s="34" t="s">
        <v>132</v>
      </c>
      <c r="E250" s="36" t="s">
        <v>133</v>
      </c>
      <c r="F250" s="34" t="s">
        <v>57</v>
      </c>
      <c r="G250" s="37" t="n">
        <v>0</v>
      </c>
      <c r="H250" s="37" t="n">
        <v>31</v>
      </c>
      <c r="I250" s="37" t="n">
        <f aca="false">IFERROR(ROUND('Data Bulanan'!DC54,0),0)</f>
        <v>12706</v>
      </c>
      <c r="J250" s="37" t="n">
        <v>9461470</v>
      </c>
      <c r="K250" s="37" t="n">
        <v>377100</v>
      </c>
      <c r="L250" s="38" t="n">
        <f aca="false">IFERROR(ROUND(SQRT(2*I250*J250/K250),0),0)</f>
        <v>798</v>
      </c>
      <c r="M250" s="39" t="n">
        <f aca="false">IFERROR(AVERAGE('Data Bulanan'!CF54,'Data Bulanan'!CH54,'Data Bulanan'!CJ54,'Data Bulanan'!CL54,'Data Bulanan'!CN54,'Data Bulanan'!CP54,'Data Bulanan'!CR54,'Data Bulanan'!CT54,'Data Bulanan'!CV54,'Data Bulanan'!CX54,'Data Bulanan'!CZ54,'Data Bulanan'!DB54),0)</f>
        <v>33.7853238607271</v>
      </c>
      <c r="N250" s="40" t="n">
        <f aca="false">'Data Bulanan'!DD54</f>
        <v>8.79761660386912</v>
      </c>
      <c r="O250" s="41" t="n">
        <f aca="false">IFERROR(N250*SQRT(H250),0)</f>
        <v>48.9830562048642</v>
      </c>
      <c r="P250" s="42" t="n">
        <f aca="false">IFERROR(ROUND(1.65*O250,0),0)</f>
        <v>81</v>
      </c>
      <c r="Q250" s="43" t="n">
        <f aca="false">IFERROR(ROUND(M250*H250+P250,0),0)</f>
        <v>1128</v>
      </c>
      <c r="R250" s="44" t="n">
        <f aca="false">G250-Q250</f>
        <v>-1128</v>
      </c>
      <c r="S250" s="45" t="str">
        <f aca="false">IF(G250=0,"Stockout ⚠",IF(G250&lt;Q250,"Reorder 🔄",IF(G250&gt;Q250+L250,"Overstock 📦","Aman ✅")))</f>
        <v>Stockout ⚠</v>
      </c>
      <c r="T250" s="46" t="n">
        <f aca="false">IFERROR(N250/AVERAGE(M247:M251),0)</f>
        <v>0.237304017165591</v>
      </c>
      <c r="U250" s="47" t="n">
        <v>-637.1</v>
      </c>
      <c r="V250" s="48" t="n">
        <v>0.6007</v>
      </c>
    </row>
    <row r="251" customFormat="false" ht="15" hidden="false" customHeight="true" outlineLevel="0" collapsed="false">
      <c r="A251" s="34" t="n">
        <v>5</v>
      </c>
      <c r="B251" s="35" t="n">
        <v>2025</v>
      </c>
      <c r="C251" s="34" t="s">
        <v>263</v>
      </c>
      <c r="D251" s="34" t="s">
        <v>132</v>
      </c>
      <c r="E251" s="36" t="s">
        <v>133</v>
      </c>
      <c r="F251" s="34" t="s">
        <v>57</v>
      </c>
      <c r="G251" s="37" t="n">
        <v>2591</v>
      </c>
      <c r="H251" s="37" t="n">
        <v>31</v>
      </c>
      <c r="I251" s="37" t="n">
        <f aca="false">IFERROR(ROUND('Data Bulanan'!EC54,0),0)</f>
        <v>12902</v>
      </c>
      <c r="J251" s="37" t="n">
        <v>8705874</v>
      </c>
      <c r="K251" s="37" t="n">
        <v>362388</v>
      </c>
      <c r="L251" s="38" t="n">
        <f aca="false">IFERROR(ROUND(SQRT(2*I251*J251/K251),0),0)</f>
        <v>787</v>
      </c>
      <c r="M251" s="39" t="n">
        <f aca="false">IFERROR(AVERAGE('Data Bulanan'!DF54,'Data Bulanan'!DH54,'Data Bulanan'!DJ54,'Data Bulanan'!DL54,'Data Bulanan'!DN54,'Data Bulanan'!DP54,'Data Bulanan'!DR54,'Data Bulanan'!DT54,'Data Bulanan'!DV54,'Data Bulanan'!DX54,'Data Bulanan'!DZ54,'Data Bulanan'!EB54),0)</f>
        <v>34.3699820788531</v>
      </c>
      <c r="N251" s="40" t="n">
        <f aca="false">'Data Bulanan'!ED54</f>
        <v>7.39633815546541</v>
      </c>
      <c r="O251" s="41" t="n">
        <f aca="false">IFERROR(N251*SQRT(H251),0)</f>
        <v>41.1810679974402</v>
      </c>
      <c r="P251" s="42" t="n">
        <f aca="false">IFERROR(ROUND(1.65*O251,0),0)</f>
        <v>68</v>
      </c>
      <c r="Q251" s="43" t="n">
        <f aca="false">IFERROR(ROUND(M251*H251+P251,0),0)</f>
        <v>1133</v>
      </c>
      <c r="R251" s="44" t="n">
        <f aca="false">G251-Q251</f>
        <v>1458</v>
      </c>
      <c r="S251" s="45" t="str">
        <f aca="false">IF(G251=0,"Stockout ⚠",IF(G251&lt;Q251,"Reorder 🔄",IF(G251&gt;Q251+L251,"Overstock 📦","Aman ✅")))</f>
        <v>Overstock 📦</v>
      </c>
      <c r="T251" s="46" t="n">
        <f aca="false">IFERROR(N251/AVERAGE(M247:M251),0)</f>
        <v>0.199506393110512</v>
      </c>
      <c r="U251" s="47" t="n">
        <v>-637.1</v>
      </c>
      <c r="V251" s="48" t="n">
        <v>0.6007</v>
      </c>
    </row>
    <row r="252" customFormat="false" ht="15" hidden="false" customHeight="true" outlineLevel="0" collapsed="false">
      <c r="A252" s="49" t="n">
        <v>1</v>
      </c>
      <c r="B252" s="35" t="n">
        <v>2021</v>
      </c>
      <c r="C252" s="49" t="s">
        <v>263</v>
      </c>
      <c r="D252" s="49" t="s">
        <v>134</v>
      </c>
      <c r="E252" s="50" t="s">
        <v>135</v>
      </c>
      <c r="F252" s="49" t="s">
        <v>57</v>
      </c>
      <c r="G252" s="37" t="n">
        <v>91</v>
      </c>
      <c r="H252" s="37" t="n">
        <v>36</v>
      </c>
      <c r="I252" s="37" t="n">
        <f aca="false">IFERROR(ROUND('Data Bulanan'!AC55,0),0)</f>
        <v>1029</v>
      </c>
      <c r="J252" s="37" t="n">
        <v>5761243</v>
      </c>
      <c r="K252" s="37" t="n">
        <v>520477</v>
      </c>
      <c r="L252" s="38" t="n">
        <f aca="false">IFERROR(ROUND(SQRT(2*I252*J252/K252),0),0)</f>
        <v>151</v>
      </c>
      <c r="M252" s="39" t="n">
        <f aca="false">IFERROR(AVERAGE('Data Bulanan'!F55,'Data Bulanan'!H55,'Data Bulanan'!J55,'Data Bulanan'!L55,'Data Bulanan'!N55,'Data Bulanan'!P55,'Data Bulanan'!R55,'Data Bulanan'!T55,'Data Bulanan'!V55,'Data Bulanan'!X55,'Data Bulanan'!Z55,'Data Bulanan'!AB55),0)</f>
        <v>2.73600870455709</v>
      </c>
      <c r="N252" s="40" t="n">
        <f aca="false">'Data Bulanan'!AD55</f>
        <v>0.749497057038421</v>
      </c>
      <c r="O252" s="41" t="n">
        <f aca="false">IFERROR(N252*SQRT(H252),0)</f>
        <v>4.49698234223053</v>
      </c>
      <c r="P252" s="42" t="n">
        <f aca="false">IFERROR(ROUND(1.65*O252,0),0)</f>
        <v>7</v>
      </c>
      <c r="Q252" s="43" t="n">
        <f aca="false">IFERROR(ROUND(M252*H252+P252,0),0)</f>
        <v>105</v>
      </c>
      <c r="R252" s="44" t="n">
        <f aca="false">G252-Q252</f>
        <v>-14</v>
      </c>
      <c r="S252" s="45" t="str">
        <f aca="false">IF(G252=0,"Stockout ⚠",IF(G252&lt;Q252,"Reorder 🔄",IF(G252&gt;Q252+L252,"Overstock 📦","Aman ✅")))</f>
        <v>Reorder 🔄</v>
      </c>
      <c r="T252" s="46" t="n">
        <f aca="false">IFERROR(N252/AVERAGE(M252:M256),0)</f>
        <v>0.273492563221752</v>
      </c>
      <c r="U252" s="47" t="n">
        <v>0.33</v>
      </c>
      <c r="V252" s="48" t="n">
        <v>0.149</v>
      </c>
    </row>
    <row r="253" customFormat="false" ht="15" hidden="false" customHeight="true" outlineLevel="0" collapsed="false">
      <c r="A253" s="49" t="n">
        <v>2</v>
      </c>
      <c r="B253" s="35" t="n">
        <v>2022</v>
      </c>
      <c r="C253" s="49" t="s">
        <v>263</v>
      </c>
      <c r="D253" s="49" t="s">
        <v>134</v>
      </c>
      <c r="E253" s="50" t="s">
        <v>135</v>
      </c>
      <c r="F253" s="49" t="s">
        <v>57</v>
      </c>
      <c r="G253" s="37" t="n">
        <v>564</v>
      </c>
      <c r="H253" s="37" t="n">
        <v>36</v>
      </c>
      <c r="I253" s="37" t="n">
        <f aca="false">IFERROR(ROUND('Data Bulanan'!BC55,0),0)</f>
        <v>1027</v>
      </c>
      <c r="J253" s="37" t="n">
        <v>5950152</v>
      </c>
      <c r="K253" s="37" t="n">
        <v>488894</v>
      </c>
      <c r="L253" s="38" t="n">
        <f aca="false">IFERROR(ROUND(SQRT(2*I253*J253/K253),0),0)</f>
        <v>158</v>
      </c>
      <c r="M253" s="39" t="n">
        <f aca="false">IFERROR(AVERAGE('Data Bulanan'!AF55,'Data Bulanan'!AH55,'Data Bulanan'!AJ55,'Data Bulanan'!AL55,'Data Bulanan'!AN55,'Data Bulanan'!AP55,'Data Bulanan'!AR55,'Data Bulanan'!AT55,'Data Bulanan'!AV55,'Data Bulanan'!AX55,'Data Bulanan'!AZ55,'Data Bulanan'!BB55),0)</f>
        <v>2.73748079877112</v>
      </c>
      <c r="N253" s="40" t="n">
        <f aca="false">'Data Bulanan'!BD55</f>
        <v>0.653064712998675</v>
      </c>
      <c r="O253" s="41" t="n">
        <f aca="false">IFERROR(N253*SQRT(H253),0)</f>
        <v>3.91838827799205</v>
      </c>
      <c r="P253" s="42" t="n">
        <f aca="false">IFERROR(ROUND(1.65*O253,0),0)</f>
        <v>6</v>
      </c>
      <c r="Q253" s="43" t="n">
        <f aca="false">IFERROR(ROUND(M253*H253+P253,0),0)</f>
        <v>105</v>
      </c>
      <c r="R253" s="44" t="n">
        <f aca="false">G253-Q253</f>
        <v>459</v>
      </c>
      <c r="S253" s="45" t="str">
        <f aca="false">IF(G253=0,"Stockout ⚠",IF(G253&lt;Q253,"Reorder 🔄",IF(G253&gt;Q253+L253,"Overstock 📦","Aman ✅")))</f>
        <v>Overstock 📦</v>
      </c>
      <c r="T253" s="46" t="n">
        <f aca="false">IFERROR(N253/AVERAGE(M252:M256),0)</f>
        <v>0.2383042610113</v>
      </c>
      <c r="U253" s="47" t="n">
        <v>0.33</v>
      </c>
      <c r="V253" s="48" t="n">
        <v>0.149</v>
      </c>
    </row>
    <row r="254" customFormat="false" ht="15" hidden="false" customHeight="true" outlineLevel="0" collapsed="false">
      <c r="A254" s="49" t="n">
        <v>3</v>
      </c>
      <c r="B254" s="35" t="n">
        <v>2023</v>
      </c>
      <c r="C254" s="49" t="s">
        <v>263</v>
      </c>
      <c r="D254" s="49" t="s">
        <v>134</v>
      </c>
      <c r="E254" s="50" t="s">
        <v>135</v>
      </c>
      <c r="F254" s="49" t="s">
        <v>57</v>
      </c>
      <c r="G254" s="37" t="n">
        <v>457</v>
      </c>
      <c r="H254" s="37" t="n">
        <v>36</v>
      </c>
      <c r="I254" s="37" t="n">
        <f aca="false">IFERROR(ROUND('Data Bulanan'!CC55,0),0)</f>
        <v>1029</v>
      </c>
      <c r="J254" s="37" t="n">
        <v>5667363</v>
      </c>
      <c r="K254" s="37" t="n">
        <v>579368</v>
      </c>
      <c r="L254" s="38" t="n">
        <f aca="false">IFERROR(ROUND(SQRT(2*I254*J254/K254),0),0)</f>
        <v>142</v>
      </c>
      <c r="M254" s="39" t="n">
        <f aca="false">IFERROR(AVERAGE('Data Bulanan'!BF55,'Data Bulanan'!BH55,'Data Bulanan'!BJ55,'Data Bulanan'!BL55,'Data Bulanan'!BN55,'Data Bulanan'!BP55,'Data Bulanan'!BR55,'Data Bulanan'!BT55,'Data Bulanan'!BV55,'Data Bulanan'!BX55,'Data Bulanan'!BZ55,'Data Bulanan'!CB55),0)</f>
        <v>2.74128264208909</v>
      </c>
      <c r="N254" s="40" t="n">
        <f aca="false">'Data Bulanan'!CD55</f>
        <v>0.727548887876585</v>
      </c>
      <c r="O254" s="41" t="n">
        <f aca="false">IFERROR(N254*SQRT(H254),0)</f>
        <v>4.36529332725951</v>
      </c>
      <c r="P254" s="42" t="n">
        <f aca="false">IFERROR(ROUND(1.65*O254,0),0)</f>
        <v>7</v>
      </c>
      <c r="Q254" s="43" t="n">
        <f aca="false">IFERROR(ROUND(M254*H254+P254,0),0)</f>
        <v>106</v>
      </c>
      <c r="R254" s="44" t="n">
        <f aca="false">G254-Q254</f>
        <v>351</v>
      </c>
      <c r="S254" s="45" t="str">
        <f aca="false">IF(G254=0,"Stockout ⚠",IF(G254&lt;Q254,"Reorder 🔄",IF(G254&gt;Q254+L254,"Overstock 📦","Aman ✅")))</f>
        <v>Overstock 📦</v>
      </c>
      <c r="T254" s="46" t="n">
        <f aca="false">IFERROR(N254/AVERAGE(M252:M256),0)</f>
        <v>0.265483644459864</v>
      </c>
      <c r="U254" s="47" t="n">
        <v>0.33</v>
      </c>
      <c r="V254" s="48" t="n">
        <v>0.149</v>
      </c>
    </row>
    <row r="255" customFormat="false" ht="15" hidden="false" customHeight="true" outlineLevel="0" collapsed="false">
      <c r="A255" s="49" t="n">
        <v>4</v>
      </c>
      <c r="B255" s="35" t="n">
        <v>2024</v>
      </c>
      <c r="C255" s="49" t="s">
        <v>263</v>
      </c>
      <c r="D255" s="49" t="s">
        <v>134</v>
      </c>
      <c r="E255" s="50" t="s">
        <v>135</v>
      </c>
      <c r="F255" s="49" t="s">
        <v>57</v>
      </c>
      <c r="G255" s="37" t="n">
        <v>112</v>
      </c>
      <c r="H255" s="37" t="n">
        <v>36</v>
      </c>
      <c r="I255" s="37" t="n">
        <f aca="false">IFERROR(ROUND('Data Bulanan'!DC55,0),0)</f>
        <v>1031</v>
      </c>
      <c r="J255" s="37" t="n">
        <v>5838772</v>
      </c>
      <c r="K255" s="37" t="n">
        <v>545179</v>
      </c>
      <c r="L255" s="38" t="n">
        <f aca="false">IFERROR(ROUND(SQRT(2*I255*J255/K255),0),0)</f>
        <v>149</v>
      </c>
      <c r="M255" s="39" t="n">
        <f aca="false">IFERROR(AVERAGE('Data Bulanan'!CF55,'Data Bulanan'!CH55,'Data Bulanan'!CJ55,'Data Bulanan'!CL55,'Data Bulanan'!CN55,'Data Bulanan'!CP55,'Data Bulanan'!CR55,'Data Bulanan'!CT55,'Data Bulanan'!CV55,'Data Bulanan'!CX55,'Data Bulanan'!CZ55,'Data Bulanan'!DB55),0)</f>
        <v>2.75459549411162</v>
      </c>
      <c r="N255" s="40" t="n">
        <f aca="false">'Data Bulanan'!DD55</f>
        <v>0.817358110252718</v>
      </c>
      <c r="O255" s="41" t="n">
        <f aca="false">IFERROR(N255*SQRT(H255),0)</f>
        <v>4.90414866151631</v>
      </c>
      <c r="P255" s="42" t="n">
        <f aca="false">IFERROR(ROUND(1.65*O255,0),0)</f>
        <v>8</v>
      </c>
      <c r="Q255" s="43" t="n">
        <f aca="false">IFERROR(ROUND(M255*H255+P255,0),0)</f>
        <v>107</v>
      </c>
      <c r="R255" s="44" t="n">
        <f aca="false">G255-Q255</f>
        <v>5</v>
      </c>
      <c r="S255" s="45" t="str">
        <f aca="false">IF(G255=0,"Stockout ⚠",IF(G255&lt;Q255,"Reorder 🔄",IF(G255&gt;Q255+L255,"Overstock 📦","Aman ✅")))</f>
        <v>Aman ✅</v>
      </c>
      <c r="T255" s="46" t="n">
        <f aca="false">IFERROR(N255/AVERAGE(M252:M256),0)</f>
        <v>0.298255159968752</v>
      </c>
      <c r="U255" s="47" t="n">
        <v>0.33</v>
      </c>
      <c r="V255" s="48" t="n">
        <v>0.149</v>
      </c>
    </row>
    <row r="256" customFormat="false" ht="15" hidden="false" customHeight="true" outlineLevel="0" collapsed="false">
      <c r="A256" s="49" t="n">
        <v>5</v>
      </c>
      <c r="B256" s="35" t="n">
        <v>2025</v>
      </c>
      <c r="C256" s="49" t="s">
        <v>263</v>
      </c>
      <c r="D256" s="49" t="s">
        <v>134</v>
      </c>
      <c r="E256" s="50" t="s">
        <v>135</v>
      </c>
      <c r="F256" s="49" t="s">
        <v>57</v>
      </c>
      <c r="G256" s="37" t="n">
        <v>127</v>
      </c>
      <c r="H256" s="37" t="n">
        <v>36</v>
      </c>
      <c r="I256" s="37" t="n">
        <f aca="false">IFERROR(ROUND('Data Bulanan'!EC55,0),0)</f>
        <v>1029</v>
      </c>
      <c r="J256" s="37" t="n">
        <v>6886289</v>
      </c>
      <c r="K256" s="37" t="n">
        <v>480086</v>
      </c>
      <c r="L256" s="38" t="n">
        <f aca="false">IFERROR(ROUND(SQRT(2*I256*J256/K256),0),0)</f>
        <v>172</v>
      </c>
      <c r="M256" s="39" t="n">
        <f aca="false">IFERROR(AVERAGE('Data Bulanan'!DF55,'Data Bulanan'!DH55,'Data Bulanan'!DJ55,'Data Bulanan'!DL55,'Data Bulanan'!DN55,'Data Bulanan'!DP55,'Data Bulanan'!DR55,'Data Bulanan'!DT55,'Data Bulanan'!DV55,'Data Bulanan'!DX55,'Data Bulanan'!DZ55,'Data Bulanan'!EB55),0)</f>
        <v>2.73296210957501</v>
      </c>
      <c r="N256" s="40" t="n">
        <f aca="false">'Data Bulanan'!ED55</f>
        <v>0.68597028702851</v>
      </c>
      <c r="O256" s="41" t="n">
        <f aca="false">IFERROR(N256*SQRT(H256),0)</f>
        <v>4.11582172217106</v>
      </c>
      <c r="P256" s="42" t="n">
        <f aca="false">IFERROR(ROUND(1.65*O256,0),0)</f>
        <v>7</v>
      </c>
      <c r="Q256" s="43" t="n">
        <f aca="false">IFERROR(ROUND(M256*H256+P256,0),0)</f>
        <v>105</v>
      </c>
      <c r="R256" s="44" t="n">
        <f aca="false">G256-Q256</f>
        <v>22</v>
      </c>
      <c r="S256" s="45" t="str">
        <f aca="false">IF(G256=0,"Stockout ⚠",IF(G256&lt;Q256,"Reorder 🔄",IF(G256&gt;Q256+L256,"Overstock 📦","Aman ✅")))</f>
        <v>Aman ✅</v>
      </c>
      <c r="T256" s="46" t="n">
        <f aca="false">IFERROR(N256/AVERAGE(M252:M256),0)</f>
        <v>0.250311552702696</v>
      </c>
      <c r="U256" s="47" t="n">
        <v>0.33</v>
      </c>
      <c r="V256" s="48" t="n">
        <v>0.149</v>
      </c>
    </row>
    <row r="257" customFormat="false" ht="15" hidden="false" customHeight="true" outlineLevel="0" collapsed="false">
      <c r="A257" s="34" t="n">
        <v>1</v>
      </c>
      <c r="B257" s="35" t="n">
        <v>2021</v>
      </c>
      <c r="C257" s="34" t="s">
        <v>264</v>
      </c>
      <c r="D257" s="34" t="s">
        <v>136</v>
      </c>
      <c r="E257" s="36" t="s">
        <v>137</v>
      </c>
      <c r="F257" s="34" t="s">
        <v>36</v>
      </c>
      <c r="G257" s="37" t="n">
        <v>1237</v>
      </c>
      <c r="H257" s="37" t="n">
        <v>6</v>
      </c>
      <c r="I257" s="37" t="n">
        <f aca="false">IFERROR(ROUND('Data Bulanan'!AC56,0),0)</f>
        <v>12456</v>
      </c>
      <c r="J257" s="37" t="n">
        <v>1991503</v>
      </c>
      <c r="K257" s="37" t="n">
        <v>173634</v>
      </c>
      <c r="L257" s="38" t="n">
        <f aca="false">IFERROR(ROUND(SQRT(2*I257*J257/K257),0),0)</f>
        <v>535</v>
      </c>
      <c r="M257" s="39" t="n">
        <f aca="false">IFERROR(AVERAGE('Data Bulanan'!F56,'Data Bulanan'!H56,'Data Bulanan'!J56,'Data Bulanan'!L56,'Data Bulanan'!N56,'Data Bulanan'!P56,'Data Bulanan'!R56,'Data Bulanan'!T56,'Data Bulanan'!V56,'Data Bulanan'!X56,'Data Bulanan'!Z56,'Data Bulanan'!AB56),0)</f>
        <v>33.2156554019457</v>
      </c>
      <c r="N257" s="40" t="n">
        <f aca="false">'Data Bulanan'!AD56</f>
        <v>9.29638799768586</v>
      </c>
      <c r="O257" s="41" t="n">
        <f aca="false">IFERROR(N257*SQRT(H257),0)</f>
        <v>22.7714070452642</v>
      </c>
      <c r="P257" s="42" t="n">
        <f aca="false">IFERROR(ROUND(1.65*O257,0),0)</f>
        <v>38</v>
      </c>
      <c r="Q257" s="43" t="n">
        <f aca="false">IFERROR(ROUND(M257*H257+P257,0),0)</f>
        <v>237</v>
      </c>
      <c r="R257" s="44" t="n">
        <f aca="false">G257-Q257</f>
        <v>1000</v>
      </c>
      <c r="S257" s="45" t="str">
        <f aca="false">IF(G257=0,"Stockout ⚠",IF(G257&lt;Q257,"Reorder 🔄",IF(G257&gt;Q257+L257,"Overstock 📦","Aman ✅")))</f>
        <v>Overstock 📦</v>
      </c>
      <c r="T257" s="46" t="n">
        <f aca="false">IFERROR(N257/AVERAGE(M257:M261),0)</f>
        <v>0.280114343342096</v>
      </c>
      <c r="U257" s="47" t="n">
        <v>-75.83</v>
      </c>
      <c r="V257" s="48" t="n">
        <v>0.0131</v>
      </c>
    </row>
    <row r="258" customFormat="false" ht="15" hidden="false" customHeight="true" outlineLevel="0" collapsed="false">
      <c r="A258" s="34" t="n">
        <v>2</v>
      </c>
      <c r="B258" s="35" t="n">
        <v>2022</v>
      </c>
      <c r="C258" s="34" t="s">
        <v>264</v>
      </c>
      <c r="D258" s="34" t="s">
        <v>136</v>
      </c>
      <c r="E258" s="36" t="s">
        <v>137</v>
      </c>
      <c r="F258" s="34" t="s">
        <v>36</v>
      </c>
      <c r="G258" s="37" t="n">
        <v>932</v>
      </c>
      <c r="H258" s="37" t="n">
        <v>6</v>
      </c>
      <c r="I258" s="37" t="n">
        <f aca="false">IFERROR(ROUND('Data Bulanan'!BC56,0),0)</f>
        <v>11603</v>
      </c>
      <c r="J258" s="37" t="n">
        <v>1932866</v>
      </c>
      <c r="K258" s="37" t="n">
        <v>171656</v>
      </c>
      <c r="L258" s="38" t="n">
        <f aca="false">IFERROR(ROUND(SQRT(2*I258*J258/K258),0),0)</f>
        <v>511</v>
      </c>
      <c r="M258" s="39" t="n">
        <f aca="false">IFERROR(AVERAGE('Data Bulanan'!AF56,'Data Bulanan'!AH56,'Data Bulanan'!AJ56,'Data Bulanan'!AL56,'Data Bulanan'!AN56,'Data Bulanan'!AP56,'Data Bulanan'!AR56,'Data Bulanan'!AT56,'Data Bulanan'!AV56,'Data Bulanan'!AX56,'Data Bulanan'!AZ56,'Data Bulanan'!BB56),0)</f>
        <v>30.8990655401946</v>
      </c>
      <c r="N258" s="40" t="n">
        <f aca="false">'Data Bulanan'!BD56</f>
        <v>8.25242891246229</v>
      </c>
      <c r="O258" s="41" t="n">
        <f aca="false">IFERROR(N258*SQRT(H258),0)</f>
        <v>20.2142399741237</v>
      </c>
      <c r="P258" s="42" t="n">
        <f aca="false">IFERROR(ROUND(1.65*O258,0),0)</f>
        <v>33</v>
      </c>
      <c r="Q258" s="43" t="n">
        <f aca="false">IFERROR(ROUND(M258*H258+P258,0),0)</f>
        <v>218</v>
      </c>
      <c r="R258" s="44" t="n">
        <f aca="false">G258-Q258</f>
        <v>714</v>
      </c>
      <c r="S258" s="45" t="str">
        <f aca="false">IF(G258=0,"Stockout ⚠",IF(G258&lt;Q258,"Reorder 🔄",IF(G258&gt;Q258+L258,"Overstock 📦","Aman ✅")))</f>
        <v>Overstock 📦</v>
      </c>
      <c r="T258" s="46" t="n">
        <f aca="false">IFERROR(N258/AVERAGE(M257:M261),0)</f>
        <v>0.248658264518126</v>
      </c>
      <c r="U258" s="47" t="n">
        <v>-75.83</v>
      </c>
      <c r="V258" s="48" t="n">
        <v>0.0131</v>
      </c>
    </row>
    <row r="259" customFormat="false" ht="15" hidden="false" customHeight="true" outlineLevel="0" collapsed="false">
      <c r="A259" s="34" t="n">
        <v>3</v>
      </c>
      <c r="B259" s="35" t="n">
        <v>2023</v>
      </c>
      <c r="C259" s="34" t="s">
        <v>264</v>
      </c>
      <c r="D259" s="34" t="s">
        <v>136</v>
      </c>
      <c r="E259" s="36" t="s">
        <v>137</v>
      </c>
      <c r="F259" s="34" t="s">
        <v>36</v>
      </c>
      <c r="G259" s="37" t="n">
        <v>1853</v>
      </c>
      <c r="H259" s="37" t="n">
        <v>6</v>
      </c>
      <c r="I259" s="37" t="n">
        <f aca="false">IFERROR(ROUND('Data Bulanan'!CC56,0),0)</f>
        <v>13735</v>
      </c>
      <c r="J259" s="37" t="n">
        <v>2041217</v>
      </c>
      <c r="K259" s="37" t="n">
        <v>154233</v>
      </c>
      <c r="L259" s="38" t="n">
        <f aca="false">IFERROR(ROUND(SQRT(2*I259*J259/K259),0),0)</f>
        <v>603</v>
      </c>
      <c r="M259" s="39" t="n">
        <f aca="false">IFERROR(AVERAGE('Data Bulanan'!BF56,'Data Bulanan'!BH56,'Data Bulanan'!BJ56,'Data Bulanan'!BL56,'Data Bulanan'!BN56,'Data Bulanan'!BP56,'Data Bulanan'!BR56,'Data Bulanan'!BT56,'Data Bulanan'!BV56,'Data Bulanan'!BX56,'Data Bulanan'!BZ56,'Data Bulanan'!CB56),0)</f>
        <v>36.5888632872504</v>
      </c>
      <c r="N259" s="40" t="n">
        <f aca="false">'Data Bulanan'!CD56</f>
        <v>8.90788787188534</v>
      </c>
      <c r="O259" s="41" t="n">
        <f aca="false">IFERROR(N259*SQRT(H259),0)</f>
        <v>21.8197799720458</v>
      </c>
      <c r="P259" s="42" t="n">
        <f aca="false">IFERROR(ROUND(1.65*O259,0),0)</f>
        <v>36</v>
      </c>
      <c r="Q259" s="43" t="n">
        <f aca="false">IFERROR(ROUND(M259*H259+P259,0),0)</f>
        <v>256</v>
      </c>
      <c r="R259" s="44" t="n">
        <f aca="false">G259-Q259</f>
        <v>1597</v>
      </c>
      <c r="S259" s="45" t="str">
        <f aca="false">IF(G259=0,"Stockout ⚠",IF(G259&lt;Q259,"Reorder 🔄",IF(G259&gt;Q259+L259,"Overstock 📦","Aman ✅")))</f>
        <v>Overstock 📦</v>
      </c>
      <c r="T259" s="46" t="n">
        <f aca="false">IFERROR(N259/AVERAGE(M257:M261),0)</f>
        <v>0.268408242257027</v>
      </c>
      <c r="U259" s="47" t="n">
        <v>-75.83</v>
      </c>
      <c r="V259" s="48" t="n">
        <v>0.0131</v>
      </c>
    </row>
    <row r="260" customFormat="false" ht="15" hidden="false" customHeight="true" outlineLevel="0" collapsed="false">
      <c r="A260" s="34" t="n">
        <v>4</v>
      </c>
      <c r="B260" s="35" t="n">
        <v>2024</v>
      </c>
      <c r="C260" s="34" t="s">
        <v>264</v>
      </c>
      <c r="D260" s="34" t="s">
        <v>136</v>
      </c>
      <c r="E260" s="36" t="s">
        <v>137</v>
      </c>
      <c r="F260" s="34" t="s">
        <v>36</v>
      </c>
      <c r="G260" s="37" t="n">
        <v>0</v>
      </c>
      <c r="H260" s="37" t="n">
        <v>6</v>
      </c>
      <c r="I260" s="37" t="n">
        <f aca="false">IFERROR(ROUND('Data Bulanan'!DC56,0),0)</f>
        <v>13237</v>
      </c>
      <c r="J260" s="37" t="n">
        <v>2107512</v>
      </c>
      <c r="K260" s="37" t="n">
        <v>155572</v>
      </c>
      <c r="L260" s="38" t="n">
        <f aca="false">IFERROR(ROUND(SQRT(2*I260*J260/K260),0),0)</f>
        <v>599</v>
      </c>
      <c r="M260" s="39" t="n">
        <f aca="false">IFERROR(AVERAGE('Data Bulanan'!CF56,'Data Bulanan'!CH56,'Data Bulanan'!CJ56,'Data Bulanan'!CL56,'Data Bulanan'!CN56,'Data Bulanan'!CP56,'Data Bulanan'!CR56,'Data Bulanan'!CT56,'Data Bulanan'!CV56,'Data Bulanan'!CX56,'Data Bulanan'!CZ56,'Data Bulanan'!DB56),0)</f>
        <v>35.2591909882232</v>
      </c>
      <c r="N260" s="40" t="n">
        <f aca="false">'Data Bulanan'!DD56</f>
        <v>7.9808679228182</v>
      </c>
      <c r="O260" s="41" t="n">
        <f aca="false">IFERROR(N260*SQRT(H260),0)</f>
        <v>19.5490541154505</v>
      </c>
      <c r="P260" s="42" t="n">
        <f aca="false">IFERROR(ROUND(1.65*O260,0),0)</f>
        <v>32</v>
      </c>
      <c r="Q260" s="43" t="n">
        <f aca="false">IFERROR(ROUND(M260*H260+P260,0),0)</f>
        <v>244</v>
      </c>
      <c r="R260" s="44" t="n">
        <f aca="false">G260-Q260</f>
        <v>-244</v>
      </c>
      <c r="S260" s="45" t="str">
        <f aca="false">IF(G260=0,"Stockout ⚠",IF(G260&lt;Q260,"Reorder 🔄",IF(G260&gt;Q260+L260,"Overstock 📦","Aman ✅")))</f>
        <v>Stockout ⚠</v>
      </c>
      <c r="T260" s="46" t="n">
        <f aca="false">IFERROR(N260/AVERAGE(M257:M261),0)</f>
        <v>0.240475717887067</v>
      </c>
      <c r="U260" s="47" t="n">
        <v>-75.83</v>
      </c>
      <c r="V260" s="48" t="n">
        <v>0.0131</v>
      </c>
    </row>
    <row r="261" customFormat="false" ht="15" hidden="false" customHeight="true" outlineLevel="0" collapsed="false">
      <c r="A261" s="34" t="n">
        <v>5</v>
      </c>
      <c r="B261" s="35" t="n">
        <v>2025</v>
      </c>
      <c r="C261" s="34" t="s">
        <v>264</v>
      </c>
      <c r="D261" s="34" t="s">
        <v>136</v>
      </c>
      <c r="E261" s="36" t="s">
        <v>137</v>
      </c>
      <c r="F261" s="34" t="s">
        <v>36</v>
      </c>
      <c r="G261" s="37" t="n">
        <v>2061</v>
      </c>
      <c r="H261" s="37" t="n">
        <v>6</v>
      </c>
      <c r="I261" s="37" t="n">
        <f aca="false">IFERROR(ROUND('Data Bulanan'!EC56,0),0)</f>
        <v>11260</v>
      </c>
      <c r="J261" s="37" t="n">
        <v>2082324</v>
      </c>
      <c r="K261" s="37" t="n">
        <v>173065</v>
      </c>
      <c r="L261" s="38" t="n">
        <f aca="false">IFERROR(ROUND(SQRT(2*I261*J261/K261),0),0)</f>
        <v>521</v>
      </c>
      <c r="M261" s="39" t="n">
        <f aca="false">IFERROR(AVERAGE('Data Bulanan'!DF56,'Data Bulanan'!DH56,'Data Bulanan'!DJ56,'Data Bulanan'!DL56,'Data Bulanan'!DN56,'Data Bulanan'!DP56,'Data Bulanan'!DR56,'Data Bulanan'!DT56,'Data Bulanan'!DV56,'Data Bulanan'!DX56,'Data Bulanan'!DZ56,'Data Bulanan'!EB56),0)</f>
        <v>29.9763888888889</v>
      </c>
      <c r="N261" s="40" t="n">
        <f aca="false">'Data Bulanan'!ED56</f>
        <v>5.46544033762963</v>
      </c>
      <c r="O261" s="41" t="n">
        <f aca="false">IFERROR(N261*SQRT(H261),0)</f>
        <v>13.3875400468172</v>
      </c>
      <c r="P261" s="42" t="n">
        <f aca="false">IFERROR(ROUND(1.65*O261,0),0)</f>
        <v>22</v>
      </c>
      <c r="Q261" s="43" t="n">
        <f aca="false">IFERROR(ROUND(M261*H261+P261,0),0)</f>
        <v>202</v>
      </c>
      <c r="R261" s="44" t="n">
        <f aca="false">G261-Q261</f>
        <v>1859</v>
      </c>
      <c r="S261" s="45" t="str">
        <f aca="false">IF(G261=0,"Stockout ⚠",IF(G261&lt;Q261,"Reorder 🔄",IF(G261&gt;Q261+L261,"Overstock 📦","Aman ✅")))</f>
        <v>Overstock 📦</v>
      </c>
      <c r="T261" s="46" t="n">
        <f aca="false">IFERROR(N261/AVERAGE(M257:M261),0)</f>
        <v>0.16468204980597</v>
      </c>
      <c r="U261" s="47" t="n">
        <v>-75.83</v>
      </c>
      <c r="V261" s="48" t="n">
        <v>0.0131</v>
      </c>
    </row>
    <row r="262" customFormat="false" ht="15" hidden="false" customHeight="true" outlineLevel="0" collapsed="false">
      <c r="A262" s="49" t="n">
        <v>1</v>
      </c>
      <c r="B262" s="35" t="n">
        <v>2021</v>
      </c>
      <c r="C262" s="49" t="s">
        <v>263</v>
      </c>
      <c r="D262" s="49" t="s">
        <v>138</v>
      </c>
      <c r="E262" s="50" t="s">
        <v>139</v>
      </c>
      <c r="F262" s="49" t="s">
        <v>36</v>
      </c>
      <c r="G262" s="37" t="n">
        <v>2198</v>
      </c>
      <c r="H262" s="37" t="n">
        <v>8</v>
      </c>
      <c r="I262" s="37" t="n">
        <f aca="false">IFERROR(ROUND('Data Bulanan'!AC57,0),0)</f>
        <v>29494</v>
      </c>
      <c r="J262" s="37" t="n">
        <v>1426510</v>
      </c>
      <c r="K262" s="37" t="n">
        <v>318836</v>
      </c>
      <c r="L262" s="38" t="n">
        <f aca="false">IFERROR(ROUND(SQRT(2*I262*J262/K262),0),0)</f>
        <v>514</v>
      </c>
      <c r="M262" s="39" t="n">
        <f aca="false">IFERROR(AVERAGE('Data Bulanan'!F57,'Data Bulanan'!H57,'Data Bulanan'!J57,'Data Bulanan'!L57,'Data Bulanan'!N57,'Data Bulanan'!P57,'Data Bulanan'!R57,'Data Bulanan'!T57,'Data Bulanan'!V57,'Data Bulanan'!X57,'Data Bulanan'!Z57,'Data Bulanan'!AB57),0)</f>
        <v>78.5065028161802</v>
      </c>
      <c r="N262" s="40" t="n">
        <f aca="false">'Data Bulanan'!AD57</f>
        <v>18.5681852563476</v>
      </c>
      <c r="O262" s="41" t="n">
        <f aca="false">IFERROR(N262*SQRT(H262),0)</f>
        <v>52.5187588363657</v>
      </c>
      <c r="P262" s="42" t="n">
        <f aca="false">IFERROR(ROUND(1.65*O262,0),0)</f>
        <v>87</v>
      </c>
      <c r="Q262" s="43" t="n">
        <f aca="false">IFERROR(ROUND(M262*H262+P262,0),0)</f>
        <v>715</v>
      </c>
      <c r="R262" s="44" t="n">
        <f aca="false">G262-Q262</f>
        <v>1483</v>
      </c>
      <c r="S262" s="45" t="str">
        <f aca="false">IF(G262=0,"Stockout ⚠",IF(G262&lt;Q262,"Reorder 🔄",IF(G262&gt;Q262+L262,"Overstock 📦","Aman ✅")))</f>
        <v>Overstock 📦</v>
      </c>
      <c r="T262" s="46" t="n">
        <f aca="false">IFERROR(N262/AVERAGE(M262:M266),0)</f>
        <v>0.228758144403533</v>
      </c>
      <c r="U262" s="47" t="n">
        <v>293.03</v>
      </c>
      <c r="V262" s="48" t="n">
        <v>0.0114</v>
      </c>
    </row>
    <row r="263" customFormat="false" ht="15" hidden="false" customHeight="true" outlineLevel="0" collapsed="false">
      <c r="A263" s="49" t="n">
        <v>2</v>
      </c>
      <c r="B263" s="35" t="n">
        <v>2022</v>
      </c>
      <c r="C263" s="49" t="s">
        <v>263</v>
      </c>
      <c r="D263" s="49" t="s">
        <v>138</v>
      </c>
      <c r="E263" s="50" t="s">
        <v>139</v>
      </c>
      <c r="F263" s="49" t="s">
        <v>36</v>
      </c>
      <c r="G263" s="37" t="n">
        <v>1391</v>
      </c>
      <c r="H263" s="37" t="n">
        <v>8</v>
      </c>
      <c r="I263" s="37" t="n">
        <f aca="false">IFERROR(ROUND('Data Bulanan'!BC57,0),0)</f>
        <v>34706</v>
      </c>
      <c r="J263" s="37" t="n">
        <v>1452791</v>
      </c>
      <c r="K263" s="37" t="n">
        <v>327645</v>
      </c>
      <c r="L263" s="38" t="n">
        <f aca="false">IFERROR(ROUND(SQRT(2*I263*J263/K263),0),0)</f>
        <v>555</v>
      </c>
      <c r="M263" s="39" t="n">
        <f aca="false">IFERROR(AVERAGE('Data Bulanan'!AF57,'Data Bulanan'!AH57,'Data Bulanan'!AJ57,'Data Bulanan'!AL57,'Data Bulanan'!AN57,'Data Bulanan'!AP57,'Data Bulanan'!AR57,'Data Bulanan'!AT57,'Data Bulanan'!AV57,'Data Bulanan'!AX57,'Data Bulanan'!AZ57,'Data Bulanan'!BB57),0)</f>
        <v>92.4110535074245</v>
      </c>
      <c r="N263" s="40" t="n">
        <f aca="false">'Data Bulanan'!BD57</f>
        <v>17.3274081542968</v>
      </c>
      <c r="O263" s="41" t="n">
        <f aca="false">IFERROR(N263*SQRT(H263),0)</f>
        <v>49.0093112251615</v>
      </c>
      <c r="P263" s="42" t="n">
        <f aca="false">IFERROR(ROUND(1.65*O263,0),0)</f>
        <v>81</v>
      </c>
      <c r="Q263" s="43" t="n">
        <f aca="false">IFERROR(ROUND(M263*H263+P263,0),0)</f>
        <v>820</v>
      </c>
      <c r="R263" s="44" t="n">
        <f aca="false">G263-Q263</f>
        <v>571</v>
      </c>
      <c r="S263" s="45" t="str">
        <f aca="false">IF(G263=0,"Stockout ⚠",IF(G263&lt;Q263,"Reorder 🔄",IF(G263&gt;Q263+L263,"Overstock 📦","Aman ✅")))</f>
        <v>Overstock 📦</v>
      </c>
      <c r="T263" s="46" t="n">
        <f aca="false">IFERROR(N263/AVERAGE(M262:M266),0)</f>
        <v>0.213471897332808</v>
      </c>
      <c r="U263" s="47" t="n">
        <v>293.03</v>
      </c>
      <c r="V263" s="48" t="n">
        <v>0.0114</v>
      </c>
    </row>
    <row r="264" customFormat="false" ht="15" hidden="false" customHeight="true" outlineLevel="0" collapsed="false">
      <c r="A264" s="49" t="n">
        <v>3</v>
      </c>
      <c r="B264" s="35" t="n">
        <v>2023</v>
      </c>
      <c r="C264" s="49" t="s">
        <v>263</v>
      </c>
      <c r="D264" s="49" t="s">
        <v>138</v>
      </c>
      <c r="E264" s="50" t="s">
        <v>139</v>
      </c>
      <c r="F264" s="49" t="s">
        <v>36</v>
      </c>
      <c r="G264" s="37" t="n">
        <v>0</v>
      </c>
      <c r="H264" s="37" t="n">
        <v>8</v>
      </c>
      <c r="I264" s="37" t="n">
        <f aca="false">IFERROR(ROUND('Data Bulanan'!CC57,0),0)</f>
        <v>26776</v>
      </c>
      <c r="J264" s="37" t="n">
        <v>1388436</v>
      </c>
      <c r="K264" s="37" t="n">
        <v>321027</v>
      </c>
      <c r="L264" s="38" t="n">
        <f aca="false">IFERROR(ROUND(SQRT(2*I264*J264/K264),0),0)</f>
        <v>481</v>
      </c>
      <c r="M264" s="39" t="n">
        <f aca="false">IFERROR(AVERAGE('Data Bulanan'!BF57,'Data Bulanan'!BH57,'Data Bulanan'!BJ57,'Data Bulanan'!BL57,'Data Bulanan'!BN57,'Data Bulanan'!BP57,'Data Bulanan'!BR57,'Data Bulanan'!BT57,'Data Bulanan'!BV57,'Data Bulanan'!BX57,'Data Bulanan'!BZ57,'Data Bulanan'!CB57),0)</f>
        <v>71.2104518689196</v>
      </c>
      <c r="N264" s="40" t="n">
        <f aca="false">'Data Bulanan'!CD57</f>
        <v>16.8542827756032</v>
      </c>
      <c r="O264" s="41" t="n">
        <f aca="false">IFERROR(N264*SQRT(H264),0)</f>
        <v>47.6711105706587</v>
      </c>
      <c r="P264" s="42" t="n">
        <f aca="false">IFERROR(ROUND(1.65*O264,0),0)</f>
        <v>79</v>
      </c>
      <c r="Q264" s="43" t="n">
        <f aca="false">IFERROR(ROUND(M264*H264+P264,0),0)</f>
        <v>649</v>
      </c>
      <c r="R264" s="44" t="n">
        <f aca="false">G264-Q264</f>
        <v>-649</v>
      </c>
      <c r="S264" s="45" t="str">
        <f aca="false">IF(G264=0,"Stockout ⚠",IF(G264&lt;Q264,"Reorder 🔄",IF(G264&gt;Q264+L264,"Overstock 📦","Aman ✅")))</f>
        <v>Stockout ⚠</v>
      </c>
      <c r="T264" s="46" t="n">
        <f aca="false">IFERROR(N264/AVERAGE(M262:M266),0)</f>
        <v>0.207643041028008</v>
      </c>
      <c r="U264" s="47" t="n">
        <v>293.03</v>
      </c>
      <c r="V264" s="48" t="n">
        <v>0.0114</v>
      </c>
    </row>
    <row r="265" customFormat="false" ht="15" hidden="false" customHeight="true" outlineLevel="0" collapsed="false">
      <c r="A265" s="49" t="n">
        <v>4</v>
      </c>
      <c r="B265" s="35" t="n">
        <v>2024</v>
      </c>
      <c r="C265" s="49" t="s">
        <v>263</v>
      </c>
      <c r="D265" s="49" t="s">
        <v>138</v>
      </c>
      <c r="E265" s="50" t="s">
        <v>139</v>
      </c>
      <c r="F265" s="49" t="s">
        <v>36</v>
      </c>
      <c r="G265" s="37" t="n">
        <v>1840</v>
      </c>
      <c r="H265" s="37" t="n">
        <v>8</v>
      </c>
      <c r="I265" s="37" t="n">
        <f aca="false">IFERROR(ROUND('Data Bulanan'!DC57,0),0)</f>
        <v>26071</v>
      </c>
      <c r="J265" s="37" t="n">
        <v>1356182</v>
      </c>
      <c r="K265" s="37" t="n">
        <v>284115</v>
      </c>
      <c r="L265" s="38" t="n">
        <f aca="false">IFERROR(ROUND(SQRT(2*I265*J265/K265),0),0)</f>
        <v>499</v>
      </c>
      <c r="M265" s="39" t="n">
        <f aca="false">IFERROR(AVERAGE('Data Bulanan'!CF57,'Data Bulanan'!CH57,'Data Bulanan'!CJ57,'Data Bulanan'!CL57,'Data Bulanan'!CN57,'Data Bulanan'!CP57,'Data Bulanan'!CR57,'Data Bulanan'!CT57,'Data Bulanan'!CV57,'Data Bulanan'!CX57,'Data Bulanan'!CZ57,'Data Bulanan'!DB57),0)</f>
        <v>69.6101702508961</v>
      </c>
      <c r="N265" s="40" t="n">
        <f aca="false">'Data Bulanan'!DD57</f>
        <v>18.2051916729835</v>
      </c>
      <c r="O265" s="41" t="n">
        <f aca="false">IFERROR(N265*SQRT(H265),0)</f>
        <v>51.4920579390701</v>
      </c>
      <c r="P265" s="42" t="n">
        <f aca="false">IFERROR(ROUND(1.65*O265,0),0)</f>
        <v>85</v>
      </c>
      <c r="Q265" s="43" t="n">
        <f aca="false">IFERROR(ROUND(M265*H265+P265,0),0)</f>
        <v>642</v>
      </c>
      <c r="R265" s="44" t="n">
        <f aca="false">G265-Q265</f>
        <v>1198</v>
      </c>
      <c r="S265" s="45" t="str">
        <f aca="false">IF(G265=0,"Stockout ⚠",IF(G265&lt;Q265,"Reorder 🔄",IF(G265&gt;Q265+L265,"Overstock 📦","Aman ✅")))</f>
        <v>Overstock 📦</v>
      </c>
      <c r="T265" s="46" t="n">
        <f aca="false">IFERROR(N265/AVERAGE(M262:M266),0)</f>
        <v>0.224286100560026</v>
      </c>
      <c r="U265" s="47" t="n">
        <v>293.03</v>
      </c>
      <c r="V265" s="48" t="n">
        <v>0.0114</v>
      </c>
    </row>
    <row r="266" customFormat="false" ht="15" hidden="false" customHeight="true" outlineLevel="0" collapsed="false">
      <c r="A266" s="49" t="n">
        <v>5</v>
      </c>
      <c r="B266" s="35" t="n">
        <v>2025</v>
      </c>
      <c r="C266" s="49" t="s">
        <v>263</v>
      </c>
      <c r="D266" s="49" t="s">
        <v>138</v>
      </c>
      <c r="E266" s="50" t="s">
        <v>139</v>
      </c>
      <c r="F266" s="49" t="s">
        <v>36</v>
      </c>
      <c r="G266" s="37" t="n">
        <v>2218</v>
      </c>
      <c r="H266" s="37" t="n">
        <v>8</v>
      </c>
      <c r="I266" s="37" t="n">
        <f aca="false">IFERROR(ROUND('Data Bulanan'!EC57,0),0)</f>
        <v>35277</v>
      </c>
      <c r="J266" s="37" t="n">
        <v>1381597</v>
      </c>
      <c r="K266" s="37" t="n">
        <v>341121</v>
      </c>
      <c r="L266" s="38" t="n">
        <f aca="false">IFERROR(ROUND(SQRT(2*I266*J266/K266),0),0)</f>
        <v>535</v>
      </c>
      <c r="M266" s="39" t="n">
        <f aca="false">IFERROR(AVERAGE('Data Bulanan'!DF57,'Data Bulanan'!DH57,'Data Bulanan'!DJ57,'Data Bulanan'!DL57,'Data Bulanan'!DN57,'Data Bulanan'!DP57,'Data Bulanan'!DR57,'Data Bulanan'!DT57,'Data Bulanan'!DV57,'Data Bulanan'!DX57,'Data Bulanan'!DZ57,'Data Bulanan'!EB57),0)</f>
        <v>94.1093445980543</v>
      </c>
      <c r="N266" s="40" t="n">
        <f aca="false">'Data Bulanan'!ED57</f>
        <v>17.9001782746319</v>
      </c>
      <c r="O266" s="41" t="n">
        <f aca="false">IFERROR(N266*SQRT(H266),0)</f>
        <v>50.6293497697612</v>
      </c>
      <c r="P266" s="42" t="n">
        <f aca="false">IFERROR(ROUND(1.65*O266,0),0)</f>
        <v>84</v>
      </c>
      <c r="Q266" s="43" t="n">
        <f aca="false">IFERROR(ROUND(M266*H266+P266,0),0)</f>
        <v>837</v>
      </c>
      <c r="R266" s="44" t="n">
        <f aca="false">G266-Q266</f>
        <v>1381</v>
      </c>
      <c r="S266" s="45" t="str">
        <f aca="false">IF(G266=0,"Stockout ⚠",IF(G266&lt;Q266,"Reorder 🔄",IF(G266&gt;Q266+L266,"Overstock 📦","Aman ✅")))</f>
        <v>Overstock 📦</v>
      </c>
      <c r="T266" s="46" t="n">
        <f aca="false">IFERROR(N266/AVERAGE(M262:M266),0)</f>
        <v>0.220528366669403</v>
      </c>
      <c r="U266" s="47" t="n">
        <v>293.03</v>
      </c>
      <c r="V266" s="48" t="n">
        <v>0.0114</v>
      </c>
    </row>
    <row r="267" customFormat="false" ht="15" hidden="false" customHeight="true" outlineLevel="0" collapsed="false">
      <c r="A267" s="34" t="n">
        <v>1</v>
      </c>
      <c r="B267" s="35" t="n">
        <v>2021</v>
      </c>
      <c r="C267" s="34" t="s">
        <v>264</v>
      </c>
      <c r="D267" s="34" t="s">
        <v>140</v>
      </c>
      <c r="E267" s="36" t="s">
        <v>141</v>
      </c>
      <c r="F267" s="34" t="s">
        <v>36</v>
      </c>
      <c r="G267" s="37" t="n">
        <v>0</v>
      </c>
      <c r="H267" s="37" t="n">
        <v>38</v>
      </c>
      <c r="I267" s="37" t="n">
        <f aca="false">IFERROR(ROUND('Data Bulanan'!AC58,0),0)</f>
        <v>34964</v>
      </c>
      <c r="J267" s="37" t="n">
        <v>7801476</v>
      </c>
      <c r="K267" s="37" t="n">
        <v>86627</v>
      </c>
      <c r="L267" s="38" t="n">
        <f aca="false">IFERROR(ROUND(SQRT(2*I267*J267/K267),0),0)</f>
        <v>2510</v>
      </c>
      <c r="M267" s="39" t="n">
        <f aca="false">IFERROR(AVERAGE('Data Bulanan'!F58,'Data Bulanan'!H58,'Data Bulanan'!J58,'Data Bulanan'!L58,'Data Bulanan'!N58,'Data Bulanan'!P58,'Data Bulanan'!R58,'Data Bulanan'!T58,'Data Bulanan'!V58,'Data Bulanan'!X58,'Data Bulanan'!Z58,'Data Bulanan'!AB58),0)</f>
        <v>92.9364247311828</v>
      </c>
      <c r="N267" s="40" t="n">
        <f aca="false">'Data Bulanan'!AD58</f>
        <v>15.554435774497</v>
      </c>
      <c r="O267" s="41" t="n">
        <f aca="false">IFERROR(N267*SQRT(H267),0)</f>
        <v>95.8839816965909</v>
      </c>
      <c r="P267" s="42" t="n">
        <f aca="false">IFERROR(ROUND(1.65*O267,0),0)</f>
        <v>158</v>
      </c>
      <c r="Q267" s="43" t="n">
        <f aca="false">IFERROR(ROUND(M267*H267+P267,0),0)</f>
        <v>3690</v>
      </c>
      <c r="R267" s="44" t="n">
        <f aca="false">G267-Q267</f>
        <v>-3690</v>
      </c>
      <c r="S267" s="45" t="str">
        <f aca="false">IF(G267=0,"Stockout ⚠",IF(G267&lt;Q267,"Reorder 🔄",IF(G267&gt;Q267+L267,"Overstock 📦","Aman ✅")))</f>
        <v>Stockout ⚠</v>
      </c>
      <c r="T267" s="46" t="n">
        <f aca="false">IFERROR(N267/AVERAGE(M267:M271),0)</f>
        <v>0.161227541916036</v>
      </c>
      <c r="U267" s="47" t="n">
        <v>1022.76</v>
      </c>
      <c r="V267" s="48" t="n">
        <v>0.4078</v>
      </c>
    </row>
    <row r="268" customFormat="false" ht="15" hidden="false" customHeight="true" outlineLevel="0" collapsed="false">
      <c r="A268" s="34" t="n">
        <v>2</v>
      </c>
      <c r="B268" s="35" t="n">
        <v>2022</v>
      </c>
      <c r="C268" s="34" t="s">
        <v>264</v>
      </c>
      <c r="D268" s="34" t="s">
        <v>140</v>
      </c>
      <c r="E268" s="36" t="s">
        <v>141</v>
      </c>
      <c r="F268" s="34" t="s">
        <v>36</v>
      </c>
      <c r="G268" s="37" t="n">
        <v>0</v>
      </c>
      <c r="H268" s="37" t="n">
        <v>38</v>
      </c>
      <c r="I268" s="37" t="n">
        <f aca="false">IFERROR(ROUND('Data Bulanan'!BC58,0),0)</f>
        <v>34691</v>
      </c>
      <c r="J268" s="37" t="n">
        <v>7187067</v>
      </c>
      <c r="K268" s="37" t="n">
        <v>84679</v>
      </c>
      <c r="L268" s="38" t="n">
        <f aca="false">IFERROR(ROUND(SQRT(2*I268*J268/K268),0),0)</f>
        <v>2427</v>
      </c>
      <c r="M268" s="39" t="n">
        <f aca="false">IFERROR(AVERAGE('Data Bulanan'!AF58,'Data Bulanan'!AH58,'Data Bulanan'!AJ58,'Data Bulanan'!AL58,'Data Bulanan'!AN58,'Data Bulanan'!AP58,'Data Bulanan'!AR58,'Data Bulanan'!AT58,'Data Bulanan'!AV58,'Data Bulanan'!AX58,'Data Bulanan'!AZ58,'Data Bulanan'!BB58),0)</f>
        <v>92.509280593958</v>
      </c>
      <c r="N268" s="40" t="n">
        <f aca="false">'Data Bulanan'!BD58</f>
        <v>25.0763445251923</v>
      </c>
      <c r="O268" s="41" t="n">
        <f aca="false">IFERROR(N268*SQRT(H268),0)</f>
        <v>154.58096933437</v>
      </c>
      <c r="P268" s="42" t="n">
        <f aca="false">IFERROR(ROUND(1.65*O268,0),0)</f>
        <v>255</v>
      </c>
      <c r="Q268" s="43" t="n">
        <f aca="false">IFERROR(ROUND(M268*H268+P268,0),0)</f>
        <v>3770</v>
      </c>
      <c r="R268" s="44" t="n">
        <f aca="false">G268-Q268</f>
        <v>-3770</v>
      </c>
      <c r="S268" s="45" t="str">
        <f aca="false">IF(G268=0,"Stockout ⚠",IF(G268&lt;Q268,"Reorder 🔄",IF(G268&gt;Q268+L268,"Overstock 📦","Aman ✅")))</f>
        <v>Stockout ⚠</v>
      </c>
      <c r="T268" s="46" t="n">
        <f aca="false">IFERROR(N268/AVERAGE(M267:M271),0)</f>
        <v>0.259925685936181</v>
      </c>
      <c r="U268" s="47" t="n">
        <v>1022.76</v>
      </c>
      <c r="V268" s="48" t="n">
        <v>0.4078</v>
      </c>
    </row>
    <row r="269" customFormat="false" ht="15" hidden="false" customHeight="true" outlineLevel="0" collapsed="false">
      <c r="A269" s="34" t="n">
        <v>3</v>
      </c>
      <c r="B269" s="35" t="n">
        <v>2023</v>
      </c>
      <c r="C269" s="34" t="s">
        <v>264</v>
      </c>
      <c r="D269" s="34" t="s">
        <v>140</v>
      </c>
      <c r="E269" s="36" t="s">
        <v>141</v>
      </c>
      <c r="F269" s="34" t="s">
        <v>36</v>
      </c>
      <c r="G269" s="37" t="n">
        <v>14393</v>
      </c>
      <c r="H269" s="37" t="n">
        <v>38</v>
      </c>
      <c r="I269" s="37" t="n">
        <f aca="false">IFERROR(ROUND('Data Bulanan'!CC58,0),0)</f>
        <v>34077</v>
      </c>
      <c r="J269" s="37" t="n">
        <v>7945194</v>
      </c>
      <c r="K269" s="37" t="n">
        <v>91815</v>
      </c>
      <c r="L269" s="38" t="n">
        <f aca="false">IFERROR(ROUND(SQRT(2*I269*J269/K269),0),0)</f>
        <v>2429</v>
      </c>
      <c r="M269" s="39" t="n">
        <f aca="false">IFERROR(AVERAGE('Data Bulanan'!BF58,'Data Bulanan'!BH58,'Data Bulanan'!BJ58,'Data Bulanan'!BL58,'Data Bulanan'!BN58,'Data Bulanan'!BP58,'Data Bulanan'!BR58,'Data Bulanan'!BT58,'Data Bulanan'!BV58,'Data Bulanan'!BX58,'Data Bulanan'!BZ58,'Data Bulanan'!CB58),0)</f>
        <v>90.6037058371736</v>
      </c>
      <c r="N269" s="40" t="n">
        <f aca="false">'Data Bulanan'!CD58</f>
        <v>20.4217196769896</v>
      </c>
      <c r="O269" s="41" t="n">
        <f aca="false">IFERROR(N269*SQRT(H269),0)</f>
        <v>125.887934741541</v>
      </c>
      <c r="P269" s="42" t="n">
        <f aca="false">IFERROR(ROUND(1.65*O269,0),0)</f>
        <v>208</v>
      </c>
      <c r="Q269" s="43" t="n">
        <f aca="false">IFERROR(ROUND(M269*H269+P269,0),0)</f>
        <v>3651</v>
      </c>
      <c r="R269" s="44" t="n">
        <f aca="false">G269-Q269</f>
        <v>10742</v>
      </c>
      <c r="S269" s="45" t="str">
        <f aca="false">IF(G269=0,"Stockout ⚠",IF(G269&lt;Q269,"Reorder 🔄",IF(G269&gt;Q269+L269,"Overstock 📦","Aman ✅")))</f>
        <v>Overstock 📦</v>
      </c>
      <c r="T269" s="46" t="n">
        <f aca="false">IFERROR(N269/AVERAGE(M267:M271),0)</f>
        <v>0.211678759226858</v>
      </c>
      <c r="U269" s="47" t="n">
        <v>1022.76</v>
      </c>
      <c r="V269" s="48" t="n">
        <v>0.4078</v>
      </c>
    </row>
    <row r="270" customFormat="false" ht="15" hidden="false" customHeight="true" outlineLevel="0" collapsed="false">
      <c r="A270" s="34" t="n">
        <v>4</v>
      </c>
      <c r="B270" s="35" t="n">
        <v>2024</v>
      </c>
      <c r="C270" s="34" t="s">
        <v>264</v>
      </c>
      <c r="D270" s="34" t="s">
        <v>140</v>
      </c>
      <c r="E270" s="36" t="s">
        <v>141</v>
      </c>
      <c r="F270" s="34" t="s">
        <v>36</v>
      </c>
      <c r="G270" s="37" t="n">
        <v>12844</v>
      </c>
      <c r="H270" s="37" t="n">
        <v>38</v>
      </c>
      <c r="I270" s="37" t="n">
        <f aca="false">IFERROR(ROUND('Data Bulanan'!DC58,0),0)</f>
        <v>40213</v>
      </c>
      <c r="J270" s="37" t="n">
        <v>6850556</v>
      </c>
      <c r="K270" s="37" t="n">
        <v>88706</v>
      </c>
      <c r="L270" s="38" t="n">
        <f aca="false">IFERROR(ROUND(SQRT(2*I270*J270/K270),0),0)</f>
        <v>2492</v>
      </c>
      <c r="M270" s="39" t="n">
        <f aca="false">IFERROR(AVERAGE('Data Bulanan'!CF58,'Data Bulanan'!CH58,'Data Bulanan'!CJ58,'Data Bulanan'!CL58,'Data Bulanan'!CN58,'Data Bulanan'!CP58,'Data Bulanan'!CR58,'Data Bulanan'!CT58,'Data Bulanan'!CV58,'Data Bulanan'!CX58,'Data Bulanan'!CZ58,'Data Bulanan'!DB58),0)</f>
        <v>106.798495903738</v>
      </c>
      <c r="N270" s="40" t="n">
        <f aca="false">'Data Bulanan'!DD58</f>
        <v>24.3003060526216</v>
      </c>
      <c r="O270" s="41" t="n">
        <f aca="false">IFERROR(N270*SQRT(H270),0)</f>
        <v>149.797146907212</v>
      </c>
      <c r="P270" s="42" t="n">
        <f aca="false">IFERROR(ROUND(1.65*O270,0),0)</f>
        <v>247</v>
      </c>
      <c r="Q270" s="43" t="n">
        <f aca="false">IFERROR(ROUND(M270*H270+P270,0),0)</f>
        <v>4305</v>
      </c>
      <c r="R270" s="44" t="n">
        <f aca="false">G270-Q270</f>
        <v>8539</v>
      </c>
      <c r="S270" s="45" t="str">
        <f aca="false">IF(G270=0,"Stockout ⚠",IF(G270&lt;Q270,"Reorder 🔄",IF(G270&gt;Q270+L270,"Overstock 📦","Aman ✅")))</f>
        <v>Overstock 📦</v>
      </c>
      <c r="T270" s="46" t="n">
        <f aca="false">IFERROR(N270/AVERAGE(M267:M271),0)</f>
        <v>0.251881757041634</v>
      </c>
      <c r="U270" s="47" t="n">
        <v>1022.76</v>
      </c>
      <c r="V270" s="48" t="n">
        <v>0.4078</v>
      </c>
    </row>
    <row r="271" customFormat="false" ht="15" hidden="false" customHeight="true" outlineLevel="0" collapsed="false">
      <c r="A271" s="34" t="n">
        <v>5</v>
      </c>
      <c r="B271" s="35" t="n">
        <v>2025</v>
      </c>
      <c r="C271" s="34" t="s">
        <v>264</v>
      </c>
      <c r="D271" s="34" t="s">
        <v>140</v>
      </c>
      <c r="E271" s="36" t="s">
        <v>141</v>
      </c>
      <c r="F271" s="34" t="s">
        <v>36</v>
      </c>
      <c r="G271" s="37" t="n">
        <v>25980</v>
      </c>
      <c r="H271" s="37" t="n">
        <v>38</v>
      </c>
      <c r="I271" s="37" t="n">
        <f aca="false">IFERROR(ROUND('Data Bulanan'!EC58,0),0)</f>
        <v>37317</v>
      </c>
      <c r="J271" s="37" t="n">
        <v>7467591</v>
      </c>
      <c r="K271" s="37" t="n">
        <v>84584</v>
      </c>
      <c r="L271" s="38" t="n">
        <f aca="false">IFERROR(ROUND(SQRT(2*I271*J271/K271),0),0)</f>
        <v>2567</v>
      </c>
      <c r="M271" s="39" t="n">
        <f aca="false">IFERROR(AVERAGE('Data Bulanan'!DF58,'Data Bulanan'!DH58,'Data Bulanan'!DJ58,'Data Bulanan'!DL58,'Data Bulanan'!DN58,'Data Bulanan'!DP58,'Data Bulanan'!DR58,'Data Bulanan'!DT58,'Data Bulanan'!DV58,'Data Bulanan'!DX58,'Data Bulanan'!DZ58,'Data Bulanan'!EB58),0)</f>
        <v>99.5273617511521</v>
      </c>
      <c r="N271" s="40" t="n">
        <f aca="false">'Data Bulanan'!ED58</f>
        <v>25.0439205124532</v>
      </c>
      <c r="O271" s="41" t="n">
        <f aca="false">IFERROR(N271*SQRT(H271),0)</f>
        <v>154.381094296208</v>
      </c>
      <c r="P271" s="42" t="n">
        <f aca="false">IFERROR(ROUND(1.65*O271,0),0)</f>
        <v>255</v>
      </c>
      <c r="Q271" s="43" t="n">
        <f aca="false">IFERROR(ROUND(M271*H271+P271,0),0)</f>
        <v>4037</v>
      </c>
      <c r="R271" s="44" t="n">
        <f aca="false">G271-Q271</f>
        <v>21943</v>
      </c>
      <c r="S271" s="45" t="str">
        <f aca="false">IF(G271=0,"Stockout ⚠",IF(G271&lt;Q271,"Reorder 🔄",IF(G271&gt;Q271+L271,"Overstock 📦","Aman ✅")))</f>
        <v>Overstock 📦</v>
      </c>
      <c r="T271" s="46" t="n">
        <f aca="false">IFERROR(N271/AVERAGE(M267:M271),0)</f>
        <v>0.25958959892224</v>
      </c>
      <c r="U271" s="47" t="n">
        <v>1022.76</v>
      </c>
      <c r="V271" s="48" t="n">
        <v>0.4078</v>
      </c>
    </row>
    <row r="272" customFormat="false" ht="15" hidden="false" customHeight="true" outlineLevel="0" collapsed="false">
      <c r="A272" s="49" t="n">
        <v>1</v>
      </c>
      <c r="B272" s="35" t="n">
        <v>2021</v>
      </c>
      <c r="C272" s="49" t="s">
        <v>264</v>
      </c>
      <c r="D272" s="49" t="s">
        <v>142</v>
      </c>
      <c r="E272" s="50" t="s">
        <v>143</v>
      </c>
      <c r="F272" s="49" t="s">
        <v>36</v>
      </c>
      <c r="G272" s="37" t="n">
        <v>2995</v>
      </c>
      <c r="H272" s="37" t="n">
        <v>38</v>
      </c>
      <c r="I272" s="37" t="n">
        <f aca="false">IFERROR(ROUND('Data Bulanan'!AC59,0),0)</f>
        <v>10947</v>
      </c>
      <c r="J272" s="37" t="n">
        <v>10172491</v>
      </c>
      <c r="K272" s="37" t="n">
        <v>512359</v>
      </c>
      <c r="L272" s="38" t="n">
        <f aca="false">IFERROR(ROUND(SQRT(2*I272*J272/K272),0),0)</f>
        <v>659</v>
      </c>
      <c r="M272" s="39" t="n">
        <f aca="false">IFERROR(AVERAGE('Data Bulanan'!F59,'Data Bulanan'!H59,'Data Bulanan'!J59,'Data Bulanan'!L59,'Data Bulanan'!N59,'Data Bulanan'!P59,'Data Bulanan'!R59,'Data Bulanan'!T59,'Data Bulanan'!V59,'Data Bulanan'!X59,'Data Bulanan'!Z59,'Data Bulanan'!AB59),0)</f>
        <v>29.1794546850998</v>
      </c>
      <c r="N272" s="40" t="n">
        <f aca="false">'Data Bulanan'!AD59</f>
        <v>7.12689985091711</v>
      </c>
      <c r="O272" s="41" t="n">
        <f aca="false">IFERROR(N272*SQRT(H272),0)</f>
        <v>43.9331612387509</v>
      </c>
      <c r="P272" s="42" t="n">
        <f aca="false">IFERROR(ROUND(1.65*O272,0),0)</f>
        <v>72</v>
      </c>
      <c r="Q272" s="43" t="n">
        <f aca="false">IFERROR(ROUND(M272*H272+P272,0),0)</f>
        <v>1181</v>
      </c>
      <c r="R272" s="44" t="n">
        <f aca="false">G272-Q272</f>
        <v>1814</v>
      </c>
      <c r="S272" s="45" t="str">
        <f aca="false">IF(G272=0,"Stockout ⚠",IF(G272&lt;Q272,"Reorder 🔄",IF(G272&gt;Q272+L272,"Overstock 📦","Aman ✅")))</f>
        <v>Overstock 📦</v>
      </c>
      <c r="T272" s="46" t="n">
        <f aca="false">IFERROR(N272/AVERAGE(M272:M276),0)</f>
        <v>0.216684497419259</v>
      </c>
      <c r="U272" s="47" t="n">
        <v>14.36</v>
      </c>
      <c r="V272" s="48" t="n">
        <v>0.0003</v>
      </c>
    </row>
    <row r="273" customFormat="false" ht="15" hidden="false" customHeight="true" outlineLevel="0" collapsed="false">
      <c r="A273" s="49" t="n">
        <v>2</v>
      </c>
      <c r="B273" s="35" t="n">
        <v>2022</v>
      </c>
      <c r="C273" s="49" t="s">
        <v>264</v>
      </c>
      <c r="D273" s="49" t="s">
        <v>142</v>
      </c>
      <c r="E273" s="50" t="s">
        <v>143</v>
      </c>
      <c r="F273" s="49" t="s">
        <v>36</v>
      </c>
      <c r="G273" s="37" t="n">
        <v>0</v>
      </c>
      <c r="H273" s="37" t="n">
        <v>38</v>
      </c>
      <c r="I273" s="37" t="n">
        <f aca="false">IFERROR(ROUND('Data Bulanan'!BC59,0),0)</f>
        <v>12985</v>
      </c>
      <c r="J273" s="37" t="n">
        <v>11605018</v>
      </c>
      <c r="K273" s="37" t="n">
        <v>512603</v>
      </c>
      <c r="L273" s="38" t="n">
        <f aca="false">IFERROR(ROUND(SQRT(2*I273*J273/K273),0),0)</f>
        <v>767</v>
      </c>
      <c r="M273" s="39" t="n">
        <f aca="false">IFERROR(AVERAGE('Data Bulanan'!AF59,'Data Bulanan'!AH59,'Data Bulanan'!AJ59,'Data Bulanan'!AL59,'Data Bulanan'!AN59,'Data Bulanan'!AP59,'Data Bulanan'!AR59,'Data Bulanan'!AT59,'Data Bulanan'!AV59,'Data Bulanan'!AX59,'Data Bulanan'!AZ59,'Data Bulanan'!BB59),0)</f>
        <v>34.5555491551459</v>
      </c>
      <c r="N273" s="40" t="n">
        <f aca="false">'Data Bulanan'!BD59</f>
        <v>6.71500238111477</v>
      </c>
      <c r="O273" s="41" t="n">
        <f aca="false">IFERROR(N273*SQRT(H273),0)</f>
        <v>41.3940547081139</v>
      </c>
      <c r="P273" s="42" t="n">
        <f aca="false">IFERROR(ROUND(1.65*O273,0),0)</f>
        <v>68</v>
      </c>
      <c r="Q273" s="43" t="n">
        <f aca="false">IFERROR(ROUND(M273*H273+P273,0),0)</f>
        <v>1381</v>
      </c>
      <c r="R273" s="44" t="n">
        <f aca="false">G273-Q273</f>
        <v>-1381</v>
      </c>
      <c r="S273" s="45" t="str">
        <f aca="false">IF(G273=0,"Stockout ⚠",IF(G273&lt;Q273,"Reorder 🔄",IF(G273&gt;Q273+L273,"Overstock 📦","Aman ✅")))</f>
        <v>Stockout ⚠</v>
      </c>
      <c r="T273" s="46" t="n">
        <f aca="false">IFERROR(N273/AVERAGE(M272:M276),0)</f>
        <v>0.204161268792594</v>
      </c>
      <c r="U273" s="47" t="n">
        <v>14.36</v>
      </c>
      <c r="V273" s="48" t="n">
        <v>0.0003</v>
      </c>
    </row>
    <row r="274" customFormat="false" ht="15" hidden="false" customHeight="true" outlineLevel="0" collapsed="false">
      <c r="A274" s="49" t="n">
        <v>3</v>
      </c>
      <c r="B274" s="35" t="n">
        <v>2023</v>
      </c>
      <c r="C274" s="49" t="s">
        <v>264</v>
      </c>
      <c r="D274" s="49" t="s">
        <v>142</v>
      </c>
      <c r="E274" s="50" t="s">
        <v>143</v>
      </c>
      <c r="F274" s="49" t="s">
        <v>36</v>
      </c>
      <c r="G274" s="37" t="n">
        <v>5738</v>
      </c>
      <c r="H274" s="37" t="n">
        <v>38</v>
      </c>
      <c r="I274" s="37" t="n">
        <f aca="false">IFERROR(ROUND('Data Bulanan'!CC59,0),0)</f>
        <v>14225</v>
      </c>
      <c r="J274" s="37" t="n">
        <v>10922828</v>
      </c>
      <c r="K274" s="37" t="n">
        <v>529773</v>
      </c>
      <c r="L274" s="38" t="n">
        <f aca="false">IFERROR(ROUND(SQRT(2*I274*J274/K274),0),0)</f>
        <v>766</v>
      </c>
      <c r="M274" s="39" t="n">
        <f aca="false">IFERROR(AVERAGE('Data Bulanan'!BF59,'Data Bulanan'!BH59,'Data Bulanan'!BJ59,'Data Bulanan'!BL59,'Data Bulanan'!BN59,'Data Bulanan'!BP59,'Data Bulanan'!BR59,'Data Bulanan'!BT59,'Data Bulanan'!BV59,'Data Bulanan'!BX59,'Data Bulanan'!BZ59,'Data Bulanan'!CB59),0)</f>
        <v>37.9035522273426</v>
      </c>
      <c r="N274" s="40" t="n">
        <f aca="false">'Data Bulanan'!CD59</f>
        <v>11.0841387190314</v>
      </c>
      <c r="O274" s="41" t="n">
        <f aca="false">IFERROR(N274*SQRT(H274),0)</f>
        <v>68.3272199304477</v>
      </c>
      <c r="P274" s="42" t="n">
        <f aca="false">IFERROR(ROUND(1.65*O274,0),0)</f>
        <v>113</v>
      </c>
      <c r="Q274" s="43" t="n">
        <f aca="false">IFERROR(ROUND(M274*H274+P274,0),0)</f>
        <v>1553</v>
      </c>
      <c r="R274" s="44" t="n">
        <f aca="false">G274-Q274</f>
        <v>4185</v>
      </c>
      <c r="S274" s="45" t="str">
        <f aca="false">IF(G274=0,"Stockout ⚠",IF(G274&lt;Q274,"Reorder 🔄",IF(G274&gt;Q274+L274,"Overstock 📦","Aman ✅")))</f>
        <v>Overstock 📦</v>
      </c>
      <c r="T274" s="46" t="n">
        <f aca="false">IFERROR(N274/AVERAGE(M272:M276),0)</f>
        <v>0.336999407582472</v>
      </c>
      <c r="U274" s="47" t="n">
        <v>14.36</v>
      </c>
      <c r="V274" s="48" t="n">
        <v>0.0003</v>
      </c>
    </row>
    <row r="275" customFormat="false" ht="15" hidden="false" customHeight="true" outlineLevel="0" collapsed="false">
      <c r="A275" s="49" t="n">
        <v>4</v>
      </c>
      <c r="B275" s="35" t="n">
        <v>2024</v>
      </c>
      <c r="C275" s="49" t="s">
        <v>264</v>
      </c>
      <c r="D275" s="49" t="s">
        <v>142</v>
      </c>
      <c r="E275" s="50" t="s">
        <v>143</v>
      </c>
      <c r="F275" s="49" t="s">
        <v>36</v>
      </c>
      <c r="G275" s="37" t="n">
        <v>2841</v>
      </c>
      <c r="H275" s="37" t="n">
        <v>38</v>
      </c>
      <c r="I275" s="37" t="n">
        <f aca="false">IFERROR(ROUND('Data Bulanan'!DC59,0),0)</f>
        <v>12227</v>
      </c>
      <c r="J275" s="37" t="n">
        <v>11362682</v>
      </c>
      <c r="K275" s="37" t="n">
        <v>520425</v>
      </c>
      <c r="L275" s="38" t="n">
        <f aca="false">IFERROR(ROUND(SQRT(2*I275*J275/K275),0),0)</f>
        <v>731</v>
      </c>
      <c r="M275" s="39" t="n">
        <f aca="false">IFERROR(AVERAGE('Data Bulanan'!CF59,'Data Bulanan'!CH59,'Data Bulanan'!CJ59,'Data Bulanan'!CL59,'Data Bulanan'!CN59,'Data Bulanan'!CP59,'Data Bulanan'!CR59,'Data Bulanan'!CT59,'Data Bulanan'!CV59,'Data Bulanan'!CX59,'Data Bulanan'!CZ59,'Data Bulanan'!DB59),0)</f>
        <v>32.5322004608295</v>
      </c>
      <c r="N275" s="40" t="n">
        <f aca="false">'Data Bulanan'!DD59</f>
        <v>5.22404202363952</v>
      </c>
      <c r="O275" s="41" t="n">
        <f aca="false">IFERROR(N275*SQRT(H275),0)</f>
        <v>32.2031578026218</v>
      </c>
      <c r="P275" s="42" t="n">
        <f aca="false">IFERROR(ROUND(1.65*O275,0),0)</f>
        <v>53</v>
      </c>
      <c r="Q275" s="43" t="n">
        <f aca="false">IFERROR(ROUND(M275*H275+P275,0),0)</f>
        <v>1289</v>
      </c>
      <c r="R275" s="44" t="n">
        <f aca="false">G275-Q275</f>
        <v>1552</v>
      </c>
      <c r="S275" s="45" t="str">
        <f aca="false">IF(G275=0,"Stockout ⚠",IF(G275&lt;Q275,"Reorder 🔄",IF(G275&gt;Q275+L275,"Overstock 📦","Aman ✅")))</f>
        <v>Overstock 📦</v>
      </c>
      <c r="T275" s="46" t="n">
        <f aca="false">IFERROR(N275/AVERAGE(M272:M276),0)</f>
        <v>0.158830479460681</v>
      </c>
      <c r="U275" s="47" t="n">
        <v>14.36</v>
      </c>
      <c r="V275" s="48" t="n">
        <v>0.0003</v>
      </c>
    </row>
    <row r="276" customFormat="false" ht="15" hidden="false" customHeight="true" outlineLevel="0" collapsed="false">
      <c r="A276" s="49" t="n">
        <v>5</v>
      </c>
      <c r="B276" s="35" t="n">
        <v>2025</v>
      </c>
      <c r="C276" s="49" t="s">
        <v>264</v>
      </c>
      <c r="D276" s="49" t="s">
        <v>142</v>
      </c>
      <c r="E276" s="50" t="s">
        <v>143</v>
      </c>
      <c r="F276" s="49" t="s">
        <v>36</v>
      </c>
      <c r="G276" s="37" t="n">
        <v>3761</v>
      </c>
      <c r="H276" s="37" t="n">
        <v>38</v>
      </c>
      <c r="I276" s="37" t="n">
        <f aca="false">IFERROR(ROUND('Data Bulanan'!EC59,0),0)</f>
        <v>11398</v>
      </c>
      <c r="J276" s="37" t="n">
        <v>9806323</v>
      </c>
      <c r="K276" s="37" t="n">
        <v>592915</v>
      </c>
      <c r="L276" s="38" t="n">
        <f aca="false">IFERROR(ROUND(SQRT(2*I276*J276/K276),0),0)</f>
        <v>614</v>
      </c>
      <c r="M276" s="39" t="n">
        <f aca="false">IFERROR(AVERAGE('Data Bulanan'!DF59,'Data Bulanan'!DH59,'Data Bulanan'!DJ59,'Data Bulanan'!DL59,'Data Bulanan'!DN59,'Data Bulanan'!DP59,'Data Bulanan'!DR59,'Data Bulanan'!DT59,'Data Bulanan'!DV59,'Data Bulanan'!DX59,'Data Bulanan'!DZ59,'Data Bulanan'!EB59),0)</f>
        <v>30.2826292882745</v>
      </c>
      <c r="N276" s="40" t="n">
        <f aca="false">'Data Bulanan'!ED59</f>
        <v>6.9130340762019</v>
      </c>
      <c r="O276" s="41" t="n">
        <f aca="false">IFERROR(N276*SQRT(H276),0)</f>
        <v>42.6148040623407</v>
      </c>
      <c r="P276" s="42" t="n">
        <f aca="false">IFERROR(ROUND(1.65*O276,0),0)</f>
        <v>70</v>
      </c>
      <c r="Q276" s="43" t="n">
        <f aca="false">IFERROR(ROUND(M276*H276+P276,0),0)</f>
        <v>1221</v>
      </c>
      <c r="R276" s="44" t="n">
        <f aca="false">G276-Q276</f>
        <v>2540</v>
      </c>
      <c r="S276" s="45" t="str">
        <f aca="false">IF(G276=0,"Stockout ⚠",IF(G276&lt;Q276,"Reorder 🔄",IF(G276&gt;Q276+L276,"Overstock 📦","Aman ✅")))</f>
        <v>Overstock 📦</v>
      </c>
      <c r="T276" s="46" t="n">
        <f aca="false">IFERROR(N276/AVERAGE(M272:M276),0)</f>
        <v>0.210182175388821</v>
      </c>
      <c r="U276" s="47" t="n">
        <v>14.36</v>
      </c>
      <c r="V276" s="48" t="n">
        <v>0.0003</v>
      </c>
    </row>
    <row r="277" customFormat="false" ht="15" hidden="false" customHeight="true" outlineLevel="0" collapsed="false">
      <c r="A277" s="34" t="n">
        <v>1</v>
      </c>
      <c r="B277" s="35" t="n">
        <v>2021</v>
      </c>
      <c r="C277" s="34" t="s">
        <v>264</v>
      </c>
      <c r="D277" s="34" t="s">
        <v>144</v>
      </c>
      <c r="E277" s="36" t="s">
        <v>145</v>
      </c>
      <c r="F277" s="34" t="s">
        <v>36</v>
      </c>
      <c r="G277" s="37" t="n">
        <v>0</v>
      </c>
      <c r="H277" s="37" t="n">
        <v>31</v>
      </c>
      <c r="I277" s="37" t="n">
        <f aca="false">IFERROR(ROUND('Data Bulanan'!AC60,0),0)</f>
        <v>58702</v>
      </c>
      <c r="J277" s="37" t="n">
        <v>8834691</v>
      </c>
      <c r="K277" s="37" t="n">
        <v>246550</v>
      </c>
      <c r="L277" s="38" t="n">
        <f aca="false">IFERROR(ROUND(SQRT(2*I277*J277/K277),0),0)</f>
        <v>2051</v>
      </c>
      <c r="M277" s="39" t="n">
        <f aca="false">IFERROR(AVERAGE('Data Bulanan'!F60,'Data Bulanan'!H60,'Data Bulanan'!J60,'Data Bulanan'!L60,'Data Bulanan'!N60,'Data Bulanan'!P60,'Data Bulanan'!R60,'Data Bulanan'!T60,'Data Bulanan'!V60,'Data Bulanan'!X60,'Data Bulanan'!Z60,'Data Bulanan'!AB60),0)</f>
        <v>155.991884280594</v>
      </c>
      <c r="N277" s="40" t="n">
        <f aca="false">'Data Bulanan'!AD60</f>
        <v>23.7539968094131</v>
      </c>
      <c r="O277" s="41" t="n">
        <f aca="false">IFERROR(N277*SQRT(H277),0)</f>
        <v>132.256656910228</v>
      </c>
      <c r="P277" s="42" t="n">
        <f aca="false">IFERROR(ROUND(1.65*O277,0),0)</f>
        <v>218</v>
      </c>
      <c r="Q277" s="43" t="n">
        <f aca="false">IFERROR(ROUND(M277*H277+P277,0),0)</f>
        <v>5054</v>
      </c>
      <c r="R277" s="44" t="n">
        <f aca="false">G277-Q277</f>
        <v>-5054</v>
      </c>
      <c r="S277" s="45" t="str">
        <f aca="false">IF(G277=0,"Stockout ⚠",IF(G277&lt;Q277,"Reorder 🔄",IF(G277&gt;Q277+L277,"Overstock 📦","Aman ✅")))</f>
        <v>Stockout ⚠</v>
      </c>
      <c r="T277" s="46" t="n">
        <f aca="false">IFERROR(N277/AVERAGE(M277:M281),0)</f>
        <v>0.167044249754083</v>
      </c>
      <c r="U277" s="47" t="n">
        <v>-1854.25</v>
      </c>
      <c r="V277" s="48" t="n">
        <v>0.7778</v>
      </c>
    </row>
    <row r="278" customFormat="false" ht="15" hidden="false" customHeight="true" outlineLevel="0" collapsed="false">
      <c r="A278" s="34" t="n">
        <v>2</v>
      </c>
      <c r="B278" s="35" t="n">
        <v>2022</v>
      </c>
      <c r="C278" s="34" t="s">
        <v>264</v>
      </c>
      <c r="D278" s="34" t="s">
        <v>144</v>
      </c>
      <c r="E278" s="36" t="s">
        <v>145</v>
      </c>
      <c r="F278" s="34" t="s">
        <v>36</v>
      </c>
      <c r="G278" s="37" t="n">
        <v>26989</v>
      </c>
      <c r="H278" s="37" t="n">
        <v>31</v>
      </c>
      <c r="I278" s="37" t="n">
        <f aca="false">IFERROR(ROUND('Data Bulanan'!BC60,0),0)</f>
        <v>54500</v>
      </c>
      <c r="J278" s="37" t="n">
        <v>9496768</v>
      </c>
      <c r="K278" s="37" t="n">
        <v>244451</v>
      </c>
      <c r="L278" s="38" t="n">
        <f aca="false">IFERROR(ROUND(SQRT(2*I278*J278/K278),0),0)</f>
        <v>2058</v>
      </c>
      <c r="M278" s="39" t="n">
        <f aca="false">IFERROR(AVERAGE('Data Bulanan'!AF60,'Data Bulanan'!AH60,'Data Bulanan'!AJ60,'Data Bulanan'!AL60,'Data Bulanan'!AN60,'Data Bulanan'!AP60,'Data Bulanan'!AR60,'Data Bulanan'!AT60,'Data Bulanan'!AV60,'Data Bulanan'!AX60,'Data Bulanan'!AZ60,'Data Bulanan'!BB60),0)</f>
        <v>145.050953661034</v>
      </c>
      <c r="N278" s="40" t="n">
        <f aca="false">'Data Bulanan'!BD60</f>
        <v>32.9097257908433</v>
      </c>
      <c r="O278" s="41" t="n">
        <f aca="false">IFERROR(N278*SQRT(H278),0)</f>
        <v>183.233598448765</v>
      </c>
      <c r="P278" s="42" t="n">
        <f aca="false">IFERROR(ROUND(1.65*O278,0),0)</f>
        <v>302</v>
      </c>
      <c r="Q278" s="43" t="n">
        <f aca="false">IFERROR(ROUND(M278*H278+P278,0),0)</f>
        <v>4799</v>
      </c>
      <c r="R278" s="44" t="n">
        <f aca="false">G278-Q278</f>
        <v>22190</v>
      </c>
      <c r="S278" s="45" t="str">
        <f aca="false">IF(G278=0,"Stockout ⚠",IF(G278&lt;Q278,"Reorder 🔄",IF(G278&gt;Q278+L278,"Overstock 📦","Aman ✅")))</f>
        <v>Overstock 📦</v>
      </c>
      <c r="T278" s="46" t="n">
        <f aca="false">IFERROR(N278/AVERAGE(M277:M281),0)</f>
        <v>0.231429704165218</v>
      </c>
      <c r="U278" s="47" t="n">
        <v>-1854.25</v>
      </c>
      <c r="V278" s="48" t="n">
        <v>0.7778</v>
      </c>
    </row>
    <row r="279" customFormat="false" ht="15" hidden="false" customHeight="true" outlineLevel="0" collapsed="false">
      <c r="A279" s="34" t="n">
        <v>3</v>
      </c>
      <c r="B279" s="35" t="n">
        <v>2023</v>
      </c>
      <c r="C279" s="34" t="s">
        <v>264</v>
      </c>
      <c r="D279" s="34" t="s">
        <v>144</v>
      </c>
      <c r="E279" s="36" t="s">
        <v>145</v>
      </c>
      <c r="F279" s="34" t="s">
        <v>36</v>
      </c>
      <c r="G279" s="37" t="n">
        <v>28514</v>
      </c>
      <c r="H279" s="37" t="n">
        <v>31</v>
      </c>
      <c r="I279" s="37" t="n">
        <f aca="false">IFERROR(ROUND('Data Bulanan'!CC60,0),0)</f>
        <v>51765</v>
      </c>
      <c r="J279" s="37" t="n">
        <v>8806875</v>
      </c>
      <c r="K279" s="37" t="n">
        <v>215176</v>
      </c>
      <c r="L279" s="38" t="n">
        <f aca="false">IFERROR(ROUND(SQRT(2*I279*J279/K279),0),0)</f>
        <v>2058</v>
      </c>
      <c r="M279" s="39" t="n">
        <f aca="false">IFERROR(AVERAGE('Data Bulanan'!BF60,'Data Bulanan'!BH60,'Data Bulanan'!BJ60,'Data Bulanan'!BL60,'Data Bulanan'!BN60,'Data Bulanan'!BP60,'Data Bulanan'!BR60,'Data Bulanan'!BT60,'Data Bulanan'!BV60,'Data Bulanan'!BX60,'Data Bulanan'!BZ60,'Data Bulanan'!CB60),0)</f>
        <v>138.015687403994</v>
      </c>
      <c r="N279" s="40" t="n">
        <f aca="false">'Data Bulanan'!CD60</f>
        <v>34.325921952397</v>
      </c>
      <c r="O279" s="41" t="n">
        <f aca="false">IFERROR(N279*SQRT(H279),0)</f>
        <v>191.118644967841</v>
      </c>
      <c r="P279" s="42" t="n">
        <f aca="false">IFERROR(ROUND(1.65*O279,0),0)</f>
        <v>315</v>
      </c>
      <c r="Q279" s="43" t="n">
        <f aca="false">IFERROR(ROUND(M279*H279+P279,0),0)</f>
        <v>4593</v>
      </c>
      <c r="R279" s="44" t="n">
        <f aca="false">G279-Q279</f>
        <v>23921</v>
      </c>
      <c r="S279" s="45" t="str">
        <f aca="false">IF(G279=0,"Stockout ⚠",IF(G279&lt;Q279,"Reorder 🔄",IF(G279&gt;Q279+L279,"Overstock 📦","Aman ✅")))</f>
        <v>Overstock 📦</v>
      </c>
      <c r="T279" s="46" t="n">
        <f aca="false">IFERROR(N279/AVERAGE(M277:M281),0)</f>
        <v>0.241388761885458</v>
      </c>
      <c r="U279" s="47" t="n">
        <v>-1854.25</v>
      </c>
      <c r="V279" s="48" t="n">
        <v>0.7778</v>
      </c>
    </row>
    <row r="280" customFormat="false" ht="15" hidden="false" customHeight="true" outlineLevel="0" collapsed="false">
      <c r="A280" s="34" t="n">
        <v>4</v>
      </c>
      <c r="B280" s="35" t="n">
        <v>2024</v>
      </c>
      <c r="C280" s="34" t="s">
        <v>264</v>
      </c>
      <c r="D280" s="34" t="s">
        <v>144</v>
      </c>
      <c r="E280" s="36" t="s">
        <v>145</v>
      </c>
      <c r="F280" s="34" t="s">
        <v>36</v>
      </c>
      <c r="G280" s="37" t="n">
        <v>5714</v>
      </c>
      <c r="H280" s="37" t="n">
        <v>31</v>
      </c>
      <c r="I280" s="37" t="n">
        <f aca="false">IFERROR(ROUND('Data Bulanan'!DC60,0),0)</f>
        <v>50521</v>
      </c>
      <c r="J280" s="37" t="n">
        <v>10039764</v>
      </c>
      <c r="K280" s="37" t="n">
        <v>224102</v>
      </c>
      <c r="L280" s="38" t="n">
        <f aca="false">IFERROR(ROUND(SQRT(2*I280*J280/K280),0),0)</f>
        <v>2128</v>
      </c>
      <c r="M280" s="39" t="n">
        <f aca="false">IFERROR(AVERAGE('Data Bulanan'!CF60,'Data Bulanan'!CH60,'Data Bulanan'!CJ60,'Data Bulanan'!CL60,'Data Bulanan'!CN60,'Data Bulanan'!CP60,'Data Bulanan'!CR60,'Data Bulanan'!CT60,'Data Bulanan'!CV60,'Data Bulanan'!CX60,'Data Bulanan'!CZ60,'Data Bulanan'!DB60),0)</f>
        <v>134.741353046595</v>
      </c>
      <c r="N280" s="40" t="n">
        <f aca="false">'Data Bulanan'!DD60</f>
        <v>30.41770326979</v>
      </c>
      <c r="O280" s="41" t="n">
        <f aca="false">IFERROR(N280*SQRT(H280),0)</f>
        <v>169.358604264675</v>
      </c>
      <c r="P280" s="42" t="n">
        <f aca="false">IFERROR(ROUND(1.65*O280,0),0)</f>
        <v>279</v>
      </c>
      <c r="Q280" s="43" t="n">
        <f aca="false">IFERROR(ROUND(M280*H280+P280,0),0)</f>
        <v>4456</v>
      </c>
      <c r="R280" s="44" t="n">
        <f aca="false">G280-Q280</f>
        <v>1258</v>
      </c>
      <c r="S280" s="45" t="str">
        <f aca="false">IF(G280=0,"Stockout ⚠",IF(G280&lt;Q280,"Reorder 🔄",IF(G280&gt;Q280+L280,"Overstock 📦","Aman ✅")))</f>
        <v>Aman ✅</v>
      </c>
      <c r="T280" s="46" t="n">
        <f aca="false">IFERROR(N280/AVERAGE(M277:M281),0)</f>
        <v>0.21390515721257</v>
      </c>
      <c r="U280" s="47" t="n">
        <v>-1854.25</v>
      </c>
      <c r="V280" s="48" t="n">
        <v>0.7778</v>
      </c>
    </row>
    <row r="281" customFormat="false" ht="15" hidden="false" customHeight="true" outlineLevel="0" collapsed="false">
      <c r="A281" s="34" t="n">
        <v>5</v>
      </c>
      <c r="B281" s="35" t="n">
        <v>2025</v>
      </c>
      <c r="C281" s="34" t="s">
        <v>264</v>
      </c>
      <c r="D281" s="34" t="s">
        <v>144</v>
      </c>
      <c r="E281" s="36" t="s">
        <v>145</v>
      </c>
      <c r="F281" s="34" t="s">
        <v>36</v>
      </c>
      <c r="G281" s="37" t="n">
        <v>12246</v>
      </c>
      <c r="H281" s="37" t="n">
        <v>31</v>
      </c>
      <c r="I281" s="37" t="n">
        <f aca="false">IFERROR(ROUND('Data Bulanan'!EC60,0),0)</f>
        <v>51421</v>
      </c>
      <c r="J281" s="37" t="n">
        <v>9049144</v>
      </c>
      <c r="K281" s="37" t="n">
        <v>203788</v>
      </c>
      <c r="L281" s="38" t="n">
        <f aca="false">IFERROR(ROUND(SQRT(2*I281*J281/K281),0),0)</f>
        <v>2137</v>
      </c>
      <c r="M281" s="39" t="n">
        <f aca="false">IFERROR(AVERAGE('Data Bulanan'!DF60,'Data Bulanan'!DH60,'Data Bulanan'!DJ60,'Data Bulanan'!DL60,'Data Bulanan'!DN60,'Data Bulanan'!DP60,'Data Bulanan'!DR60,'Data Bulanan'!DT60,'Data Bulanan'!DV60,'Data Bulanan'!DX60,'Data Bulanan'!DZ60,'Data Bulanan'!EB60),0)</f>
        <v>137.209235791091</v>
      </c>
      <c r="N281" s="40" t="n">
        <f aca="false">'Data Bulanan'!ED60</f>
        <v>35.1943564822783</v>
      </c>
      <c r="O281" s="41" t="n">
        <f aca="false">IFERROR(N281*SQRT(H281),0)</f>
        <v>195.953883794765</v>
      </c>
      <c r="P281" s="42" t="n">
        <f aca="false">IFERROR(ROUND(1.65*O281,0),0)</f>
        <v>323</v>
      </c>
      <c r="Q281" s="43" t="n">
        <f aca="false">IFERROR(ROUND(M281*H281+P281,0),0)</f>
        <v>4576</v>
      </c>
      <c r="R281" s="44" t="n">
        <f aca="false">G281-Q281</f>
        <v>7670</v>
      </c>
      <c r="S281" s="45" t="str">
        <f aca="false">IF(G281=0,"Stockout ⚠",IF(G281&lt;Q281,"Reorder 🔄",IF(G281&gt;Q281+L281,"Overstock 📦","Aman ✅")))</f>
        <v>Overstock 📦</v>
      </c>
      <c r="T281" s="46" t="n">
        <f aca="false">IFERROR(N281/AVERAGE(M277:M281),0)</f>
        <v>0.247495818128182</v>
      </c>
      <c r="U281" s="47" t="n">
        <v>-1854.25</v>
      </c>
      <c r="V281" s="48" t="n">
        <v>0.7778</v>
      </c>
    </row>
    <row r="282" customFormat="false" ht="15" hidden="false" customHeight="true" outlineLevel="0" collapsed="false">
      <c r="A282" s="49" t="n">
        <v>1</v>
      </c>
      <c r="B282" s="35" t="n">
        <v>2021</v>
      </c>
      <c r="C282" s="49" t="s">
        <v>263</v>
      </c>
      <c r="D282" s="49" t="s">
        <v>146</v>
      </c>
      <c r="E282" s="50" t="s">
        <v>147</v>
      </c>
      <c r="F282" s="49" t="s">
        <v>36</v>
      </c>
      <c r="G282" s="37" t="n">
        <v>2548</v>
      </c>
      <c r="H282" s="37" t="n">
        <v>10</v>
      </c>
      <c r="I282" s="37" t="n">
        <f aca="false">IFERROR(ROUND('Data Bulanan'!AC61,0),0)</f>
        <v>29497</v>
      </c>
      <c r="J282" s="37" t="n">
        <v>1785550</v>
      </c>
      <c r="K282" s="37" t="n">
        <v>517523</v>
      </c>
      <c r="L282" s="38" t="n">
        <f aca="false">IFERROR(ROUND(SQRT(2*I282*J282/K282),0),0)</f>
        <v>451</v>
      </c>
      <c r="M282" s="39" t="n">
        <f aca="false">IFERROR(AVERAGE('Data Bulanan'!F61,'Data Bulanan'!H61,'Data Bulanan'!J61,'Data Bulanan'!L61,'Data Bulanan'!N61,'Data Bulanan'!P61,'Data Bulanan'!R61,'Data Bulanan'!T61,'Data Bulanan'!V61,'Data Bulanan'!X61,'Data Bulanan'!Z61,'Data Bulanan'!AB61),0)</f>
        <v>78.3917626728111</v>
      </c>
      <c r="N282" s="40" t="n">
        <f aca="false">'Data Bulanan'!AD61</f>
        <v>15.5423199313857</v>
      </c>
      <c r="O282" s="41" t="n">
        <f aca="false">IFERROR(N282*SQRT(H282),0)</f>
        <v>49.1491311062107</v>
      </c>
      <c r="P282" s="42" t="n">
        <f aca="false">IFERROR(ROUND(1.65*O282,0),0)</f>
        <v>81</v>
      </c>
      <c r="Q282" s="43" t="n">
        <f aca="false">IFERROR(ROUND(M282*H282+P282,0),0)</f>
        <v>865</v>
      </c>
      <c r="R282" s="44" t="n">
        <f aca="false">G282-Q282</f>
        <v>1683</v>
      </c>
      <c r="S282" s="45" t="str">
        <f aca="false">IF(G282=0,"Stockout ⚠",IF(G282&lt;Q282,"Reorder 🔄",IF(G282&gt;Q282+L282,"Overstock 📦","Aman ✅")))</f>
        <v>Overstock 📦</v>
      </c>
      <c r="T282" s="46" t="n">
        <f aca="false">IFERROR(N282/AVERAGE(M282:M286),0)</f>
        <v>0.195340714181874</v>
      </c>
      <c r="U282" s="47" t="n">
        <v>40.8</v>
      </c>
      <c r="V282" s="48" t="n">
        <v>0.0124</v>
      </c>
    </row>
    <row r="283" customFormat="false" ht="15" hidden="false" customHeight="true" outlineLevel="0" collapsed="false">
      <c r="A283" s="49" t="n">
        <v>2</v>
      </c>
      <c r="B283" s="35" t="n">
        <v>2022</v>
      </c>
      <c r="C283" s="49" t="s">
        <v>263</v>
      </c>
      <c r="D283" s="49" t="s">
        <v>146</v>
      </c>
      <c r="E283" s="50" t="s">
        <v>147</v>
      </c>
      <c r="F283" s="49" t="s">
        <v>36</v>
      </c>
      <c r="G283" s="37" t="n">
        <v>3676</v>
      </c>
      <c r="H283" s="37" t="n">
        <v>10</v>
      </c>
      <c r="I283" s="37" t="n">
        <f aca="false">IFERROR(ROUND('Data Bulanan'!BC61,0),0)</f>
        <v>30272</v>
      </c>
      <c r="J283" s="37" t="n">
        <v>1956052</v>
      </c>
      <c r="K283" s="37" t="n">
        <v>532522</v>
      </c>
      <c r="L283" s="38" t="n">
        <f aca="false">IFERROR(ROUND(SQRT(2*I283*J283/K283),0),0)</f>
        <v>472</v>
      </c>
      <c r="M283" s="39" t="n">
        <f aca="false">IFERROR(AVERAGE('Data Bulanan'!AF61,'Data Bulanan'!AH61,'Data Bulanan'!AJ61,'Data Bulanan'!AL61,'Data Bulanan'!AN61,'Data Bulanan'!AP61,'Data Bulanan'!AR61,'Data Bulanan'!AT61,'Data Bulanan'!AV61,'Data Bulanan'!AX61,'Data Bulanan'!AZ61,'Data Bulanan'!BB61),0)</f>
        <v>80.3676075268817</v>
      </c>
      <c r="N283" s="40" t="n">
        <f aca="false">'Data Bulanan'!BD61</f>
        <v>17.6894152111142</v>
      </c>
      <c r="O283" s="41" t="n">
        <f aca="false">IFERROR(N283*SQRT(H283),0)</f>
        <v>55.9388425435492</v>
      </c>
      <c r="P283" s="42" t="n">
        <f aca="false">IFERROR(ROUND(1.65*O283,0),0)</f>
        <v>92</v>
      </c>
      <c r="Q283" s="43" t="n">
        <f aca="false">IFERROR(ROUND(M283*H283+P283,0),0)</f>
        <v>896</v>
      </c>
      <c r="R283" s="44" t="n">
        <f aca="false">G283-Q283</f>
        <v>2780</v>
      </c>
      <c r="S283" s="45" t="str">
        <f aca="false">IF(G283=0,"Stockout ⚠",IF(G283&lt;Q283,"Reorder 🔄",IF(G283&gt;Q283+L283,"Overstock 📦","Aman ✅")))</f>
        <v>Overstock 📦</v>
      </c>
      <c r="T283" s="46" t="n">
        <f aca="false">IFERROR(N283/AVERAGE(M282:M286),0)</f>
        <v>0.222326075904595</v>
      </c>
      <c r="U283" s="47" t="n">
        <v>40.8</v>
      </c>
      <c r="V283" s="48" t="n">
        <v>0.0124</v>
      </c>
    </row>
    <row r="284" customFormat="false" ht="15" hidden="false" customHeight="true" outlineLevel="0" collapsed="false">
      <c r="A284" s="49" t="n">
        <v>3</v>
      </c>
      <c r="B284" s="35" t="n">
        <v>2023</v>
      </c>
      <c r="C284" s="49" t="s">
        <v>263</v>
      </c>
      <c r="D284" s="49" t="s">
        <v>146</v>
      </c>
      <c r="E284" s="50" t="s">
        <v>147</v>
      </c>
      <c r="F284" s="49" t="s">
        <v>36</v>
      </c>
      <c r="G284" s="37" t="n">
        <v>0</v>
      </c>
      <c r="H284" s="37" t="n">
        <v>10</v>
      </c>
      <c r="I284" s="37" t="n">
        <f aca="false">IFERROR(ROUND('Data Bulanan'!CC61,0),0)</f>
        <v>30478</v>
      </c>
      <c r="J284" s="37" t="n">
        <v>1822997</v>
      </c>
      <c r="K284" s="37" t="n">
        <v>505826</v>
      </c>
      <c r="L284" s="38" t="n">
        <f aca="false">IFERROR(ROUND(SQRT(2*I284*J284/K284),0),0)</f>
        <v>469</v>
      </c>
      <c r="M284" s="39" t="n">
        <f aca="false">IFERROR(AVERAGE('Data Bulanan'!BF61,'Data Bulanan'!BH61,'Data Bulanan'!BJ61,'Data Bulanan'!BL61,'Data Bulanan'!BN61,'Data Bulanan'!BP61,'Data Bulanan'!BR61,'Data Bulanan'!BT61,'Data Bulanan'!BV61,'Data Bulanan'!BX61,'Data Bulanan'!BZ61,'Data Bulanan'!CB61),0)</f>
        <v>80.9685227854583</v>
      </c>
      <c r="N284" s="40" t="n">
        <f aca="false">'Data Bulanan'!CD61</f>
        <v>20.8521869609654</v>
      </c>
      <c r="O284" s="41" t="n">
        <f aca="false">IFERROR(N284*SQRT(H284),0)</f>
        <v>65.9404049923152</v>
      </c>
      <c r="P284" s="42" t="n">
        <f aca="false">IFERROR(ROUND(1.65*O284,0),0)</f>
        <v>109</v>
      </c>
      <c r="Q284" s="43" t="n">
        <f aca="false">IFERROR(ROUND(M284*H284+P284,0),0)</f>
        <v>919</v>
      </c>
      <c r="R284" s="44" t="n">
        <f aca="false">G284-Q284</f>
        <v>-919</v>
      </c>
      <c r="S284" s="45" t="str">
        <f aca="false">IF(G284=0,"Stockout ⚠",IF(G284&lt;Q284,"Reorder 🔄",IF(G284&gt;Q284+L284,"Overstock 📦","Aman ✅")))</f>
        <v>Stockout ⚠</v>
      </c>
      <c r="T284" s="46" t="n">
        <f aca="false">IFERROR(N284/AVERAGE(M282:M286),0)</f>
        <v>0.262076775615941</v>
      </c>
      <c r="U284" s="47" t="n">
        <v>40.8</v>
      </c>
      <c r="V284" s="48" t="n">
        <v>0.0124</v>
      </c>
    </row>
    <row r="285" customFormat="false" ht="15" hidden="false" customHeight="true" outlineLevel="0" collapsed="false">
      <c r="A285" s="49" t="n">
        <v>4</v>
      </c>
      <c r="B285" s="35" t="n">
        <v>2024</v>
      </c>
      <c r="C285" s="49" t="s">
        <v>263</v>
      </c>
      <c r="D285" s="49" t="s">
        <v>146</v>
      </c>
      <c r="E285" s="50" t="s">
        <v>147</v>
      </c>
      <c r="F285" s="49" t="s">
        <v>36</v>
      </c>
      <c r="G285" s="37" t="n">
        <v>3673</v>
      </c>
      <c r="H285" s="37" t="n">
        <v>10</v>
      </c>
      <c r="I285" s="37" t="n">
        <f aca="false">IFERROR(ROUND('Data Bulanan'!DC61,0),0)</f>
        <v>29139</v>
      </c>
      <c r="J285" s="37" t="n">
        <v>1841977</v>
      </c>
      <c r="K285" s="37" t="n">
        <v>490501</v>
      </c>
      <c r="L285" s="38" t="n">
        <f aca="false">IFERROR(ROUND(SQRT(2*I285*J285/K285),0),0)</f>
        <v>468</v>
      </c>
      <c r="M285" s="39" t="n">
        <f aca="false">IFERROR(AVERAGE('Data Bulanan'!CF61,'Data Bulanan'!CH61,'Data Bulanan'!CJ61,'Data Bulanan'!CL61,'Data Bulanan'!CN61,'Data Bulanan'!CP61,'Data Bulanan'!CR61,'Data Bulanan'!CT61,'Data Bulanan'!CV61,'Data Bulanan'!CX61,'Data Bulanan'!CZ61,'Data Bulanan'!DB61),0)</f>
        <v>77.4206221198157</v>
      </c>
      <c r="N285" s="40" t="n">
        <f aca="false">'Data Bulanan'!DD61</f>
        <v>14.1358316040258</v>
      </c>
      <c r="O285" s="41" t="n">
        <f aca="false">IFERROR(N285*SQRT(H285),0)</f>
        <v>44.701424489313</v>
      </c>
      <c r="P285" s="42" t="n">
        <f aca="false">IFERROR(ROUND(1.65*O285,0),0)</f>
        <v>74</v>
      </c>
      <c r="Q285" s="43" t="n">
        <f aca="false">IFERROR(ROUND(M285*H285+P285,0),0)</f>
        <v>848</v>
      </c>
      <c r="R285" s="44" t="n">
        <f aca="false">G285-Q285</f>
        <v>2825</v>
      </c>
      <c r="S285" s="45" t="str">
        <f aca="false">IF(G285=0,"Stockout ⚠",IF(G285&lt;Q285,"Reorder 🔄",IF(G285&gt;Q285+L285,"Overstock 📦","Aman ✅")))</f>
        <v>Overstock 📦</v>
      </c>
      <c r="T285" s="46" t="n">
        <f aca="false">IFERROR(N285/AVERAGE(M282:M286),0)</f>
        <v>0.17766353113791</v>
      </c>
      <c r="U285" s="47" t="n">
        <v>40.8</v>
      </c>
      <c r="V285" s="48" t="n">
        <v>0.0124</v>
      </c>
    </row>
    <row r="286" customFormat="false" ht="15" hidden="false" customHeight="true" outlineLevel="0" collapsed="false">
      <c r="A286" s="49" t="n">
        <v>5</v>
      </c>
      <c r="B286" s="35" t="n">
        <v>2025</v>
      </c>
      <c r="C286" s="49" t="s">
        <v>263</v>
      </c>
      <c r="D286" s="49" t="s">
        <v>146</v>
      </c>
      <c r="E286" s="50" t="s">
        <v>147</v>
      </c>
      <c r="F286" s="49" t="s">
        <v>36</v>
      </c>
      <c r="G286" s="37" t="n">
        <v>1523</v>
      </c>
      <c r="H286" s="37" t="n">
        <v>10</v>
      </c>
      <c r="I286" s="37" t="n">
        <f aca="false">IFERROR(ROUND('Data Bulanan'!EC61,0),0)</f>
        <v>30267</v>
      </c>
      <c r="J286" s="37" t="n">
        <v>1981379</v>
      </c>
      <c r="K286" s="37" t="n">
        <v>505475</v>
      </c>
      <c r="L286" s="38" t="n">
        <f aca="false">IFERROR(ROUND(SQRT(2*I286*J286/K286),0),0)</f>
        <v>487</v>
      </c>
      <c r="M286" s="39" t="n">
        <f aca="false">IFERROR(AVERAGE('Data Bulanan'!DF61,'Data Bulanan'!DH61,'Data Bulanan'!DJ61,'Data Bulanan'!DL61,'Data Bulanan'!DN61,'Data Bulanan'!DP61,'Data Bulanan'!DR61,'Data Bulanan'!DT61,'Data Bulanan'!DV61,'Data Bulanan'!DX61,'Data Bulanan'!DZ61,'Data Bulanan'!EB61),0)</f>
        <v>80.6774065540195</v>
      </c>
      <c r="N286" s="40" t="n">
        <f aca="false">'Data Bulanan'!ED61</f>
        <v>21.453298159163</v>
      </c>
      <c r="O286" s="41" t="n">
        <f aca="false">IFERROR(N286*SQRT(H286),0)</f>
        <v>67.8412855056527</v>
      </c>
      <c r="P286" s="42" t="n">
        <f aca="false">IFERROR(ROUND(1.65*O286,0),0)</f>
        <v>112</v>
      </c>
      <c r="Q286" s="43" t="n">
        <f aca="false">IFERROR(ROUND(M286*H286+P286,0),0)</f>
        <v>919</v>
      </c>
      <c r="R286" s="44" t="n">
        <f aca="false">G286-Q286</f>
        <v>604</v>
      </c>
      <c r="S286" s="45" t="str">
        <f aca="false">IF(G286=0,"Stockout ⚠",IF(G286&lt;Q286,"Reorder 🔄",IF(G286&gt;Q286+L286,"Overstock 📦","Aman ✅")))</f>
        <v>Overstock 📦</v>
      </c>
      <c r="T286" s="46" t="n">
        <f aca="false">IFERROR(N286/AVERAGE(M282:M286),0)</f>
        <v>0.269631728240583</v>
      </c>
      <c r="U286" s="47" t="n">
        <v>40.8</v>
      </c>
      <c r="V286" s="48" t="n">
        <v>0.0124</v>
      </c>
    </row>
    <row r="287" customFormat="false" ht="15" hidden="false" customHeight="true" outlineLevel="0" collapsed="false">
      <c r="A287" s="34" t="n">
        <v>1</v>
      </c>
      <c r="B287" s="35" t="n">
        <v>2021</v>
      </c>
      <c r="C287" s="34" t="s">
        <v>263</v>
      </c>
      <c r="D287" s="34" t="s">
        <v>148</v>
      </c>
      <c r="E287" s="36" t="s">
        <v>149</v>
      </c>
      <c r="F287" s="34" t="s">
        <v>36</v>
      </c>
      <c r="G287" s="37" t="n">
        <v>5789</v>
      </c>
      <c r="H287" s="37" t="n">
        <v>12</v>
      </c>
      <c r="I287" s="37" t="n">
        <f aca="false">IFERROR(ROUND('Data Bulanan'!AC62,0),0)</f>
        <v>28676</v>
      </c>
      <c r="J287" s="37" t="n">
        <v>2659863</v>
      </c>
      <c r="K287" s="37" t="n">
        <v>528568</v>
      </c>
      <c r="L287" s="38" t="n">
        <f aca="false">IFERROR(ROUND(SQRT(2*I287*J287/K287),0),0)</f>
        <v>537</v>
      </c>
      <c r="M287" s="39" t="n">
        <f aca="false">IFERROR(AVERAGE('Data Bulanan'!F62,'Data Bulanan'!H62,'Data Bulanan'!J62,'Data Bulanan'!L62,'Data Bulanan'!N62,'Data Bulanan'!P62,'Data Bulanan'!R62,'Data Bulanan'!T62,'Data Bulanan'!V62,'Data Bulanan'!X62,'Data Bulanan'!Z62,'Data Bulanan'!AB62),0)</f>
        <v>76.3945084485407</v>
      </c>
      <c r="N287" s="40" t="n">
        <f aca="false">'Data Bulanan'!AD62</f>
        <v>19.7219277947087</v>
      </c>
      <c r="O287" s="41" t="n">
        <f aca="false">IFERROR(N287*SQRT(H287),0)</f>
        <v>68.3187619272805</v>
      </c>
      <c r="P287" s="42" t="n">
        <f aca="false">IFERROR(ROUND(1.65*O287,0),0)</f>
        <v>113</v>
      </c>
      <c r="Q287" s="43" t="n">
        <f aca="false">IFERROR(ROUND(M287*H287+P287,0),0)</f>
        <v>1030</v>
      </c>
      <c r="R287" s="44" t="n">
        <f aca="false">G287-Q287</f>
        <v>4759</v>
      </c>
      <c r="S287" s="45" t="str">
        <f aca="false">IF(G287=0,"Stockout ⚠",IF(G287&lt;Q287,"Reorder 🔄",IF(G287&gt;Q287+L287,"Overstock 📦","Aman ✅")))</f>
        <v>Overstock 📦</v>
      </c>
      <c r="T287" s="46" t="n">
        <f aca="false">IFERROR(N287/AVERAGE(M287:M291),0)</f>
        <v>0.274335480054486</v>
      </c>
      <c r="U287" s="47" t="n">
        <v>-492.86</v>
      </c>
      <c r="V287" s="48" t="n">
        <v>0.076</v>
      </c>
    </row>
    <row r="288" customFormat="false" ht="15" hidden="false" customHeight="true" outlineLevel="0" collapsed="false">
      <c r="A288" s="34" t="n">
        <v>2</v>
      </c>
      <c r="B288" s="35" t="n">
        <v>2022</v>
      </c>
      <c r="C288" s="34" t="s">
        <v>263</v>
      </c>
      <c r="D288" s="34" t="s">
        <v>148</v>
      </c>
      <c r="E288" s="36" t="s">
        <v>149</v>
      </c>
      <c r="F288" s="34" t="s">
        <v>36</v>
      </c>
      <c r="G288" s="37" t="n">
        <v>5802</v>
      </c>
      <c r="H288" s="37" t="n">
        <v>12</v>
      </c>
      <c r="I288" s="37" t="n">
        <f aca="false">IFERROR(ROUND('Data Bulanan'!BC62,0),0)</f>
        <v>29737</v>
      </c>
      <c r="J288" s="37" t="n">
        <v>2357384</v>
      </c>
      <c r="K288" s="37" t="n">
        <v>504369</v>
      </c>
      <c r="L288" s="38" t="n">
        <f aca="false">IFERROR(ROUND(SQRT(2*I288*J288/K288),0),0)</f>
        <v>527</v>
      </c>
      <c r="M288" s="39" t="n">
        <f aca="false">IFERROR(AVERAGE('Data Bulanan'!AF62,'Data Bulanan'!AH62,'Data Bulanan'!AJ62,'Data Bulanan'!AL62,'Data Bulanan'!AN62,'Data Bulanan'!AP62,'Data Bulanan'!AR62,'Data Bulanan'!AT62,'Data Bulanan'!AV62,'Data Bulanan'!AX62,'Data Bulanan'!AZ62,'Data Bulanan'!BB62),0)</f>
        <v>78.9499743983615</v>
      </c>
      <c r="N288" s="40" t="n">
        <f aca="false">'Data Bulanan'!BD62</f>
        <v>13.461762625581</v>
      </c>
      <c r="O288" s="41" t="n">
        <f aca="false">IFERROR(N288*SQRT(H288),0)</f>
        <v>46.6329136538764</v>
      </c>
      <c r="P288" s="42" t="n">
        <f aca="false">IFERROR(ROUND(1.65*O288,0),0)</f>
        <v>77</v>
      </c>
      <c r="Q288" s="43" t="n">
        <f aca="false">IFERROR(ROUND(M288*H288+P288,0),0)</f>
        <v>1024</v>
      </c>
      <c r="R288" s="44" t="n">
        <f aca="false">G288-Q288</f>
        <v>4778</v>
      </c>
      <c r="S288" s="45" t="str">
        <f aca="false">IF(G288=0,"Stockout ⚠",IF(G288&lt;Q288,"Reorder 🔄",IF(G288&gt;Q288+L288,"Overstock 📦","Aman ✅")))</f>
        <v>Overstock 📦</v>
      </c>
      <c r="T288" s="46" t="n">
        <f aca="false">IFERROR(N288/AVERAGE(M287:M291),0)</f>
        <v>0.187255482867103</v>
      </c>
      <c r="U288" s="47" t="n">
        <v>-492.86</v>
      </c>
      <c r="V288" s="48" t="n">
        <v>0.076</v>
      </c>
    </row>
    <row r="289" customFormat="false" ht="15" hidden="false" customHeight="true" outlineLevel="0" collapsed="false">
      <c r="A289" s="34" t="n">
        <v>3</v>
      </c>
      <c r="B289" s="35" t="n">
        <v>2023</v>
      </c>
      <c r="C289" s="34" t="s">
        <v>263</v>
      </c>
      <c r="D289" s="34" t="s">
        <v>148</v>
      </c>
      <c r="E289" s="36" t="s">
        <v>149</v>
      </c>
      <c r="F289" s="34" t="s">
        <v>36</v>
      </c>
      <c r="G289" s="37" t="n">
        <v>2066</v>
      </c>
      <c r="H289" s="37" t="n">
        <v>12</v>
      </c>
      <c r="I289" s="37" t="n">
        <f aca="false">IFERROR(ROUND('Data Bulanan'!CC62,0),0)</f>
        <v>22673</v>
      </c>
      <c r="J289" s="37" t="n">
        <v>2626591</v>
      </c>
      <c r="K289" s="37" t="n">
        <v>520235</v>
      </c>
      <c r="L289" s="38" t="n">
        <f aca="false">IFERROR(ROUND(SQRT(2*I289*J289/K289),0),0)</f>
        <v>478</v>
      </c>
      <c r="M289" s="39" t="n">
        <f aca="false">IFERROR(AVERAGE('Data Bulanan'!BF62,'Data Bulanan'!BH62,'Data Bulanan'!BJ62,'Data Bulanan'!BL62,'Data Bulanan'!BN62,'Data Bulanan'!BP62,'Data Bulanan'!BR62,'Data Bulanan'!BT62,'Data Bulanan'!BV62,'Data Bulanan'!BX62,'Data Bulanan'!BZ62,'Data Bulanan'!CB62),0)</f>
        <v>60.1763568868408</v>
      </c>
      <c r="N289" s="40" t="n">
        <f aca="false">'Data Bulanan'!CD62</f>
        <v>14.6834413998588</v>
      </c>
      <c r="O289" s="41" t="n">
        <f aca="false">IFERROR(N289*SQRT(H289),0)</f>
        <v>50.8649330690314</v>
      </c>
      <c r="P289" s="42" t="n">
        <f aca="false">IFERROR(ROUND(1.65*O289,0),0)</f>
        <v>84</v>
      </c>
      <c r="Q289" s="43" t="n">
        <f aca="false">IFERROR(ROUND(M289*H289+P289,0),0)</f>
        <v>806</v>
      </c>
      <c r="R289" s="44" t="n">
        <f aca="false">G289-Q289</f>
        <v>1260</v>
      </c>
      <c r="S289" s="45" t="str">
        <f aca="false">IF(G289=0,"Stockout ⚠",IF(G289&lt;Q289,"Reorder 🔄",IF(G289&gt;Q289+L289,"Overstock 📦","Aman ✅")))</f>
        <v>Overstock 📦</v>
      </c>
      <c r="T289" s="46" t="n">
        <f aca="false">IFERROR(N289/AVERAGE(M287:M291),0)</f>
        <v>0.204249249222123</v>
      </c>
      <c r="U289" s="47" t="n">
        <v>-492.86</v>
      </c>
      <c r="V289" s="48" t="n">
        <v>0.076</v>
      </c>
    </row>
    <row r="290" customFormat="false" ht="15" hidden="false" customHeight="true" outlineLevel="0" collapsed="false">
      <c r="A290" s="34" t="n">
        <v>4</v>
      </c>
      <c r="B290" s="35" t="n">
        <v>2024</v>
      </c>
      <c r="C290" s="34" t="s">
        <v>263</v>
      </c>
      <c r="D290" s="34" t="s">
        <v>148</v>
      </c>
      <c r="E290" s="36" t="s">
        <v>149</v>
      </c>
      <c r="F290" s="34" t="s">
        <v>36</v>
      </c>
      <c r="G290" s="37" t="n">
        <v>4493</v>
      </c>
      <c r="H290" s="37" t="n">
        <v>12</v>
      </c>
      <c r="I290" s="37" t="n">
        <f aca="false">IFERROR(ROUND('Data Bulanan'!DC62,0),0)</f>
        <v>25777</v>
      </c>
      <c r="J290" s="37" t="n">
        <v>2589310</v>
      </c>
      <c r="K290" s="37" t="n">
        <v>546706</v>
      </c>
      <c r="L290" s="38" t="n">
        <f aca="false">IFERROR(ROUND(SQRT(2*I290*J290/K290),0),0)</f>
        <v>494</v>
      </c>
      <c r="M290" s="39" t="n">
        <f aca="false">IFERROR(AVERAGE('Data Bulanan'!CF62,'Data Bulanan'!CH62,'Data Bulanan'!CJ62,'Data Bulanan'!CL62,'Data Bulanan'!CN62,'Data Bulanan'!CP62,'Data Bulanan'!CR62,'Data Bulanan'!CT62,'Data Bulanan'!CV62,'Data Bulanan'!CX62,'Data Bulanan'!CZ62,'Data Bulanan'!DB62),0)</f>
        <v>68.7406554019457</v>
      </c>
      <c r="N290" s="40" t="n">
        <f aca="false">'Data Bulanan'!DD62</f>
        <v>17.6383609044366</v>
      </c>
      <c r="O290" s="41" t="n">
        <f aca="false">IFERROR(N290*SQRT(H290),0)</f>
        <v>61.1010744974413</v>
      </c>
      <c r="P290" s="42" t="n">
        <f aca="false">IFERROR(ROUND(1.65*O290,0),0)</f>
        <v>101</v>
      </c>
      <c r="Q290" s="43" t="n">
        <f aca="false">IFERROR(ROUND(M290*H290+P290,0),0)</f>
        <v>926</v>
      </c>
      <c r="R290" s="44" t="n">
        <f aca="false">G290-Q290</f>
        <v>3567</v>
      </c>
      <c r="S290" s="45" t="str">
        <f aca="false">IF(G290=0,"Stockout ⚠",IF(G290&lt;Q290,"Reorder 🔄",IF(G290&gt;Q290+L290,"Overstock 📦","Aman ✅")))</f>
        <v>Overstock 📦</v>
      </c>
      <c r="T290" s="46" t="n">
        <f aca="false">IFERROR(N290/AVERAGE(M287:M291),0)</f>
        <v>0.245352698603385</v>
      </c>
      <c r="U290" s="47" t="n">
        <v>-492.86</v>
      </c>
      <c r="V290" s="48" t="n">
        <v>0.076</v>
      </c>
    </row>
    <row r="291" customFormat="false" ht="15" hidden="false" customHeight="true" outlineLevel="0" collapsed="false">
      <c r="A291" s="34" t="n">
        <v>5</v>
      </c>
      <c r="B291" s="35" t="n">
        <v>2025</v>
      </c>
      <c r="C291" s="34" t="s">
        <v>263</v>
      </c>
      <c r="D291" s="34" t="s">
        <v>148</v>
      </c>
      <c r="E291" s="36" t="s">
        <v>149</v>
      </c>
      <c r="F291" s="34" t="s">
        <v>36</v>
      </c>
      <c r="G291" s="37" t="n">
        <v>1497</v>
      </c>
      <c r="H291" s="37" t="n">
        <v>12</v>
      </c>
      <c r="I291" s="37" t="n">
        <f aca="false">IFERROR(ROUND('Data Bulanan'!EC62,0),0)</f>
        <v>28192</v>
      </c>
      <c r="J291" s="37" t="n">
        <v>2552474</v>
      </c>
      <c r="K291" s="37" t="n">
        <v>575825</v>
      </c>
      <c r="L291" s="38" t="n">
        <f aca="false">IFERROR(ROUND(SQRT(2*I291*J291/K291),0),0)</f>
        <v>500</v>
      </c>
      <c r="M291" s="39" t="n">
        <f aca="false">IFERROR(AVERAGE('Data Bulanan'!DF62,'Data Bulanan'!DH62,'Data Bulanan'!DJ62,'Data Bulanan'!DL62,'Data Bulanan'!DN62,'Data Bulanan'!DP62,'Data Bulanan'!DR62,'Data Bulanan'!DT62,'Data Bulanan'!DV62,'Data Bulanan'!DX62,'Data Bulanan'!DZ62,'Data Bulanan'!EB62),0)</f>
        <v>75.1875960061444</v>
      </c>
      <c r="N291" s="40" t="n">
        <f aca="false">'Data Bulanan'!ED62</f>
        <v>21.2400329391554</v>
      </c>
      <c r="O291" s="41" t="n">
        <f aca="false">IFERROR(N291*SQRT(H291),0)</f>
        <v>73.5776324101072</v>
      </c>
      <c r="P291" s="42" t="n">
        <f aca="false">IFERROR(ROUND(1.65*O291,0),0)</f>
        <v>121</v>
      </c>
      <c r="Q291" s="43" t="n">
        <f aca="false">IFERROR(ROUND(M291*H291+P291,0),0)</f>
        <v>1023</v>
      </c>
      <c r="R291" s="44" t="n">
        <f aca="false">G291-Q291</f>
        <v>474</v>
      </c>
      <c r="S291" s="45" t="str">
        <f aca="false">IF(G291=0,"Stockout ⚠",IF(G291&lt;Q291,"Reorder 🔄",IF(G291&gt;Q291+L291,"Overstock 📦","Aman ✅")))</f>
        <v>Aman ✅</v>
      </c>
      <c r="T291" s="46" t="n">
        <f aca="false">IFERROR(N291/AVERAGE(M287:M291),0)</f>
        <v>0.295452589289958</v>
      </c>
      <c r="U291" s="47" t="n">
        <v>-492.86</v>
      </c>
      <c r="V291" s="48" t="n">
        <v>0.076</v>
      </c>
    </row>
    <row r="292" customFormat="false" ht="15" hidden="false" customHeight="true" outlineLevel="0" collapsed="false">
      <c r="A292" s="49" t="n">
        <v>1</v>
      </c>
      <c r="B292" s="35" t="n">
        <v>2021</v>
      </c>
      <c r="C292" s="49" t="s">
        <v>263</v>
      </c>
      <c r="D292" s="49" t="s">
        <v>150</v>
      </c>
      <c r="E292" s="50" t="s">
        <v>151</v>
      </c>
      <c r="F292" s="49" t="s">
        <v>36</v>
      </c>
      <c r="G292" s="37" t="n">
        <v>4242</v>
      </c>
      <c r="H292" s="37" t="n">
        <v>6</v>
      </c>
      <c r="I292" s="37" t="n">
        <f aca="false">IFERROR(ROUND('Data Bulanan'!AC63,0),0)</f>
        <v>49887</v>
      </c>
      <c r="J292" s="37" t="n">
        <v>643722</v>
      </c>
      <c r="K292" s="37" t="n">
        <v>586794</v>
      </c>
      <c r="L292" s="38" t="n">
        <f aca="false">IFERROR(ROUND(SQRT(2*I292*J292/K292),0),0)</f>
        <v>331</v>
      </c>
      <c r="M292" s="39" t="n">
        <f aca="false">IFERROR(AVERAGE('Data Bulanan'!F63,'Data Bulanan'!H63,'Data Bulanan'!J63,'Data Bulanan'!L63,'Data Bulanan'!N63,'Data Bulanan'!P63,'Data Bulanan'!R63,'Data Bulanan'!T63,'Data Bulanan'!V63,'Data Bulanan'!X63,'Data Bulanan'!Z63,'Data Bulanan'!AB63),0)</f>
        <v>132.45821172555</v>
      </c>
      <c r="N292" s="40" t="n">
        <f aca="false">'Data Bulanan'!AD63</f>
        <v>35.6061745479234</v>
      </c>
      <c r="O292" s="41" t="n">
        <f aca="false">IFERROR(N292*SQRT(H292),0)</f>
        <v>87.2169593348857</v>
      </c>
      <c r="P292" s="42" t="n">
        <f aca="false">IFERROR(ROUND(1.65*O292,0),0)</f>
        <v>144</v>
      </c>
      <c r="Q292" s="43" t="n">
        <f aca="false">IFERROR(ROUND(M292*H292+P292,0),0)</f>
        <v>939</v>
      </c>
      <c r="R292" s="44" t="n">
        <f aca="false">G292-Q292</f>
        <v>3303</v>
      </c>
      <c r="S292" s="45" t="str">
        <f aca="false">IF(G292=0,"Stockout ⚠",IF(G292&lt;Q292,"Reorder 🔄",IF(G292&gt;Q292+L292,"Overstock 📦","Aman ✅")))</f>
        <v>Overstock 📦</v>
      </c>
      <c r="T292" s="46" t="n">
        <f aca="false">IFERROR(N292/AVERAGE(M292:M296),0)</f>
        <v>0.278540400685356</v>
      </c>
      <c r="U292" s="47" t="n">
        <v>-2072.07</v>
      </c>
      <c r="V292" s="48" t="n">
        <v>0.436</v>
      </c>
    </row>
    <row r="293" customFormat="false" ht="15" hidden="false" customHeight="true" outlineLevel="0" collapsed="false">
      <c r="A293" s="49" t="n">
        <v>2</v>
      </c>
      <c r="B293" s="35" t="n">
        <v>2022</v>
      </c>
      <c r="C293" s="49" t="s">
        <v>263</v>
      </c>
      <c r="D293" s="49" t="s">
        <v>150</v>
      </c>
      <c r="E293" s="50" t="s">
        <v>151</v>
      </c>
      <c r="F293" s="49" t="s">
        <v>36</v>
      </c>
      <c r="G293" s="37" t="n">
        <v>1445</v>
      </c>
      <c r="H293" s="37" t="n">
        <v>6</v>
      </c>
      <c r="I293" s="37" t="n">
        <f aca="false">IFERROR(ROUND('Data Bulanan'!BC63,0),0)</f>
        <v>49563</v>
      </c>
      <c r="J293" s="37" t="n">
        <v>716868</v>
      </c>
      <c r="K293" s="37" t="n">
        <v>571226</v>
      </c>
      <c r="L293" s="38" t="n">
        <f aca="false">IFERROR(ROUND(SQRT(2*I293*J293/K293),0),0)</f>
        <v>353</v>
      </c>
      <c r="M293" s="39" t="n">
        <f aca="false">IFERROR(AVERAGE('Data Bulanan'!AF63,'Data Bulanan'!AH63,'Data Bulanan'!AJ63,'Data Bulanan'!AL63,'Data Bulanan'!AN63,'Data Bulanan'!AP63,'Data Bulanan'!AR63,'Data Bulanan'!AT63,'Data Bulanan'!AV63,'Data Bulanan'!AX63,'Data Bulanan'!AZ63,'Data Bulanan'!BB63),0)</f>
        <v>131.714029697901</v>
      </c>
      <c r="N293" s="40" t="n">
        <f aca="false">'Data Bulanan'!BD63</f>
        <v>31.1643580082842</v>
      </c>
      <c r="O293" s="41" t="n">
        <f aca="false">IFERROR(N293*SQRT(H293),0)</f>
        <v>76.3367752817148</v>
      </c>
      <c r="P293" s="42" t="n">
        <f aca="false">IFERROR(ROUND(1.65*O293,0),0)</f>
        <v>126</v>
      </c>
      <c r="Q293" s="43" t="n">
        <f aca="false">IFERROR(ROUND(M293*H293+P293,0),0)</f>
        <v>916</v>
      </c>
      <c r="R293" s="44" t="n">
        <f aca="false">G293-Q293</f>
        <v>529</v>
      </c>
      <c r="S293" s="45" t="str">
        <f aca="false">IF(G293=0,"Stockout ⚠",IF(G293&lt;Q293,"Reorder 🔄",IF(G293&gt;Q293+L293,"Overstock 📦","Aman ✅")))</f>
        <v>Overstock 📦</v>
      </c>
      <c r="T293" s="46" t="n">
        <f aca="false">IFERROR(N293/AVERAGE(M292:M296),0)</f>
        <v>0.243792906060324</v>
      </c>
      <c r="U293" s="47" t="n">
        <v>-2072.07</v>
      </c>
      <c r="V293" s="48" t="n">
        <v>0.436</v>
      </c>
    </row>
    <row r="294" customFormat="false" ht="15" hidden="false" customHeight="true" outlineLevel="0" collapsed="false">
      <c r="A294" s="49" t="n">
        <v>3</v>
      </c>
      <c r="B294" s="35" t="n">
        <v>2023</v>
      </c>
      <c r="C294" s="49" t="s">
        <v>263</v>
      </c>
      <c r="D294" s="49" t="s">
        <v>150</v>
      </c>
      <c r="E294" s="50" t="s">
        <v>151</v>
      </c>
      <c r="F294" s="49" t="s">
        <v>36</v>
      </c>
      <c r="G294" s="37" t="n">
        <v>2007</v>
      </c>
      <c r="H294" s="37" t="n">
        <v>6</v>
      </c>
      <c r="I294" s="37" t="n">
        <f aca="false">IFERROR(ROUND('Data Bulanan'!CC63,0),0)</f>
        <v>51538</v>
      </c>
      <c r="J294" s="37" t="n">
        <v>664989</v>
      </c>
      <c r="K294" s="37" t="n">
        <v>582242</v>
      </c>
      <c r="L294" s="38" t="n">
        <f aca="false">IFERROR(ROUND(SQRT(2*I294*J294/K294),0),0)</f>
        <v>343</v>
      </c>
      <c r="M294" s="39" t="n">
        <f aca="false">IFERROR(AVERAGE('Data Bulanan'!BF63,'Data Bulanan'!BH63,'Data Bulanan'!BJ63,'Data Bulanan'!BL63,'Data Bulanan'!BN63,'Data Bulanan'!BP63,'Data Bulanan'!BR63,'Data Bulanan'!BT63,'Data Bulanan'!BV63,'Data Bulanan'!BX63,'Data Bulanan'!BZ63,'Data Bulanan'!CB63),0)</f>
        <v>137.460663082437</v>
      </c>
      <c r="N294" s="40" t="n">
        <f aca="false">'Data Bulanan'!CD63</f>
        <v>34.2660450366441</v>
      </c>
      <c r="O294" s="41" t="n">
        <f aca="false">IFERROR(N294*SQRT(H294),0)</f>
        <v>83.9343258430062</v>
      </c>
      <c r="P294" s="42" t="n">
        <f aca="false">IFERROR(ROUND(1.65*O294,0),0)</f>
        <v>138</v>
      </c>
      <c r="Q294" s="43" t="n">
        <f aca="false">IFERROR(ROUND(M294*H294+P294,0),0)</f>
        <v>963</v>
      </c>
      <c r="R294" s="44" t="n">
        <f aca="false">G294-Q294</f>
        <v>1044</v>
      </c>
      <c r="S294" s="45" t="str">
        <f aca="false">IF(G294=0,"Stockout ⚠",IF(G294&lt;Q294,"Reorder 🔄",IF(G294&gt;Q294+L294,"Overstock 📦","Aman ✅")))</f>
        <v>Overstock 📦</v>
      </c>
      <c r="T294" s="46" t="n">
        <f aca="false">IFERROR(N294/AVERAGE(M292:M296),0)</f>
        <v>0.268056819795767</v>
      </c>
      <c r="U294" s="47" t="n">
        <v>-2072.07</v>
      </c>
      <c r="V294" s="48" t="n">
        <v>0.436</v>
      </c>
    </row>
    <row r="295" customFormat="false" ht="15" hidden="false" customHeight="true" outlineLevel="0" collapsed="false">
      <c r="A295" s="49" t="n">
        <v>4</v>
      </c>
      <c r="B295" s="35" t="n">
        <v>2024</v>
      </c>
      <c r="C295" s="49" t="s">
        <v>263</v>
      </c>
      <c r="D295" s="49" t="s">
        <v>150</v>
      </c>
      <c r="E295" s="50" t="s">
        <v>151</v>
      </c>
      <c r="F295" s="49" t="s">
        <v>36</v>
      </c>
      <c r="G295" s="37" t="n">
        <v>1721</v>
      </c>
      <c r="H295" s="37" t="n">
        <v>6</v>
      </c>
      <c r="I295" s="37" t="n">
        <f aca="false">IFERROR(ROUND('Data Bulanan'!DC63,0),0)</f>
        <v>50034</v>
      </c>
      <c r="J295" s="37" t="n">
        <v>605905</v>
      </c>
      <c r="K295" s="37" t="n">
        <v>578226</v>
      </c>
      <c r="L295" s="38" t="n">
        <f aca="false">IFERROR(ROUND(SQRT(2*I295*J295/K295),0),0)</f>
        <v>324</v>
      </c>
      <c r="M295" s="39" t="n">
        <f aca="false">IFERROR(AVERAGE('Data Bulanan'!CF63,'Data Bulanan'!CH63,'Data Bulanan'!CJ63,'Data Bulanan'!CL63,'Data Bulanan'!CN63,'Data Bulanan'!CP63,'Data Bulanan'!CR63,'Data Bulanan'!CT63,'Data Bulanan'!CV63,'Data Bulanan'!CX63,'Data Bulanan'!CZ63,'Data Bulanan'!DB63),0)</f>
        <v>133.291596262161</v>
      </c>
      <c r="N295" s="40" t="n">
        <f aca="false">'Data Bulanan'!DD63</f>
        <v>37.7482931253583</v>
      </c>
      <c r="O295" s="41" t="n">
        <f aca="false">IFERROR(N295*SQRT(H295),0)</f>
        <v>92.4640568181378</v>
      </c>
      <c r="P295" s="42" t="n">
        <f aca="false">IFERROR(ROUND(1.65*O295,0),0)</f>
        <v>153</v>
      </c>
      <c r="Q295" s="43" t="n">
        <f aca="false">IFERROR(ROUND(M295*H295+P295,0),0)</f>
        <v>953</v>
      </c>
      <c r="R295" s="44" t="n">
        <f aca="false">G295-Q295</f>
        <v>768</v>
      </c>
      <c r="S295" s="45" t="str">
        <f aca="false">IF(G295=0,"Stockout ⚠",IF(G295&lt;Q295,"Reorder 🔄",IF(G295&gt;Q295+L295,"Overstock 📦","Aman ✅")))</f>
        <v>Overstock 📦</v>
      </c>
      <c r="T295" s="46" t="n">
        <f aca="false">IFERROR(N295/AVERAGE(M292:M296),0)</f>
        <v>0.295297791066376</v>
      </c>
      <c r="U295" s="47" t="n">
        <v>-2072.07</v>
      </c>
      <c r="V295" s="48" t="n">
        <v>0.436</v>
      </c>
    </row>
    <row r="296" customFormat="false" ht="15" hidden="false" customHeight="true" outlineLevel="0" collapsed="false">
      <c r="A296" s="49" t="n">
        <v>5</v>
      </c>
      <c r="B296" s="35" t="n">
        <v>2025</v>
      </c>
      <c r="C296" s="49" t="s">
        <v>263</v>
      </c>
      <c r="D296" s="49" t="s">
        <v>150</v>
      </c>
      <c r="E296" s="50" t="s">
        <v>151</v>
      </c>
      <c r="F296" s="49" t="s">
        <v>36</v>
      </c>
      <c r="G296" s="37" t="n">
        <v>2235</v>
      </c>
      <c r="H296" s="37" t="n">
        <v>6</v>
      </c>
      <c r="I296" s="37" t="n">
        <f aca="false">IFERROR(ROUND('Data Bulanan'!EC63,0),0)</f>
        <v>39291</v>
      </c>
      <c r="J296" s="37" t="n">
        <v>651569</v>
      </c>
      <c r="K296" s="37" t="n">
        <v>575922</v>
      </c>
      <c r="L296" s="38" t="n">
        <f aca="false">IFERROR(ROUND(SQRT(2*I296*J296/K296),0),0)</f>
        <v>298</v>
      </c>
      <c r="M296" s="39" t="n">
        <f aca="false">IFERROR(AVERAGE('Data Bulanan'!DF63,'Data Bulanan'!DH63,'Data Bulanan'!DJ63,'Data Bulanan'!DL63,'Data Bulanan'!DN63,'Data Bulanan'!DP63,'Data Bulanan'!DR63,'Data Bulanan'!DT63,'Data Bulanan'!DV63,'Data Bulanan'!DX63,'Data Bulanan'!DZ63,'Data Bulanan'!EB63),0)</f>
        <v>104.231874039939</v>
      </c>
      <c r="N296" s="40" t="n">
        <f aca="false">'Data Bulanan'!ED63</f>
        <v>19.9738512640631</v>
      </c>
      <c r="O296" s="41" t="n">
        <f aca="false">IFERROR(N296*SQRT(H296),0)</f>
        <v>48.9257437951994</v>
      </c>
      <c r="P296" s="42" t="n">
        <f aca="false">IFERROR(ROUND(1.65*O296,0),0)</f>
        <v>81</v>
      </c>
      <c r="Q296" s="43" t="n">
        <f aca="false">IFERROR(ROUND(M296*H296+P296,0),0)</f>
        <v>706</v>
      </c>
      <c r="R296" s="44" t="n">
        <f aca="false">G296-Q296</f>
        <v>1529</v>
      </c>
      <c r="S296" s="45" t="str">
        <f aca="false">IF(G296=0,"Stockout ⚠",IF(G296&lt;Q296,"Reorder 🔄",IF(G296&gt;Q296+L296,"Overstock 📦","Aman ✅")))</f>
        <v>Overstock 📦</v>
      </c>
      <c r="T296" s="46" t="n">
        <f aca="false">IFERROR(N296/AVERAGE(M292:M296),0)</f>
        <v>0.156251678394537</v>
      </c>
      <c r="U296" s="47" t="n">
        <v>-2072.07</v>
      </c>
      <c r="V296" s="48" t="n">
        <v>0.436</v>
      </c>
    </row>
    <row r="297" customFormat="false" ht="15" hidden="false" customHeight="true" outlineLevel="0" collapsed="false">
      <c r="A297" s="34" t="n">
        <v>1</v>
      </c>
      <c r="B297" s="35" t="n">
        <v>2021</v>
      </c>
      <c r="C297" s="34" t="s">
        <v>263</v>
      </c>
      <c r="D297" s="34" t="s">
        <v>152</v>
      </c>
      <c r="E297" s="36" t="s">
        <v>153</v>
      </c>
      <c r="F297" s="34" t="s">
        <v>36</v>
      </c>
      <c r="G297" s="37" t="n">
        <v>0</v>
      </c>
      <c r="H297" s="37" t="n">
        <v>33</v>
      </c>
      <c r="I297" s="37" t="n">
        <f aca="false">IFERROR(ROUND('Data Bulanan'!AC64,0),0)</f>
        <v>39053</v>
      </c>
      <c r="J297" s="37" t="n">
        <v>11462688</v>
      </c>
      <c r="K297" s="37" t="n">
        <v>248609</v>
      </c>
      <c r="L297" s="38" t="n">
        <f aca="false">IFERROR(ROUND(SQRT(2*I297*J297/K297),0),0)</f>
        <v>1898</v>
      </c>
      <c r="M297" s="39" t="n">
        <f aca="false">IFERROR(AVERAGE('Data Bulanan'!F64,'Data Bulanan'!H64,'Data Bulanan'!J64,'Data Bulanan'!L64,'Data Bulanan'!N64,'Data Bulanan'!P64,'Data Bulanan'!R64,'Data Bulanan'!T64,'Data Bulanan'!V64,'Data Bulanan'!X64,'Data Bulanan'!Z64,'Data Bulanan'!AB64),0)</f>
        <v>104.158320532514</v>
      </c>
      <c r="N297" s="40" t="n">
        <f aca="false">'Data Bulanan'!AD64</f>
        <v>25.5571211339857</v>
      </c>
      <c r="O297" s="41" t="n">
        <f aca="false">IFERROR(N297*SQRT(H297),0)</f>
        <v>146.814483419342</v>
      </c>
      <c r="P297" s="42" t="n">
        <f aca="false">IFERROR(ROUND(1.65*O297,0),0)</f>
        <v>242</v>
      </c>
      <c r="Q297" s="43" t="n">
        <f aca="false">IFERROR(ROUND(M297*H297+P297,0),0)</f>
        <v>3679</v>
      </c>
      <c r="R297" s="44" t="n">
        <f aca="false">G297-Q297</f>
        <v>-3679</v>
      </c>
      <c r="S297" s="45" t="str">
        <f aca="false">IF(G297=0,"Stockout ⚠",IF(G297&lt;Q297,"Reorder 🔄",IF(G297&gt;Q297+L297,"Overstock 📦","Aman ✅")))</f>
        <v>Stockout ⚠</v>
      </c>
      <c r="T297" s="46" t="n">
        <f aca="false">IFERROR(N297/AVERAGE(M297:M301),0)</f>
        <v>0.276592779512475</v>
      </c>
      <c r="U297" s="47" t="n">
        <v>-1962.78</v>
      </c>
      <c r="V297" s="48" t="n">
        <v>0.6241</v>
      </c>
    </row>
    <row r="298" customFormat="false" ht="15" hidden="false" customHeight="true" outlineLevel="0" collapsed="false">
      <c r="A298" s="34" t="n">
        <v>2</v>
      </c>
      <c r="B298" s="35" t="n">
        <v>2022</v>
      </c>
      <c r="C298" s="34" t="s">
        <v>263</v>
      </c>
      <c r="D298" s="34" t="s">
        <v>152</v>
      </c>
      <c r="E298" s="36" t="s">
        <v>153</v>
      </c>
      <c r="F298" s="34" t="s">
        <v>36</v>
      </c>
      <c r="G298" s="37" t="n">
        <v>8352</v>
      </c>
      <c r="H298" s="37" t="n">
        <v>33</v>
      </c>
      <c r="I298" s="37" t="n">
        <f aca="false">IFERROR(ROUND('Data Bulanan'!BC64,0),0)</f>
        <v>34125</v>
      </c>
      <c r="J298" s="37" t="n">
        <v>10750224</v>
      </c>
      <c r="K298" s="37" t="n">
        <v>242361</v>
      </c>
      <c r="L298" s="38" t="n">
        <f aca="false">IFERROR(ROUND(SQRT(2*I298*J298/K298),0),0)</f>
        <v>1740</v>
      </c>
      <c r="M298" s="39" t="n">
        <f aca="false">IFERROR(AVERAGE('Data Bulanan'!AF64,'Data Bulanan'!AH64,'Data Bulanan'!AJ64,'Data Bulanan'!AL64,'Data Bulanan'!AN64,'Data Bulanan'!AP64,'Data Bulanan'!AR64,'Data Bulanan'!AT64,'Data Bulanan'!AV64,'Data Bulanan'!AX64,'Data Bulanan'!AZ64,'Data Bulanan'!BB64),0)</f>
        <v>90.6589157706093</v>
      </c>
      <c r="N298" s="40" t="n">
        <f aca="false">'Data Bulanan'!BD64</f>
        <v>24.2103180367531</v>
      </c>
      <c r="O298" s="41" t="n">
        <f aca="false">IFERROR(N298*SQRT(H298),0)</f>
        <v>139.077688654738</v>
      </c>
      <c r="P298" s="42" t="n">
        <f aca="false">IFERROR(ROUND(1.65*O298,0),0)</f>
        <v>229</v>
      </c>
      <c r="Q298" s="43" t="n">
        <f aca="false">IFERROR(ROUND(M298*H298+P298,0),0)</f>
        <v>3221</v>
      </c>
      <c r="R298" s="44" t="n">
        <f aca="false">G298-Q298</f>
        <v>5131</v>
      </c>
      <c r="S298" s="45" t="str">
        <f aca="false">IF(G298=0,"Stockout ⚠",IF(G298&lt;Q298,"Reorder 🔄",IF(G298&gt;Q298+L298,"Overstock 📦","Aman ✅")))</f>
        <v>Overstock 📦</v>
      </c>
      <c r="T298" s="46" t="n">
        <f aca="false">IFERROR(N298/AVERAGE(M297:M301),0)</f>
        <v>0.262016958935242</v>
      </c>
      <c r="U298" s="47" t="n">
        <v>-1962.78</v>
      </c>
      <c r="V298" s="48" t="n">
        <v>0.6241</v>
      </c>
    </row>
    <row r="299" customFormat="false" ht="15" hidden="false" customHeight="true" outlineLevel="0" collapsed="false">
      <c r="A299" s="34" t="n">
        <v>3</v>
      </c>
      <c r="B299" s="35" t="n">
        <v>2023</v>
      </c>
      <c r="C299" s="34" t="s">
        <v>263</v>
      </c>
      <c r="D299" s="34" t="s">
        <v>152</v>
      </c>
      <c r="E299" s="36" t="s">
        <v>153</v>
      </c>
      <c r="F299" s="34" t="s">
        <v>36</v>
      </c>
      <c r="G299" s="37" t="n">
        <v>10635</v>
      </c>
      <c r="H299" s="37" t="n">
        <v>33</v>
      </c>
      <c r="I299" s="37" t="n">
        <f aca="false">IFERROR(ROUND('Data Bulanan'!CC64,0),0)</f>
        <v>38512</v>
      </c>
      <c r="J299" s="37" t="n">
        <v>12524636</v>
      </c>
      <c r="K299" s="37" t="n">
        <v>240266</v>
      </c>
      <c r="L299" s="38" t="n">
        <f aca="false">IFERROR(ROUND(SQRT(2*I299*J299/K299),0),0)</f>
        <v>2004</v>
      </c>
      <c r="M299" s="39" t="n">
        <f aca="false">IFERROR(AVERAGE('Data Bulanan'!BF64,'Data Bulanan'!BH64,'Data Bulanan'!BJ64,'Data Bulanan'!BL64,'Data Bulanan'!BN64,'Data Bulanan'!BP64,'Data Bulanan'!BR64,'Data Bulanan'!BT64,'Data Bulanan'!BV64,'Data Bulanan'!BX64,'Data Bulanan'!BZ64,'Data Bulanan'!CB64),0)</f>
        <v>102.438588069636</v>
      </c>
      <c r="N299" s="40" t="n">
        <f aca="false">'Data Bulanan'!CD64</f>
        <v>20.1794048517751</v>
      </c>
      <c r="O299" s="41" t="n">
        <f aca="false">IFERROR(N299*SQRT(H299),0)</f>
        <v>115.921855340876</v>
      </c>
      <c r="P299" s="42" t="n">
        <f aca="false">IFERROR(ROUND(1.65*O299,0),0)</f>
        <v>191</v>
      </c>
      <c r="Q299" s="43" t="n">
        <f aca="false">IFERROR(ROUND(M299*H299+P299,0),0)</f>
        <v>3571</v>
      </c>
      <c r="R299" s="44" t="n">
        <f aca="false">G299-Q299</f>
        <v>7064</v>
      </c>
      <c r="S299" s="45" t="str">
        <f aca="false">IF(G299=0,"Stockout ⚠",IF(G299&lt;Q299,"Reorder 🔄",IF(G299&gt;Q299+L299,"Overstock 📦","Aman ✅")))</f>
        <v>Overstock 📦</v>
      </c>
      <c r="T299" s="46" t="n">
        <f aca="false">IFERROR(N299/AVERAGE(M297:M301),0)</f>
        <v>0.218392269129162</v>
      </c>
      <c r="U299" s="47" t="n">
        <v>-1962.78</v>
      </c>
      <c r="V299" s="48" t="n">
        <v>0.6241</v>
      </c>
    </row>
    <row r="300" customFormat="false" ht="15" hidden="false" customHeight="true" outlineLevel="0" collapsed="false">
      <c r="A300" s="34" t="n">
        <v>4</v>
      </c>
      <c r="B300" s="35" t="n">
        <v>2024</v>
      </c>
      <c r="C300" s="34" t="s">
        <v>263</v>
      </c>
      <c r="D300" s="34" t="s">
        <v>152</v>
      </c>
      <c r="E300" s="36" t="s">
        <v>153</v>
      </c>
      <c r="F300" s="34" t="s">
        <v>36</v>
      </c>
      <c r="G300" s="37" t="n">
        <v>8044</v>
      </c>
      <c r="H300" s="37" t="n">
        <v>33</v>
      </c>
      <c r="I300" s="37" t="n">
        <f aca="false">IFERROR(ROUND('Data Bulanan'!DC64,0),0)</f>
        <v>31309</v>
      </c>
      <c r="J300" s="37" t="n">
        <v>11005724</v>
      </c>
      <c r="K300" s="37" t="n">
        <v>267423</v>
      </c>
      <c r="L300" s="38" t="n">
        <f aca="false">IFERROR(ROUND(SQRT(2*I300*J300/K300),0),0)</f>
        <v>1605</v>
      </c>
      <c r="M300" s="39" t="n">
        <f aca="false">IFERROR(AVERAGE('Data Bulanan'!CF64,'Data Bulanan'!CH64,'Data Bulanan'!CJ64,'Data Bulanan'!CL64,'Data Bulanan'!CN64,'Data Bulanan'!CP64,'Data Bulanan'!CR64,'Data Bulanan'!CT64,'Data Bulanan'!CV64,'Data Bulanan'!CX64,'Data Bulanan'!CZ64,'Data Bulanan'!DB64),0)</f>
        <v>83.0736879160266</v>
      </c>
      <c r="N300" s="40" t="n">
        <f aca="false">'Data Bulanan'!DD64</f>
        <v>20.0921460082393</v>
      </c>
      <c r="O300" s="41" t="n">
        <f aca="false">IFERROR(N300*SQRT(H300),0)</f>
        <v>115.42059144772</v>
      </c>
      <c r="P300" s="42" t="n">
        <f aca="false">IFERROR(ROUND(1.65*O300,0),0)</f>
        <v>190</v>
      </c>
      <c r="Q300" s="43" t="n">
        <f aca="false">IFERROR(ROUND(M300*H300+P300,0),0)</f>
        <v>2931</v>
      </c>
      <c r="R300" s="44" t="n">
        <f aca="false">G300-Q300</f>
        <v>5113</v>
      </c>
      <c r="S300" s="45" t="str">
        <f aca="false">IF(G300=0,"Stockout ⚠",IF(G300&lt;Q300,"Reorder 🔄",IF(G300&gt;Q300+L300,"Overstock 📦","Aman ✅")))</f>
        <v>Overstock 📦</v>
      </c>
      <c r="T300" s="46" t="n">
        <f aca="false">IFERROR(N300/AVERAGE(M297:M301),0)</f>
        <v>0.217447907440532</v>
      </c>
      <c r="U300" s="47" t="n">
        <v>-1962.78</v>
      </c>
      <c r="V300" s="48" t="n">
        <v>0.6241</v>
      </c>
    </row>
    <row r="301" customFormat="false" ht="15" hidden="false" customHeight="true" outlineLevel="0" collapsed="false">
      <c r="A301" s="34" t="n">
        <v>5</v>
      </c>
      <c r="B301" s="35" t="n">
        <v>2025</v>
      </c>
      <c r="C301" s="34" t="s">
        <v>263</v>
      </c>
      <c r="D301" s="34" t="s">
        <v>152</v>
      </c>
      <c r="E301" s="36" t="s">
        <v>153</v>
      </c>
      <c r="F301" s="34" t="s">
        <v>36</v>
      </c>
      <c r="G301" s="37" t="n">
        <v>0</v>
      </c>
      <c r="H301" s="37" t="n">
        <v>33</v>
      </c>
      <c r="I301" s="37" t="n">
        <f aca="false">IFERROR(ROUND('Data Bulanan'!EC64,0),0)</f>
        <v>30647</v>
      </c>
      <c r="J301" s="37" t="n">
        <v>10410753</v>
      </c>
      <c r="K301" s="37" t="n">
        <v>259314</v>
      </c>
      <c r="L301" s="38" t="n">
        <f aca="false">IFERROR(ROUND(SQRT(2*I301*J301/K301),0),0)</f>
        <v>1569</v>
      </c>
      <c r="M301" s="39" t="n">
        <f aca="false">IFERROR(AVERAGE('Data Bulanan'!DF64,'Data Bulanan'!DH64,'Data Bulanan'!DJ64,'Data Bulanan'!DL64,'Data Bulanan'!DN64,'Data Bulanan'!DP64,'Data Bulanan'!DR64,'Data Bulanan'!DT64,'Data Bulanan'!DV64,'Data Bulanan'!DX64,'Data Bulanan'!DZ64,'Data Bulanan'!EB64),0)</f>
        <v>81.6695532514081</v>
      </c>
      <c r="N301" s="40" t="n">
        <f aca="false">'Data Bulanan'!ED64</f>
        <v>15.5173127229499</v>
      </c>
      <c r="O301" s="41" t="n">
        <f aca="false">IFERROR(N301*SQRT(H301),0)</f>
        <v>89.1401750429075</v>
      </c>
      <c r="P301" s="42" t="n">
        <f aca="false">IFERROR(ROUND(1.65*O301,0),0)</f>
        <v>147</v>
      </c>
      <c r="Q301" s="43" t="n">
        <f aca="false">IFERROR(ROUND(M301*H301+P301,0),0)</f>
        <v>2842</v>
      </c>
      <c r="R301" s="44" t="n">
        <f aca="false">G301-Q301</f>
        <v>-2842</v>
      </c>
      <c r="S301" s="45" t="str">
        <f aca="false">IF(G301=0,"Stockout ⚠",IF(G301&lt;Q301,"Reorder 🔄",IF(G301&gt;Q301+L301,"Overstock 📦","Aman ✅")))</f>
        <v>Stockout ⚠</v>
      </c>
      <c r="T301" s="46" t="n">
        <f aca="false">IFERROR(N301/AVERAGE(M297:M301),0)</f>
        <v>0.167936624555791</v>
      </c>
      <c r="U301" s="47" t="n">
        <v>-1962.78</v>
      </c>
      <c r="V301" s="48" t="n">
        <v>0.6241</v>
      </c>
    </row>
    <row r="302" customFormat="false" ht="15" hidden="false" customHeight="true" outlineLevel="0" collapsed="false">
      <c r="A302" s="49" t="n">
        <v>1</v>
      </c>
      <c r="B302" s="35" t="n">
        <v>2021</v>
      </c>
      <c r="C302" s="49" t="s">
        <v>264</v>
      </c>
      <c r="D302" s="49" t="s">
        <v>154</v>
      </c>
      <c r="E302" s="50" t="s">
        <v>155</v>
      </c>
      <c r="F302" s="49" t="s">
        <v>36</v>
      </c>
      <c r="G302" s="37" t="n">
        <v>3311</v>
      </c>
      <c r="H302" s="37" t="n">
        <v>10</v>
      </c>
      <c r="I302" s="37" t="n">
        <f aca="false">IFERROR(ROUND('Data Bulanan'!AC65,0),0)</f>
        <v>53603</v>
      </c>
      <c r="J302" s="37" t="n">
        <v>1215081</v>
      </c>
      <c r="K302" s="37" t="n">
        <v>236826</v>
      </c>
      <c r="L302" s="38" t="n">
        <f aca="false">IFERROR(ROUND(SQRT(2*I302*J302/K302),0),0)</f>
        <v>742</v>
      </c>
      <c r="M302" s="39" t="n">
        <f aca="false">IFERROR(AVERAGE('Data Bulanan'!F65,'Data Bulanan'!H65,'Data Bulanan'!J65,'Data Bulanan'!L65,'Data Bulanan'!N65,'Data Bulanan'!P65,'Data Bulanan'!R65,'Data Bulanan'!T65,'Data Bulanan'!V65,'Data Bulanan'!X65,'Data Bulanan'!Z65,'Data Bulanan'!AB65),0)</f>
        <v>142.603155401946</v>
      </c>
      <c r="N302" s="40" t="n">
        <f aca="false">'Data Bulanan'!AD65</f>
        <v>37.2447401278171</v>
      </c>
      <c r="O302" s="41" t="n">
        <f aca="false">IFERROR(N302*SQRT(H302),0)</f>
        <v>117.778209664973</v>
      </c>
      <c r="P302" s="42" t="n">
        <f aca="false">IFERROR(ROUND(1.65*O302,0),0)</f>
        <v>194</v>
      </c>
      <c r="Q302" s="43" t="n">
        <f aca="false">IFERROR(ROUND(M302*H302+P302,0),0)</f>
        <v>1620</v>
      </c>
      <c r="R302" s="44" t="n">
        <f aca="false">G302-Q302</f>
        <v>1691</v>
      </c>
      <c r="S302" s="45" t="str">
        <f aca="false">IF(G302=0,"Stockout ⚠",IF(G302&lt;Q302,"Reorder 🔄",IF(G302&gt;Q302+L302,"Overstock 📦","Aman ✅")))</f>
        <v>Overstock 📦</v>
      </c>
      <c r="T302" s="46" t="n">
        <f aca="false">IFERROR(N302/AVERAGE(M302:M306),0)</f>
        <v>0.276012509794481</v>
      </c>
      <c r="U302" s="47" t="n">
        <v>1602.18</v>
      </c>
      <c r="V302" s="48" t="n">
        <v>0.1562</v>
      </c>
    </row>
    <row r="303" customFormat="false" ht="15" hidden="false" customHeight="true" outlineLevel="0" collapsed="false">
      <c r="A303" s="49" t="n">
        <v>2</v>
      </c>
      <c r="B303" s="35" t="n">
        <v>2022</v>
      </c>
      <c r="C303" s="49" t="s">
        <v>264</v>
      </c>
      <c r="D303" s="49" t="s">
        <v>154</v>
      </c>
      <c r="E303" s="50" t="s">
        <v>155</v>
      </c>
      <c r="F303" s="49" t="s">
        <v>36</v>
      </c>
      <c r="G303" s="37" t="n">
        <v>0</v>
      </c>
      <c r="H303" s="37" t="n">
        <v>10</v>
      </c>
      <c r="I303" s="37" t="n">
        <f aca="false">IFERROR(ROUND('Data Bulanan'!BC65,0),0)</f>
        <v>43827</v>
      </c>
      <c r="J303" s="37" t="n">
        <v>1264246</v>
      </c>
      <c r="K303" s="37" t="n">
        <v>228260</v>
      </c>
      <c r="L303" s="38" t="n">
        <f aca="false">IFERROR(ROUND(SQRT(2*I303*J303/K303),0),0)</f>
        <v>697</v>
      </c>
      <c r="M303" s="39" t="n">
        <f aca="false">IFERROR(AVERAGE('Data Bulanan'!AF65,'Data Bulanan'!AH65,'Data Bulanan'!AJ65,'Data Bulanan'!AL65,'Data Bulanan'!AN65,'Data Bulanan'!AP65,'Data Bulanan'!AR65,'Data Bulanan'!AT65,'Data Bulanan'!AV65,'Data Bulanan'!AX65,'Data Bulanan'!AZ65,'Data Bulanan'!BB65),0)</f>
        <v>116.462455197133</v>
      </c>
      <c r="N303" s="40" t="n">
        <f aca="false">'Data Bulanan'!BD65</f>
        <v>21.093917405463</v>
      </c>
      <c r="O303" s="41" t="n">
        <f aca="false">IFERROR(N303*SQRT(H303),0)</f>
        <v>66.7048237767326</v>
      </c>
      <c r="P303" s="42" t="n">
        <f aca="false">IFERROR(ROUND(1.65*O303,0),0)</f>
        <v>110</v>
      </c>
      <c r="Q303" s="43" t="n">
        <f aca="false">IFERROR(ROUND(M303*H303+P303,0),0)</f>
        <v>1275</v>
      </c>
      <c r="R303" s="44" t="n">
        <f aca="false">G303-Q303</f>
        <v>-1275</v>
      </c>
      <c r="S303" s="45" t="str">
        <f aca="false">IF(G303=0,"Stockout ⚠",IF(G303&lt;Q303,"Reorder 🔄",IF(G303&gt;Q303+L303,"Overstock 📦","Aman ✅")))</f>
        <v>Stockout ⚠</v>
      </c>
      <c r="T303" s="46" t="n">
        <f aca="false">IFERROR(N303/AVERAGE(M302:M306),0)</f>
        <v>0.156322344161851</v>
      </c>
      <c r="U303" s="47" t="n">
        <v>1602.18</v>
      </c>
      <c r="V303" s="48" t="n">
        <v>0.1562</v>
      </c>
    </row>
    <row r="304" customFormat="false" ht="15" hidden="false" customHeight="true" outlineLevel="0" collapsed="false">
      <c r="A304" s="49" t="n">
        <v>3</v>
      </c>
      <c r="B304" s="35" t="n">
        <v>2023</v>
      </c>
      <c r="C304" s="49" t="s">
        <v>264</v>
      </c>
      <c r="D304" s="49" t="s">
        <v>154</v>
      </c>
      <c r="E304" s="50" t="s">
        <v>155</v>
      </c>
      <c r="F304" s="49" t="s">
        <v>36</v>
      </c>
      <c r="G304" s="37" t="n">
        <v>3858</v>
      </c>
      <c r="H304" s="37" t="n">
        <v>10</v>
      </c>
      <c r="I304" s="37" t="n">
        <f aca="false">IFERROR(ROUND('Data Bulanan'!CC65,0),0)</f>
        <v>43767</v>
      </c>
      <c r="J304" s="37" t="n">
        <v>1133106</v>
      </c>
      <c r="K304" s="37" t="n">
        <v>231809</v>
      </c>
      <c r="L304" s="38" t="n">
        <f aca="false">IFERROR(ROUND(SQRT(2*I304*J304/K304),0),0)</f>
        <v>654</v>
      </c>
      <c r="M304" s="39" t="n">
        <f aca="false">IFERROR(AVERAGE('Data Bulanan'!BF65,'Data Bulanan'!BH65,'Data Bulanan'!BJ65,'Data Bulanan'!BL65,'Data Bulanan'!BN65,'Data Bulanan'!BP65,'Data Bulanan'!BR65,'Data Bulanan'!BT65,'Data Bulanan'!BV65,'Data Bulanan'!BX65,'Data Bulanan'!BZ65,'Data Bulanan'!CB65),0)</f>
        <v>116.637378392217</v>
      </c>
      <c r="N304" s="40" t="n">
        <f aca="false">'Data Bulanan'!CD65</f>
        <v>29.96405006213</v>
      </c>
      <c r="O304" s="41" t="n">
        <f aca="false">IFERROR(N304*SQRT(H304),0)</f>
        <v>94.7546461196407</v>
      </c>
      <c r="P304" s="42" t="n">
        <f aca="false">IFERROR(ROUND(1.65*O304,0),0)</f>
        <v>156</v>
      </c>
      <c r="Q304" s="43" t="n">
        <f aca="false">IFERROR(ROUND(M304*H304+P304,0),0)</f>
        <v>1322</v>
      </c>
      <c r="R304" s="44" t="n">
        <f aca="false">G304-Q304</f>
        <v>2536</v>
      </c>
      <c r="S304" s="45" t="str">
        <f aca="false">IF(G304=0,"Stockout ⚠",IF(G304&lt;Q304,"Reorder 🔄",IF(G304&gt;Q304+L304,"Overstock 📦","Aman ✅")))</f>
        <v>Overstock 📦</v>
      </c>
      <c r="T304" s="46" t="n">
        <f aca="false">IFERROR(N304/AVERAGE(M302:M306),0)</f>
        <v>0.222056930263798</v>
      </c>
      <c r="U304" s="47" t="n">
        <v>1602.18</v>
      </c>
      <c r="V304" s="48" t="n">
        <v>0.1562</v>
      </c>
    </row>
    <row r="305" customFormat="false" ht="15" hidden="false" customHeight="true" outlineLevel="0" collapsed="false">
      <c r="A305" s="49" t="n">
        <v>4</v>
      </c>
      <c r="B305" s="35" t="n">
        <v>2024</v>
      </c>
      <c r="C305" s="49" t="s">
        <v>264</v>
      </c>
      <c r="D305" s="49" t="s">
        <v>154</v>
      </c>
      <c r="E305" s="50" t="s">
        <v>155</v>
      </c>
      <c r="F305" s="49" t="s">
        <v>36</v>
      </c>
      <c r="G305" s="37" t="n">
        <v>0</v>
      </c>
      <c r="H305" s="37" t="n">
        <v>10</v>
      </c>
      <c r="I305" s="37" t="n">
        <f aca="false">IFERROR(ROUND('Data Bulanan'!DC65,0),0)</f>
        <v>57258</v>
      </c>
      <c r="J305" s="37" t="n">
        <v>1326855</v>
      </c>
      <c r="K305" s="37" t="n">
        <v>204565</v>
      </c>
      <c r="L305" s="38" t="n">
        <f aca="false">IFERROR(ROUND(SQRT(2*I305*J305/K305),0),0)</f>
        <v>862</v>
      </c>
      <c r="M305" s="39" t="n">
        <f aca="false">IFERROR(AVERAGE('Data Bulanan'!CF65,'Data Bulanan'!CH65,'Data Bulanan'!CJ65,'Data Bulanan'!CL65,'Data Bulanan'!CN65,'Data Bulanan'!CP65,'Data Bulanan'!CR65,'Data Bulanan'!CT65,'Data Bulanan'!CV65,'Data Bulanan'!CX65,'Data Bulanan'!CZ65,'Data Bulanan'!DB65),0)</f>
        <v>152.624500768049</v>
      </c>
      <c r="N305" s="40" t="n">
        <f aca="false">'Data Bulanan'!DD65</f>
        <v>32.506489128653</v>
      </c>
      <c r="O305" s="41" t="n">
        <f aca="false">IFERROR(N305*SQRT(H305),0)</f>
        <v>102.794544382046</v>
      </c>
      <c r="P305" s="42" t="n">
        <f aca="false">IFERROR(ROUND(1.65*O305,0),0)</f>
        <v>170</v>
      </c>
      <c r="Q305" s="43" t="n">
        <f aca="false">IFERROR(ROUND(M305*H305+P305,0),0)</f>
        <v>1696</v>
      </c>
      <c r="R305" s="44" t="n">
        <f aca="false">G305-Q305</f>
        <v>-1696</v>
      </c>
      <c r="S305" s="45" t="str">
        <f aca="false">IF(G305=0,"Stockout ⚠",IF(G305&lt;Q305,"Reorder 🔄",IF(G305&gt;Q305+L305,"Overstock 📦","Aman ✅")))</f>
        <v>Stockout ⚠</v>
      </c>
      <c r="T305" s="46" t="n">
        <f aca="false">IFERROR(N305/AVERAGE(M302:M306),0)</f>
        <v>0.240898382381394</v>
      </c>
      <c r="U305" s="47" t="n">
        <v>1602.18</v>
      </c>
      <c r="V305" s="48" t="n">
        <v>0.1562</v>
      </c>
    </row>
    <row r="306" customFormat="false" ht="15" hidden="false" customHeight="true" outlineLevel="0" collapsed="false">
      <c r="A306" s="49" t="n">
        <v>5</v>
      </c>
      <c r="B306" s="35" t="n">
        <v>2025</v>
      </c>
      <c r="C306" s="49" t="s">
        <v>264</v>
      </c>
      <c r="D306" s="49" t="s">
        <v>154</v>
      </c>
      <c r="E306" s="50" t="s">
        <v>155</v>
      </c>
      <c r="F306" s="49" t="s">
        <v>36</v>
      </c>
      <c r="G306" s="37" t="n">
        <v>1104</v>
      </c>
      <c r="H306" s="37" t="n">
        <v>10</v>
      </c>
      <c r="I306" s="37" t="n">
        <f aca="false">IFERROR(ROUND('Data Bulanan'!EC65,0),0)</f>
        <v>54899</v>
      </c>
      <c r="J306" s="37" t="n">
        <v>1336737</v>
      </c>
      <c r="K306" s="37" t="n">
        <v>239582</v>
      </c>
      <c r="L306" s="38" t="n">
        <f aca="false">IFERROR(ROUND(SQRT(2*I306*J306/K306),0),0)</f>
        <v>783</v>
      </c>
      <c r="M306" s="39" t="n">
        <f aca="false">IFERROR(AVERAGE('Data Bulanan'!DF65,'Data Bulanan'!DH65,'Data Bulanan'!DJ65,'Data Bulanan'!DL65,'Data Bulanan'!DN65,'Data Bulanan'!DP65,'Data Bulanan'!DR65,'Data Bulanan'!DT65,'Data Bulanan'!DV65,'Data Bulanan'!DX65,'Data Bulanan'!DZ65,'Data Bulanan'!EB65),0)</f>
        <v>146.365482590886</v>
      </c>
      <c r="N306" s="40" t="n">
        <f aca="false">'Data Bulanan'!ED65</f>
        <v>30.077373671905</v>
      </c>
      <c r="O306" s="41" t="n">
        <f aca="false">IFERROR(N306*SQRT(H306),0)</f>
        <v>95.1130068392017</v>
      </c>
      <c r="P306" s="42" t="n">
        <f aca="false">IFERROR(ROUND(1.65*O306,0),0)</f>
        <v>157</v>
      </c>
      <c r="Q306" s="43" t="n">
        <f aca="false">IFERROR(ROUND(M306*H306+P306,0),0)</f>
        <v>1621</v>
      </c>
      <c r="R306" s="44" t="n">
        <f aca="false">G306-Q306</f>
        <v>-517</v>
      </c>
      <c r="S306" s="45" t="str">
        <f aca="false">IF(G306=0,"Stockout ⚠",IF(G306&lt;Q306,"Reorder 🔄",IF(G306&gt;Q306+L306,"Overstock 📦","Aman ✅")))</f>
        <v>Reorder 🔄</v>
      </c>
      <c r="T306" s="46" t="n">
        <f aca="false">IFERROR(N306/AVERAGE(M302:M306),0)</f>
        <v>0.222896746405504</v>
      </c>
      <c r="U306" s="47" t="n">
        <v>1602.18</v>
      </c>
      <c r="V306" s="48" t="n">
        <v>0.1562</v>
      </c>
    </row>
    <row r="307" customFormat="false" ht="15" hidden="false" customHeight="true" outlineLevel="0" collapsed="false">
      <c r="A307" s="34" t="n">
        <v>1</v>
      </c>
      <c r="B307" s="35" t="n">
        <v>2021</v>
      </c>
      <c r="C307" s="34" t="s">
        <v>264</v>
      </c>
      <c r="D307" s="34" t="s">
        <v>156</v>
      </c>
      <c r="E307" s="36" t="s">
        <v>157</v>
      </c>
      <c r="F307" s="34" t="s">
        <v>36</v>
      </c>
      <c r="G307" s="37" t="n">
        <v>637</v>
      </c>
      <c r="H307" s="37" t="n">
        <v>33</v>
      </c>
      <c r="I307" s="37" t="n">
        <f aca="false">IFERROR(ROUND('Data Bulanan'!AC66,0),0)</f>
        <v>1033</v>
      </c>
      <c r="J307" s="37" t="n">
        <v>7421343</v>
      </c>
      <c r="K307" s="37" t="n">
        <v>539864</v>
      </c>
      <c r="L307" s="38" t="n">
        <f aca="false">IFERROR(ROUND(SQRT(2*I307*J307/K307),0),0)</f>
        <v>169</v>
      </c>
      <c r="M307" s="39" t="n">
        <f aca="false">IFERROR(AVERAGE('Data Bulanan'!F66,'Data Bulanan'!H66,'Data Bulanan'!J66,'Data Bulanan'!L66,'Data Bulanan'!N66,'Data Bulanan'!P66,'Data Bulanan'!R66,'Data Bulanan'!T66,'Data Bulanan'!V66,'Data Bulanan'!X66,'Data Bulanan'!Z66,'Data Bulanan'!AB66),0)</f>
        <v>2.74263952892985</v>
      </c>
      <c r="N307" s="40" t="n">
        <f aca="false">'Data Bulanan'!AD66</f>
        <v>0.501090793342661</v>
      </c>
      <c r="O307" s="41" t="n">
        <f aca="false">IFERROR(N307*SQRT(H307),0)</f>
        <v>2.87854745396036</v>
      </c>
      <c r="P307" s="42" t="n">
        <f aca="false">IFERROR(ROUND(1.65*O307,0),0)</f>
        <v>5</v>
      </c>
      <c r="Q307" s="43" t="n">
        <f aca="false">IFERROR(ROUND(M307*H307+P307,0),0)</f>
        <v>96</v>
      </c>
      <c r="R307" s="44" t="n">
        <f aca="false">G307-Q307</f>
        <v>541</v>
      </c>
      <c r="S307" s="45" t="str">
        <f aca="false">IF(G307=0,"Stockout ⚠",IF(G307&lt;Q307,"Reorder 🔄",IF(G307&gt;Q307+L307,"Overstock 📦","Aman ✅")))</f>
        <v>Overstock 📦</v>
      </c>
      <c r="T307" s="46" t="n">
        <f aca="false">IFERROR(N307/AVERAGE(M307:M311),0)</f>
        <v>0.182617249834755</v>
      </c>
      <c r="U307" s="47" t="n">
        <v>-0.42</v>
      </c>
      <c r="V307" s="48" t="n">
        <v>0.5488</v>
      </c>
    </row>
    <row r="308" customFormat="false" ht="15" hidden="false" customHeight="true" outlineLevel="0" collapsed="false">
      <c r="A308" s="34" t="n">
        <v>2</v>
      </c>
      <c r="B308" s="35" t="n">
        <v>2022</v>
      </c>
      <c r="C308" s="34" t="s">
        <v>264</v>
      </c>
      <c r="D308" s="34" t="s">
        <v>156</v>
      </c>
      <c r="E308" s="36" t="s">
        <v>157</v>
      </c>
      <c r="F308" s="34" t="s">
        <v>36</v>
      </c>
      <c r="G308" s="37" t="n">
        <v>707</v>
      </c>
      <c r="H308" s="37" t="n">
        <v>33</v>
      </c>
      <c r="I308" s="37" t="n">
        <f aca="false">IFERROR(ROUND('Data Bulanan'!BC66,0),0)</f>
        <v>1031</v>
      </c>
      <c r="J308" s="37" t="n">
        <v>6971215</v>
      </c>
      <c r="K308" s="37" t="n">
        <v>589665</v>
      </c>
      <c r="L308" s="38" t="n">
        <f aca="false">IFERROR(ROUND(SQRT(2*I308*J308/K308),0),0)</f>
        <v>156</v>
      </c>
      <c r="M308" s="39" t="n">
        <f aca="false">IFERROR(AVERAGE('Data Bulanan'!AF66,'Data Bulanan'!AH66,'Data Bulanan'!AJ66,'Data Bulanan'!AL66,'Data Bulanan'!AN66,'Data Bulanan'!AP66,'Data Bulanan'!AR66,'Data Bulanan'!AT66,'Data Bulanan'!AV66,'Data Bulanan'!AX66,'Data Bulanan'!AZ66,'Data Bulanan'!BB66),0)</f>
        <v>2.74014336917563</v>
      </c>
      <c r="N308" s="40" t="n">
        <f aca="false">'Data Bulanan'!BD66</f>
        <v>0.478568609024916</v>
      </c>
      <c r="O308" s="41" t="n">
        <f aca="false">IFERROR(N308*SQRT(H308),0)</f>
        <v>2.74916735521019</v>
      </c>
      <c r="P308" s="42" t="n">
        <f aca="false">IFERROR(ROUND(1.65*O308,0),0)</f>
        <v>5</v>
      </c>
      <c r="Q308" s="43" t="n">
        <f aca="false">IFERROR(ROUND(M308*H308+P308,0),0)</f>
        <v>95</v>
      </c>
      <c r="R308" s="44" t="n">
        <f aca="false">G308-Q308</f>
        <v>612</v>
      </c>
      <c r="S308" s="45" t="str">
        <f aca="false">IF(G308=0,"Stockout ⚠",IF(G308&lt;Q308,"Reorder 🔄",IF(G308&gt;Q308+L308,"Overstock 📦","Aman ✅")))</f>
        <v>Overstock 📦</v>
      </c>
      <c r="T308" s="46" t="n">
        <f aca="false">IFERROR(N308/AVERAGE(M307:M311),0)</f>
        <v>0.174409277517121</v>
      </c>
      <c r="U308" s="47" t="n">
        <v>-0.42</v>
      </c>
      <c r="V308" s="48" t="n">
        <v>0.5488</v>
      </c>
    </row>
    <row r="309" customFormat="false" ht="15" hidden="false" customHeight="true" outlineLevel="0" collapsed="false">
      <c r="A309" s="34" t="n">
        <v>3</v>
      </c>
      <c r="B309" s="35" t="n">
        <v>2023</v>
      </c>
      <c r="C309" s="34" t="s">
        <v>264</v>
      </c>
      <c r="D309" s="34" t="s">
        <v>156</v>
      </c>
      <c r="E309" s="36" t="s">
        <v>157</v>
      </c>
      <c r="F309" s="34" t="s">
        <v>36</v>
      </c>
      <c r="G309" s="37" t="n">
        <v>175</v>
      </c>
      <c r="H309" s="37" t="n">
        <v>33</v>
      </c>
      <c r="I309" s="37" t="n">
        <f aca="false">IFERROR(ROUND('Data Bulanan'!CC66,0),0)</f>
        <v>1030</v>
      </c>
      <c r="J309" s="37" t="n">
        <v>7074309</v>
      </c>
      <c r="K309" s="37" t="n">
        <v>580991</v>
      </c>
      <c r="L309" s="38" t="n">
        <f aca="false">IFERROR(ROUND(SQRT(2*I309*J309/K309),0),0)</f>
        <v>158</v>
      </c>
      <c r="M309" s="39" t="n">
        <f aca="false">IFERROR(AVERAGE('Data Bulanan'!BF66,'Data Bulanan'!BH66,'Data Bulanan'!BJ66,'Data Bulanan'!BL66,'Data Bulanan'!BN66,'Data Bulanan'!BP66,'Data Bulanan'!BR66,'Data Bulanan'!BT66,'Data Bulanan'!BV66,'Data Bulanan'!BX66,'Data Bulanan'!BZ66,'Data Bulanan'!CB66),0)</f>
        <v>2.73796722990271</v>
      </c>
      <c r="N309" s="40" t="n">
        <f aca="false">'Data Bulanan'!CD66</f>
        <v>0.655840975695826</v>
      </c>
      <c r="O309" s="41" t="n">
        <f aca="false">IFERROR(N309*SQRT(H309),0)</f>
        <v>3.7675195710513</v>
      </c>
      <c r="P309" s="42" t="n">
        <f aca="false">IFERROR(ROUND(1.65*O309,0),0)</f>
        <v>6</v>
      </c>
      <c r="Q309" s="43" t="n">
        <f aca="false">IFERROR(ROUND(M309*H309+P309,0),0)</f>
        <v>96</v>
      </c>
      <c r="R309" s="44" t="n">
        <f aca="false">G309-Q309</f>
        <v>79</v>
      </c>
      <c r="S309" s="45" t="str">
        <f aca="false">IF(G309=0,"Stockout ⚠",IF(G309&lt;Q309,"Reorder 🔄",IF(G309&gt;Q309+L309,"Overstock 📦","Aman ✅")))</f>
        <v>Aman ✅</v>
      </c>
      <c r="T309" s="46" t="n">
        <f aca="false">IFERROR(N309/AVERAGE(M307:M311),0)</f>
        <v>0.239014320162561</v>
      </c>
      <c r="U309" s="47" t="n">
        <v>-0.42</v>
      </c>
      <c r="V309" s="48" t="n">
        <v>0.5488</v>
      </c>
    </row>
    <row r="310" customFormat="false" ht="15" hidden="false" customHeight="true" outlineLevel="0" collapsed="false">
      <c r="A310" s="34" t="n">
        <v>4</v>
      </c>
      <c r="B310" s="35" t="n">
        <v>2024</v>
      </c>
      <c r="C310" s="34" t="s">
        <v>264</v>
      </c>
      <c r="D310" s="34" t="s">
        <v>156</v>
      </c>
      <c r="E310" s="36" t="s">
        <v>157</v>
      </c>
      <c r="F310" s="34" t="s">
        <v>36</v>
      </c>
      <c r="G310" s="37" t="n">
        <v>255</v>
      </c>
      <c r="H310" s="37" t="n">
        <v>33</v>
      </c>
      <c r="I310" s="37" t="n">
        <f aca="false">IFERROR(ROUND('Data Bulanan'!DC66,0),0)</f>
        <v>1031</v>
      </c>
      <c r="J310" s="37" t="n">
        <v>6457757</v>
      </c>
      <c r="K310" s="37" t="n">
        <v>575443</v>
      </c>
      <c r="L310" s="38" t="n">
        <f aca="false">IFERROR(ROUND(SQRT(2*I310*J310/K310),0),0)</f>
        <v>152</v>
      </c>
      <c r="M310" s="39" t="n">
        <f aca="false">IFERROR(AVERAGE('Data Bulanan'!CF66,'Data Bulanan'!CH66,'Data Bulanan'!CJ66,'Data Bulanan'!CL66,'Data Bulanan'!CN66,'Data Bulanan'!CP66,'Data Bulanan'!CR66,'Data Bulanan'!CT66,'Data Bulanan'!CV66,'Data Bulanan'!CX66,'Data Bulanan'!CZ66,'Data Bulanan'!DB66),0)</f>
        <v>2.74930235535074</v>
      </c>
      <c r="N310" s="40" t="n">
        <f aca="false">'Data Bulanan'!DD66</f>
        <v>0.692406105472968</v>
      </c>
      <c r="O310" s="41" t="n">
        <f aca="false">IFERROR(N310*SQRT(H310),0)</f>
        <v>3.97757024973488</v>
      </c>
      <c r="P310" s="42" t="n">
        <f aca="false">IFERROR(ROUND(1.65*O310,0),0)</f>
        <v>7</v>
      </c>
      <c r="Q310" s="43" t="n">
        <f aca="false">IFERROR(ROUND(M310*H310+P310,0),0)</f>
        <v>98</v>
      </c>
      <c r="R310" s="44" t="n">
        <f aca="false">G310-Q310</f>
        <v>157</v>
      </c>
      <c r="S310" s="45" t="str">
        <f aca="false">IF(G310=0,"Stockout ⚠",IF(G310&lt;Q310,"Reorder 🔄",IF(G310&gt;Q310+L310,"Overstock 📦","Aman ✅")))</f>
        <v>Overstock 📦</v>
      </c>
      <c r="T310" s="46" t="n">
        <f aca="false">IFERROR(N310/AVERAGE(M307:M311),0)</f>
        <v>0.252340095707565</v>
      </c>
      <c r="U310" s="47" t="n">
        <v>-0.42</v>
      </c>
      <c r="V310" s="48" t="n">
        <v>0.5488</v>
      </c>
    </row>
    <row r="311" customFormat="false" ht="15" hidden="false" customHeight="true" outlineLevel="0" collapsed="false">
      <c r="A311" s="34" t="n">
        <v>5</v>
      </c>
      <c r="B311" s="35" t="n">
        <v>2025</v>
      </c>
      <c r="C311" s="34" t="s">
        <v>264</v>
      </c>
      <c r="D311" s="34" t="s">
        <v>156</v>
      </c>
      <c r="E311" s="36" t="s">
        <v>157</v>
      </c>
      <c r="F311" s="34" t="s">
        <v>36</v>
      </c>
      <c r="G311" s="37" t="n">
        <v>152</v>
      </c>
      <c r="H311" s="37" t="n">
        <v>33</v>
      </c>
      <c r="I311" s="37" t="n">
        <f aca="false">IFERROR(ROUND('Data Bulanan'!EC66,0),0)</f>
        <v>1031</v>
      </c>
      <c r="J311" s="37" t="n">
        <v>6551296</v>
      </c>
      <c r="K311" s="37" t="n">
        <v>566018</v>
      </c>
      <c r="L311" s="38" t="n">
        <f aca="false">IFERROR(ROUND(SQRT(2*I311*J311/K311),0),0)</f>
        <v>154</v>
      </c>
      <c r="M311" s="39" t="n">
        <f aca="false">IFERROR(AVERAGE('Data Bulanan'!DF66,'Data Bulanan'!DH66,'Data Bulanan'!DJ66,'Data Bulanan'!DL66,'Data Bulanan'!DN66,'Data Bulanan'!DP66,'Data Bulanan'!DR66,'Data Bulanan'!DT66,'Data Bulanan'!DV66,'Data Bulanan'!DX66,'Data Bulanan'!DZ66,'Data Bulanan'!EB66),0)</f>
        <v>2.74964797747056</v>
      </c>
      <c r="N311" s="40" t="n">
        <f aca="false">'Data Bulanan'!ED66</f>
        <v>0.665260007808691</v>
      </c>
      <c r="O311" s="41" t="n">
        <f aca="false">IFERROR(N311*SQRT(H311),0)</f>
        <v>3.8216277910934</v>
      </c>
      <c r="P311" s="42" t="n">
        <f aca="false">IFERROR(ROUND(1.65*O311,0),0)</f>
        <v>6</v>
      </c>
      <c r="Q311" s="43" t="n">
        <f aca="false">IFERROR(ROUND(M311*H311+P311,0),0)</f>
        <v>97</v>
      </c>
      <c r="R311" s="44" t="n">
        <f aca="false">G311-Q311</f>
        <v>55</v>
      </c>
      <c r="S311" s="45" t="str">
        <f aca="false">IF(G311=0,"Stockout ⚠",IF(G311&lt;Q311,"Reorder 🔄",IF(G311&gt;Q311+L311,"Overstock 📦","Aman ✅")))</f>
        <v>Aman ✅</v>
      </c>
      <c r="T311" s="46" t="n">
        <f aca="false">IFERROR(N311/AVERAGE(M307:M311),0)</f>
        <v>0.242446986983442</v>
      </c>
      <c r="U311" s="47" t="n">
        <v>-0.42</v>
      </c>
      <c r="V311" s="48" t="n">
        <v>0.5488</v>
      </c>
    </row>
    <row r="312" customFormat="false" ht="15" hidden="false" customHeight="true" outlineLevel="0" collapsed="false">
      <c r="A312" s="49" t="n">
        <v>1</v>
      </c>
      <c r="B312" s="35" t="n">
        <v>2021</v>
      </c>
      <c r="C312" s="49" t="s">
        <v>263</v>
      </c>
      <c r="D312" s="49" t="s">
        <v>158</v>
      </c>
      <c r="E312" s="50" t="s">
        <v>159</v>
      </c>
      <c r="F312" s="49" t="s">
        <v>57</v>
      </c>
      <c r="G312" s="37" t="n">
        <v>2980</v>
      </c>
      <c r="H312" s="37" t="n">
        <v>12</v>
      </c>
      <c r="I312" s="37" t="n">
        <f aca="false">IFERROR(ROUND('Data Bulanan'!AC67,0),0)</f>
        <v>32224</v>
      </c>
      <c r="J312" s="37" t="n">
        <v>2481124</v>
      </c>
      <c r="K312" s="37" t="n">
        <v>519645</v>
      </c>
      <c r="L312" s="38" t="n">
        <f aca="false">IFERROR(ROUND(SQRT(2*I312*J312/K312),0),0)</f>
        <v>555</v>
      </c>
      <c r="M312" s="39" t="n">
        <f aca="false">IFERROR(AVERAGE('Data Bulanan'!F67,'Data Bulanan'!H67,'Data Bulanan'!J67,'Data Bulanan'!L67,'Data Bulanan'!N67,'Data Bulanan'!P67,'Data Bulanan'!R67,'Data Bulanan'!T67,'Data Bulanan'!V67,'Data Bulanan'!X67,'Data Bulanan'!Z67,'Data Bulanan'!AB67),0)</f>
        <v>85.8545826932924</v>
      </c>
      <c r="N312" s="40" t="n">
        <f aca="false">'Data Bulanan'!AD67</f>
        <v>15.1432171350884</v>
      </c>
      <c r="O312" s="41" t="n">
        <f aca="false">IFERROR(N312*SQRT(H312),0)</f>
        <v>52.4576429360415</v>
      </c>
      <c r="P312" s="42" t="n">
        <f aca="false">IFERROR(ROUND(1.65*O312,0),0)</f>
        <v>87</v>
      </c>
      <c r="Q312" s="43" t="n">
        <f aca="false">IFERROR(ROUND(M312*H312+P312,0),0)</f>
        <v>1117</v>
      </c>
      <c r="R312" s="44" t="n">
        <f aca="false">G312-Q312</f>
        <v>1863</v>
      </c>
      <c r="S312" s="45" t="str">
        <f aca="false">IF(G312=0,"Stockout ⚠",IF(G312&lt;Q312,"Reorder 🔄",IF(G312&gt;Q312+L312,"Overstock 📦","Aman ✅")))</f>
        <v>Overstock 📦</v>
      </c>
      <c r="T312" s="46" t="n">
        <f aca="false">IFERROR(N312/AVERAGE(M312:M316),0)</f>
        <v>0.16415907201445</v>
      </c>
      <c r="U312" s="47" t="n">
        <v>-383.81</v>
      </c>
      <c r="V312" s="48" t="n">
        <v>0.0405</v>
      </c>
    </row>
    <row r="313" customFormat="false" ht="15" hidden="false" customHeight="true" outlineLevel="0" collapsed="false">
      <c r="A313" s="49" t="n">
        <v>2</v>
      </c>
      <c r="B313" s="35" t="n">
        <v>2022</v>
      </c>
      <c r="C313" s="49" t="s">
        <v>263</v>
      </c>
      <c r="D313" s="49" t="s">
        <v>158</v>
      </c>
      <c r="E313" s="50" t="s">
        <v>159</v>
      </c>
      <c r="F313" s="49" t="s">
        <v>57</v>
      </c>
      <c r="G313" s="37" t="n">
        <v>0</v>
      </c>
      <c r="H313" s="37" t="n">
        <v>12</v>
      </c>
      <c r="I313" s="37" t="n">
        <f aca="false">IFERROR(ROUND('Data Bulanan'!BC67,0),0)</f>
        <v>39907</v>
      </c>
      <c r="J313" s="37" t="n">
        <v>2112391</v>
      </c>
      <c r="K313" s="37" t="n">
        <v>570081</v>
      </c>
      <c r="L313" s="38" t="n">
        <f aca="false">IFERROR(ROUND(SQRT(2*I313*J313/K313),0),0)</f>
        <v>544</v>
      </c>
      <c r="M313" s="39" t="n">
        <f aca="false">IFERROR(AVERAGE('Data Bulanan'!AF67,'Data Bulanan'!AH67,'Data Bulanan'!AJ67,'Data Bulanan'!AL67,'Data Bulanan'!AN67,'Data Bulanan'!AP67,'Data Bulanan'!AR67,'Data Bulanan'!AT67,'Data Bulanan'!AV67,'Data Bulanan'!AX67,'Data Bulanan'!AZ67,'Data Bulanan'!BB67),0)</f>
        <v>106.117556323605</v>
      </c>
      <c r="N313" s="40" t="n">
        <f aca="false">'Data Bulanan'!BD67</f>
        <v>18.3491152735788</v>
      </c>
      <c r="O313" s="41" t="n">
        <f aca="false">IFERROR(N313*SQRT(H313),0)</f>
        <v>63.5631998555531</v>
      </c>
      <c r="P313" s="42" t="n">
        <f aca="false">IFERROR(ROUND(1.65*O313,0),0)</f>
        <v>105</v>
      </c>
      <c r="Q313" s="43" t="n">
        <f aca="false">IFERROR(ROUND(M313*H313+P313,0),0)</f>
        <v>1378</v>
      </c>
      <c r="R313" s="44" t="n">
        <f aca="false">G313-Q313</f>
        <v>-1378</v>
      </c>
      <c r="S313" s="45" t="str">
        <f aca="false">IF(G313=0,"Stockout ⚠",IF(G313&lt;Q313,"Reorder 🔄",IF(G313&gt;Q313+L313,"Overstock 📦","Aman ✅")))</f>
        <v>Stockout ⚠</v>
      </c>
      <c r="T313" s="46" t="n">
        <f aca="false">IFERROR(N313/AVERAGE(M312:M316),0)</f>
        <v>0.198912404723918</v>
      </c>
      <c r="U313" s="47" t="n">
        <v>-383.81</v>
      </c>
      <c r="V313" s="48" t="n">
        <v>0.0405</v>
      </c>
    </row>
    <row r="314" customFormat="false" ht="15" hidden="false" customHeight="true" outlineLevel="0" collapsed="false">
      <c r="A314" s="49" t="n">
        <v>3</v>
      </c>
      <c r="B314" s="35" t="n">
        <v>2023</v>
      </c>
      <c r="C314" s="49" t="s">
        <v>263</v>
      </c>
      <c r="D314" s="49" t="s">
        <v>158</v>
      </c>
      <c r="E314" s="50" t="s">
        <v>159</v>
      </c>
      <c r="F314" s="49" t="s">
        <v>57</v>
      </c>
      <c r="G314" s="37" t="n">
        <v>6662</v>
      </c>
      <c r="H314" s="37" t="n">
        <v>12</v>
      </c>
      <c r="I314" s="37" t="n">
        <f aca="false">IFERROR(ROUND('Data Bulanan'!CC67,0),0)</f>
        <v>33946</v>
      </c>
      <c r="J314" s="37" t="n">
        <v>2152693</v>
      </c>
      <c r="K314" s="37" t="n">
        <v>573402</v>
      </c>
      <c r="L314" s="38" t="n">
        <f aca="false">IFERROR(ROUND(SQRT(2*I314*J314/K314),0),0)</f>
        <v>505</v>
      </c>
      <c r="M314" s="39" t="n">
        <f aca="false">IFERROR(AVERAGE('Data Bulanan'!BF67,'Data Bulanan'!BH67,'Data Bulanan'!BJ67,'Data Bulanan'!BL67,'Data Bulanan'!BN67,'Data Bulanan'!BP67,'Data Bulanan'!BR67,'Data Bulanan'!BT67,'Data Bulanan'!BV67,'Data Bulanan'!BX67,'Data Bulanan'!BZ67,'Data Bulanan'!CB67),0)</f>
        <v>90.3063492063492</v>
      </c>
      <c r="N314" s="40" t="n">
        <f aca="false">'Data Bulanan'!CD67</f>
        <v>19.9556155606664</v>
      </c>
      <c r="O314" s="41" t="n">
        <f aca="false">IFERROR(N314*SQRT(H314),0)</f>
        <v>69.1282800947727</v>
      </c>
      <c r="P314" s="42" t="n">
        <f aca="false">IFERROR(ROUND(1.65*O314,0),0)</f>
        <v>114</v>
      </c>
      <c r="Q314" s="43" t="n">
        <f aca="false">IFERROR(ROUND(M314*H314+P314,0),0)</f>
        <v>1198</v>
      </c>
      <c r="R314" s="44" t="n">
        <f aca="false">G314-Q314</f>
        <v>5464</v>
      </c>
      <c r="S314" s="45" t="str">
        <f aca="false">IF(G314=0,"Stockout ⚠",IF(G314&lt;Q314,"Reorder 🔄",IF(G314&gt;Q314+L314,"Overstock 📦","Aman ✅")))</f>
        <v>Overstock 📦</v>
      </c>
      <c r="T314" s="46" t="n">
        <f aca="false">IFERROR(N314/AVERAGE(M312:M316),0)</f>
        <v>0.216327567827416</v>
      </c>
      <c r="U314" s="47" t="n">
        <v>-383.81</v>
      </c>
      <c r="V314" s="48" t="n">
        <v>0.0405</v>
      </c>
    </row>
    <row r="315" customFormat="false" ht="15" hidden="false" customHeight="true" outlineLevel="0" collapsed="false">
      <c r="A315" s="49" t="n">
        <v>4</v>
      </c>
      <c r="B315" s="35" t="n">
        <v>2024</v>
      </c>
      <c r="C315" s="49" t="s">
        <v>263</v>
      </c>
      <c r="D315" s="49" t="s">
        <v>158</v>
      </c>
      <c r="E315" s="50" t="s">
        <v>159</v>
      </c>
      <c r="F315" s="49" t="s">
        <v>57</v>
      </c>
      <c r="G315" s="37" t="n">
        <v>4625</v>
      </c>
      <c r="H315" s="37" t="n">
        <v>12</v>
      </c>
      <c r="I315" s="37" t="n">
        <f aca="false">IFERROR(ROUND('Data Bulanan'!DC67,0),0)</f>
        <v>33884</v>
      </c>
      <c r="J315" s="37" t="n">
        <v>2381251</v>
      </c>
      <c r="K315" s="37" t="n">
        <v>571981</v>
      </c>
      <c r="L315" s="38" t="n">
        <f aca="false">IFERROR(ROUND(SQRT(2*I315*J315/K315),0),0)</f>
        <v>531</v>
      </c>
      <c r="M315" s="39" t="n">
        <f aca="false">IFERROR(AVERAGE('Data Bulanan'!CF67,'Data Bulanan'!CH67,'Data Bulanan'!CJ67,'Data Bulanan'!CL67,'Data Bulanan'!CN67,'Data Bulanan'!CP67,'Data Bulanan'!CR67,'Data Bulanan'!CT67,'Data Bulanan'!CV67,'Data Bulanan'!CX67,'Data Bulanan'!CZ67,'Data Bulanan'!DB67),0)</f>
        <v>90.0429595494112</v>
      </c>
      <c r="N315" s="40" t="n">
        <f aca="false">'Data Bulanan'!DD67</f>
        <v>15.6083793649064</v>
      </c>
      <c r="O315" s="41" t="n">
        <f aca="false">IFERROR(N315*SQRT(H315),0)</f>
        <v>54.0690121676551</v>
      </c>
      <c r="P315" s="42" t="n">
        <f aca="false">IFERROR(ROUND(1.65*O315,0),0)</f>
        <v>89</v>
      </c>
      <c r="Q315" s="43" t="n">
        <f aca="false">IFERROR(ROUND(M315*H315+P315,0),0)</f>
        <v>1170</v>
      </c>
      <c r="R315" s="44" t="n">
        <f aca="false">G315-Q315</f>
        <v>3455</v>
      </c>
      <c r="S315" s="45" t="str">
        <f aca="false">IF(G315=0,"Stockout ⚠",IF(G315&lt;Q315,"Reorder 🔄",IF(G315&gt;Q315+L315,"Overstock 📦","Aman ✅")))</f>
        <v>Overstock 📦</v>
      </c>
      <c r="T315" s="46" t="n">
        <f aca="false">IFERROR(N315/AVERAGE(M312:M316),0)</f>
        <v>0.169201633268238</v>
      </c>
      <c r="U315" s="47" t="n">
        <v>-383.81</v>
      </c>
      <c r="V315" s="48" t="n">
        <v>0.0405</v>
      </c>
    </row>
    <row r="316" customFormat="false" ht="15" hidden="false" customHeight="true" outlineLevel="0" collapsed="false">
      <c r="A316" s="49" t="n">
        <v>5</v>
      </c>
      <c r="B316" s="35" t="n">
        <v>2025</v>
      </c>
      <c r="C316" s="49" t="s">
        <v>263</v>
      </c>
      <c r="D316" s="49" t="s">
        <v>158</v>
      </c>
      <c r="E316" s="50" t="s">
        <v>159</v>
      </c>
      <c r="F316" s="49" t="s">
        <v>57</v>
      </c>
      <c r="G316" s="37" t="n">
        <v>1277</v>
      </c>
      <c r="H316" s="37" t="n">
        <v>12</v>
      </c>
      <c r="I316" s="37" t="n">
        <f aca="false">IFERROR(ROUND('Data Bulanan'!EC67,0),0)</f>
        <v>33316</v>
      </c>
      <c r="J316" s="37" t="n">
        <v>2397515</v>
      </c>
      <c r="K316" s="37" t="n">
        <v>546125</v>
      </c>
      <c r="L316" s="38" t="n">
        <f aca="false">IFERROR(ROUND(SQRT(2*I316*J316/K316),0),0)</f>
        <v>541</v>
      </c>
      <c r="M316" s="39" t="n">
        <f aca="false">IFERROR(AVERAGE('Data Bulanan'!DF67,'Data Bulanan'!DH67,'Data Bulanan'!DJ67,'Data Bulanan'!DL67,'Data Bulanan'!DN67,'Data Bulanan'!DP67,'Data Bulanan'!DR67,'Data Bulanan'!DT67,'Data Bulanan'!DV67,'Data Bulanan'!DX67,'Data Bulanan'!DZ67,'Data Bulanan'!EB67),0)</f>
        <v>88.9146249359959</v>
      </c>
      <c r="N316" s="40" t="n">
        <f aca="false">'Data Bulanan'!ED67</f>
        <v>18.9708624219381</v>
      </c>
      <c r="O316" s="41" t="n">
        <f aca="false">IFERROR(N316*SQRT(H316),0)</f>
        <v>65.716995156392</v>
      </c>
      <c r="P316" s="42" t="n">
        <f aca="false">IFERROR(ROUND(1.65*O316,0),0)</f>
        <v>108</v>
      </c>
      <c r="Q316" s="43" t="n">
        <f aca="false">IFERROR(ROUND(M316*H316+P316,0),0)</f>
        <v>1175</v>
      </c>
      <c r="R316" s="44" t="n">
        <f aca="false">G316-Q316</f>
        <v>102</v>
      </c>
      <c r="S316" s="45" t="str">
        <f aca="false">IF(G316=0,"Stockout ⚠",IF(G316&lt;Q316,"Reorder 🔄",IF(G316&gt;Q316+L316,"Overstock 📦","Aman ✅")))</f>
        <v>Aman ✅</v>
      </c>
      <c r="T316" s="46" t="n">
        <f aca="false">IFERROR(N316/AVERAGE(M312:M316),0)</f>
        <v>0.205652414722572</v>
      </c>
      <c r="U316" s="47" t="n">
        <v>-383.81</v>
      </c>
      <c r="V316" s="48" t="n">
        <v>0.0405</v>
      </c>
    </row>
    <row r="317" customFormat="false" ht="15" hidden="false" customHeight="true" outlineLevel="0" collapsed="false">
      <c r="A317" s="34" t="n">
        <v>1</v>
      </c>
      <c r="B317" s="35" t="n">
        <v>2021</v>
      </c>
      <c r="C317" s="34" t="s">
        <v>263</v>
      </c>
      <c r="D317" s="34" t="s">
        <v>160</v>
      </c>
      <c r="E317" s="36" t="s">
        <v>161</v>
      </c>
      <c r="F317" s="34" t="s">
        <v>57</v>
      </c>
      <c r="G317" s="37" t="n">
        <v>0</v>
      </c>
      <c r="H317" s="37" t="n">
        <v>6</v>
      </c>
      <c r="I317" s="37" t="n">
        <f aca="false">IFERROR(ROUND('Data Bulanan'!AC68,0),0)</f>
        <v>61232</v>
      </c>
      <c r="J317" s="37" t="n">
        <v>315671</v>
      </c>
      <c r="K317" s="37" t="n">
        <v>515953</v>
      </c>
      <c r="L317" s="38" t="n">
        <f aca="false">IFERROR(ROUND(SQRT(2*I317*J317/K317),0),0)</f>
        <v>274</v>
      </c>
      <c r="M317" s="39" t="n">
        <f aca="false">IFERROR(AVERAGE('Data Bulanan'!F68,'Data Bulanan'!H68,'Data Bulanan'!J68,'Data Bulanan'!L68,'Data Bulanan'!N68,'Data Bulanan'!P68,'Data Bulanan'!R68,'Data Bulanan'!T68,'Data Bulanan'!V68,'Data Bulanan'!X68,'Data Bulanan'!Z68,'Data Bulanan'!AB68),0)</f>
        <v>162.921441372248</v>
      </c>
      <c r="N317" s="40" t="n">
        <f aca="false">'Data Bulanan'!AD68</f>
        <v>38.3613597919594</v>
      </c>
      <c r="O317" s="41" t="n">
        <f aca="false">IFERROR(N317*SQRT(H317),0)</f>
        <v>93.9657573296196</v>
      </c>
      <c r="P317" s="42" t="n">
        <f aca="false">IFERROR(ROUND(1.65*O317,0),0)</f>
        <v>155</v>
      </c>
      <c r="Q317" s="43" t="n">
        <f aca="false">IFERROR(ROUND(M317*H317+P317,0),0)</f>
        <v>1133</v>
      </c>
      <c r="R317" s="44" t="n">
        <f aca="false">G317-Q317</f>
        <v>-1133</v>
      </c>
      <c r="S317" s="45" t="str">
        <f aca="false">IF(G317=0,"Stockout ⚠",IF(G317&lt;Q317,"Reorder 🔄",IF(G317&gt;Q317+L317,"Overstock 📦","Aman ✅")))</f>
        <v>Stockout ⚠</v>
      </c>
      <c r="T317" s="46" t="n">
        <f aca="false">IFERROR(N317/AVERAGE(M317:M321),0)</f>
        <v>0.25672784971299</v>
      </c>
      <c r="U317" s="47" t="n">
        <v>-1873.2</v>
      </c>
      <c r="V317" s="48" t="n">
        <v>0.1804</v>
      </c>
    </row>
    <row r="318" customFormat="false" ht="15" hidden="false" customHeight="true" outlineLevel="0" collapsed="false">
      <c r="A318" s="34" t="n">
        <v>2</v>
      </c>
      <c r="B318" s="35" t="n">
        <v>2022</v>
      </c>
      <c r="C318" s="34" t="s">
        <v>263</v>
      </c>
      <c r="D318" s="34" t="s">
        <v>160</v>
      </c>
      <c r="E318" s="36" t="s">
        <v>161</v>
      </c>
      <c r="F318" s="34" t="s">
        <v>57</v>
      </c>
      <c r="G318" s="37" t="n">
        <v>3850</v>
      </c>
      <c r="H318" s="37" t="n">
        <v>6</v>
      </c>
      <c r="I318" s="37" t="n">
        <f aca="false">IFERROR(ROUND('Data Bulanan'!BC68,0),0)</f>
        <v>58310</v>
      </c>
      <c r="J318" s="37" t="n">
        <v>348161</v>
      </c>
      <c r="K318" s="37" t="n">
        <v>483679</v>
      </c>
      <c r="L318" s="38" t="n">
        <f aca="false">IFERROR(ROUND(SQRT(2*I318*J318/K318),0),0)</f>
        <v>290</v>
      </c>
      <c r="M318" s="39" t="n">
        <f aca="false">IFERROR(AVERAGE('Data Bulanan'!AF68,'Data Bulanan'!AH68,'Data Bulanan'!AJ68,'Data Bulanan'!AL68,'Data Bulanan'!AN68,'Data Bulanan'!AP68,'Data Bulanan'!AR68,'Data Bulanan'!AT68,'Data Bulanan'!AV68,'Data Bulanan'!AX68,'Data Bulanan'!AZ68,'Data Bulanan'!BB68),0)</f>
        <v>155.107482078853</v>
      </c>
      <c r="N318" s="40" t="n">
        <f aca="false">'Data Bulanan'!BD68</f>
        <v>42.4142722149199</v>
      </c>
      <c r="O318" s="41" t="n">
        <f aca="false">IFERROR(N318*SQRT(H318),0)</f>
        <v>103.89332473806</v>
      </c>
      <c r="P318" s="42" t="n">
        <f aca="false">IFERROR(ROUND(1.65*O318,0),0)</f>
        <v>171</v>
      </c>
      <c r="Q318" s="43" t="n">
        <f aca="false">IFERROR(ROUND(M318*H318+P318,0),0)</f>
        <v>1102</v>
      </c>
      <c r="R318" s="44" t="n">
        <f aca="false">G318-Q318</f>
        <v>2748</v>
      </c>
      <c r="S318" s="45" t="str">
        <f aca="false">IF(G318=0,"Stockout ⚠",IF(G318&lt;Q318,"Reorder 🔄",IF(G318&gt;Q318+L318,"Overstock 📦","Aman ✅")))</f>
        <v>Overstock 📦</v>
      </c>
      <c r="T318" s="46" t="n">
        <f aca="false">IFERROR(N318/AVERAGE(M317:M321),0)</f>
        <v>0.283851379667729</v>
      </c>
      <c r="U318" s="47" t="n">
        <v>-1873.2</v>
      </c>
      <c r="V318" s="48" t="n">
        <v>0.1804</v>
      </c>
    </row>
    <row r="319" customFormat="false" ht="15" hidden="false" customHeight="true" outlineLevel="0" collapsed="false">
      <c r="A319" s="34" t="n">
        <v>3</v>
      </c>
      <c r="B319" s="35" t="n">
        <v>2023</v>
      </c>
      <c r="C319" s="34" t="s">
        <v>263</v>
      </c>
      <c r="D319" s="34" t="s">
        <v>160</v>
      </c>
      <c r="E319" s="36" t="s">
        <v>161</v>
      </c>
      <c r="F319" s="34" t="s">
        <v>57</v>
      </c>
      <c r="G319" s="37" t="n">
        <v>2642</v>
      </c>
      <c r="H319" s="37" t="n">
        <v>6</v>
      </c>
      <c r="I319" s="37" t="n">
        <f aca="false">IFERROR(ROUND('Data Bulanan'!CC68,0),0)</f>
        <v>58511</v>
      </c>
      <c r="J319" s="37" t="n">
        <v>349761</v>
      </c>
      <c r="K319" s="37" t="n">
        <v>511254</v>
      </c>
      <c r="L319" s="38" t="n">
        <f aca="false">IFERROR(ROUND(SQRT(2*I319*J319/K319),0),0)</f>
        <v>283</v>
      </c>
      <c r="M319" s="39" t="n">
        <f aca="false">IFERROR(AVERAGE('Data Bulanan'!BF68,'Data Bulanan'!BH68,'Data Bulanan'!BJ68,'Data Bulanan'!BL68,'Data Bulanan'!BN68,'Data Bulanan'!BP68,'Data Bulanan'!BR68,'Data Bulanan'!BT68,'Data Bulanan'!BV68,'Data Bulanan'!BX68,'Data Bulanan'!BZ68,'Data Bulanan'!CB68),0)</f>
        <v>155.327118535586</v>
      </c>
      <c r="N319" s="40" t="n">
        <f aca="false">'Data Bulanan'!CD68</f>
        <v>32.2246593526421</v>
      </c>
      <c r="O319" s="41" t="n">
        <f aca="false">IFERROR(N319*SQRT(H319),0)</f>
        <v>78.9339725489787</v>
      </c>
      <c r="P319" s="42" t="n">
        <f aca="false">IFERROR(ROUND(1.65*O319,0),0)</f>
        <v>130</v>
      </c>
      <c r="Q319" s="43" t="n">
        <f aca="false">IFERROR(ROUND(M319*H319+P319,0),0)</f>
        <v>1062</v>
      </c>
      <c r="R319" s="44" t="n">
        <f aca="false">G319-Q319</f>
        <v>1580</v>
      </c>
      <c r="S319" s="45" t="str">
        <f aca="false">IF(G319=0,"Stockout ⚠",IF(G319&lt;Q319,"Reorder 🔄",IF(G319&gt;Q319+L319,"Overstock 📦","Aman ✅")))</f>
        <v>Overstock 📦</v>
      </c>
      <c r="T319" s="46" t="n">
        <f aca="false">IFERROR(N319/AVERAGE(M317:M321),0)</f>
        <v>0.215658869972368</v>
      </c>
      <c r="U319" s="47" t="n">
        <v>-1873.2</v>
      </c>
      <c r="V319" s="48" t="n">
        <v>0.1804</v>
      </c>
    </row>
    <row r="320" customFormat="false" ht="15" hidden="false" customHeight="true" outlineLevel="0" collapsed="false">
      <c r="A320" s="34" t="n">
        <v>4</v>
      </c>
      <c r="B320" s="35" t="n">
        <v>2024</v>
      </c>
      <c r="C320" s="34" t="s">
        <v>263</v>
      </c>
      <c r="D320" s="34" t="s">
        <v>160</v>
      </c>
      <c r="E320" s="36" t="s">
        <v>161</v>
      </c>
      <c r="F320" s="34" t="s">
        <v>57</v>
      </c>
      <c r="G320" s="37" t="n">
        <v>1479</v>
      </c>
      <c r="H320" s="37" t="n">
        <v>6</v>
      </c>
      <c r="I320" s="37" t="n">
        <f aca="false">IFERROR(ROUND('Data Bulanan'!DC68,0),0)</f>
        <v>43904</v>
      </c>
      <c r="J320" s="37" t="n">
        <v>323623</v>
      </c>
      <c r="K320" s="37" t="n">
        <v>494904</v>
      </c>
      <c r="L320" s="38" t="n">
        <f aca="false">IFERROR(ROUND(SQRT(2*I320*J320/K320),0),0)</f>
        <v>240</v>
      </c>
      <c r="M320" s="39" t="n">
        <f aca="false">IFERROR(AVERAGE('Data Bulanan'!CF68,'Data Bulanan'!CH68,'Data Bulanan'!CJ68,'Data Bulanan'!CL68,'Data Bulanan'!CN68,'Data Bulanan'!CP68,'Data Bulanan'!CR68,'Data Bulanan'!CT68,'Data Bulanan'!CV68,'Data Bulanan'!CX68,'Data Bulanan'!CZ68,'Data Bulanan'!DB68),0)</f>
        <v>116.603187403994</v>
      </c>
      <c r="N320" s="40" t="n">
        <f aca="false">'Data Bulanan'!DD68</f>
        <v>25.5151040066804</v>
      </c>
      <c r="O320" s="41" t="n">
        <f aca="false">IFERROR(N320*SQRT(H320),0)</f>
        <v>62.4989855504095</v>
      </c>
      <c r="P320" s="42" t="n">
        <f aca="false">IFERROR(ROUND(1.65*O320,0),0)</f>
        <v>103</v>
      </c>
      <c r="Q320" s="43" t="n">
        <f aca="false">IFERROR(ROUND(M320*H320+P320,0),0)</f>
        <v>803</v>
      </c>
      <c r="R320" s="44" t="n">
        <f aca="false">G320-Q320</f>
        <v>676</v>
      </c>
      <c r="S320" s="45" t="str">
        <f aca="false">IF(G320=0,"Stockout ⚠",IF(G320&lt;Q320,"Reorder 🔄",IF(G320&gt;Q320+L320,"Overstock 📦","Aman ✅")))</f>
        <v>Overstock 📦</v>
      </c>
      <c r="T320" s="46" t="n">
        <f aca="false">IFERROR(N320/AVERAGE(M317:M321),0)</f>
        <v>0.170756141658235</v>
      </c>
      <c r="U320" s="47" t="n">
        <v>-1873.2</v>
      </c>
      <c r="V320" s="48" t="n">
        <v>0.1804</v>
      </c>
    </row>
    <row r="321" customFormat="false" ht="15" hidden="false" customHeight="true" outlineLevel="0" collapsed="false">
      <c r="A321" s="34" t="n">
        <v>5</v>
      </c>
      <c r="B321" s="35" t="n">
        <v>2025</v>
      </c>
      <c r="C321" s="34" t="s">
        <v>263</v>
      </c>
      <c r="D321" s="34" t="s">
        <v>160</v>
      </c>
      <c r="E321" s="36" t="s">
        <v>161</v>
      </c>
      <c r="F321" s="34" t="s">
        <v>57</v>
      </c>
      <c r="G321" s="37" t="n">
        <v>4113</v>
      </c>
      <c r="H321" s="37" t="n">
        <v>6</v>
      </c>
      <c r="I321" s="37" t="n">
        <f aca="false">IFERROR(ROUND('Data Bulanan'!EC68,0),0)</f>
        <v>59069</v>
      </c>
      <c r="J321" s="37" t="n">
        <v>316974</v>
      </c>
      <c r="K321" s="37" t="n">
        <v>527312</v>
      </c>
      <c r="L321" s="38" t="n">
        <f aca="false">IFERROR(ROUND(SQRT(2*I321*J321/K321),0),0)</f>
        <v>266</v>
      </c>
      <c r="M321" s="39" t="n">
        <f aca="false">IFERROR(AVERAGE('Data Bulanan'!DF68,'Data Bulanan'!DH68,'Data Bulanan'!DJ68,'Data Bulanan'!DL68,'Data Bulanan'!DN68,'Data Bulanan'!DP68,'Data Bulanan'!DR68,'Data Bulanan'!DT68,'Data Bulanan'!DV68,'Data Bulanan'!DX68,'Data Bulanan'!DZ68,'Data Bulanan'!EB68),0)</f>
        <v>157.161891961086</v>
      </c>
      <c r="N321" s="40" t="n">
        <f aca="false">'Data Bulanan'!ED68</f>
        <v>37.3371401752739</v>
      </c>
      <c r="O321" s="41" t="n">
        <f aca="false">IFERROR(N321*SQRT(H321),0)</f>
        <v>91.4569418841911</v>
      </c>
      <c r="P321" s="42" t="n">
        <f aca="false">IFERROR(ROUND(1.65*O321,0),0)</f>
        <v>151</v>
      </c>
      <c r="Q321" s="43" t="n">
        <f aca="false">IFERROR(ROUND(M321*H321+P321,0),0)</f>
        <v>1094</v>
      </c>
      <c r="R321" s="44" t="n">
        <f aca="false">G321-Q321</f>
        <v>3019</v>
      </c>
      <c r="S321" s="45" t="str">
        <f aca="false">IF(G321=0,"Stockout ⚠",IF(G321&lt;Q321,"Reorder 🔄",IF(G321&gt;Q321+L321,"Overstock 📦","Aman ✅")))</f>
        <v>Overstock 📦</v>
      </c>
      <c r="T321" s="46" t="n">
        <f aca="false">IFERROR(N321/AVERAGE(M317:M321),0)</f>
        <v>0.24987340812772</v>
      </c>
      <c r="U321" s="47" t="n">
        <v>-1873.2</v>
      </c>
      <c r="V321" s="48" t="n">
        <v>0.1804</v>
      </c>
    </row>
    <row r="322" customFormat="false" ht="15" hidden="false" customHeight="true" outlineLevel="0" collapsed="false">
      <c r="A322" s="49" t="n">
        <v>1</v>
      </c>
      <c r="B322" s="35" t="n">
        <v>2021</v>
      </c>
      <c r="C322" s="49" t="s">
        <v>264</v>
      </c>
      <c r="D322" s="49" t="s">
        <v>162</v>
      </c>
      <c r="E322" s="50" t="s">
        <v>163</v>
      </c>
      <c r="F322" s="49" t="s">
        <v>57</v>
      </c>
      <c r="G322" s="37" t="n">
        <v>554</v>
      </c>
      <c r="H322" s="37" t="n">
        <v>5</v>
      </c>
      <c r="I322" s="37" t="n">
        <f aca="false">IFERROR(ROUND('Data Bulanan'!AC69,0),0)</f>
        <v>48441</v>
      </c>
      <c r="J322" s="37" t="n">
        <v>507924</v>
      </c>
      <c r="K322" s="37" t="n">
        <v>257768</v>
      </c>
      <c r="L322" s="38" t="n">
        <f aca="false">IFERROR(ROUND(SQRT(2*I322*J322/K322),0),0)</f>
        <v>437</v>
      </c>
      <c r="M322" s="39" t="n">
        <f aca="false">IFERROR(AVERAGE('Data Bulanan'!F69,'Data Bulanan'!H69,'Data Bulanan'!J69,'Data Bulanan'!L69,'Data Bulanan'!N69,'Data Bulanan'!P69,'Data Bulanan'!R69,'Data Bulanan'!T69,'Data Bulanan'!V69,'Data Bulanan'!X69,'Data Bulanan'!Z69,'Data Bulanan'!AB69),0)</f>
        <v>128.994220430108</v>
      </c>
      <c r="N322" s="40" t="n">
        <f aca="false">'Data Bulanan'!AD69</f>
        <v>26.3237251769349</v>
      </c>
      <c r="O322" s="41" t="n">
        <f aca="false">IFERROR(N322*SQRT(H322),0)</f>
        <v>58.861638916649</v>
      </c>
      <c r="P322" s="42" t="n">
        <f aca="false">IFERROR(ROUND(1.65*O322,0),0)</f>
        <v>97</v>
      </c>
      <c r="Q322" s="43" t="n">
        <f aca="false">IFERROR(ROUND(M322*H322+P322,0),0)</f>
        <v>742</v>
      </c>
      <c r="R322" s="44" t="n">
        <f aca="false">G322-Q322</f>
        <v>-188</v>
      </c>
      <c r="S322" s="45" t="str">
        <f aca="false">IF(G322=0,"Stockout ⚠",IF(G322&lt;Q322,"Reorder 🔄",IF(G322&gt;Q322+L322,"Overstock 📦","Aman ✅")))</f>
        <v>Reorder 🔄</v>
      </c>
      <c r="T322" s="46" t="n">
        <f aca="false">IFERROR(N322/AVERAGE(M322:M326),0)</f>
        <v>0.192269186364653</v>
      </c>
      <c r="U322" s="47" t="n">
        <v>-1137.73</v>
      </c>
      <c r="V322" s="48" t="n">
        <v>0.0995</v>
      </c>
    </row>
    <row r="323" customFormat="false" ht="15" hidden="false" customHeight="true" outlineLevel="0" collapsed="false">
      <c r="A323" s="49" t="n">
        <v>2</v>
      </c>
      <c r="B323" s="35" t="n">
        <v>2022</v>
      </c>
      <c r="C323" s="49" t="s">
        <v>264</v>
      </c>
      <c r="D323" s="49" t="s">
        <v>162</v>
      </c>
      <c r="E323" s="50" t="s">
        <v>163</v>
      </c>
      <c r="F323" s="49" t="s">
        <v>57</v>
      </c>
      <c r="G323" s="37" t="n">
        <v>1689</v>
      </c>
      <c r="H323" s="37" t="n">
        <v>5</v>
      </c>
      <c r="I323" s="37" t="n">
        <f aca="false">IFERROR(ROUND('Data Bulanan'!BC69,0),0)</f>
        <v>55923</v>
      </c>
      <c r="J323" s="37" t="n">
        <v>464729</v>
      </c>
      <c r="K323" s="37" t="n">
        <v>235050</v>
      </c>
      <c r="L323" s="38" t="n">
        <f aca="false">IFERROR(ROUND(SQRT(2*I323*J323/K323),0),0)</f>
        <v>470</v>
      </c>
      <c r="M323" s="39" t="n">
        <f aca="false">IFERROR(AVERAGE('Data Bulanan'!AF69,'Data Bulanan'!AH69,'Data Bulanan'!AJ69,'Data Bulanan'!AL69,'Data Bulanan'!AN69,'Data Bulanan'!AP69,'Data Bulanan'!AR69,'Data Bulanan'!AT69,'Data Bulanan'!AV69,'Data Bulanan'!AX69,'Data Bulanan'!AZ69,'Data Bulanan'!BB69),0)</f>
        <v>149.206829237071</v>
      </c>
      <c r="N323" s="40" t="n">
        <f aca="false">'Data Bulanan'!BD69</f>
        <v>35.0052233593243</v>
      </c>
      <c r="O323" s="41" t="n">
        <f aca="false">IFERROR(N323*SQRT(H323),0)</f>
        <v>78.2740589990127</v>
      </c>
      <c r="P323" s="42" t="n">
        <f aca="false">IFERROR(ROUND(1.65*O323,0),0)</f>
        <v>129</v>
      </c>
      <c r="Q323" s="43" t="n">
        <f aca="false">IFERROR(ROUND(M323*H323+P323,0),0)</f>
        <v>875</v>
      </c>
      <c r="R323" s="44" t="n">
        <f aca="false">G323-Q323</f>
        <v>814</v>
      </c>
      <c r="S323" s="45" t="str">
        <f aca="false">IF(G323=0,"Stockout ⚠",IF(G323&lt;Q323,"Reorder 🔄",IF(G323&gt;Q323+L323,"Overstock 📦","Aman ✅")))</f>
        <v>Overstock 📦</v>
      </c>
      <c r="T323" s="46" t="n">
        <f aca="false">IFERROR(N323/AVERAGE(M322:M326),0)</f>
        <v>0.255679079179398</v>
      </c>
      <c r="U323" s="47" t="n">
        <v>-1137.73</v>
      </c>
      <c r="V323" s="48" t="n">
        <v>0.0995</v>
      </c>
    </row>
    <row r="324" customFormat="false" ht="15" hidden="false" customHeight="true" outlineLevel="0" collapsed="false">
      <c r="A324" s="49" t="n">
        <v>3</v>
      </c>
      <c r="B324" s="35" t="n">
        <v>2023</v>
      </c>
      <c r="C324" s="49" t="s">
        <v>264</v>
      </c>
      <c r="D324" s="49" t="s">
        <v>162</v>
      </c>
      <c r="E324" s="50" t="s">
        <v>163</v>
      </c>
      <c r="F324" s="49" t="s">
        <v>57</v>
      </c>
      <c r="G324" s="37" t="n">
        <v>1095</v>
      </c>
      <c r="H324" s="37" t="n">
        <v>5</v>
      </c>
      <c r="I324" s="37" t="n">
        <f aca="false">IFERROR(ROUND('Data Bulanan'!CC69,0),0)</f>
        <v>54030</v>
      </c>
      <c r="J324" s="37" t="n">
        <v>505536</v>
      </c>
      <c r="K324" s="37" t="n">
        <v>259863</v>
      </c>
      <c r="L324" s="38" t="n">
        <f aca="false">IFERROR(ROUND(SQRT(2*I324*J324/K324),0),0)</f>
        <v>458</v>
      </c>
      <c r="M324" s="39" t="n">
        <f aca="false">IFERROR(AVERAGE('Data Bulanan'!BF69,'Data Bulanan'!BH69,'Data Bulanan'!BJ69,'Data Bulanan'!BL69,'Data Bulanan'!BN69,'Data Bulanan'!BP69,'Data Bulanan'!BR69,'Data Bulanan'!BT69,'Data Bulanan'!BV69,'Data Bulanan'!BX69,'Data Bulanan'!BZ69,'Data Bulanan'!CB69),0)</f>
        <v>143.576062467998</v>
      </c>
      <c r="N324" s="40" t="n">
        <f aca="false">'Data Bulanan'!CD69</f>
        <v>32.1254687234897</v>
      </c>
      <c r="O324" s="41" t="n">
        <f aca="false">IFERROR(N324*SQRT(H324),0)</f>
        <v>71.8347318747664</v>
      </c>
      <c r="P324" s="42" t="n">
        <f aca="false">IFERROR(ROUND(1.65*O324,0),0)</f>
        <v>119</v>
      </c>
      <c r="Q324" s="43" t="n">
        <f aca="false">IFERROR(ROUND(M324*H324+P324,0),0)</f>
        <v>837</v>
      </c>
      <c r="R324" s="44" t="n">
        <f aca="false">G324-Q324</f>
        <v>258</v>
      </c>
      <c r="S324" s="45" t="str">
        <f aca="false">IF(G324=0,"Stockout ⚠",IF(G324&lt;Q324,"Reorder 🔄",IF(G324&gt;Q324+L324,"Overstock 📦","Aman ✅")))</f>
        <v>Aman ✅</v>
      </c>
      <c r="T324" s="46" t="n">
        <f aca="false">IFERROR(N324/AVERAGE(M322:M326),0)</f>
        <v>0.234645274995524</v>
      </c>
      <c r="U324" s="47" t="n">
        <v>-1137.73</v>
      </c>
      <c r="V324" s="48" t="n">
        <v>0.0995</v>
      </c>
    </row>
    <row r="325" customFormat="false" ht="15" hidden="false" customHeight="true" outlineLevel="0" collapsed="false">
      <c r="A325" s="49" t="n">
        <v>4</v>
      </c>
      <c r="B325" s="35" t="n">
        <v>2024</v>
      </c>
      <c r="C325" s="49" t="s">
        <v>264</v>
      </c>
      <c r="D325" s="49" t="s">
        <v>162</v>
      </c>
      <c r="E325" s="50" t="s">
        <v>163</v>
      </c>
      <c r="F325" s="49" t="s">
        <v>57</v>
      </c>
      <c r="G325" s="37" t="n">
        <v>2258</v>
      </c>
      <c r="H325" s="37" t="n">
        <v>5</v>
      </c>
      <c r="I325" s="37" t="n">
        <f aca="false">IFERROR(ROUND('Data Bulanan'!DC69,0),0)</f>
        <v>55850</v>
      </c>
      <c r="J325" s="37" t="n">
        <v>499943</v>
      </c>
      <c r="K325" s="37" t="n">
        <v>228688</v>
      </c>
      <c r="L325" s="38" t="n">
        <f aca="false">IFERROR(ROUND(SQRT(2*I325*J325/K325),0),0)</f>
        <v>494</v>
      </c>
      <c r="M325" s="39" t="n">
        <f aca="false">IFERROR(AVERAGE('Data Bulanan'!CF69,'Data Bulanan'!CH69,'Data Bulanan'!CJ69,'Data Bulanan'!CL69,'Data Bulanan'!CN69,'Data Bulanan'!CP69,'Data Bulanan'!CR69,'Data Bulanan'!CT69,'Data Bulanan'!CV69,'Data Bulanan'!CX69,'Data Bulanan'!CZ69,'Data Bulanan'!DB69),0)</f>
        <v>148.909619815668</v>
      </c>
      <c r="N325" s="40" t="n">
        <f aca="false">'Data Bulanan'!DD69</f>
        <v>39.507146152349</v>
      </c>
      <c r="O325" s="41" t="n">
        <f aca="false">IFERROR(N325*SQRT(H325),0)</f>
        <v>88.3406643936716</v>
      </c>
      <c r="P325" s="42" t="n">
        <f aca="false">IFERROR(ROUND(1.65*O325,0),0)</f>
        <v>146</v>
      </c>
      <c r="Q325" s="43" t="n">
        <f aca="false">IFERROR(ROUND(M325*H325+P325,0),0)</f>
        <v>891</v>
      </c>
      <c r="R325" s="44" t="n">
        <f aca="false">G325-Q325</f>
        <v>1367</v>
      </c>
      <c r="S325" s="45" t="str">
        <f aca="false">IF(G325=0,"Stockout ⚠",IF(G325&lt;Q325,"Reorder 🔄",IF(G325&gt;Q325+L325,"Overstock 📦","Aman ✅")))</f>
        <v>Overstock 📦</v>
      </c>
      <c r="T325" s="46" t="n">
        <f aca="false">IFERROR(N325/AVERAGE(M322:M326),0)</f>
        <v>0.288561242576612</v>
      </c>
      <c r="U325" s="47" t="n">
        <v>-1137.73</v>
      </c>
      <c r="V325" s="48" t="n">
        <v>0.0995</v>
      </c>
    </row>
    <row r="326" customFormat="false" ht="15" hidden="false" customHeight="true" outlineLevel="0" collapsed="false">
      <c r="A326" s="49" t="n">
        <v>5</v>
      </c>
      <c r="B326" s="35" t="n">
        <v>2025</v>
      </c>
      <c r="C326" s="49" t="s">
        <v>264</v>
      </c>
      <c r="D326" s="49" t="s">
        <v>162</v>
      </c>
      <c r="E326" s="50" t="s">
        <v>163</v>
      </c>
      <c r="F326" s="49" t="s">
        <v>57</v>
      </c>
      <c r="G326" s="37" t="n">
        <v>1850</v>
      </c>
      <c r="H326" s="37" t="n">
        <v>5</v>
      </c>
      <c r="I326" s="37" t="n">
        <f aca="false">IFERROR(ROUND('Data Bulanan'!EC69,0),0)</f>
        <v>42789</v>
      </c>
      <c r="J326" s="37" t="n">
        <v>463081</v>
      </c>
      <c r="K326" s="37" t="n">
        <v>249110</v>
      </c>
      <c r="L326" s="38" t="n">
        <f aca="false">IFERROR(ROUND(SQRT(2*I326*J326/K326),0),0)</f>
        <v>399</v>
      </c>
      <c r="M326" s="39" t="n">
        <f aca="false">IFERROR(AVERAGE('Data Bulanan'!DF69,'Data Bulanan'!DH69,'Data Bulanan'!DJ69,'Data Bulanan'!DL69,'Data Bulanan'!DN69,'Data Bulanan'!DP69,'Data Bulanan'!DR69,'Data Bulanan'!DT69,'Data Bulanan'!DV69,'Data Bulanan'!DX69,'Data Bulanan'!DZ69,'Data Bulanan'!EB69),0)</f>
        <v>113.867191500256</v>
      </c>
      <c r="N326" s="40" t="n">
        <f aca="false">'Data Bulanan'!ED69</f>
        <v>21.6757237611817</v>
      </c>
      <c r="O326" s="41" t="n">
        <f aca="false">IFERROR(N326*SQRT(H326),0)</f>
        <v>48.4683917915098</v>
      </c>
      <c r="P326" s="42" t="n">
        <f aca="false">IFERROR(ROUND(1.65*O326,0),0)</f>
        <v>80</v>
      </c>
      <c r="Q326" s="43" t="n">
        <f aca="false">IFERROR(ROUND(M326*H326+P326,0),0)</f>
        <v>649</v>
      </c>
      <c r="R326" s="44" t="n">
        <f aca="false">G326-Q326</f>
        <v>1201</v>
      </c>
      <c r="S326" s="45" t="str">
        <f aca="false">IF(G326=0,"Stockout ⚠",IF(G326&lt;Q326,"Reorder 🔄",IF(G326&gt;Q326+L326,"Overstock 📦","Aman ✅")))</f>
        <v>Overstock 📦</v>
      </c>
      <c r="T326" s="46" t="n">
        <f aca="false">IFERROR(N326/AVERAGE(M322:M326),0)</f>
        <v>0.158320060835427</v>
      </c>
      <c r="U326" s="47" t="n">
        <v>-1137.73</v>
      </c>
      <c r="V326" s="48" t="n">
        <v>0.0995</v>
      </c>
    </row>
    <row r="327" customFormat="false" ht="15" hidden="false" customHeight="true" outlineLevel="0" collapsed="false">
      <c r="A327" s="34" t="n">
        <v>1</v>
      </c>
      <c r="B327" s="35" t="n">
        <v>2021</v>
      </c>
      <c r="C327" s="34" t="s">
        <v>264</v>
      </c>
      <c r="D327" s="34" t="s">
        <v>164</v>
      </c>
      <c r="E327" s="36" t="s">
        <v>165</v>
      </c>
      <c r="F327" s="34" t="s">
        <v>57</v>
      </c>
      <c r="G327" s="37" t="n">
        <v>0</v>
      </c>
      <c r="H327" s="37" t="n">
        <v>10</v>
      </c>
      <c r="I327" s="37" t="n">
        <f aca="false">IFERROR(ROUND('Data Bulanan'!AC70,0),0)</f>
        <v>24067</v>
      </c>
      <c r="J327" s="37" t="n">
        <v>1091066</v>
      </c>
      <c r="K327" s="37" t="n">
        <v>147507</v>
      </c>
      <c r="L327" s="38" t="n">
        <f aca="false">IFERROR(ROUND(SQRT(2*I327*J327/K327),0),0)</f>
        <v>597</v>
      </c>
      <c r="M327" s="39" t="n">
        <f aca="false">IFERROR(AVERAGE('Data Bulanan'!F70,'Data Bulanan'!H70,'Data Bulanan'!J70,'Data Bulanan'!L70,'Data Bulanan'!N70,'Data Bulanan'!P70,'Data Bulanan'!R70,'Data Bulanan'!T70,'Data Bulanan'!V70,'Data Bulanan'!X70,'Data Bulanan'!Z70,'Data Bulanan'!AB70),0)</f>
        <v>64.0154057859703</v>
      </c>
      <c r="N327" s="40" t="n">
        <f aca="false">'Data Bulanan'!AD70</f>
        <v>13.6521021699899</v>
      </c>
      <c r="O327" s="41" t="n">
        <f aca="false">IFERROR(N327*SQRT(H327),0)</f>
        <v>43.1717377064955</v>
      </c>
      <c r="P327" s="42" t="n">
        <f aca="false">IFERROR(ROUND(1.65*O327,0),0)</f>
        <v>71</v>
      </c>
      <c r="Q327" s="43" t="n">
        <f aca="false">IFERROR(ROUND(M327*H327+P327,0),0)</f>
        <v>711</v>
      </c>
      <c r="R327" s="44" t="n">
        <f aca="false">G327-Q327</f>
        <v>-711</v>
      </c>
      <c r="S327" s="45" t="str">
        <f aca="false">IF(G327=0,"Stockout ⚠",IF(G327&lt;Q327,"Reorder 🔄",IF(G327&gt;Q327+L327,"Overstock 📦","Aman ✅")))</f>
        <v>Stockout ⚠</v>
      </c>
      <c r="T327" s="46" t="n">
        <f aca="false">IFERROR(N327/AVERAGE(M327:M331),0)</f>
        <v>0.196929810912251</v>
      </c>
      <c r="U327" s="47" t="n">
        <v>406.53</v>
      </c>
      <c r="V327" s="48" t="n">
        <v>0.148</v>
      </c>
    </row>
    <row r="328" customFormat="false" ht="15" hidden="false" customHeight="true" outlineLevel="0" collapsed="false">
      <c r="A328" s="34" t="n">
        <v>2</v>
      </c>
      <c r="B328" s="35" t="n">
        <v>2022</v>
      </c>
      <c r="C328" s="34" t="s">
        <v>264</v>
      </c>
      <c r="D328" s="34" t="s">
        <v>164</v>
      </c>
      <c r="E328" s="36" t="s">
        <v>165</v>
      </c>
      <c r="F328" s="34" t="s">
        <v>57</v>
      </c>
      <c r="G328" s="37" t="n">
        <v>5466</v>
      </c>
      <c r="H328" s="37" t="n">
        <v>10</v>
      </c>
      <c r="I328" s="37" t="n">
        <f aca="false">IFERROR(ROUND('Data Bulanan'!BC70,0),0)</f>
        <v>27104</v>
      </c>
      <c r="J328" s="37" t="n">
        <v>1269279</v>
      </c>
      <c r="K328" s="37" t="n">
        <v>150980</v>
      </c>
      <c r="L328" s="38" t="n">
        <f aca="false">IFERROR(ROUND(SQRT(2*I328*J328/K328),0),0)</f>
        <v>675</v>
      </c>
      <c r="M328" s="39" t="n">
        <f aca="false">IFERROR(AVERAGE('Data Bulanan'!AF70,'Data Bulanan'!AH70,'Data Bulanan'!AJ70,'Data Bulanan'!AL70,'Data Bulanan'!AN70,'Data Bulanan'!AP70,'Data Bulanan'!AR70,'Data Bulanan'!AT70,'Data Bulanan'!AV70,'Data Bulanan'!AX70,'Data Bulanan'!AZ70,'Data Bulanan'!BB70),0)</f>
        <v>72.0714349718382</v>
      </c>
      <c r="N328" s="40" t="n">
        <f aca="false">'Data Bulanan'!BD70</f>
        <v>14.976810957292</v>
      </c>
      <c r="O328" s="41" t="n">
        <f aca="false">IFERROR(N328*SQRT(H328),0)</f>
        <v>47.3608347108095</v>
      </c>
      <c r="P328" s="42" t="n">
        <f aca="false">IFERROR(ROUND(1.65*O328,0),0)</f>
        <v>78</v>
      </c>
      <c r="Q328" s="43" t="n">
        <f aca="false">IFERROR(ROUND(M328*H328+P328,0),0)</f>
        <v>799</v>
      </c>
      <c r="R328" s="44" t="n">
        <f aca="false">G328-Q328</f>
        <v>4667</v>
      </c>
      <c r="S328" s="45" t="str">
        <f aca="false">IF(G328=0,"Stockout ⚠",IF(G328&lt;Q328,"Reorder 🔄",IF(G328&gt;Q328+L328,"Overstock 📦","Aman ✅")))</f>
        <v>Overstock 📦</v>
      </c>
      <c r="T328" s="46" t="n">
        <f aca="false">IFERROR(N328/AVERAGE(M327:M331),0)</f>
        <v>0.216038564110029</v>
      </c>
      <c r="U328" s="47" t="n">
        <v>406.53</v>
      </c>
      <c r="V328" s="48" t="n">
        <v>0.148</v>
      </c>
    </row>
    <row r="329" customFormat="false" ht="15" hidden="false" customHeight="true" outlineLevel="0" collapsed="false">
      <c r="A329" s="34" t="n">
        <v>3</v>
      </c>
      <c r="B329" s="35" t="n">
        <v>2023</v>
      </c>
      <c r="C329" s="34" t="s">
        <v>264</v>
      </c>
      <c r="D329" s="34" t="s">
        <v>164</v>
      </c>
      <c r="E329" s="36" t="s">
        <v>165</v>
      </c>
      <c r="F329" s="34" t="s">
        <v>57</v>
      </c>
      <c r="G329" s="37" t="n">
        <v>2667</v>
      </c>
      <c r="H329" s="37" t="n">
        <v>10</v>
      </c>
      <c r="I329" s="37" t="n">
        <f aca="false">IFERROR(ROUND('Data Bulanan'!CC70,0),0)</f>
        <v>27285</v>
      </c>
      <c r="J329" s="37" t="n">
        <v>1183837</v>
      </c>
      <c r="K329" s="37" t="n">
        <v>145840</v>
      </c>
      <c r="L329" s="38" t="n">
        <f aca="false">IFERROR(ROUND(SQRT(2*I329*J329/K329),0),0)</f>
        <v>666</v>
      </c>
      <c r="M329" s="39" t="n">
        <f aca="false">IFERROR(AVERAGE('Data Bulanan'!BF70,'Data Bulanan'!BH70,'Data Bulanan'!BJ70,'Data Bulanan'!BL70,'Data Bulanan'!BN70,'Data Bulanan'!BP70,'Data Bulanan'!BR70,'Data Bulanan'!BT70,'Data Bulanan'!BV70,'Data Bulanan'!BX70,'Data Bulanan'!BZ70,'Data Bulanan'!CB70),0)</f>
        <v>72.3701676907322</v>
      </c>
      <c r="N329" s="40" t="n">
        <f aca="false">'Data Bulanan'!CD70</f>
        <v>18.4129211567032</v>
      </c>
      <c r="O329" s="41" t="n">
        <f aca="false">IFERROR(N329*SQRT(H329),0)</f>
        <v>58.2267692322842</v>
      </c>
      <c r="P329" s="42" t="n">
        <f aca="false">IFERROR(ROUND(1.65*O329,0),0)</f>
        <v>96</v>
      </c>
      <c r="Q329" s="43" t="n">
        <f aca="false">IFERROR(ROUND(M329*H329+P329,0),0)</f>
        <v>820</v>
      </c>
      <c r="R329" s="44" t="n">
        <f aca="false">G329-Q329</f>
        <v>1847</v>
      </c>
      <c r="S329" s="45" t="str">
        <f aca="false">IF(G329=0,"Stockout ⚠",IF(G329&lt;Q329,"Reorder 🔄",IF(G329&gt;Q329+L329,"Overstock 📦","Aman ✅")))</f>
        <v>Overstock 📦</v>
      </c>
      <c r="T329" s="46" t="n">
        <f aca="false">IFERROR(N329/AVERAGE(M327:M331),0)</f>
        <v>0.265604010033161</v>
      </c>
      <c r="U329" s="47" t="n">
        <v>406.53</v>
      </c>
      <c r="V329" s="48" t="n">
        <v>0.148</v>
      </c>
    </row>
    <row r="330" customFormat="false" ht="15" hidden="false" customHeight="true" outlineLevel="0" collapsed="false">
      <c r="A330" s="34" t="n">
        <v>4</v>
      </c>
      <c r="B330" s="35" t="n">
        <v>2024</v>
      </c>
      <c r="C330" s="34" t="s">
        <v>264</v>
      </c>
      <c r="D330" s="34" t="s">
        <v>164</v>
      </c>
      <c r="E330" s="36" t="s">
        <v>165</v>
      </c>
      <c r="F330" s="34" t="s">
        <v>57</v>
      </c>
      <c r="G330" s="37" t="n">
        <v>0</v>
      </c>
      <c r="H330" s="37" t="n">
        <v>10</v>
      </c>
      <c r="I330" s="37" t="n">
        <f aca="false">IFERROR(ROUND('Data Bulanan'!DC70,0),0)</f>
        <v>24420</v>
      </c>
      <c r="J330" s="37" t="n">
        <v>1290888</v>
      </c>
      <c r="K330" s="37" t="n">
        <v>150768</v>
      </c>
      <c r="L330" s="38" t="n">
        <f aca="false">IFERROR(ROUND(SQRT(2*I330*J330/K330),0),0)</f>
        <v>647</v>
      </c>
      <c r="M330" s="39" t="n">
        <f aca="false">IFERROR(AVERAGE('Data Bulanan'!CF70,'Data Bulanan'!CH70,'Data Bulanan'!CJ70,'Data Bulanan'!CL70,'Data Bulanan'!CN70,'Data Bulanan'!CP70,'Data Bulanan'!CR70,'Data Bulanan'!CT70,'Data Bulanan'!CV70,'Data Bulanan'!CX70,'Data Bulanan'!CZ70,'Data Bulanan'!DB70),0)</f>
        <v>64.937928827445</v>
      </c>
      <c r="N330" s="40" t="n">
        <f aca="false">'Data Bulanan'!DD70</f>
        <v>11.2612181877939</v>
      </c>
      <c r="O330" s="41" t="n">
        <f aca="false">IFERROR(N330*SQRT(H330),0)</f>
        <v>35.6110987015426</v>
      </c>
      <c r="P330" s="42" t="n">
        <f aca="false">IFERROR(ROUND(1.65*O330,0),0)</f>
        <v>59</v>
      </c>
      <c r="Q330" s="43" t="n">
        <f aca="false">IFERROR(ROUND(M330*H330+P330,0),0)</f>
        <v>708</v>
      </c>
      <c r="R330" s="44" t="n">
        <f aca="false">G330-Q330</f>
        <v>-708</v>
      </c>
      <c r="S330" s="45" t="str">
        <f aca="false">IF(G330=0,"Stockout ⚠",IF(G330&lt;Q330,"Reorder 🔄",IF(G330&gt;Q330+L330,"Overstock 📦","Aman ✅")))</f>
        <v>Stockout ⚠</v>
      </c>
      <c r="T330" s="46" t="n">
        <f aca="false">IFERROR(N330/AVERAGE(M327:M331),0)</f>
        <v>0.162441618202854</v>
      </c>
      <c r="U330" s="47" t="n">
        <v>406.53</v>
      </c>
      <c r="V330" s="48" t="n">
        <v>0.148</v>
      </c>
    </row>
    <row r="331" customFormat="false" ht="15" hidden="false" customHeight="true" outlineLevel="0" collapsed="false">
      <c r="A331" s="34" t="n">
        <v>5</v>
      </c>
      <c r="B331" s="35" t="n">
        <v>2025</v>
      </c>
      <c r="C331" s="34" t="s">
        <v>264</v>
      </c>
      <c r="D331" s="34" t="s">
        <v>164</v>
      </c>
      <c r="E331" s="36" t="s">
        <v>165</v>
      </c>
      <c r="F331" s="34" t="s">
        <v>57</v>
      </c>
      <c r="G331" s="37" t="n">
        <v>985</v>
      </c>
      <c r="H331" s="37" t="n">
        <v>10</v>
      </c>
      <c r="I331" s="37" t="n">
        <f aca="false">IFERROR(ROUND('Data Bulanan'!EC70,0),0)</f>
        <v>27443</v>
      </c>
      <c r="J331" s="37" t="n">
        <v>1156779</v>
      </c>
      <c r="K331" s="37" t="n">
        <v>146094</v>
      </c>
      <c r="L331" s="38" t="n">
        <f aca="false">IFERROR(ROUND(SQRT(2*I331*J331/K331),0),0)</f>
        <v>659</v>
      </c>
      <c r="M331" s="39" t="n">
        <f aca="false">IFERROR(AVERAGE('Data Bulanan'!DF70,'Data Bulanan'!DH70,'Data Bulanan'!DJ70,'Data Bulanan'!DL70,'Data Bulanan'!DN70,'Data Bulanan'!DP70,'Data Bulanan'!DR70,'Data Bulanan'!DT70,'Data Bulanan'!DV70,'Data Bulanan'!DX70,'Data Bulanan'!DZ70,'Data Bulanan'!EB70),0)</f>
        <v>73.2286162314388</v>
      </c>
      <c r="N331" s="40" t="n">
        <f aca="false">'Data Bulanan'!ED70</f>
        <v>15.1881747910909</v>
      </c>
      <c r="O331" s="41" t="n">
        <f aca="false">IFERROR(N331*SQRT(H331),0)</f>
        <v>48.0292258405991</v>
      </c>
      <c r="P331" s="42" t="n">
        <f aca="false">IFERROR(ROUND(1.65*O331,0),0)</f>
        <v>79</v>
      </c>
      <c r="Q331" s="43" t="n">
        <f aca="false">IFERROR(ROUND(M331*H331+P331,0),0)</f>
        <v>811</v>
      </c>
      <c r="R331" s="44" t="n">
        <f aca="false">G331-Q331</f>
        <v>174</v>
      </c>
      <c r="S331" s="45" t="str">
        <f aca="false">IF(G331=0,"Stockout ⚠",IF(G331&lt;Q331,"Reorder 🔄",IF(G331&gt;Q331+L331,"Overstock 📦","Aman ✅")))</f>
        <v>Aman ✅</v>
      </c>
      <c r="T331" s="46" t="n">
        <f aca="false">IFERROR(N331/AVERAGE(M327:M331),0)</f>
        <v>0.219087460119261</v>
      </c>
      <c r="U331" s="47" t="n">
        <v>406.53</v>
      </c>
      <c r="V331" s="48" t="n">
        <v>0.148</v>
      </c>
    </row>
    <row r="332" customFormat="false" ht="15" hidden="false" customHeight="true" outlineLevel="0" collapsed="false">
      <c r="A332" s="49" t="n">
        <v>1</v>
      </c>
      <c r="B332" s="35" t="n">
        <v>2021</v>
      </c>
      <c r="C332" s="49" t="s">
        <v>264</v>
      </c>
      <c r="D332" s="49" t="s">
        <v>166</v>
      </c>
      <c r="E332" s="50" t="s">
        <v>167</v>
      </c>
      <c r="F332" s="49" t="s">
        <v>57</v>
      </c>
      <c r="G332" s="37" t="n">
        <v>9027</v>
      </c>
      <c r="H332" s="37" t="n">
        <v>35</v>
      </c>
      <c r="I332" s="37" t="n">
        <f aca="false">IFERROR(ROUND('Data Bulanan'!AC71,0),0)</f>
        <v>28730</v>
      </c>
      <c r="J332" s="37" t="n">
        <v>9668589</v>
      </c>
      <c r="K332" s="37" t="n">
        <v>167745</v>
      </c>
      <c r="L332" s="38" t="n">
        <f aca="false">IFERROR(ROUND(SQRT(2*I332*J332/K332),0),0)</f>
        <v>1820</v>
      </c>
      <c r="M332" s="39" t="n">
        <f aca="false">IFERROR(AVERAGE('Data Bulanan'!F71,'Data Bulanan'!H71,'Data Bulanan'!J71,'Data Bulanan'!L71,'Data Bulanan'!N71,'Data Bulanan'!P71,'Data Bulanan'!R71,'Data Bulanan'!T71,'Data Bulanan'!V71,'Data Bulanan'!X71,'Data Bulanan'!Z71,'Data Bulanan'!AB71),0)</f>
        <v>76.6138632872504</v>
      </c>
      <c r="N332" s="40" t="n">
        <f aca="false">'Data Bulanan'!AD71</f>
        <v>16.5894126064929</v>
      </c>
      <c r="O332" s="41" t="n">
        <f aca="false">IFERROR(N332*SQRT(H332),0)</f>
        <v>98.1442885347706</v>
      </c>
      <c r="P332" s="42" t="n">
        <f aca="false">IFERROR(ROUND(1.65*O332,0),0)</f>
        <v>162</v>
      </c>
      <c r="Q332" s="43" t="n">
        <f aca="false">IFERROR(ROUND(M332*H332+P332,0),0)</f>
        <v>2843</v>
      </c>
      <c r="R332" s="44" t="n">
        <f aca="false">G332-Q332</f>
        <v>6184</v>
      </c>
      <c r="S332" s="45" t="str">
        <f aca="false">IF(G332=0,"Stockout ⚠",IF(G332&lt;Q332,"Reorder 🔄",IF(G332&gt;Q332+L332,"Overstock 📦","Aman ✅")))</f>
        <v>Overstock 📦</v>
      </c>
      <c r="T332" s="46" t="n">
        <f aca="false">IFERROR(N332/AVERAGE(M332:M336),0)</f>
        <v>0.197556942996591</v>
      </c>
      <c r="U332" s="47" t="n">
        <v>754.39</v>
      </c>
      <c r="V332" s="48" t="n">
        <v>0.1332</v>
      </c>
    </row>
    <row r="333" customFormat="false" ht="15" hidden="false" customHeight="true" outlineLevel="0" collapsed="false">
      <c r="A333" s="49" t="n">
        <v>2</v>
      </c>
      <c r="B333" s="35" t="n">
        <v>2022</v>
      </c>
      <c r="C333" s="49" t="s">
        <v>264</v>
      </c>
      <c r="D333" s="49" t="s">
        <v>166</v>
      </c>
      <c r="E333" s="50" t="s">
        <v>167</v>
      </c>
      <c r="F333" s="49" t="s">
        <v>57</v>
      </c>
      <c r="G333" s="37" t="n">
        <v>24327</v>
      </c>
      <c r="H333" s="37" t="n">
        <v>35</v>
      </c>
      <c r="I333" s="37" t="n">
        <f aca="false">IFERROR(ROUND('Data Bulanan'!BC71,0),0)</f>
        <v>34870</v>
      </c>
      <c r="J333" s="37" t="n">
        <v>10177544</v>
      </c>
      <c r="K333" s="37" t="n">
        <v>161459</v>
      </c>
      <c r="L333" s="38" t="n">
        <f aca="false">IFERROR(ROUND(SQRT(2*I333*J333/K333),0),0)</f>
        <v>2097</v>
      </c>
      <c r="M333" s="39" t="n">
        <f aca="false">IFERROR(AVERAGE('Data Bulanan'!AF71,'Data Bulanan'!AH71,'Data Bulanan'!AJ71,'Data Bulanan'!AL71,'Data Bulanan'!AN71,'Data Bulanan'!AP71,'Data Bulanan'!AR71,'Data Bulanan'!AT71,'Data Bulanan'!AV71,'Data Bulanan'!AX71,'Data Bulanan'!AZ71,'Data Bulanan'!BB71),0)</f>
        <v>93.1927675371224</v>
      </c>
      <c r="N333" s="40" t="n">
        <f aca="false">'Data Bulanan'!BD71</f>
        <v>23.6435720013965</v>
      </c>
      <c r="O333" s="41" t="n">
        <f aca="false">IFERROR(N333*SQRT(H333),0)</f>
        <v>139.877258317722</v>
      </c>
      <c r="P333" s="42" t="n">
        <f aca="false">IFERROR(ROUND(1.65*O333,0),0)</f>
        <v>231</v>
      </c>
      <c r="Q333" s="43" t="n">
        <f aca="false">IFERROR(ROUND(M333*H333+P333,0),0)</f>
        <v>3493</v>
      </c>
      <c r="R333" s="44" t="n">
        <f aca="false">G333-Q333</f>
        <v>20834</v>
      </c>
      <c r="S333" s="45" t="str">
        <f aca="false">IF(G333=0,"Stockout ⚠",IF(G333&lt;Q333,"Reorder 🔄",IF(G333&gt;Q333+L333,"Overstock 📦","Aman ✅")))</f>
        <v>Overstock 📦</v>
      </c>
      <c r="T333" s="46" t="n">
        <f aca="false">IFERROR(N333/AVERAGE(M332:M336),0)</f>
        <v>0.281562217838112</v>
      </c>
      <c r="U333" s="47" t="n">
        <v>754.39</v>
      </c>
      <c r="V333" s="48" t="n">
        <v>0.1332</v>
      </c>
    </row>
    <row r="334" customFormat="false" ht="15" hidden="false" customHeight="true" outlineLevel="0" collapsed="false">
      <c r="A334" s="49" t="n">
        <v>3</v>
      </c>
      <c r="B334" s="35" t="n">
        <v>2023</v>
      </c>
      <c r="C334" s="49" t="s">
        <v>264</v>
      </c>
      <c r="D334" s="49" t="s">
        <v>166</v>
      </c>
      <c r="E334" s="50" t="s">
        <v>167</v>
      </c>
      <c r="F334" s="49" t="s">
        <v>57</v>
      </c>
      <c r="G334" s="37" t="n">
        <v>18550</v>
      </c>
      <c r="H334" s="37" t="n">
        <v>35</v>
      </c>
      <c r="I334" s="37" t="n">
        <f aca="false">IFERROR(ROUND('Data Bulanan'!CC71,0),0)</f>
        <v>29376</v>
      </c>
      <c r="J334" s="37" t="n">
        <v>10388491</v>
      </c>
      <c r="K334" s="37" t="n">
        <v>159575</v>
      </c>
      <c r="L334" s="38" t="n">
        <f aca="false">IFERROR(ROUND(SQRT(2*I334*J334/K334),0),0)</f>
        <v>1956</v>
      </c>
      <c r="M334" s="39" t="n">
        <f aca="false">IFERROR(AVERAGE('Data Bulanan'!BF71,'Data Bulanan'!BH71,'Data Bulanan'!BJ71,'Data Bulanan'!BL71,'Data Bulanan'!BN71,'Data Bulanan'!BP71,'Data Bulanan'!BR71,'Data Bulanan'!BT71,'Data Bulanan'!BV71,'Data Bulanan'!BX71,'Data Bulanan'!BZ71,'Data Bulanan'!CB71),0)</f>
        <v>78.2362455197133</v>
      </c>
      <c r="N334" s="40" t="n">
        <f aca="false">'Data Bulanan'!CD71</f>
        <v>11.7256721900537</v>
      </c>
      <c r="O334" s="41" t="n">
        <f aca="false">IFERROR(N334*SQRT(H334),0)</f>
        <v>69.3700121868298</v>
      </c>
      <c r="P334" s="42" t="n">
        <f aca="false">IFERROR(ROUND(1.65*O334,0),0)</f>
        <v>114</v>
      </c>
      <c r="Q334" s="43" t="n">
        <f aca="false">IFERROR(ROUND(M334*H334+P334,0),0)</f>
        <v>2852</v>
      </c>
      <c r="R334" s="44" t="n">
        <f aca="false">G334-Q334</f>
        <v>15698</v>
      </c>
      <c r="S334" s="45" t="str">
        <f aca="false">IF(G334=0,"Stockout ⚠",IF(G334&lt;Q334,"Reorder 🔄",IF(G334&gt;Q334+L334,"Overstock 📦","Aman ✅")))</f>
        <v>Overstock 📦</v>
      </c>
      <c r="T334" s="46" t="n">
        <f aca="false">IFERROR(N334/AVERAGE(M332:M336),0)</f>
        <v>0.139636526463902</v>
      </c>
      <c r="U334" s="47" t="n">
        <v>754.39</v>
      </c>
      <c r="V334" s="48" t="n">
        <v>0.1332</v>
      </c>
    </row>
    <row r="335" customFormat="false" ht="15" hidden="false" customHeight="true" outlineLevel="0" collapsed="false">
      <c r="A335" s="49" t="n">
        <v>4</v>
      </c>
      <c r="B335" s="35" t="n">
        <v>2024</v>
      </c>
      <c r="C335" s="49" t="s">
        <v>264</v>
      </c>
      <c r="D335" s="49" t="s">
        <v>166</v>
      </c>
      <c r="E335" s="50" t="s">
        <v>167</v>
      </c>
      <c r="F335" s="49" t="s">
        <v>57</v>
      </c>
      <c r="G335" s="37" t="n">
        <v>0</v>
      </c>
      <c r="H335" s="37" t="n">
        <v>35</v>
      </c>
      <c r="I335" s="37" t="n">
        <f aca="false">IFERROR(ROUND('Data Bulanan'!DC71,0),0)</f>
        <v>29301</v>
      </c>
      <c r="J335" s="37" t="n">
        <v>10378067</v>
      </c>
      <c r="K335" s="37" t="n">
        <v>160480</v>
      </c>
      <c r="L335" s="38" t="n">
        <f aca="false">IFERROR(ROUND(SQRT(2*I335*J335/K335),0),0)</f>
        <v>1947</v>
      </c>
      <c r="M335" s="39" t="n">
        <f aca="false">IFERROR(AVERAGE('Data Bulanan'!CF71,'Data Bulanan'!CH71,'Data Bulanan'!CJ71,'Data Bulanan'!CL71,'Data Bulanan'!CN71,'Data Bulanan'!CP71,'Data Bulanan'!CR71,'Data Bulanan'!CT71,'Data Bulanan'!CV71,'Data Bulanan'!CX71,'Data Bulanan'!CZ71,'Data Bulanan'!DB71),0)</f>
        <v>77.9895353302612</v>
      </c>
      <c r="N335" s="40" t="n">
        <f aca="false">'Data Bulanan'!DD71</f>
        <v>19.1136434126042</v>
      </c>
      <c r="O335" s="41" t="n">
        <f aca="false">IFERROR(N335*SQRT(H335),0)</f>
        <v>113.077839374683</v>
      </c>
      <c r="P335" s="42" t="n">
        <f aca="false">IFERROR(ROUND(1.65*O335,0),0)</f>
        <v>187</v>
      </c>
      <c r="Q335" s="43" t="n">
        <f aca="false">IFERROR(ROUND(M335*H335+P335,0),0)</f>
        <v>2917</v>
      </c>
      <c r="R335" s="44" t="n">
        <f aca="false">G335-Q335</f>
        <v>-2917</v>
      </c>
      <c r="S335" s="45" t="str">
        <f aca="false">IF(G335=0,"Stockout ⚠",IF(G335&lt;Q335,"Reorder 🔄",IF(G335&gt;Q335+L335,"Overstock 📦","Aman ✅")))</f>
        <v>Stockout ⚠</v>
      </c>
      <c r="T335" s="46" t="n">
        <f aca="false">IFERROR(N335/AVERAGE(M332:M336),0)</f>
        <v>0.227617038148964</v>
      </c>
      <c r="U335" s="47" t="n">
        <v>754.39</v>
      </c>
      <c r="V335" s="48" t="n">
        <v>0.1332</v>
      </c>
    </row>
    <row r="336" customFormat="false" ht="15" hidden="false" customHeight="true" outlineLevel="0" collapsed="false">
      <c r="A336" s="49" t="n">
        <v>5</v>
      </c>
      <c r="B336" s="35" t="n">
        <v>2025</v>
      </c>
      <c r="C336" s="49" t="s">
        <v>264</v>
      </c>
      <c r="D336" s="49" t="s">
        <v>166</v>
      </c>
      <c r="E336" s="50" t="s">
        <v>167</v>
      </c>
      <c r="F336" s="49" t="s">
        <v>57</v>
      </c>
      <c r="G336" s="37" t="n">
        <v>17811</v>
      </c>
      <c r="H336" s="37" t="n">
        <v>35</v>
      </c>
      <c r="I336" s="37" t="n">
        <f aca="false">IFERROR(ROUND('Data Bulanan'!EC71,0),0)</f>
        <v>35286</v>
      </c>
      <c r="J336" s="37" t="n">
        <v>9366528</v>
      </c>
      <c r="K336" s="37" t="n">
        <v>174049</v>
      </c>
      <c r="L336" s="38" t="n">
        <f aca="false">IFERROR(ROUND(SQRT(2*I336*J336/K336),0),0)</f>
        <v>1949</v>
      </c>
      <c r="M336" s="39" t="n">
        <f aca="false">IFERROR(AVERAGE('Data Bulanan'!DF71,'Data Bulanan'!DH71,'Data Bulanan'!DJ71,'Data Bulanan'!DL71,'Data Bulanan'!DN71,'Data Bulanan'!DP71,'Data Bulanan'!DR71,'Data Bulanan'!DT71,'Data Bulanan'!DV71,'Data Bulanan'!DX71,'Data Bulanan'!DZ71,'Data Bulanan'!EB71),0)</f>
        <v>93.8316628264209</v>
      </c>
      <c r="N336" s="40" t="n">
        <f aca="false">'Data Bulanan'!ED71</f>
        <v>22.9529168913244</v>
      </c>
      <c r="O336" s="41" t="n">
        <f aca="false">IFERROR(N336*SQRT(H336),0)</f>
        <v>135.79128758393</v>
      </c>
      <c r="P336" s="42" t="n">
        <f aca="false">IFERROR(ROUND(1.65*O336,0),0)</f>
        <v>224</v>
      </c>
      <c r="Q336" s="43" t="n">
        <f aca="false">IFERROR(ROUND(M336*H336+P336,0),0)</f>
        <v>3508</v>
      </c>
      <c r="R336" s="44" t="n">
        <f aca="false">G336-Q336</f>
        <v>14303</v>
      </c>
      <c r="S336" s="45" t="str">
        <f aca="false">IF(G336=0,"Stockout ⚠",IF(G336&lt;Q336,"Reorder 🔄",IF(G336&gt;Q336+L336,"Overstock 📦","Aman ✅")))</f>
        <v>Overstock 📦</v>
      </c>
      <c r="T336" s="46" t="n">
        <f aca="false">IFERROR(N336/AVERAGE(M332:M336),0)</f>
        <v>0.273337471402098</v>
      </c>
      <c r="U336" s="47" t="n">
        <v>754.39</v>
      </c>
      <c r="V336" s="48" t="n">
        <v>0.1332</v>
      </c>
    </row>
    <row r="337" customFormat="false" ht="15" hidden="false" customHeight="true" outlineLevel="0" collapsed="false">
      <c r="A337" s="34" t="n">
        <v>1</v>
      </c>
      <c r="B337" s="35" t="n">
        <v>2021</v>
      </c>
      <c r="C337" s="34" t="s">
        <v>263</v>
      </c>
      <c r="D337" s="34" t="s">
        <v>168</v>
      </c>
      <c r="E337" s="36" t="s">
        <v>169</v>
      </c>
      <c r="F337" s="34" t="s">
        <v>57</v>
      </c>
      <c r="G337" s="37" t="n">
        <v>16303</v>
      </c>
      <c r="H337" s="37" t="n">
        <v>34</v>
      </c>
      <c r="I337" s="37" t="n">
        <f aca="false">IFERROR(ROUND('Data Bulanan'!AC72,0),0)</f>
        <v>28588</v>
      </c>
      <c r="J337" s="37" t="n">
        <v>4863691</v>
      </c>
      <c r="K337" s="37" t="n">
        <v>244138</v>
      </c>
      <c r="L337" s="38" t="n">
        <f aca="false">IFERROR(ROUND(SQRT(2*I337*J337/K337),0),0)</f>
        <v>1067</v>
      </c>
      <c r="M337" s="39" t="n">
        <f aca="false">IFERROR(AVERAGE('Data Bulanan'!F72,'Data Bulanan'!H72,'Data Bulanan'!J72,'Data Bulanan'!L72,'Data Bulanan'!N72,'Data Bulanan'!P72,'Data Bulanan'!R72,'Data Bulanan'!T72,'Data Bulanan'!V72,'Data Bulanan'!X72,'Data Bulanan'!Z72,'Data Bulanan'!AB72),0)</f>
        <v>76.1319444444444</v>
      </c>
      <c r="N337" s="40" t="n">
        <f aca="false">'Data Bulanan'!AD72</f>
        <v>20.1043245060458</v>
      </c>
      <c r="O337" s="41" t="n">
        <f aca="false">IFERROR(N337*SQRT(H337),0)</f>
        <v>117.227349073112</v>
      </c>
      <c r="P337" s="42" t="n">
        <f aca="false">IFERROR(ROUND(1.65*O337,0),0)</f>
        <v>193</v>
      </c>
      <c r="Q337" s="43" t="n">
        <f aca="false">IFERROR(ROUND(M337*H337+P337,0),0)</f>
        <v>2781</v>
      </c>
      <c r="R337" s="44" t="n">
        <f aca="false">G337-Q337</f>
        <v>13522</v>
      </c>
      <c r="S337" s="45" t="str">
        <f aca="false">IF(G337=0,"Stockout ⚠",IF(G337&lt;Q337,"Reorder 🔄",IF(G337&gt;Q337+L337,"Overstock 📦","Aman ✅")))</f>
        <v>Overstock 📦</v>
      </c>
      <c r="T337" s="46" t="n">
        <f aca="false">IFERROR(N337/AVERAGE(M337:M341),0)</f>
        <v>0.281152192692376</v>
      </c>
      <c r="U337" s="47" t="n">
        <v>-600.83</v>
      </c>
      <c r="V337" s="48" t="n">
        <v>0.3131</v>
      </c>
    </row>
    <row r="338" customFormat="false" ht="15" hidden="false" customHeight="true" outlineLevel="0" collapsed="false">
      <c r="A338" s="34" t="n">
        <v>2</v>
      </c>
      <c r="B338" s="35" t="n">
        <v>2022</v>
      </c>
      <c r="C338" s="34" t="s">
        <v>263</v>
      </c>
      <c r="D338" s="34" t="s">
        <v>168</v>
      </c>
      <c r="E338" s="36" t="s">
        <v>169</v>
      </c>
      <c r="F338" s="34" t="s">
        <v>57</v>
      </c>
      <c r="G338" s="37" t="n">
        <v>7178</v>
      </c>
      <c r="H338" s="37" t="n">
        <v>34</v>
      </c>
      <c r="I338" s="37" t="n">
        <f aca="false">IFERROR(ROUND('Data Bulanan'!BC72,0),0)</f>
        <v>26278</v>
      </c>
      <c r="J338" s="37" t="n">
        <v>5514650</v>
      </c>
      <c r="K338" s="37" t="n">
        <v>254685</v>
      </c>
      <c r="L338" s="38" t="n">
        <f aca="false">IFERROR(ROUND(SQRT(2*I338*J338/K338),0),0)</f>
        <v>1067</v>
      </c>
      <c r="M338" s="39" t="n">
        <f aca="false">IFERROR(AVERAGE('Data Bulanan'!AF72,'Data Bulanan'!AH72,'Data Bulanan'!AJ72,'Data Bulanan'!AL72,'Data Bulanan'!AN72,'Data Bulanan'!AP72,'Data Bulanan'!AR72,'Data Bulanan'!AT72,'Data Bulanan'!AV72,'Data Bulanan'!AX72,'Data Bulanan'!AZ72,'Data Bulanan'!BB72),0)</f>
        <v>70.102208141321</v>
      </c>
      <c r="N338" s="40" t="n">
        <f aca="false">'Data Bulanan'!BD72</f>
        <v>16.0167419741717</v>
      </c>
      <c r="O338" s="41" t="n">
        <f aca="false">IFERROR(N338*SQRT(H338),0)</f>
        <v>93.3928519635449</v>
      </c>
      <c r="P338" s="42" t="n">
        <f aca="false">IFERROR(ROUND(1.65*O338,0),0)</f>
        <v>154</v>
      </c>
      <c r="Q338" s="43" t="n">
        <f aca="false">IFERROR(ROUND(M338*H338+P338,0),0)</f>
        <v>2537</v>
      </c>
      <c r="R338" s="44" t="n">
        <f aca="false">G338-Q338</f>
        <v>4641</v>
      </c>
      <c r="S338" s="45" t="str">
        <f aca="false">IF(G338=0,"Stockout ⚠",IF(G338&lt;Q338,"Reorder 🔄",IF(G338&gt;Q338+L338,"Overstock 📦","Aman ✅")))</f>
        <v>Overstock 📦</v>
      </c>
      <c r="T338" s="46" t="n">
        <f aca="false">IFERROR(N338/AVERAGE(M337:M341),0)</f>
        <v>0.223988730607298</v>
      </c>
      <c r="U338" s="47" t="n">
        <v>-600.83</v>
      </c>
      <c r="V338" s="48" t="n">
        <v>0.3131</v>
      </c>
    </row>
    <row r="339" customFormat="false" ht="15" hidden="false" customHeight="true" outlineLevel="0" collapsed="false">
      <c r="A339" s="34" t="n">
        <v>3</v>
      </c>
      <c r="B339" s="35" t="n">
        <v>2023</v>
      </c>
      <c r="C339" s="34" t="s">
        <v>263</v>
      </c>
      <c r="D339" s="34" t="s">
        <v>168</v>
      </c>
      <c r="E339" s="36" t="s">
        <v>169</v>
      </c>
      <c r="F339" s="34" t="s">
        <v>57</v>
      </c>
      <c r="G339" s="37" t="n">
        <v>0</v>
      </c>
      <c r="H339" s="37" t="n">
        <v>34</v>
      </c>
      <c r="I339" s="37" t="n">
        <f aca="false">IFERROR(ROUND('Data Bulanan'!CC72,0),0)</f>
        <v>28433</v>
      </c>
      <c r="J339" s="37" t="n">
        <v>4672474</v>
      </c>
      <c r="K339" s="37" t="n">
        <v>226814</v>
      </c>
      <c r="L339" s="38" t="n">
        <f aca="false">IFERROR(ROUND(SQRT(2*I339*J339/K339),0),0)</f>
        <v>1082</v>
      </c>
      <c r="M339" s="39" t="n">
        <f aca="false">IFERROR(AVERAGE('Data Bulanan'!BF72,'Data Bulanan'!BH72,'Data Bulanan'!BJ72,'Data Bulanan'!BL72,'Data Bulanan'!BN72,'Data Bulanan'!BP72,'Data Bulanan'!BR72,'Data Bulanan'!BT72,'Data Bulanan'!BV72,'Data Bulanan'!BX72,'Data Bulanan'!BZ72,'Data Bulanan'!CB72),0)</f>
        <v>75.7512032770097</v>
      </c>
      <c r="N339" s="40" t="n">
        <f aca="false">'Data Bulanan'!CD72</f>
        <v>15.762773364451</v>
      </c>
      <c r="O339" s="41" t="n">
        <f aca="false">IFERROR(N339*SQRT(H339),0)</f>
        <v>91.9119732174625</v>
      </c>
      <c r="P339" s="42" t="n">
        <f aca="false">IFERROR(ROUND(1.65*O339,0),0)</f>
        <v>152</v>
      </c>
      <c r="Q339" s="43" t="n">
        <f aca="false">IFERROR(ROUND(M339*H339+P339,0),0)</f>
        <v>2728</v>
      </c>
      <c r="R339" s="44" t="n">
        <f aca="false">G339-Q339</f>
        <v>-2728</v>
      </c>
      <c r="S339" s="45" t="str">
        <f aca="false">IF(G339=0,"Stockout ⚠",IF(G339&lt;Q339,"Reorder 🔄",IF(G339&gt;Q339+L339,"Overstock 📦","Aman ✅")))</f>
        <v>Stockout ⚠</v>
      </c>
      <c r="T339" s="46" t="n">
        <f aca="false">IFERROR(N339/AVERAGE(M337:M341),0)</f>
        <v>0.220437065318741</v>
      </c>
      <c r="U339" s="47" t="n">
        <v>-600.83</v>
      </c>
      <c r="V339" s="48" t="n">
        <v>0.3131</v>
      </c>
    </row>
    <row r="340" customFormat="false" ht="15" hidden="false" customHeight="true" outlineLevel="0" collapsed="false">
      <c r="A340" s="34" t="n">
        <v>4</v>
      </c>
      <c r="B340" s="35" t="n">
        <v>2024</v>
      </c>
      <c r="C340" s="34" t="s">
        <v>263</v>
      </c>
      <c r="D340" s="34" t="s">
        <v>168</v>
      </c>
      <c r="E340" s="36" t="s">
        <v>169</v>
      </c>
      <c r="F340" s="34" t="s">
        <v>57</v>
      </c>
      <c r="G340" s="37" t="n">
        <v>10269</v>
      </c>
      <c r="H340" s="37" t="n">
        <v>34</v>
      </c>
      <c r="I340" s="37" t="n">
        <f aca="false">IFERROR(ROUND('Data Bulanan'!DC72,0),0)</f>
        <v>24497</v>
      </c>
      <c r="J340" s="37" t="n">
        <v>5032612</v>
      </c>
      <c r="K340" s="37" t="n">
        <v>241670</v>
      </c>
      <c r="L340" s="38" t="n">
        <f aca="false">IFERROR(ROUND(SQRT(2*I340*J340/K340),0),0)</f>
        <v>1010</v>
      </c>
      <c r="M340" s="39" t="n">
        <f aca="false">IFERROR(AVERAGE('Data Bulanan'!CF72,'Data Bulanan'!CH72,'Data Bulanan'!CJ72,'Data Bulanan'!CL72,'Data Bulanan'!CN72,'Data Bulanan'!CP72,'Data Bulanan'!CR72,'Data Bulanan'!CT72,'Data Bulanan'!CV72,'Data Bulanan'!CX72,'Data Bulanan'!CZ72,'Data Bulanan'!DB72),0)</f>
        <v>65.0636008704557</v>
      </c>
      <c r="N340" s="40" t="n">
        <f aca="false">'Data Bulanan'!DD72</f>
        <v>14.4004010249493</v>
      </c>
      <c r="O340" s="41" t="n">
        <f aca="false">IFERROR(N340*SQRT(H340),0)</f>
        <v>83.9680456429604</v>
      </c>
      <c r="P340" s="42" t="n">
        <f aca="false">IFERROR(ROUND(1.65*O340,0),0)</f>
        <v>139</v>
      </c>
      <c r="Q340" s="43" t="n">
        <f aca="false">IFERROR(ROUND(M340*H340+P340,0),0)</f>
        <v>2351</v>
      </c>
      <c r="R340" s="44" t="n">
        <f aca="false">G340-Q340</f>
        <v>7918</v>
      </c>
      <c r="S340" s="45" t="str">
        <f aca="false">IF(G340=0,"Stockout ⚠",IF(G340&lt;Q340,"Reorder 🔄",IF(G340&gt;Q340+L340,"Overstock 📦","Aman ✅")))</f>
        <v>Overstock 📦</v>
      </c>
      <c r="T340" s="46" t="n">
        <f aca="false">IFERROR(N340/AVERAGE(M337:M341),0)</f>
        <v>0.201384747972831</v>
      </c>
      <c r="U340" s="47" t="n">
        <v>-600.83</v>
      </c>
      <c r="V340" s="48" t="n">
        <v>0.3131</v>
      </c>
    </row>
    <row r="341" customFormat="false" ht="15" hidden="false" customHeight="true" outlineLevel="0" collapsed="false">
      <c r="A341" s="34" t="n">
        <v>5</v>
      </c>
      <c r="B341" s="35" t="n">
        <v>2025</v>
      </c>
      <c r="C341" s="34" t="s">
        <v>263</v>
      </c>
      <c r="D341" s="34" t="s">
        <v>168</v>
      </c>
      <c r="E341" s="36" t="s">
        <v>169</v>
      </c>
      <c r="F341" s="34" t="s">
        <v>57</v>
      </c>
      <c r="G341" s="37" t="n">
        <v>6974</v>
      </c>
      <c r="H341" s="37" t="n">
        <v>34</v>
      </c>
      <c r="I341" s="37" t="n">
        <f aca="false">IFERROR(ROUND('Data Bulanan'!EC72,0),0)</f>
        <v>26474</v>
      </c>
      <c r="J341" s="37" t="n">
        <v>5183069</v>
      </c>
      <c r="K341" s="37" t="n">
        <v>236108</v>
      </c>
      <c r="L341" s="38" t="n">
        <f aca="false">IFERROR(ROUND(SQRT(2*I341*J341/K341),0),0)</f>
        <v>1078</v>
      </c>
      <c r="M341" s="39" t="n">
        <f aca="false">IFERROR(AVERAGE('Data Bulanan'!DF72,'Data Bulanan'!DH72,'Data Bulanan'!DJ72,'Data Bulanan'!DL72,'Data Bulanan'!DN72,'Data Bulanan'!DP72,'Data Bulanan'!DR72,'Data Bulanan'!DT72,'Data Bulanan'!DV72,'Data Bulanan'!DX72,'Data Bulanan'!DZ72,'Data Bulanan'!EB72),0)</f>
        <v>70.4855926779314</v>
      </c>
      <c r="N341" s="40" t="n">
        <f aca="false">'Data Bulanan'!ED72</f>
        <v>13.2771001164831</v>
      </c>
      <c r="O341" s="41" t="n">
        <f aca="false">IFERROR(N341*SQRT(H341),0)</f>
        <v>77.4181320822581</v>
      </c>
      <c r="P341" s="42" t="n">
        <f aca="false">IFERROR(ROUND(1.65*O341,0),0)</f>
        <v>128</v>
      </c>
      <c r="Q341" s="43" t="n">
        <f aca="false">IFERROR(ROUND(M341*H341+P341,0),0)</f>
        <v>2525</v>
      </c>
      <c r="R341" s="44" t="n">
        <f aca="false">G341-Q341</f>
        <v>4449</v>
      </c>
      <c r="S341" s="45" t="str">
        <f aca="false">IF(G341=0,"Stockout ⚠",IF(G341&lt;Q341,"Reorder 🔄",IF(G341&gt;Q341+L341,"Overstock 📦","Aman ✅")))</f>
        <v>Overstock 📦</v>
      </c>
      <c r="T341" s="46" t="n">
        <f aca="false">IFERROR(N341/AVERAGE(M337:M341),0)</f>
        <v>0.185675763899597</v>
      </c>
      <c r="U341" s="47" t="n">
        <v>-600.83</v>
      </c>
      <c r="V341" s="48" t="n">
        <v>0.3131</v>
      </c>
    </row>
    <row r="342" customFormat="false" ht="15" hidden="false" customHeight="true" outlineLevel="0" collapsed="false">
      <c r="A342" s="49" t="n">
        <v>1</v>
      </c>
      <c r="B342" s="35" t="n">
        <v>2021</v>
      </c>
      <c r="C342" s="49" t="s">
        <v>264</v>
      </c>
      <c r="D342" s="49" t="s">
        <v>170</v>
      </c>
      <c r="E342" s="50" t="s">
        <v>171</v>
      </c>
      <c r="F342" s="49" t="s">
        <v>57</v>
      </c>
      <c r="G342" s="37" t="n">
        <v>4941</v>
      </c>
      <c r="H342" s="37" t="n">
        <v>10</v>
      </c>
      <c r="I342" s="37" t="n">
        <f aca="false">IFERROR(ROUND('Data Bulanan'!AC73,0),0)</f>
        <v>40342</v>
      </c>
      <c r="J342" s="37" t="n">
        <v>515040</v>
      </c>
      <c r="K342" s="37" t="n">
        <v>91279</v>
      </c>
      <c r="L342" s="38" t="n">
        <f aca="false">IFERROR(ROUND(SQRT(2*I342*J342/K342),0),0)</f>
        <v>675</v>
      </c>
      <c r="M342" s="39" t="n">
        <f aca="false">IFERROR(AVERAGE('Data Bulanan'!F73,'Data Bulanan'!H73,'Data Bulanan'!J73,'Data Bulanan'!L73,'Data Bulanan'!N73,'Data Bulanan'!P73,'Data Bulanan'!R73,'Data Bulanan'!T73,'Data Bulanan'!V73,'Data Bulanan'!X73,'Data Bulanan'!Z73,'Data Bulanan'!AB73),0)</f>
        <v>107.060394265233</v>
      </c>
      <c r="N342" s="40" t="n">
        <f aca="false">'Data Bulanan'!AD73</f>
        <v>23.9511669025965</v>
      </c>
      <c r="O342" s="41" t="n">
        <f aca="false">IFERROR(N342*SQRT(H342),0)</f>
        <v>75.7402400310452</v>
      </c>
      <c r="P342" s="42" t="n">
        <f aca="false">IFERROR(ROUND(1.65*O342,0),0)</f>
        <v>125</v>
      </c>
      <c r="Q342" s="43" t="n">
        <f aca="false">IFERROR(ROUND(M342*H342+P342,0),0)</f>
        <v>1196</v>
      </c>
      <c r="R342" s="44" t="n">
        <f aca="false">G342-Q342</f>
        <v>3745</v>
      </c>
      <c r="S342" s="45" t="str">
        <f aca="false">IF(G342=0,"Stockout ⚠",IF(G342&lt;Q342,"Reorder 🔄",IF(G342&gt;Q342+L342,"Overstock 📦","Aman ✅")))</f>
        <v>Overstock 📦</v>
      </c>
      <c r="T342" s="46" t="n">
        <f aca="false">IFERROR(N342/AVERAGE(M342:M346),0)</f>
        <v>0.210181707658124</v>
      </c>
      <c r="U342" s="47" t="n">
        <v>-532.53</v>
      </c>
      <c r="V342" s="48" t="n">
        <v>0.0452</v>
      </c>
    </row>
    <row r="343" customFormat="false" ht="15" hidden="false" customHeight="true" outlineLevel="0" collapsed="false">
      <c r="A343" s="49" t="n">
        <v>2</v>
      </c>
      <c r="B343" s="35" t="n">
        <v>2022</v>
      </c>
      <c r="C343" s="49" t="s">
        <v>264</v>
      </c>
      <c r="D343" s="49" t="s">
        <v>170</v>
      </c>
      <c r="E343" s="50" t="s">
        <v>171</v>
      </c>
      <c r="F343" s="49" t="s">
        <v>57</v>
      </c>
      <c r="G343" s="37" t="n">
        <v>4136</v>
      </c>
      <c r="H343" s="37" t="n">
        <v>10</v>
      </c>
      <c r="I343" s="37" t="n">
        <f aca="false">IFERROR(ROUND('Data Bulanan'!BC73,0),0)</f>
        <v>49048</v>
      </c>
      <c r="J343" s="37" t="n">
        <v>476640</v>
      </c>
      <c r="K343" s="37" t="n">
        <v>84809</v>
      </c>
      <c r="L343" s="38" t="n">
        <f aca="false">IFERROR(ROUND(SQRT(2*I343*J343/K343),0),0)</f>
        <v>743</v>
      </c>
      <c r="M343" s="39" t="n">
        <f aca="false">IFERROR(AVERAGE('Data Bulanan'!AF73,'Data Bulanan'!AH73,'Data Bulanan'!AJ73,'Data Bulanan'!AL73,'Data Bulanan'!AN73,'Data Bulanan'!AP73,'Data Bulanan'!AR73,'Data Bulanan'!AT73,'Data Bulanan'!AV73,'Data Bulanan'!AX73,'Data Bulanan'!AZ73,'Data Bulanan'!BB73),0)</f>
        <v>130.187077572965</v>
      </c>
      <c r="N343" s="40" t="n">
        <f aca="false">'Data Bulanan'!BD73</f>
        <v>28.0282569966257</v>
      </c>
      <c r="O343" s="41" t="n">
        <f aca="false">IFERROR(N343*SQRT(H343),0)</f>
        <v>88.6331309538874</v>
      </c>
      <c r="P343" s="42" t="n">
        <f aca="false">IFERROR(ROUND(1.65*O343,0),0)</f>
        <v>146</v>
      </c>
      <c r="Q343" s="43" t="n">
        <f aca="false">IFERROR(ROUND(M343*H343+P343,0),0)</f>
        <v>1448</v>
      </c>
      <c r="R343" s="44" t="n">
        <f aca="false">G343-Q343</f>
        <v>2688</v>
      </c>
      <c r="S343" s="45" t="str">
        <f aca="false">IF(G343=0,"Stockout ⚠",IF(G343&lt;Q343,"Reorder 🔄",IF(G343&gt;Q343+L343,"Overstock 📦","Aman ✅")))</f>
        <v>Overstock 📦</v>
      </c>
      <c r="T343" s="46" t="n">
        <f aca="false">IFERROR(N343/AVERAGE(M342:M346),0)</f>
        <v>0.245959912608388</v>
      </c>
      <c r="U343" s="47" t="n">
        <v>-532.53</v>
      </c>
      <c r="V343" s="48" t="n">
        <v>0.0452</v>
      </c>
    </row>
    <row r="344" customFormat="false" ht="15" hidden="false" customHeight="true" outlineLevel="0" collapsed="false">
      <c r="A344" s="49" t="n">
        <v>3</v>
      </c>
      <c r="B344" s="35" t="n">
        <v>2023</v>
      </c>
      <c r="C344" s="49" t="s">
        <v>264</v>
      </c>
      <c r="D344" s="49" t="s">
        <v>170</v>
      </c>
      <c r="E344" s="50" t="s">
        <v>171</v>
      </c>
      <c r="F344" s="49" t="s">
        <v>57</v>
      </c>
      <c r="G344" s="37" t="n">
        <v>0</v>
      </c>
      <c r="H344" s="37" t="n">
        <v>10</v>
      </c>
      <c r="I344" s="37" t="n">
        <f aca="false">IFERROR(ROUND('Data Bulanan'!CC73,0),0)</f>
        <v>43454</v>
      </c>
      <c r="J344" s="37" t="n">
        <v>529254</v>
      </c>
      <c r="K344" s="37" t="n">
        <v>93119</v>
      </c>
      <c r="L344" s="38" t="n">
        <f aca="false">IFERROR(ROUND(SQRT(2*I344*J344/K344),0),0)</f>
        <v>703</v>
      </c>
      <c r="M344" s="39" t="n">
        <f aca="false">IFERROR(AVERAGE('Data Bulanan'!BF73,'Data Bulanan'!BH73,'Data Bulanan'!BJ73,'Data Bulanan'!BL73,'Data Bulanan'!BN73,'Data Bulanan'!BP73,'Data Bulanan'!BR73,'Data Bulanan'!BT73,'Data Bulanan'!BV73,'Data Bulanan'!BX73,'Data Bulanan'!BZ73,'Data Bulanan'!CB73),0)</f>
        <v>115.738959293395</v>
      </c>
      <c r="N344" s="40" t="n">
        <f aca="false">'Data Bulanan'!CD73</f>
        <v>18.7506332027846</v>
      </c>
      <c r="O344" s="41" t="n">
        <f aca="false">IFERROR(N344*SQRT(H344),0)</f>
        <v>59.2947084911772</v>
      </c>
      <c r="P344" s="42" t="n">
        <f aca="false">IFERROR(ROUND(1.65*O344,0),0)</f>
        <v>98</v>
      </c>
      <c r="Q344" s="43" t="n">
        <f aca="false">IFERROR(ROUND(M344*H344+P344,0),0)</f>
        <v>1255</v>
      </c>
      <c r="R344" s="44" t="n">
        <f aca="false">G344-Q344</f>
        <v>-1255</v>
      </c>
      <c r="S344" s="45" t="str">
        <f aca="false">IF(G344=0,"Stockout ⚠",IF(G344&lt;Q344,"Reorder 🔄",IF(G344&gt;Q344+L344,"Overstock 📦","Aman ✅")))</f>
        <v>Stockout ⚠</v>
      </c>
      <c r="T344" s="46" t="n">
        <f aca="false">IFERROR(N344/AVERAGE(M342:M346),0)</f>
        <v>0.164544805781682</v>
      </c>
      <c r="U344" s="47" t="n">
        <v>-532.53</v>
      </c>
      <c r="V344" s="48" t="n">
        <v>0.0452</v>
      </c>
    </row>
    <row r="345" customFormat="false" ht="15" hidden="false" customHeight="true" outlineLevel="0" collapsed="false">
      <c r="A345" s="49" t="n">
        <v>4</v>
      </c>
      <c r="B345" s="35" t="n">
        <v>2024</v>
      </c>
      <c r="C345" s="49" t="s">
        <v>264</v>
      </c>
      <c r="D345" s="49" t="s">
        <v>170</v>
      </c>
      <c r="E345" s="50" t="s">
        <v>171</v>
      </c>
      <c r="F345" s="49" t="s">
        <v>57</v>
      </c>
      <c r="G345" s="37" t="n">
        <v>3793</v>
      </c>
      <c r="H345" s="37" t="n">
        <v>10</v>
      </c>
      <c r="I345" s="37" t="n">
        <f aca="false">IFERROR(ROUND('Data Bulanan'!DC73,0),0)</f>
        <v>38648</v>
      </c>
      <c r="J345" s="37" t="n">
        <v>505203</v>
      </c>
      <c r="K345" s="37" t="n">
        <v>83696</v>
      </c>
      <c r="L345" s="38" t="n">
        <f aca="false">IFERROR(ROUND(SQRT(2*I345*J345/K345),0),0)</f>
        <v>683</v>
      </c>
      <c r="M345" s="39" t="n">
        <f aca="false">IFERROR(AVERAGE('Data Bulanan'!CF73,'Data Bulanan'!CH73,'Data Bulanan'!CJ73,'Data Bulanan'!CL73,'Data Bulanan'!CN73,'Data Bulanan'!CP73,'Data Bulanan'!CR73,'Data Bulanan'!CT73,'Data Bulanan'!CV73,'Data Bulanan'!CX73,'Data Bulanan'!CZ73,'Data Bulanan'!DB73),0)</f>
        <v>103.157373271889</v>
      </c>
      <c r="N345" s="40" t="n">
        <f aca="false">'Data Bulanan'!DD73</f>
        <v>20.0179736676328</v>
      </c>
      <c r="O345" s="41" t="n">
        <f aca="false">IFERROR(N345*SQRT(H345),0)</f>
        <v>63.3023909309941</v>
      </c>
      <c r="P345" s="42" t="n">
        <f aca="false">IFERROR(ROUND(1.65*O345,0),0)</f>
        <v>104</v>
      </c>
      <c r="Q345" s="43" t="n">
        <f aca="false">IFERROR(ROUND(M345*H345+P345,0),0)</f>
        <v>1136</v>
      </c>
      <c r="R345" s="44" t="n">
        <f aca="false">G345-Q345</f>
        <v>2657</v>
      </c>
      <c r="S345" s="45" t="str">
        <f aca="false">IF(G345=0,"Stockout ⚠",IF(G345&lt;Q345,"Reorder 🔄",IF(G345&gt;Q345+L345,"Overstock 📦","Aman ✅")))</f>
        <v>Overstock 📦</v>
      </c>
      <c r="T345" s="46" t="n">
        <f aca="false">IFERROR(N345/AVERAGE(M342:M346),0)</f>
        <v>0.175666259035685</v>
      </c>
      <c r="U345" s="47" t="n">
        <v>-532.53</v>
      </c>
      <c r="V345" s="48" t="n">
        <v>0.0452</v>
      </c>
    </row>
    <row r="346" customFormat="false" ht="15" hidden="false" customHeight="true" outlineLevel="0" collapsed="false">
      <c r="A346" s="49" t="n">
        <v>5</v>
      </c>
      <c r="B346" s="35" t="n">
        <v>2025</v>
      </c>
      <c r="C346" s="49" t="s">
        <v>264</v>
      </c>
      <c r="D346" s="49" t="s">
        <v>170</v>
      </c>
      <c r="E346" s="50" t="s">
        <v>171</v>
      </c>
      <c r="F346" s="49" t="s">
        <v>57</v>
      </c>
      <c r="G346" s="37" t="n">
        <v>3407</v>
      </c>
      <c r="H346" s="37" t="n">
        <v>10</v>
      </c>
      <c r="I346" s="37" t="n">
        <f aca="false">IFERROR(ROUND('Data Bulanan'!EC73,0),0)</f>
        <v>42879</v>
      </c>
      <c r="J346" s="37" t="n">
        <v>446420</v>
      </c>
      <c r="K346" s="37" t="n">
        <v>100500</v>
      </c>
      <c r="L346" s="38" t="n">
        <f aca="false">IFERROR(ROUND(SQRT(2*I346*J346/K346),0),0)</f>
        <v>617</v>
      </c>
      <c r="M346" s="39" t="n">
        <f aca="false">IFERROR(AVERAGE('Data Bulanan'!DF73,'Data Bulanan'!DH73,'Data Bulanan'!DJ73,'Data Bulanan'!DL73,'Data Bulanan'!DN73,'Data Bulanan'!DP73,'Data Bulanan'!DR73,'Data Bulanan'!DT73,'Data Bulanan'!DV73,'Data Bulanan'!DX73,'Data Bulanan'!DZ73,'Data Bulanan'!EB73),0)</f>
        <v>113.629064260113</v>
      </c>
      <c r="N346" s="40" t="n">
        <f aca="false">'Data Bulanan'!ED73</f>
        <v>35.7875612176419</v>
      </c>
      <c r="O346" s="41" t="n">
        <f aca="false">IFERROR(N346*SQRT(H346),0)</f>
        <v>113.170205350457</v>
      </c>
      <c r="P346" s="42" t="n">
        <f aca="false">IFERROR(ROUND(1.65*O346,0),0)</f>
        <v>187</v>
      </c>
      <c r="Q346" s="43" t="n">
        <f aca="false">IFERROR(ROUND(M346*H346+P346,0),0)</f>
        <v>1323</v>
      </c>
      <c r="R346" s="44" t="n">
        <f aca="false">G346-Q346</f>
        <v>2084</v>
      </c>
      <c r="S346" s="45" t="str">
        <f aca="false">IF(G346=0,"Stockout ⚠",IF(G346&lt;Q346,"Reorder 🔄",IF(G346&gt;Q346+L346,"Overstock 📦","Aman ✅")))</f>
        <v>Overstock 📦</v>
      </c>
      <c r="T346" s="46" t="n">
        <f aca="false">IFERROR(N346/AVERAGE(M342:M346),0)</f>
        <v>0.31405111743546</v>
      </c>
      <c r="U346" s="47" t="n">
        <v>-532.53</v>
      </c>
      <c r="V346" s="48" t="n">
        <v>0.0452</v>
      </c>
    </row>
    <row r="347" customFormat="false" ht="15" hidden="false" customHeight="true" outlineLevel="0" collapsed="false">
      <c r="A347" s="34" t="n">
        <v>1</v>
      </c>
      <c r="B347" s="35" t="n">
        <v>2021</v>
      </c>
      <c r="C347" s="34" t="s">
        <v>263</v>
      </c>
      <c r="D347" s="34" t="s">
        <v>172</v>
      </c>
      <c r="E347" s="36" t="s">
        <v>173</v>
      </c>
      <c r="F347" s="34" t="s">
        <v>36</v>
      </c>
      <c r="G347" s="37" t="n">
        <v>2167</v>
      </c>
      <c r="H347" s="37" t="n">
        <v>6</v>
      </c>
      <c r="I347" s="37" t="n">
        <f aca="false">IFERROR(ROUND('Data Bulanan'!AC74,0),0)</f>
        <v>36592</v>
      </c>
      <c r="J347" s="37" t="n">
        <v>1991119</v>
      </c>
      <c r="K347" s="37" t="n">
        <v>226811</v>
      </c>
      <c r="L347" s="38" t="n">
        <f aca="false">IFERROR(ROUND(SQRT(2*I347*J347/K347),0),0)</f>
        <v>802</v>
      </c>
      <c r="M347" s="39" t="n">
        <f aca="false">IFERROR(AVERAGE('Data Bulanan'!F74,'Data Bulanan'!H74,'Data Bulanan'!J74,'Data Bulanan'!L74,'Data Bulanan'!N74,'Data Bulanan'!P74,'Data Bulanan'!R74,'Data Bulanan'!T74,'Data Bulanan'!V74,'Data Bulanan'!X74,'Data Bulanan'!Z74,'Data Bulanan'!AB74),0)</f>
        <v>97.5114055299539</v>
      </c>
      <c r="N347" s="40" t="n">
        <f aca="false">'Data Bulanan'!AD74</f>
        <v>17.3685549356022</v>
      </c>
      <c r="O347" s="41" t="n">
        <f aca="false">IFERROR(N347*SQRT(H347),0)</f>
        <v>42.5440971617237</v>
      </c>
      <c r="P347" s="42" t="n">
        <f aca="false">IFERROR(ROUND(1.65*O347,0),0)</f>
        <v>70</v>
      </c>
      <c r="Q347" s="43" t="n">
        <f aca="false">IFERROR(ROUND(M347*H347+P347,0),0)</f>
        <v>655</v>
      </c>
      <c r="R347" s="44" t="n">
        <f aca="false">G347-Q347</f>
        <v>1512</v>
      </c>
      <c r="S347" s="45" t="str">
        <f aca="false">IF(G347=0,"Stockout ⚠",IF(G347&lt;Q347,"Reorder 🔄",IF(G347&gt;Q347+L347,"Overstock 📦","Aman ✅")))</f>
        <v>Overstock 📦</v>
      </c>
      <c r="T347" s="46" t="n">
        <f aca="false">IFERROR(N347/AVERAGE(M347:M351),0)</f>
        <v>0.163044770127503</v>
      </c>
      <c r="U347" s="47" t="n">
        <v>1530.47</v>
      </c>
      <c r="V347" s="48" t="n">
        <v>0.8634</v>
      </c>
    </row>
    <row r="348" customFormat="false" ht="15" hidden="false" customHeight="true" outlineLevel="0" collapsed="false">
      <c r="A348" s="34" t="n">
        <v>2</v>
      </c>
      <c r="B348" s="35" t="n">
        <v>2022</v>
      </c>
      <c r="C348" s="34" t="s">
        <v>263</v>
      </c>
      <c r="D348" s="34" t="s">
        <v>172</v>
      </c>
      <c r="E348" s="36" t="s">
        <v>173</v>
      </c>
      <c r="F348" s="34" t="s">
        <v>36</v>
      </c>
      <c r="G348" s="37" t="n">
        <v>4234</v>
      </c>
      <c r="H348" s="37" t="n">
        <v>6</v>
      </c>
      <c r="I348" s="37" t="n">
        <f aca="false">IFERROR(ROUND('Data Bulanan'!BC74,0),0)</f>
        <v>38106</v>
      </c>
      <c r="J348" s="37" t="n">
        <v>2039636</v>
      </c>
      <c r="K348" s="37" t="n">
        <v>221522</v>
      </c>
      <c r="L348" s="38" t="n">
        <f aca="false">IFERROR(ROUND(SQRT(2*I348*J348/K348),0),0)</f>
        <v>838</v>
      </c>
      <c r="M348" s="39" t="n">
        <f aca="false">IFERROR(AVERAGE('Data Bulanan'!AF74,'Data Bulanan'!AH74,'Data Bulanan'!AJ74,'Data Bulanan'!AL74,'Data Bulanan'!AN74,'Data Bulanan'!AP74,'Data Bulanan'!AR74,'Data Bulanan'!AT74,'Data Bulanan'!AV74,'Data Bulanan'!AX74,'Data Bulanan'!AZ74,'Data Bulanan'!BB74),0)</f>
        <v>101.511143113159</v>
      </c>
      <c r="N348" s="40" t="n">
        <f aca="false">'Data Bulanan'!BD74</f>
        <v>29.3485408527391</v>
      </c>
      <c r="O348" s="41" t="n">
        <f aca="false">IFERROR(N348*SQRT(H348),0)</f>
        <v>71.8889497844374</v>
      </c>
      <c r="P348" s="42" t="n">
        <f aca="false">IFERROR(ROUND(1.65*O348,0),0)</f>
        <v>119</v>
      </c>
      <c r="Q348" s="43" t="n">
        <f aca="false">IFERROR(ROUND(M348*H348+P348,0),0)</f>
        <v>728</v>
      </c>
      <c r="R348" s="44" t="n">
        <f aca="false">G348-Q348</f>
        <v>3506</v>
      </c>
      <c r="S348" s="45" t="str">
        <f aca="false">IF(G348=0,"Stockout ⚠",IF(G348&lt;Q348,"Reorder 🔄",IF(G348&gt;Q348+L348,"Overstock 📦","Aman ✅")))</f>
        <v>Overstock 📦</v>
      </c>
      <c r="T348" s="46" t="n">
        <f aca="false">IFERROR(N348/AVERAGE(M347:M351),0)</f>
        <v>0.275505136417763</v>
      </c>
      <c r="U348" s="47" t="n">
        <v>1530.47</v>
      </c>
      <c r="V348" s="48" t="n">
        <v>0.8634</v>
      </c>
    </row>
    <row r="349" customFormat="false" ht="15" hidden="false" customHeight="true" outlineLevel="0" collapsed="false">
      <c r="A349" s="34" t="n">
        <v>3</v>
      </c>
      <c r="B349" s="35" t="n">
        <v>2023</v>
      </c>
      <c r="C349" s="34" t="s">
        <v>263</v>
      </c>
      <c r="D349" s="34" t="s">
        <v>172</v>
      </c>
      <c r="E349" s="36" t="s">
        <v>173</v>
      </c>
      <c r="F349" s="34" t="s">
        <v>36</v>
      </c>
      <c r="G349" s="37" t="n">
        <v>1319</v>
      </c>
      <c r="H349" s="37" t="n">
        <v>6</v>
      </c>
      <c r="I349" s="37" t="n">
        <f aca="false">IFERROR(ROUND('Data Bulanan'!CC74,0),0)</f>
        <v>40689</v>
      </c>
      <c r="J349" s="37" t="n">
        <v>2062709</v>
      </c>
      <c r="K349" s="37" t="n">
        <v>226692</v>
      </c>
      <c r="L349" s="38" t="n">
        <f aca="false">IFERROR(ROUND(SQRT(2*I349*J349/K349),0),0)</f>
        <v>861</v>
      </c>
      <c r="M349" s="39" t="n">
        <f aca="false">IFERROR(AVERAGE('Data Bulanan'!BF74,'Data Bulanan'!BH74,'Data Bulanan'!BJ74,'Data Bulanan'!BL74,'Data Bulanan'!BN74,'Data Bulanan'!BP74,'Data Bulanan'!BR74,'Data Bulanan'!BT74,'Data Bulanan'!BV74,'Data Bulanan'!BX74,'Data Bulanan'!BZ74,'Data Bulanan'!CB74),0)</f>
        <v>108.289528929852</v>
      </c>
      <c r="N349" s="40" t="n">
        <f aca="false">'Data Bulanan'!CD74</f>
        <v>24.7917157849901</v>
      </c>
      <c r="O349" s="41" t="n">
        <f aca="false">IFERROR(N349*SQRT(H349),0)</f>
        <v>60.727053521329</v>
      </c>
      <c r="P349" s="42" t="n">
        <f aca="false">IFERROR(ROUND(1.65*O349,0),0)</f>
        <v>100</v>
      </c>
      <c r="Q349" s="43" t="n">
        <f aca="false">IFERROR(ROUND(M349*H349+P349,0),0)</f>
        <v>750</v>
      </c>
      <c r="R349" s="44" t="n">
        <f aca="false">G349-Q349</f>
        <v>569</v>
      </c>
      <c r="S349" s="45" t="str">
        <f aca="false">IF(G349=0,"Stockout ⚠",IF(G349&lt;Q349,"Reorder 🔄",IF(G349&gt;Q349+L349,"Overstock 📦","Aman ✅")))</f>
        <v>Aman ✅</v>
      </c>
      <c r="T349" s="46" t="n">
        <f aca="false">IFERROR(N349/AVERAGE(M347:M351),0)</f>
        <v>0.232728607314617</v>
      </c>
      <c r="U349" s="47" t="n">
        <v>1530.47</v>
      </c>
      <c r="V349" s="48" t="n">
        <v>0.8634</v>
      </c>
    </row>
    <row r="350" customFormat="false" ht="15" hidden="false" customHeight="true" outlineLevel="0" collapsed="false">
      <c r="A350" s="34" t="n">
        <v>4</v>
      </c>
      <c r="B350" s="35" t="n">
        <v>2024</v>
      </c>
      <c r="C350" s="34" t="s">
        <v>263</v>
      </c>
      <c r="D350" s="34" t="s">
        <v>172</v>
      </c>
      <c r="E350" s="36" t="s">
        <v>173</v>
      </c>
      <c r="F350" s="34" t="s">
        <v>36</v>
      </c>
      <c r="G350" s="37" t="n">
        <v>2494</v>
      </c>
      <c r="H350" s="37" t="n">
        <v>6</v>
      </c>
      <c r="I350" s="37" t="n">
        <f aca="false">IFERROR(ROUND('Data Bulanan'!DC74,0),0)</f>
        <v>42804</v>
      </c>
      <c r="J350" s="37" t="n">
        <v>1955416</v>
      </c>
      <c r="K350" s="37" t="n">
        <v>243835</v>
      </c>
      <c r="L350" s="38" t="n">
        <f aca="false">IFERROR(ROUND(SQRT(2*I350*J350/K350),0),0)</f>
        <v>829</v>
      </c>
      <c r="M350" s="39" t="n">
        <f aca="false">IFERROR(AVERAGE('Data Bulanan'!CF74,'Data Bulanan'!CH74,'Data Bulanan'!CJ74,'Data Bulanan'!CL74,'Data Bulanan'!CN74,'Data Bulanan'!CP74,'Data Bulanan'!CR74,'Data Bulanan'!CT74,'Data Bulanan'!CV74,'Data Bulanan'!CX74,'Data Bulanan'!CZ74,'Data Bulanan'!DB74),0)</f>
        <v>113.717050691244</v>
      </c>
      <c r="N350" s="40" t="n">
        <f aca="false">'Data Bulanan'!DD74</f>
        <v>29.2880410292111</v>
      </c>
      <c r="O350" s="41" t="n">
        <f aca="false">IFERROR(N350*SQRT(H350),0)</f>
        <v>71.7407560872655</v>
      </c>
      <c r="P350" s="42" t="n">
        <f aca="false">IFERROR(ROUND(1.65*O350,0),0)</f>
        <v>118</v>
      </c>
      <c r="Q350" s="43" t="n">
        <f aca="false">IFERROR(ROUND(M350*H350+P350,0),0)</f>
        <v>800</v>
      </c>
      <c r="R350" s="44" t="n">
        <f aca="false">G350-Q350</f>
        <v>1694</v>
      </c>
      <c r="S350" s="45" t="str">
        <f aca="false">IF(G350=0,"Stockout ⚠",IF(G350&lt;Q350,"Reorder 🔄",IF(G350&gt;Q350+L350,"Overstock 📦","Aman ✅")))</f>
        <v>Overstock 📦</v>
      </c>
      <c r="T350" s="46" t="n">
        <f aca="false">IFERROR(N350/AVERAGE(M347:M351),0)</f>
        <v>0.274937203169634</v>
      </c>
      <c r="U350" s="47" t="n">
        <v>1530.47</v>
      </c>
      <c r="V350" s="48" t="n">
        <v>0.8634</v>
      </c>
    </row>
    <row r="351" customFormat="false" ht="15" hidden="false" customHeight="true" outlineLevel="0" collapsed="false">
      <c r="A351" s="34" t="n">
        <v>5</v>
      </c>
      <c r="B351" s="35" t="n">
        <v>2025</v>
      </c>
      <c r="C351" s="34" t="s">
        <v>263</v>
      </c>
      <c r="D351" s="34" t="s">
        <v>172</v>
      </c>
      <c r="E351" s="36" t="s">
        <v>173</v>
      </c>
      <c r="F351" s="34" t="s">
        <v>36</v>
      </c>
      <c r="G351" s="37" t="n">
        <v>0</v>
      </c>
      <c r="H351" s="37" t="n">
        <v>6</v>
      </c>
      <c r="I351" s="37" t="n">
        <f aca="false">IFERROR(ROUND('Data Bulanan'!EC74,0),0)</f>
        <v>41895</v>
      </c>
      <c r="J351" s="37" t="n">
        <v>1843604</v>
      </c>
      <c r="K351" s="37" t="n">
        <v>267027</v>
      </c>
      <c r="L351" s="38" t="n">
        <f aca="false">IFERROR(ROUND(SQRT(2*I351*J351/K351),0),0)</f>
        <v>761</v>
      </c>
      <c r="M351" s="39" t="n">
        <f aca="false">IFERROR(AVERAGE('Data Bulanan'!DF74,'Data Bulanan'!DH74,'Data Bulanan'!DJ74,'Data Bulanan'!DL74,'Data Bulanan'!DN74,'Data Bulanan'!DP74,'Data Bulanan'!DR74,'Data Bulanan'!DT74,'Data Bulanan'!DV74,'Data Bulanan'!DX74,'Data Bulanan'!DZ74,'Data Bulanan'!EB74),0)</f>
        <v>111.602336149514</v>
      </c>
      <c r="N351" s="40" t="n">
        <f aca="false">'Data Bulanan'!ED74</f>
        <v>14.2400219450709</v>
      </c>
      <c r="O351" s="41" t="n">
        <f aca="false">IFERROR(N351*SQRT(H351),0)</f>
        <v>34.8807876914584</v>
      </c>
      <c r="P351" s="42" t="n">
        <f aca="false">IFERROR(ROUND(1.65*O351,0),0)</f>
        <v>58</v>
      </c>
      <c r="Q351" s="43" t="n">
        <f aca="false">IFERROR(ROUND(M351*H351+P351,0),0)</f>
        <v>728</v>
      </c>
      <c r="R351" s="44" t="n">
        <f aca="false">G351-Q351</f>
        <v>-728</v>
      </c>
      <c r="S351" s="45" t="str">
        <f aca="false">IF(G351=0,"Stockout ⚠",IF(G351&lt;Q351,"Reorder 🔄",IF(G351&gt;Q351+L351,"Overstock 📦","Aman ✅")))</f>
        <v>Stockout ⚠</v>
      </c>
      <c r="T351" s="46" t="n">
        <f aca="false">IFERROR(N351/AVERAGE(M347:M351),0)</f>
        <v>0.133676124079011</v>
      </c>
      <c r="U351" s="47" t="n">
        <v>1530.47</v>
      </c>
      <c r="V351" s="48" t="n">
        <v>0.8634</v>
      </c>
    </row>
    <row r="352" customFormat="false" ht="15" hidden="false" customHeight="true" outlineLevel="0" collapsed="false">
      <c r="A352" s="49" t="n">
        <v>1</v>
      </c>
      <c r="B352" s="35" t="n">
        <v>2021</v>
      </c>
      <c r="C352" s="49" t="s">
        <v>263</v>
      </c>
      <c r="D352" s="49" t="s">
        <v>174</v>
      </c>
      <c r="E352" s="50" t="s">
        <v>175</v>
      </c>
      <c r="F352" s="49" t="s">
        <v>36</v>
      </c>
      <c r="G352" s="37" t="n">
        <v>3654</v>
      </c>
      <c r="H352" s="37" t="n">
        <v>10</v>
      </c>
      <c r="I352" s="37" t="n">
        <f aca="false">IFERROR(ROUND('Data Bulanan'!AC75,0),0)</f>
        <v>45363</v>
      </c>
      <c r="J352" s="37" t="n">
        <v>816186</v>
      </c>
      <c r="K352" s="37" t="n">
        <v>432608</v>
      </c>
      <c r="L352" s="38" t="n">
        <f aca="false">IFERROR(ROUND(SQRT(2*I352*J352/K352),0),0)</f>
        <v>414</v>
      </c>
      <c r="M352" s="39" t="n">
        <f aca="false">IFERROR(AVERAGE('Data Bulanan'!F75,'Data Bulanan'!H75,'Data Bulanan'!J75,'Data Bulanan'!L75,'Data Bulanan'!N75,'Data Bulanan'!P75,'Data Bulanan'!R75,'Data Bulanan'!T75,'Data Bulanan'!V75,'Data Bulanan'!X75,'Data Bulanan'!Z75,'Data Bulanan'!AB75),0)</f>
        <v>120.874647977471</v>
      </c>
      <c r="N352" s="40" t="n">
        <f aca="false">'Data Bulanan'!AD75</f>
        <v>32.8522054600437</v>
      </c>
      <c r="O352" s="41" t="n">
        <f aca="false">IFERROR(N352*SQRT(H352),0)</f>
        <v>103.887795413558</v>
      </c>
      <c r="P352" s="42" t="n">
        <f aca="false">IFERROR(ROUND(1.65*O352,0),0)</f>
        <v>171</v>
      </c>
      <c r="Q352" s="43" t="n">
        <f aca="false">IFERROR(ROUND(M352*H352+P352,0),0)</f>
        <v>1380</v>
      </c>
      <c r="R352" s="44" t="n">
        <f aca="false">G352-Q352</f>
        <v>2274</v>
      </c>
      <c r="S352" s="45" t="str">
        <f aca="false">IF(G352=0,"Stockout ⚠",IF(G352&lt;Q352,"Reorder 🔄",IF(G352&gt;Q352+L352,"Overstock 📦","Aman ✅")))</f>
        <v>Overstock 📦</v>
      </c>
      <c r="T352" s="46" t="n">
        <f aca="false">IFERROR(N352/AVERAGE(M352:M356),0)</f>
        <v>0.314878948715863</v>
      </c>
      <c r="U352" s="47" t="n">
        <v>-459.45</v>
      </c>
      <c r="V352" s="48" t="n">
        <v>0.0259</v>
      </c>
    </row>
    <row r="353" customFormat="false" ht="15" hidden="false" customHeight="true" outlineLevel="0" collapsed="false">
      <c r="A353" s="49" t="n">
        <v>2</v>
      </c>
      <c r="B353" s="35" t="n">
        <v>2022</v>
      </c>
      <c r="C353" s="49" t="s">
        <v>263</v>
      </c>
      <c r="D353" s="49" t="s">
        <v>174</v>
      </c>
      <c r="E353" s="50" t="s">
        <v>175</v>
      </c>
      <c r="F353" s="49" t="s">
        <v>36</v>
      </c>
      <c r="G353" s="37" t="n">
        <v>4385</v>
      </c>
      <c r="H353" s="37" t="n">
        <v>10</v>
      </c>
      <c r="I353" s="37" t="n">
        <f aca="false">IFERROR(ROUND('Data Bulanan'!BC75,0),0)</f>
        <v>32935</v>
      </c>
      <c r="J353" s="37" t="n">
        <v>858526</v>
      </c>
      <c r="K353" s="37" t="n">
        <v>382650</v>
      </c>
      <c r="L353" s="38" t="n">
        <f aca="false">IFERROR(ROUND(SQRT(2*I353*J353/K353),0),0)</f>
        <v>384</v>
      </c>
      <c r="M353" s="39" t="n">
        <f aca="false">IFERROR(AVERAGE('Data Bulanan'!AF75,'Data Bulanan'!AH75,'Data Bulanan'!AJ75,'Data Bulanan'!AL75,'Data Bulanan'!AN75,'Data Bulanan'!AP75,'Data Bulanan'!AR75,'Data Bulanan'!AT75,'Data Bulanan'!AV75,'Data Bulanan'!AX75,'Data Bulanan'!AZ75,'Data Bulanan'!BB75),0)</f>
        <v>87.9152329749104</v>
      </c>
      <c r="N353" s="40" t="n">
        <f aca="false">'Data Bulanan'!BD75</f>
        <v>26.0258451291515</v>
      </c>
      <c r="O353" s="41" t="n">
        <f aca="false">IFERROR(N353*SQRT(H353),0)</f>
        <v>82.300948638918</v>
      </c>
      <c r="P353" s="42" t="n">
        <f aca="false">IFERROR(ROUND(1.65*O353,0),0)</f>
        <v>136</v>
      </c>
      <c r="Q353" s="43" t="n">
        <f aca="false">IFERROR(ROUND(M353*H353+P353,0),0)</f>
        <v>1015</v>
      </c>
      <c r="R353" s="44" t="n">
        <f aca="false">G353-Q353</f>
        <v>3370</v>
      </c>
      <c r="S353" s="45" t="str">
        <f aca="false">IF(G353=0,"Stockout ⚠",IF(G353&lt;Q353,"Reorder 🔄",IF(G353&gt;Q353+L353,"Overstock 📦","Aman ✅")))</f>
        <v>Overstock 📦</v>
      </c>
      <c r="T353" s="46" t="n">
        <f aca="false">IFERROR(N353/AVERAGE(M352:M356),0)</f>
        <v>0.249450246610573</v>
      </c>
      <c r="U353" s="47" t="n">
        <v>-459.45</v>
      </c>
      <c r="V353" s="48" t="n">
        <v>0.0259</v>
      </c>
    </row>
    <row r="354" customFormat="false" ht="15" hidden="false" customHeight="true" outlineLevel="0" collapsed="false">
      <c r="A354" s="49" t="n">
        <v>3</v>
      </c>
      <c r="B354" s="35" t="n">
        <v>2023</v>
      </c>
      <c r="C354" s="49" t="s">
        <v>263</v>
      </c>
      <c r="D354" s="49" t="s">
        <v>174</v>
      </c>
      <c r="E354" s="50" t="s">
        <v>175</v>
      </c>
      <c r="F354" s="49" t="s">
        <v>36</v>
      </c>
      <c r="G354" s="37" t="n">
        <v>0</v>
      </c>
      <c r="H354" s="37" t="n">
        <v>10</v>
      </c>
      <c r="I354" s="37" t="n">
        <f aca="false">IFERROR(ROUND('Data Bulanan'!CC75,0),0)</f>
        <v>38994</v>
      </c>
      <c r="J354" s="37" t="n">
        <v>726122</v>
      </c>
      <c r="K354" s="37" t="n">
        <v>400539</v>
      </c>
      <c r="L354" s="38" t="n">
        <f aca="false">IFERROR(ROUND(SQRT(2*I354*J354/K354),0),0)</f>
        <v>376</v>
      </c>
      <c r="M354" s="39" t="n">
        <f aca="false">IFERROR(AVERAGE('Data Bulanan'!BF75,'Data Bulanan'!BH75,'Data Bulanan'!BJ75,'Data Bulanan'!BL75,'Data Bulanan'!BN75,'Data Bulanan'!BP75,'Data Bulanan'!BR75,'Data Bulanan'!BT75,'Data Bulanan'!BV75,'Data Bulanan'!BX75,'Data Bulanan'!BZ75,'Data Bulanan'!CB75),0)</f>
        <v>103.812192780338</v>
      </c>
      <c r="N354" s="40" t="n">
        <f aca="false">'Data Bulanan'!CD75</f>
        <v>25.5649514249465</v>
      </c>
      <c r="O354" s="41" t="n">
        <f aca="false">IFERROR(N354*SQRT(H354),0)</f>
        <v>80.8434747743982</v>
      </c>
      <c r="P354" s="42" t="n">
        <f aca="false">IFERROR(ROUND(1.65*O354,0),0)</f>
        <v>133</v>
      </c>
      <c r="Q354" s="43" t="n">
        <f aca="false">IFERROR(ROUND(M354*H354+P354,0),0)</f>
        <v>1171</v>
      </c>
      <c r="R354" s="44" t="n">
        <f aca="false">G354-Q354</f>
        <v>-1171</v>
      </c>
      <c r="S354" s="45" t="str">
        <f aca="false">IF(G354=0,"Stockout ⚠",IF(G354&lt;Q354,"Reorder 🔄",IF(G354&gt;Q354+L354,"Overstock 📦","Aman ✅")))</f>
        <v>Stockout ⚠</v>
      </c>
      <c r="T354" s="46" t="n">
        <f aca="false">IFERROR(N354/AVERAGE(M352:M356),0)</f>
        <v>0.245032712901113</v>
      </c>
      <c r="U354" s="47" t="n">
        <v>-459.45</v>
      </c>
      <c r="V354" s="48" t="n">
        <v>0.0259</v>
      </c>
    </row>
    <row r="355" customFormat="false" ht="15" hidden="false" customHeight="true" outlineLevel="0" collapsed="false">
      <c r="A355" s="49" t="n">
        <v>4</v>
      </c>
      <c r="B355" s="35" t="n">
        <v>2024</v>
      </c>
      <c r="C355" s="49" t="s">
        <v>263</v>
      </c>
      <c r="D355" s="49" t="s">
        <v>174</v>
      </c>
      <c r="E355" s="50" t="s">
        <v>175</v>
      </c>
      <c r="F355" s="49" t="s">
        <v>36</v>
      </c>
      <c r="G355" s="37" t="n">
        <v>2035</v>
      </c>
      <c r="H355" s="37" t="n">
        <v>10</v>
      </c>
      <c r="I355" s="37" t="n">
        <f aca="false">IFERROR(ROUND('Data Bulanan'!DC75,0),0)</f>
        <v>37742</v>
      </c>
      <c r="J355" s="37" t="n">
        <v>767452</v>
      </c>
      <c r="K355" s="37" t="n">
        <v>437771</v>
      </c>
      <c r="L355" s="38" t="n">
        <f aca="false">IFERROR(ROUND(SQRT(2*I355*J355/K355),0),0)</f>
        <v>364</v>
      </c>
      <c r="M355" s="39" t="n">
        <f aca="false">IFERROR(AVERAGE('Data Bulanan'!CF75,'Data Bulanan'!CH75,'Data Bulanan'!CJ75,'Data Bulanan'!CL75,'Data Bulanan'!CN75,'Data Bulanan'!CP75,'Data Bulanan'!CR75,'Data Bulanan'!CT75,'Data Bulanan'!CV75,'Data Bulanan'!CX75,'Data Bulanan'!CZ75,'Data Bulanan'!DB75),0)</f>
        <v>100.777937788018</v>
      </c>
      <c r="N355" s="40" t="n">
        <f aca="false">'Data Bulanan'!DD75</f>
        <v>22.7488179950137</v>
      </c>
      <c r="O355" s="41" t="n">
        <f aca="false">IFERROR(N355*SQRT(H355),0)</f>
        <v>71.9380789408681</v>
      </c>
      <c r="P355" s="42" t="n">
        <f aca="false">IFERROR(ROUND(1.65*O355,0),0)</f>
        <v>119</v>
      </c>
      <c r="Q355" s="43" t="n">
        <f aca="false">IFERROR(ROUND(M355*H355+P355,0),0)</f>
        <v>1127</v>
      </c>
      <c r="R355" s="44" t="n">
        <f aca="false">G355-Q355</f>
        <v>908</v>
      </c>
      <c r="S355" s="45" t="str">
        <f aca="false">IF(G355=0,"Stockout ⚠",IF(G355&lt;Q355,"Reorder 🔄",IF(G355&gt;Q355+L355,"Overstock 📦","Aman ✅")))</f>
        <v>Overstock 📦</v>
      </c>
      <c r="T355" s="46" t="n">
        <f aca="false">IFERROR(N355/AVERAGE(M352:M356),0)</f>
        <v>0.218040883237216</v>
      </c>
      <c r="U355" s="47" t="n">
        <v>-459.45</v>
      </c>
      <c r="V355" s="48" t="n">
        <v>0.0259</v>
      </c>
    </row>
    <row r="356" customFormat="false" ht="15" hidden="false" customHeight="true" outlineLevel="0" collapsed="false">
      <c r="A356" s="49" t="n">
        <v>5</v>
      </c>
      <c r="B356" s="35" t="n">
        <v>2025</v>
      </c>
      <c r="C356" s="49" t="s">
        <v>263</v>
      </c>
      <c r="D356" s="49" t="s">
        <v>174</v>
      </c>
      <c r="E356" s="50" t="s">
        <v>175</v>
      </c>
      <c r="F356" s="49" t="s">
        <v>36</v>
      </c>
      <c r="G356" s="37" t="n">
        <v>2945</v>
      </c>
      <c r="H356" s="37" t="n">
        <v>10</v>
      </c>
      <c r="I356" s="37" t="n">
        <f aca="false">IFERROR(ROUND('Data Bulanan'!EC75,0),0)</f>
        <v>40662</v>
      </c>
      <c r="J356" s="37" t="n">
        <v>783204</v>
      </c>
      <c r="K356" s="37" t="n">
        <v>408421</v>
      </c>
      <c r="L356" s="38" t="n">
        <f aca="false">IFERROR(ROUND(SQRT(2*I356*J356/K356),0),0)</f>
        <v>395</v>
      </c>
      <c r="M356" s="39" t="n">
        <f aca="false">IFERROR(AVERAGE('Data Bulanan'!DF75,'Data Bulanan'!DH75,'Data Bulanan'!DJ75,'Data Bulanan'!DL75,'Data Bulanan'!DN75,'Data Bulanan'!DP75,'Data Bulanan'!DR75,'Data Bulanan'!DT75,'Data Bulanan'!DV75,'Data Bulanan'!DX75,'Data Bulanan'!DZ75,'Data Bulanan'!EB75),0)</f>
        <v>108.284037378392</v>
      </c>
      <c r="N356" s="40" t="n">
        <f aca="false">'Data Bulanan'!ED75</f>
        <v>25.3330890560514</v>
      </c>
      <c r="O356" s="41" t="n">
        <f aca="false">IFERROR(N356*SQRT(H356),0)</f>
        <v>80.1102615850074</v>
      </c>
      <c r="P356" s="42" t="n">
        <f aca="false">IFERROR(ROUND(1.65*O356,0),0)</f>
        <v>132</v>
      </c>
      <c r="Q356" s="43" t="n">
        <f aca="false">IFERROR(ROUND(M356*H356+P356,0),0)</f>
        <v>1215</v>
      </c>
      <c r="R356" s="44" t="n">
        <f aca="false">G356-Q356</f>
        <v>1730</v>
      </c>
      <c r="S356" s="45" t="str">
        <f aca="false">IF(G356=0,"Stockout ⚠",IF(G356&lt;Q356,"Reorder 🔄",IF(G356&gt;Q356+L356,"Overstock 📦","Aman ✅")))</f>
        <v>Overstock 📦</v>
      </c>
      <c r="T356" s="46" t="n">
        <f aca="false">IFERROR(N356/AVERAGE(M352:M356),0)</f>
        <v>0.242810378724698</v>
      </c>
      <c r="U356" s="47" t="n">
        <v>-459.45</v>
      </c>
      <c r="V356" s="48" t="n">
        <v>0.0259</v>
      </c>
    </row>
    <row r="357" customFormat="false" ht="15" hidden="false" customHeight="true" outlineLevel="0" collapsed="false">
      <c r="A357" s="34" t="n">
        <v>1</v>
      </c>
      <c r="B357" s="35" t="n">
        <v>2021</v>
      </c>
      <c r="C357" s="34" t="s">
        <v>263</v>
      </c>
      <c r="D357" s="34" t="s">
        <v>176</v>
      </c>
      <c r="E357" s="36" t="s">
        <v>177</v>
      </c>
      <c r="F357" s="34" t="s">
        <v>36</v>
      </c>
      <c r="G357" s="37" t="n">
        <v>3064</v>
      </c>
      <c r="H357" s="37" t="n">
        <v>31</v>
      </c>
      <c r="I357" s="37" t="n">
        <f aca="false">IFERROR(ROUND('Data Bulanan'!AC76,0),0)</f>
        <v>52227</v>
      </c>
      <c r="J357" s="37" t="n">
        <v>5132146</v>
      </c>
      <c r="K357" s="37" t="n">
        <v>579729</v>
      </c>
      <c r="L357" s="38" t="n">
        <f aca="false">IFERROR(ROUND(SQRT(2*I357*J357/K357),0),0)</f>
        <v>962</v>
      </c>
      <c r="M357" s="39" t="n">
        <f aca="false">IFERROR(AVERAGE('Data Bulanan'!F76,'Data Bulanan'!H76,'Data Bulanan'!J76,'Data Bulanan'!L76,'Data Bulanan'!N76,'Data Bulanan'!P76,'Data Bulanan'!R76,'Data Bulanan'!T76,'Data Bulanan'!V76,'Data Bulanan'!X76,'Data Bulanan'!Z76,'Data Bulanan'!AB76),0)</f>
        <v>138.752803379416</v>
      </c>
      <c r="N357" s="40" t="n">
        <f aca="false">'Data Bulanan'!AD76</f>
        <v>29.7994877448001</v>
      </c>
      <c r="O357" s="41" t="n">
        <f aca="false">IFERROR(N357*SQRT(H357),0)</f>
        <v>165.916525896088</v>
      </c>
      <c r="P357" s="42" t="n">
        <f aca="false">IFERROR(ROUND(1.65*O357,0),0)</f>
        <v>274</v>
      </c>
      <c r="Q357" s="43" t="n">
        <f aca="false">IFERROR(ROUND(M357*H357+P357,0),0)</f>
        <v>4575</v>
      </c>
      <c r="R357" s="44" t="n">
        <f aca="false">G357-Q357</f>
        <v>-1511</v>
      </c>
      <c r="S357" s="45" t="str">
        <f aca="false">IF(G357=0,"Stockout ⚠",IF(G357&lt;Q357,"Reorder 🔄",IF(G357&gt;Q357+L357,"Overstock 📦","Aman ✅")))</f>
        <v>Reorder 🔄</v>
      </c>
      <c r="T357" s="46" t="n">
        <f aca="false">IFERROR(N357/AVERAGE(M357:M361),0)</f>
        <v>0.257363619137866</v>
      </c>
      <c r="U357" s="47" t="n">
        <v>-2748.61</v>
      </c>
      <c r="V357" s="48" t="n">
        <v>0.6962</v>
      </c>
    </row>
    <row r="358" customFormat="false" ht="15" hidden="false" customHeight="true" outlineLevel="0" collapsed="false">
      <c r="A358" s="34" t="n">
        <v>2</v>
      </c>
      <c r="B358" s="35" t="n">
        <v>2022</v>
      </c>
      <c r="C358" s="34" t="s">
        <v>263</v>
      </c>
      <c r="D358" s="34" t="s">
        <v>176</v>
      </c>
      <c r="E358" s="36" t="s">
        <v>177</v>
      </c>
      <c r="F358" s="34" t="s">
        <v>36</v>
      </c>
      <c r="G358" s="37" t="n">
        <v>0</v>
      </c>
      <c r="H358" s="37" t="n">
        <v>31</v>
      </c>
      <c r="I358" s="37" t="n">
        <f aca="false">IFERROR(ROUND('Data Bulanan'!BC76,0),0)</f>
        <v>42488</v>
      </c>
      <c r="J358" s="37" t="n">
        <v>5645420</v>
      </c>
      <c r="K358" s="37" t="n">
        <v>529461</v>
      </c>
      <c r="L358" s="38" t="n">
        <f aca="false">IFERROR(ROUND(SQRT(2*I358*J358/K358),0),0)</f>
        <v>952</v>
      </c>
      <c r="M358" s="39" t="n">
        <f aca="false">IFERROR(AVERAGE('Data Bulanan'!AF76,'Data Bulanan'!AH76,'Data Bulanan'!AJ76,'Data Bulanan'!AL76,'Data Bulanan'!AN76,'Data Bulanan'!AP76,'Data Bulanan'!AR76,'Data Bulanan'!AT76,'Data Bulanan'!AV76,'Data Bulanan'!AX76,'Data Bulanan'!AZ76,'Data Bulanan'!BB76),0)</f>
        <v>112.888600870456</v>
      </c>
      <c r="N358" s="40" t="n">
        <f aca="false">'Data Bulanan'!BD76</f>
        <v>16.5516993273937</v>
      </c>
      <c r="O358" s="41" t="n">
        <f aca="false">IFERROR(N358*SQRT(H358),0)</f>
        <v>92.1559616593402</v>
      </c>
      <c r="P358" s="42" t="n">
        <f aca="false">IFERROR(ROUND(1.65*O358,0),0)</f>
        <v>152</v>
      </c>
      <c r="Q358" s="43" t="n">
        <f aca="false">IFERROR(ROUND(M358*H358+P358,0),0)</f>
        <v>3652</v>
      </c>
      <c r="R358" s="44" t="n">
        <f aca="false">G358-Q358</f>
        <v>-3652</v>
      </c>
      <c r="S358" s="45" t="str">
        <f aca="false">IF(G358=0,"Stockout ⚠",IF(G358&lt;Q358,"Reorder 🔄",IF(G358&gt;Q358+L358,"Overstock 📦","Aman ✅")))</f>
        <v>Stockout ⚠</v>
      </c>
      <c r="T358" s="46" t="n">
        <f aca="false">IFERROR(N358/AVERAGE(M357:M361),0)</f>
        <v>0.142948941883175</v>
      </c>
      <c r="U358" s="47" t="n">
        <v>-2748.61</v>
      </c>
      <c r="V358" s="48" t="n">
        <v>0.6962</v>
      </c>
    </row>
    <row r="359" customFormat="false" ht="15" hidden="false" customHeight="true" outlineLevel="0" collapsed="false">
      <c r="A359" s="34" t="n">
        <v>3</v>
      </c>
      <c r="B359" s="35" t="n">
        <v>2023</v>
      </c>
      <c r="C359" s="34" t="s">
        <v>263</v>
      </c>
      <c r="D359" s="34" t="s">
        <v>176</v>
      </c>
      <c r="E359" s="36" t="s">
        <v>177</v>
      </c>
      <c r="F359" s="34" t="s">
        <v>36</v>
      </c>
      <c r="G359" s="37" t="n">
        <v>17675</v>
      </c>
      <c r="H359" s="37" t="n">
        <v>31</v>
      </c>
      <c r="I359" s="37" t="n">
        <f aca="false">IFERROR(ROUND('Data Bulanan'!CC76,0),0)</f>
        <v>41589</v>
      </c>
      <c r="J359" s="37" t="n">
        <v>5649488</v>
      </c>
      <c r="K359" s="37" t="n">
        <v>546951</v>
      </c>
      <c r="L359" s="38" t="n">
        <f aca="false">IFERROR(ROUND(SQRT(2*I359*J359/K359),0),0)</f>
        <v>927</v>
      </c>
      <c r="M359" s="39" t="n">
        <f aca="false">IFERROR(AVERAGE('Data Bulanan'!BF76,'Data Bulanan'!BH76,'Data Bulanan'!BJ76,'Data Bulanan'!BL76,'Data Bulanan'!BN76,'Data Bulanan'!BP76,'Data Bulanan'!BR76,'Data Bulanan'!BT76,'Data Bulanan'!BV76,'Data Bulanan'!BX76,'Data Bulanan'!BZ76,'Data Bulanan'!CB76),0)</f>
        <v>110.722004608295</v>
      </c>
      <c r="N359" s="40" t="n">
        <f aca="false">'Data Bulanan'!CD76</f>
        <v>24.1823477063097</v>
      </c>
      <c r="O359" s="41" t="n">
        <f aca="false">IFERROR(N359*SQRT(H359),0)</f>
        <v>134.641613768755</v>
      </c>
      <c r="P359" s="42" t="n">
        <f aca="false">IFERROR(ROUND(1.65*O359,0),0)</f>
        <v>222</v>
      </c>
      <c r="Q359" s="43" t="n">
        <f aca="false">IFERROR(ROUND(M359*H359+P359,0),0)</f>
        <v>3654</v>
      </c>
      <c r="R359" s="44" t="n">
        <f aca="false">G359-Q359</f>
        <v>14021</v>
      </c>
      <c r="S359" s="45" t="str">
        <f aca="false">IF(G359=0,"Stockout ⚠",IF(G359&lt;Q359,"Reorder 🔄",IF(G359&gt;Q359+L359,"Overstock 📦","Aman ✅")))</f>
        <v>Overstock 📦</v>
      </c>
      <c r="T359" s="46" t="n">
        <f aca="false">IFERROR(N359/AVERAGE(M357:M361),0)</f>
        <v>0.208851124497338</v>
      </c>
      <c r="U359" s="47" t="n">
        <v>-2748.61</v>
      </c>
      <c r="V359" s="48" t="n">
        <v>0.6962</v>
      </c>
    </row>
    <row r="360" customFormat="false" ht="15" hidden="false" customHeight="true" outlineLevel="0" collapsed="false">
      <c r="A360" s="34" t="n">
        <v>4</v>
      </c>
      <c r="B360" s="35" t="n">
        <v>2024</v>
      </c>
      <c r="C360" s="34" t="s">
        <v>263</v>
      </c>
      <c r="D360" s="34" t="s">
        <v>176</v>
      </c>
      <c r="E360" s="36" t="s">
        <v>177</v>
      </c>
      <c r="F360" s="34" t="s">
        <v>36</v>
      </c>
      <c r="G360" s="37" t="n">
        <v>5369</v>
      </c>
      <c r="H360" s="37" t="n">
        <v>31</v>
      </c>
      <c r="I360" s="37" t="n">
        <f aca="false">IFERROR(ROUND('Data Bulanan'!DC76,0),0)</f>
        <v>42911</v>
      </c>
      <c r="J360" s="37" t="n">
        <v>5636791</v>
      </c>
      <c r="K360" s="37" t="n">
        <v>574220</v>
      </c>
      <c r="L360" s="38" t="n">
        <f aca="false">IFERROR(ROUND(SQRT(2*I360*J360/K360),0),0)</f>
        <v>918</v>
      </c>
      <c r="M360" s="39" t="n">
        <f aca="false">IFERROR(AVERAGE('Data Bulanan'!CF76,'Data Bulanan'!CH76,'Data Bulanan'!CJ76,'Data Bulanan'!CL76,'Data Bulanan'!CN76,'Data Bulanan'!CP76,'Data Bulanan'!CR76,'Data Bulanan'!CT76,'Data Bulanan'!CV76,'Data Bulanan'!CX76,'Data Bulanan'!CZ76,'Data Bulanan'!DB76),0)</f>
        <v>114.465636200717</v>
      </c>
      <c r="N360" s="40" t="n">
        <f aca="false">'Data Bulanan'!DD76</f>
        <v>24.655458073664</v>
      </c>
      <c r="O360" s="41" t="n">
        <f aca="false">IFERROR(N360*SQRT(H360),0)</f>
        <v>137.275780811796</v>
      </c>
      <c r="P360" s="42" t="n">
        <f aca="false">IFERROR(ROUND(1.65*O360,0),0)</f>
        <v>227</v>
      </c>
      <c r="Q360" s="43" t="n">
        <f aca="false">IFERROR(ROUND(M360*H360+P360,0),0)</f>
        <v>3775</v>
      </c>
      <c r="R360" s="44" t="n">
        <f aca="false">G360-Q360</f>
        <v>1594</v>
      </c>
      <c r="S360" s="45" t="str">
        <f aca="false">IF(G360=0,"Stockout ⚠",IF(G360&lt;Q360,"Reorder 🔄",IF(G360&gt;Q360+L360,"Overstock 📦","Aman ✅")))</f>
        <v>Overstock 📦</v>
      </c>
      <c r="T360" s="46" t="n">
        <f aca="false">IFERROR(N360/AVERAGE(M357:M361),0)</f>
        <v>0.212937147634269</v>
      </c>
      <c r="U360" s="47" t="n">
        <v>-2748.61</v>
      </c>
      <c r="V360" s="48" t="n">
        <v>0.6962</v>
      </c>
    </row>
    <row r="361" customFormat="false" ht="15" hidden="false" customHeight="true" outlineLevel="0" collapsed="false">
      <c r="A361" s="34" t="n">
        <v>5</v>
      </c>
      <c r="B361" s="35" t="n">
        <v>2025</v>
      </c>
      <c r="C361" s="34" t="s">
        <v>263</v>
      </c>
      <c r="D361" s="34" t="s">
        <v>176</v>
      </c>
      <c r="E361" s="36" t="s">
        <v>177</v>
      </c>
      <c r="F361" s="34" t="s">
        <v>36</v>
      </c>
      <c r="G361" s="37" t="n">
        <v>9537</v>
      </c>
      <c r="H361" s="37" t="n">
        <v>31</v>
      </c>
      <c r="I361" s="37" t="n">
        <f aca="false">IFERROR(ROUND('Data Bulanan'!EC76,0),0)</f>
        <v>38272</v>
      </c>
      <c r="J361" s="37" t="n">
        <v>5600494</v>
      </c>
      <c r="K361" s="37" t="n">
        <v>509806</v>
      </c>
      <c r="L361" s="38" t="n">
        <f aca="false">IFERROR(ROUND(SQRT(2*I361*J361/K361),0),0)</f>
        <v>917</v>
      </c>
      <c r="M361" s="39" t="n">
        <f aca="false">IFERROR(AVERAGE('Data Bulanan'!DF76,'Data Bulanan'!DH76,'Data Bulanan'!DJ76,'Data Bulanan'!DL76,'Data Bulanan'!DN76,'Data Bulanan'!DP76,'Data Bulanan'!DR76,'Data Bulanan'!DT76,'Data Bulanan'!DV76,'Data Bulanan'!DX76,'Data Bulanan'!DZ76,'Data Bulanan'!EB76),0)</f>
        <v>102.108410138249</v>
      </c>
      <c r="N361" s="40" t="n">
        <f aca="false">'Data Bulanan'!ED76</f>
        <v>21.8640471445724</v>
      </c>
      <c r="O361" s="41" t="n">
        <f aca="false">IFERROR(N361*SQRT(H361),0)</f>
        <v>121.733862518786</v>
      </c>
      <c r="P361" s="42" t="n">
        <f aca="false">IFERROR(ROUND(1.65*O361,0),0)</f>
        <v>201</v>
      </c>
      <c r="Q361" s="43" t="n">
        <f aca="false">IFERROR(ROUND(M361*H361+P361,0),0)</f>
        <v>3366</v>
      </c>
      <c r="R361" s="44" t="n">
        <f aca="false">G361-Q361</f>
        <v>6171</v>
      </c>
      <c r="S361" s="45" t="str">
        <f aca="false">IF(G361=0,"Stockout ⚠",IF(G361&lt;Q361,"Reorder 🔄",IF(G361&gt;Q361+L361,"Overstock 📦","Aman ✅")))</f>
        <v>Overstock 📦</v>
      </c>
      <c r="T361" s="46" t="n">
        <f aca="false">IFERROR(N361/AVERAGE(M357:M361),0)</f>
        <v>0.188829094993755</v>
      </c>
      <c r="U361" s="47" t="n">
        <v>-2748.61</v>
      </c>
      <c r="V361" s="48" t="n">
        <v>0.6962</v>
      </c>
    </row>
    <row r="362" customFormat="false" ht="15" hidden="false" customHeight="true" outlineLevel="0" collapsed="false">
      <c r="A362" s="49" t="n">
        <v>1</v>
      </c>
      <c r="B362" s="35" t="n">
        <v>2021</v>
      </c>
      <c r="C362" s="49" t="s">
        <v>263</v>
      </c>
      <c r="D362" s="49" t="s">
        <v>178</v>
      </c>
      <c r="E362" s="50" t="s">
        <v>179</v>
      </c>
      <c r="F362" s="49" t="s">
        <v>36</v>
      </c>
      <c r="G362" s="37" t="n">
        <v>10423</v>
      </c>
      <c r="H362" s="37" t="n">
        <v>44</v>
      </c>
      <c r="I362" s="37" t="n">
        <f aca="false">IFERROR(ROUND('Data Bulanan'!AC77,0),0)</f>
        <v>26989</v>
      </c>
      <c r="J362" s="37" t="n">
        <v>10941704</v>
      </c>
      <c r="K362" s="37" t="n">
        <v>82742</v>
      </c>
      <c r="L362" s="38" t="n">
        <f aca="false">IFERROR(ROUND(SQRT(2*I362*J362/K362),0),0)</f>
        <v>2672</v>
      </c>
      <c r="M362" s="39" t="n">
        <f aca="false">IFERROR(AVERAGE('Data Bulanan'!F77,'Data Bulanan'!H77,'Data Bulanan'!J77,'Data Bulanan'!L77,'Data Bulanan'!N77,'Data Bulanan'!P77,'Data Bulanan'!R77,'Data Bulanan'!T77,'Data Bulanan'!V77,'Data Bulanan'!X77,'Data Bulanan'!Z77,'Data Bulanan'!AB77),0)</f>
        <v>71.8131656426011</v>
      </c>
      <c r="N362" s="40" t="n">
        <f aca="false">'Data Bulanan'!AD77</f>
        <v>18.2092631249378</v>
      </c>
      <c r="O362" s="41" t="n">
        <f aca="false">IFERROR(N362*SQRT(H362),0)</f>
        <v>120.786586988546</v>
      </c>
      <c r="P362" s="42" t="n">
        <f aca="false">IFERROR(ROUND(1.65*O362,0),0)</f>
        <v>199</v>
      </c>
      <c r="Q362" s="43" t="n">
        <f aca="false">IFERROR(ROUND(M362*H362+P362,0),0)</f>
        <v>3359</v>
      </c>
      <c r="R362" s="44" t="n">
        <f aca="false">G362-Q362</f>
        <v>7064</v>
      </c>
      <c r="S362" s="45" t="str">
        <f aca="false">IF(G362=0,"Stockout ⚠",IF(G362&lt;Q362,"Reorder 🔄",IF(G362&gt;Q362+L362,"Overstock 📦","Aman ✅")))</f>
        <v>Overstock 📦</v>
      </c>
      <c r="T362" s="46" t="n">
        <f aca="false">IFERROR(N362/AVERAGE(M362:M366),0)</f>
        <v>0.227813073229289</v>
      </c>
      <c r="U362" s="47" t="n">
        <v>609.55</v>
      </c>
      <c r="V362" s="48" t="n">
        <v>0.1321</v>
      </c>
    </row>
    <row r="363" customFormat="false" ht="15" hidden="false" customHeight="true" outlineLevel="0" collapsed="false">
      <c r="A363" s="49" t="n">
        <v>2</v>
      </c>
      <c r="B363" s="35" t="n">
        <v>2022</v>
      </c>
      <c r="C363" s="49" t="s">
        <v>263</v>
      </c>
      <c r="D363" s="49" t="s">
        <v>178</v>
      </c>
      <c r="E363" s="50" t="s">
        <v>179</v>
      </c>
      <c r="F363" s="49" t="s">
        <v>36</v>
      </c>
      <c r="G363" s="37" t="n">
        <v>25794</v>
      </c>
      <c r="H363" s="37" t="n">
        <v>44</v>
      </c>
      <c r="I363" s="37" t="n">
        <f aca="false">IFERROR(ROUND('Data Bulanan'!BC77,0),0)</f>
        <v>31664</v>
      </c>
      <c r="J363" s="37" t="n">
        <v>11835298</v>
      </c>
      <c r="K363" s="37" t="n">
        <v>84952</v>
      </c>
      <c r="L363" s="38" t="n">
        <f aca="false">IFERROR(ROUND(SQRT(2*I363*J363/K363),0),0)</f>
        <v>2970</v>
      </c>
      <c r="M363" s="39" t="n">
        <f aca="false">IFERROR(AVERAGE('Data Bulanan'!AF77,'Data Bulanan'!AH77,'Data Bulanan'!AJ77,'Data Bulanan'!AL77,'Data Bulanan'!AN77,'Data Bulanan'!AP77,'Data Bulanan'!AR77,'Data Bulanan'!AT77,'Data Bulanan'!AV77,'Data Bulanan'!AX77,'Data Bulanan'!AZ77,'Data Bulanan'!BB77),0)</f>
        <v>84.3879096262161</v>
      </c>
      <c r="N363" s="40" t="n">
        <f aca="false">'Data Bulanan'!BD77</f>
        <v>18.0862477982712</v>
      </c>
      <c r="O363" s="41" t="n">
        <f aca="false">IFERROR(N363*SQRT(H363),0)</f>
        <v>119.970595624514</v>
      </c>
      <c r="P363" s="42" t="n">
        <f aca="false">IFERROR(ROUND(1.65*O363,0),0)</f>
        <v>198</v>
      </c>
      <c r="Q363" s="43" t="n">
        <f aca="false">IFERROR(ROUND(M363*H363+P363,0),0)</f>
        <v>3911</v>
      </c>
      <c r="R363" s="44" t="n">
        <f aca="false">G363-Q363</f>
        <v>21883</v>
      </c>
      <c r="S363" s="45" t="str">
        <f aca="false">IF(G363=0,"Stockout ⚠",IF(G363&lt;Q363,"Reorder 🔄",IF(G363&gt;Q363+L363,"Overstock 📦","Aman ✅")))</f>
        <v>Overstock 📦</v>
      </c>
      <c r="T363" s="46" t="n">
        <f aca="false">IFERROR(N363/AVERAGE(M362:M366),0)</f>
        <v>0.226274048864055</v>
      </c>
      <c r="U363" s="47" t="n">
        <v>609.55</v>
      </c>
      <c r="V363" s="48" t="n">
        <v>0.1321</v>
      </c>
    </row>
    <row r="364" customFormat="false" ht="15" hidden="false" customHeight="true" outlineLevel="0" collapsed="false">
      <c r="A364" s="49" t="n">
        <v>3</v>
      </c>
      <c r="B364" s="35" t="n">
        <v>2023</v>
      </c>
      <c r="C364" s="49" t="s">
        <v>263</v>
      </c>
      <c r="D364" s="49" t="s">
        <v>178</v>
      </c>
      <c r="E364" s="50" t="s">
        <v>179</v>
      </c>
      <c r="F364" s="49" t="s">
        <v>36</v>
      </c>
      <c r="G364" s="37" t="n">
        <v>10927</v>
      </c>
      <c r="H364" s="37" t="n">
        <v>44</v>
      </c>
      <c r="I364" s="37" t="n">
        <f aca="false">IFERROR(ROUND('Data Bulanan'!CC77,0),0)</f>
        <v>32063</v>
      </c>
      <c r="J364" s="37" t="n">
        <v>10073316</v>
      </c>
      <c r="K364" s="37" t="n">
        <v>85857</v>
      </c>
      <c r="L364" s="38" t="n">
        <f aca="false">IFERROR(ROUND(SQRT(2*I364*J364/K364),0),0)</f>
        <v>2743</v>
      </c>
      <c r="M364" s="39" t="n">
        <f aca="false">IFERROR(AVERAGE('Data Bulanan'!BF77,'Data Bulanan'!BH77,'Data Bulanan'!BJ77,'Data Bulanan'!BL77,'Data Bulanan'!BN77,'Data Bulanan'!BP77,'Data Bulanan'!BR77,'Data Bulanan'!BT77,'Data Bulanan'!BV77,'Data Bulanan'!BX77,'Data Bulanan'!BZ77,'Data Bulanan'!CB77),0)</f>
        <v>85.22226062468</v>
      </c>
      <c r="N364" s="40" t="n">
        <f aca="false">'Data Bulanan'!CD77</f>
        <v>16.0603198761457</v>
      </c>
      <c r="O364" s="41" t="n">
        <f aca="false">IFERROR(N364*SQRT(H364),0)</f>
        <v>106.532110084525</v>
      </c>
      <c r="P364" s="42" t="n">
        <f aca="false">IFERROR(ROUND(1.65*O364,0),0)</f>
        <v>176</v>
      </c>
      <c r="Q364" s="43" t="n">
        <f aca="false">IFERROR(ROUND(M364*H364+P364,0),0)</f>
        <v>3926</v>
      </c>
      <c r="R364" s="44" t="n">
        <f aca="false">G364-Q364</f>
        <v>7001</v>
      </c>
      <c r="S364" s="45" t="str">
        <f aca="false">IF(G364=0,"Stockout ⚠",IF(G364&lt;Q364,"Reorder 🔄",IF(G364&gt;Q364+L364,"Overstock 📦","Aman ✅")))</f>
        <v>Overstock 📦</v>
      </c>
      <c r="T364" s="46" t="n">
        <f aca="false">IFERROR(N364/AVERAGE(M362:M366),0)</f>
        <v>0.200928000376879</v>
      </c>
      <c r="U364" s="47" t="n">
        <v>609.55</v>
      </c>
      <c r="V364" s="48" t="n">
        <v>0.1321</v>
      </c>
    </row>
    <row r="365" customFormat="false" ht="15" hidden="false" customHeight="true" outlineLevel="0" collapsed="false">
      <c r="A365" s="49" t="n">
        <v>4</v>
      </c>
      <c r="B365" s="35" t="n">
        <v>2024</v>
      </c>
      <c r="C365" s="49" t="s">
        <v>263</v>
      </c>
      <c r="D365" s="49" t="s">
        <v>178</v>
      </c>
      <c r="E365" s="50" t="s">
        <v>179</v>
      </c>
      <c r="F365" s="49" t="s">
        <v>36</v>
      </c>
      <c r="G365" s="37" t="n">
        <v>0</v>
      </c>
      <c r="H365" s="37" t="n">
        <v>44</v>
      </c>
      <c r="I365" s="37" t="n">
        <f aca="false">IFERROR(ROUND('Data Bulanan'!DC77,0),0)</f>
        <v>27321</v>
      </c>
      <c r="J365" s="37" t="n">
        <v>11041403</v>
      </c>
      <c r="K365" s="37" t="n">
        <v>88231</v>
      </c>
      <c r="L365" s="38" t="n">
        <f aca="false">IFERROR(ROUND(SQRT(2*I365*J365/K365),0),0)</f>
        <v>2615</v>
      </c>
      <c r="M365" s="39" t="n">
        <f aca="false">IFERROR(AVERAGE('Data Bulanan'!CF77,'Data Bulanan'!CH77,'Data Bulanan'!CJ77,'Data Bulanan'!CL77,'Data Bulanan'!CN77,'Data Bulanan'!CP77,'Data Bulanan'!CR77,'Data Bulanan'!CT77,'Data Bulanan'!CV77,'Data Bulanan'!CX77,'Data Bulanan'!CZ77,'Data Bulanan'!DB77),0)</f>
        <v>72.5242831541219</v>
      </c>
      <c r="N365" s="40" t="n">
        <f aca="false">'Data Bulanan'!DD77</f>
        <v>21.7297138800861</v>
      </c>
      <c r="O365" s="41" t="n">
        <f aca="false">IFERROR(N365*SQRT(H365),0)</f>
        <v>144.138615484047</v>
      </c>
      <c r="P365" s="42" t="n">
        <f aca="false">IFERROR(ROUND(1.65*O365,0),0)</f>
        <v>238</v>
      </c>
      <c r="Q365" s="43" t="n">
        <f aca="false">IFERROR(ROUND(M365*H365+P365,0),0)</f>
        <v>3429</v>
      </c>
      <c r="R365" s="44" t="n">
        <f aca="false">G365-Q365</f>
        <v>-3429</v>
      </c>
      <c r="S365" s="45" t="str">
        <f aca="false">IF(G365=0,"Stockout ⚠",IF(G365&lt;Q365,"Reorder 🔄",IF(G365&gt;Q365+L365,"Overstock 📦","Aman ✅")))</f>
        <v>Stockout ⚠</v>
      </c>
      <c r="T365" s="46" t="n">
        <f aca="false">IFERROR(N365/AVERAGE(M362:M366),0)</f>
        <v>0.27185684920089</v>
      </c>
      <c r="U365" s="47" t="n">
        <v>609.55</v>
      </c>
      <c r="V365" s="48" t="n">
        <v>0.1321</v>
      </c>
    </row>
    <row r="366" customFormat="false" ht="15" hidden="false" customHeight="true" outlineLevel="0" collapsed="false">
      <c r="A366" s="49" t="n">
        <v>5</v>
      </c>
      <c r="B366" s="35" t="n">
        <v>2025</v>
      </c>
      <c r="C366" s="49" t="s">
        <v>263</v>
      </c>
      <c r="D366" s="49" t="s">
        <v>178</v>
      </c>
      <c r="E366" s="50" t="s">
        <v>179</v>
      </c>
      <c r="F366" s="49" t="s">
        <v>36</v>
      </c>
      <c r="G366" s="37" t="n">
        <v>4505</v>
      </c>
      <c r="H366" s="37" t="n">
        <v>44</v>
      </c>
      <c r="I366" s="37" t="n">
        <f aca="false">IFERROR(ROUND('Data Bulanan'!EC77,0),0)</f>
        <v>32209</v>
      </c>
      <c r="J366" s="37" t="n">
        <v>9832876</v>
      </c>
      <c r="K366" s="37" t="n">
        <v>81045</v>
      </c>
      <c r="L366" s="38" t="n">
        <f aca="false">IFERROR(ROUND(SQRT(2*I366*J366/K366),0),0)</f>
        <v>2796</v>
      </c>
      <c r="M366" s="39" t="n">
        <f aca="false">IFERROR(AVERAGE('Data Bulanan'!DF77,'Data Bulanan'!DH77,'Data Bulanan'!DJ77,'Data Bulanan'!DL77,'Data Bulanan'!DN77,'Data Bulanan'!DP77,'Data Bulanan'!DR77,'Data Bulanan'!DT77,'Data Bulanan'!DV77,'Data Bulanan'!DX77,'Data Bulanan'!DZ77,'Data Bulanan'!EB77),0)</f>
        <v>85.7059843830005</v>
      </c>
      <c r="N366" s="40" t="n">
        <f aca="false">'Data Bulanan'!ED77</f>
        <v>22.0232589158483</v>
      </c>
      <c r="O366" s="41" t="n">
        <f aca="false">IFERROR(N366*SQRT(H366),0)</f>
        <v>146.085772969436</v>
      </c>
      <c r="P366" s="42" t="n">
        <f aca="false">IFERROR(ROUND(1.65*O366,0),0)</f>
        <v>241</v>
      </c>
      <c r="Q366" s="43" t="n">
        <f aca="false">IFERROR(ROUND(M366*H366+P366,0),0)</f>
        <v>4012</v>
      </c>
      <c r="R366" s="44" t="n">
        <f aca="false">G366-Q366</f>
        <v>493</v>
      </c>
      <c r="S366" s="45" t="str">
        <f aca="false">IF(G366=0,"Stockout ⚠",IF(G366&lt;Q366,"Reorder 🔄",IF(G366&gt;Q366+L366,"Overstock 📦","Aman ✅")))</f>
        <v>Aman ✅</v>
      </c>
      <c r="T366" s="46" t="n">
        <f aca="false">IFERROR(N366/AVERAGE(M362:M366),0)</f>
        <v>0.275529342495614</v>
      </c>
      <c r="U366" s="47" t="n">
        <v>609.55</v>
      </c>
      <c r="V366" s="48" t="n">
        <v>0.1321</v>
      </c>
    </row>
    <row r="367" customFormat="false" ht="15" hidden="false" customHeight="true" outlineLevel="0" collapsed="false">
      <c r="A367" s="34" t="n">
        <v>1</v>
      </c>
      <c r="B367" s="35" t="n">
        <v>2021</v>
      </c>
      <c r="C367" s="34" t="s">
        <v>264</v>
      </c>
      <c r="D367" s="34" t="s">
        <v>180</v>
      </c>
      <c r="E367" s="36" t="s">
        <v>181</v>
      </c>
      <c r="F367" s="34" t="s">
        <v>36</v>
      </c>
      <c r="G367" s="37" t="n">
        <v>0</v>
      </c>
      <c r="H367" s="37" t="n">
        <v>35</v>
      </c>
      <c r="I367" s="37" t="n">
        <f aca="false">IFERROR(ROUND('Data Bulanan'!AC78,0),0)</f>
        <v>35347</v>
      </c>
      <c r="J367" s="37" t="n">
        <v>6162279</v>
      </c>
      <c r="K367" s="37" t="n">
        <v>440980</v>
      </c>
      <c r="L367" s="38" t="n">
        <f aca="false">IFERROR(ROUND(SQRT(2*I367*J367/K367),0),0)</f>
        <v>994</v>
      </c>
      <c r="M367" s="39" t="n">
        <f aca="false">IFERROR(AVERAGE('Data Bulanan'!F78,'Data Bulanan'!H78,'Data Bulanan'!J78,'Data Bulanan'!L78,'Data Bulanan'!N78,'Data Bulanan'!P78,'Data Bulanan'!R78,'Data Bulanan'!T78,'Data Bulanan'!V78,'Data Bulanan'!X78,'Data Bulanan'!Z78,'Data Bulanan'!AB78),0)</f>
        <v>94.2166026625704</v>
      </c>
      <c r="N367" s="40" t="n">
        <f aca="false">'Data Bulanan'!AD78</f>
        <v>23.414936707371</v>
      </c>
      <c r="O367" s="41" t="n">
        <f aca="false">IFERROR(N367*SQRT(H367),0)</f>
        <v>138.524633677034</v>
      </c>
      <c r="P367" s="42" t="n">
        <f aca="false">IFERROR(ROUND(1.65*O367,0),0)</f>
        <v>229</v>
      </c>
      <c r="Q367" s="43" t="n">
        <f aca="false">IFERROR(ROUND(M367*H367+P367,0),0)</f>
        <v>3527</v>
      </c>
      <c r="R367" s="44" t="n">
        <f aca="false">G367-Q367</f>
        <v>-3527</v>
      </c>
      <c r="S367" s="45" t="str">
        <f aca="false">IF(G367=0,"Stockout ⚠",IF(G367&lt;Q367,"Reorder 🔄",IF(G367&gt;Q367+L367,"Overstock 📦","Aman ✅")))</f>
        <v>Stockout ⚠</v>
      </c>
      <c r="T367" s="46" t="n">
        <f aca="false">IFERROR(N367/AVERAGE(M367:M371),0)</f>
        <v>0.219531234073634</v>
      </c>
      <c r="U367" s="47" t="n">
        <v>1338.17</v>
      </c>
      <c r="V367" s="48" t="n">
        <v>0.1252</v>
      </c>
    </row>
    <row r="368" customFormat="false" ht="15" hidden="false" customHeight="true" outlineLevel="0" collapsed="false">
      <c r="A368" s="34" t="n">
        <v>2</v>
      </c>
      <c r="B368" s="35" t="n">
        <v>2022</v>
      </c>
      <c r="C368" s="34" t="s">
        <v>264</v>
      </c>
      <c r="D368" s="34" t="s">
        <v>180</v>
      </c>
      <c r="E368" s="36" t="s">
        <v>181</v>
      </c>
      <c r="F368" s="34" t="s">
        <v>36</v>
      </c>
      <c r="G368" s="37" t="n">
        <v>7770</v>
      </c>
      <c r="H368" s="37" t="n">
        <v>35</v>
      </c>
      <c r="I368" s="37" t="n">
        <f aca="false">IFERROR(ROUND('Data Bulanan'!BC78,0),0)</f>
        <v>34946</v>
      </c>
      <c r="J368" s="37" t="n">
        <v>6137304</v>
      </c>
      <c r="K368" s="37" t="n">
        <v>476034</v>
      </c>
      <c r="L368" s="38" t="n">
        <f aca="false">IFERROR(ROUND(SQRT(2*I368*J368/K368),0),0)</f>
        <v>949</v>
      </c>
      <c r="M368" s="39" t="n">
        <f aca="false">IFERROR(AVERAGE('Data Bulanan'!AF78,'Data Bulanan'!AH78,'Data Bulanan'!AJ78,'Data Bulanan'!AL78,'Data Bulanan'!AN78,'Data Bulanan'!AP78,'Data Bulanan'!AR78,'Data Bulanan'!AT78,'Data Bulanan'!AV78,'Data Bulanan'!AX78,'Data Bulanan'!AZ78,'Data Bulanan'!BB78),0)</f>
        <v>93.1336213517665</v>
      </c>
      <c r="N368" s="40" t="n">
        <f aca="false">'Data Bulanan'!BD78</f>
        <v>16.7914212251424</v>
      </c>
      <c r="O368" s="41" t="n">
        <f aca="false">IFERROR(N368*SQRT(H368),0)</f>
        <v>99.3393876395749</v>
      </c>
      <c r="P368" s="42" t="n">
        <f aca="false">IFERROR(ROUND(1.65*O368,0),0)</f>
        <v>164</v>
      </c>
      <c r="Q368" s="43" t="n">
        <f aca="false">IFERROR(ROUND(M368*H368+P368,0),0)</f>
        <v>3424</v>
      </c>
      <c r="R368" s="44" t="n">
        <f aca="false">G368-Q368</f>
        <v>4346</v>
      </c>
      <c r="S368" s="45" t="str">
        <f aca="false">IF(G368=0,"Stockout ⚠",IF(G368&lt;Q368,"Reorder 🔄",IF(G368&gt;Q368+L368,"Overstock 📦","Aman ✅")))</f>
        <v>Overstock 📦</v>
      </c>
      <c r="T368" s="46" t="n">
        <f aca="false">IFERROR(N368/AVERAGE(M367:M371),0)</f>
        <v>0.157431193151391</v>
      </c>
      <c r="U368" s="47" t="n">
        <v>1338.17</v>
      </c>
      <c r="V368" s="48" t="n">
        <v>0.1252</v>
      </c>
    </row>
    <row r="369" customFormat="false" ht="15" hidden="false" customHeight="true" outlineLevel="0" collapsed="false">
      <c r="A369" s="34" t="n">
        <v>3</v>
      </c>
      <c r="B369" s="35" t="n">
        <v>2023</v>
      </c>
      <c r="C369" s="34" t="s">
        <v>264</v>
      </c>
      <c r="D369" s="34" t="s">
        <v>180</v>
      </c>
      <c r="E369" s="36" t="s">
        <v>181</v>
      </c>
      <c r="F369" s="34" t="s">
        <v>36</v>
      </c>
      <c r="G369" s="37" t="n">
        <v>5259</v>
      </c>
      <c r="H369" s="37" t="n">
        <v>35</v>
      </c>
      <c r="I369" s="37" t="n">
        <f aca="false">IFERROR(ROUND('Data Bulanan'!CC78,0),0)</f>
        <v>47399</v>
      </c>
      <c r="J369" s="37" t="n">
        <v>5064860</v>
      </c>
      <c r="K369" s="37" t="n">
        <v>405440</v>
      </c>
      <c r="L369" s="38" t="n">
        <f aca="false">IFERROR(ROUND(SQRT(2*I369*J369/K369),0),0)</f>
        <v>1088</v>
      </c>
      <c r="M369" s="39" t="n">
        <f aca="false">IFERROR(AVERAGE('Data Bulanan'!BF78,'Data Bulanan'!BH78,'Data Bulanan'!BJ78,'Data Bulanan'!BL78,'Data Bulanan'!BN78,'Data Bulanan'!BP78,'Data Bulanan'!BR78,'Data Bulanan'!BT78,'Data Bulanan'!BV78,'Data Bulanan'!BX78,'Data Bulanan'!BZ78,'Data Bulanan'!CB78),0)</f>
        <v>126.446530977983</v>
      </c>
      <c r="N369" s="40" t="n">
        <f aca="false">'Data Bulanan'!CD78</f>
        <v>32.6958579515961</v>
      </c>
      <c r="O369" s="41" t="n">
        <f aca="false">IFERROR(N369*SQRT(H369),0)</f>
        <v>193.431304218534</v>
      </c>
      <c r="P369" s="42" t="n">
        <f aca="false">IFERROR(ROUND(1.65*O369,0),0)</f>
        <v>319</v>
      </c>
      <c r="Q369" s="43" t="n">
        <f aca="false">IFERROR(ROUND(M369*H369+P369,0),0)</f>
        <v>4745</v>
      </c>
      <c r="R369" s="44" t="n">
        <f aca="false">G369-Q369</f>
        <v>514</v>
      </c>
      <c r="S369" s="45" t="str">
        <f aca="false">IF(G369=0,"Stockout ⚠",IF(G369&lt;Q369,"Reorder 🔄",IF(G369&gt;Q369+L369,"Overstock 📦","Aman ✅")))</f>
        <v>Aman ✅</v>
      </c>
      <c r="T369" s="46" t="n">
        <f aca="false">IFERROR(N369/AVERAGE(M367:M371),0)</f>
        <v>0.306546292860599</v>
      </c>
      <c r="U369" s="47" t="n">
        <v>1338.17</v>
      </c>
      <c r="V369" s="48" t="n">
        <v>0.1252</v>
      </c>
    </row>
    <row r="370" customFormat="false" ht="15" hidden="false" customHeight="true" outlineLevel="0" collapsed="false">
      <c r="A370" s="34" t="n">
        <v>4</v>
      </c>
      <c r="B370" s="35" t="n">
        <v>2024</v>
      </c>
      <c r="C370" s="34" t="s">
        <v>264</v>
      </c>
      <c r="D370" s="34" t="s">
        <v>180</v>
      </c>
      <c r="E370" s="36" t="s">
        <v>181</v>
      </c>
      <c r="F370" s="34" t="s">
        <v>36</v>
      </c>
      <c r="G370" s="37" t="n">
        <v>9759</v>
      </c>
      <c r="H370" s="37" t="n">
        <v>35</v>
      </c>
      <c r="I370" s="37" t="n">
        <f aca="false">IFERROR(ROUND('Data Bulanan'!DC78,0),0)</f>
        <v>45523</v>
      </c>
      <c r="J370" s="37" t="n">
        <v>5576778</v>
      </c>
      <c r="K370" s="37" t="n">
        <v>487686</v>
      </c>
      <c r="L370" s="38" t="n">
        <f aca="false">IFERROR(ROUND(SQRT(2*I370*J370/K370),0),0)</f>
        <v>1020</v>
      </c>
      <c r="M370" s="39" t="n">
        <f aca="false">IFERROR(AVERAGE('Data Bulanan'!CF78,'Data Bulanan'!CH78,'Data Bulanan'!CJ78,'Data Bulanan'!CL78,'Data Bulanan'!CN78,'Data Bulanan'!CP78,'Data Bulanan'!CR78,'Data Bulanan'!CT78,'Data Bulanan'!CV78,'Data Bulanan'!CX78,'Data Bulanan'!CZ78,'Data Bulanan'!DB78),0)</f>
        <v>121.495142089094</v>
      </c>
      <c r="N370" s="40" t="n">
        <f aca="false">'Data Bulanan'!DD78</f>
        <v>32.720229453822</v>
      </c>
      <c r="O370" s="41" t="n">
        <f aca="false">IFERROR(N370*SQRT(H370),0)</f>
        <v>193.575487970137</v>
      </c>
      <c r="P370" s="42" t="n">
        <f aca="false">IFERROR(ROUND(1.65*O370,0),0)</f>
        <v>319</v>
      </c>
      <c r="Q370" s="43" t="n">
        <f aca="false">IFERROR(ROUND(M370*H370+P370,0),0)</f>
        <v>4571</v>
      </c>
      <c r="R370" s="44" t="n">
        <f aca="false">G370-Q370</f>
        <v>5188</v>
      </c>
      <c r="S370" s="45" t="str">
        <f aca="false">IF(G370=0,"Stockout ⚠",IF(G370&lt;Q370,"Reorder 🔄",IF(G370&gt;Q370+L370,"Overstock 📦","Aman ✅")))</f>
        <v>Overstock 📦</v>
      </c>
      <c r="T370" s="46" t="n">
        <f aca="false">IFERROR(N370/AVERAGE(M367:M371),0)</f>
        <v>0.306774792558323</v>
      </c>
      <c r="U370" s="47" t="n">
        <v>1338.17</v>
      </c>
      <c r="V370" s="48" t="n">
        <v>0.1252</v>
      </c>
    </row>
    <row r="371" customFormat="false" ht="15" hidden="false" customHeight="true" outlineLevel="0" collapsed="false">
      <c r="A371" s="34" t="n">
        <v>5</v>
      </c>
      <c r="B371" s="35" t="n">
        <v>2025</v>
      </c>
      <c r="C371" s="34" t="s">
        <v>264</v>
      </c>
      <c r="D371" s="34" t="s">
        <v>180</v>
      </c>
      <c r="E371" s="36" t="s">
        <v>181</v>
      </c>
      <c r="F371" s="34" t="s">
        <v>36</v>
      </c>
      <c r="G371" s="37" t="n">
        <v>18576</v>
      </c>
      <c r="H371" s="37" t="n">
        <v>35</v>
      </c>
      <c r="I371" s="37" t="n">
        <f aca="false">IFERROR(ROUND('Data Bulanan'!EC78,0),0)</f>
        <v>36750</v>
      </c>
      <c r="J371" s="37" t="n">
        <v>5192534</v>
      </c>
      <c r="K371" s="37" t="n">
        <v>410477</v>
      </c>
      <c r="L371" s="38" t="n">
        <f aca="false">IFERROR(ROUND(SQRT(2*I371*J371/K371),0),0)</f>
        <v>964</v>
      </c>
      <c r="M371" s="39" t="n">
        <f aca="false">IFERROR(AVERAGE('Data Bulanan'!DF78,'Data Bulanan'!DH78,'Data Bulanan'!DJ78,'Data Bulanan'!DL78,'Data Bulanan'!DN78,'Data Bulanan'!DP78,'Data Bulanan'!DR78,'Data Bulanan'!DT78,'Data Bulanan'!DV78,'Data Bulanan'!DX78,'Data Bulanan'!DZ78,'Data Bulanan'!EB78),0)</f>
        <v>98.0020737327189</v>
      </c>
      <c r="N371" s="40" t="n">
        <f aca="false">'Data Bulanan'!ED78</f>
        <v>21.6768076764868</v>
      </c>
      <c r="O371" s="41" t="n">
        <f aca="false">IFERROR(N371*SQRT(H371),0)</f>
        <v>128.241723657002</v>
      </c>
      <c r="P371" s="42" t="n">
        <f aca="false">IFERROR(ROUND(1.65*O371,0),0)</f>
        <v>212</v>
      </c>
      <c r="Q371" s="43" t="n">
        <f aca="false">IFERROR(ROUND(M371*H371+P371,0),0)</f>
        <v>3642</v>
      </c>
      <c r="R371" s="44" t="n">
        <f aca="false">G371-Q371</f>
        <v>14934</v>
      </c>
      <c r="S371" s="45" t="str">
        <f aca="false">IF(G371=0,"Stockout ⚠",IF(G371&lt;Q371,"Reorder 🔄",IF(G371&gt;Q371+L371,"Overstock 📦","Aman ✅")))</f>
        <v>Overstock 📦</v>
      </c>
      <c r="T371" s="46" t="n">
        <f aca="false">IFERROR(N371/AVERAGE(M367:M371),0)</f>
        <v>0.203235071675334</v>
      </c>
      <c r="U371" s="47" t="n">
        <v>1338.17</v>
      </c>
      <c r="V371" s="48" t="n">
        <v>0.1252</v>
      </c>
    </row>
    <row r="372" customFormat="false" ht="15" hidden="false" customHeight="true" outlineLevel="0" collapsed="false">
      <c r="A372" s="49" t="n">
        <v>1</v>
      </c>
      <c r="B372" s="35" t="n">
        <v>2021</v>
      </c>
      <c r="C372" s="49" t="s">
        <v>264</v>
      </c>
      <c r="D372" s="49" t="s">
        <v>182</v>
      </c>
      <c r="E372" s="50" t="s">
        <v>183</v>
      </c>
      <c r="F372" s="49" t="s">
        <v>36</v>
      </c>
      <c r="G372" s="37" t="n">
        <v>19343</v>
      </c>
      <c r="H372" s="37" t="n">
        <v>32</v>
      </c>
      <c r="I372" s="37" t="n">
        <f aca="false">IFERROR(ROUND('Data Bulanan'!AC79,0),0)</f>
        <v>42606</v>
      </c>
      <c r="J372" s="37" t="n">
        <v>8826369</v>
      </c>
      <c r="K372" s="37" t="n">
        <v>145058</v>
      </c>
      <c r="L372" s="38" t="n">
        <f aca="false">IFERROR(ROUND(SQRT(2*I372*J372/K372),0),0)</f>
        <v>2277</v>
      </c>
      <c r="M372" s="39" t="n">
        <f aca="false">IFERROR(AVERAGE('Data Bulanan'!F79,'Data Bulanan'!H79,'Data Bulanan'!J79,'Data Bulanan'!L79,'Data Bulanan'!N79,'Data Bulanan'!P79,'Data Bulanan'!R79,'Data Bulanan'!T79,'Data Bulanan'!V79,'Data Bulanan'!X79,'Data Bulanan'!Z79,'Data Bulanan'!AB79),0)</f>
        <v>113.488997695853</v>
      </c>
      <c r="N372" s="40" t="n">
        <f aca="false">'Data Bulanan'!AD79</f>
        <v>27.2351088923862</v>
      </c>
      <c r="O372" s="41" t="n">
        <f aca="false">IFERROR(N372*SQRT(H372),0)</f>
        <v>154.065041473283</v>
      </c>
      <c r="P372" s="42" t="n">
        <f aca="false">IFERROR(ROUND(1.65*O372,0),0)</f>
        <v>254</v>
      </c>
      <c r="Q372" s="43" t="n">
        <f aca="false">IFERROR(ROUND(M372*H372+P372,0),0)</f>
        <v>3886</v>
      </c>
      <c r="R372" s="44" t="n">
        <f aca="false">G372-Q372</f>
        <v>15457</v>
      </c>
      <c r="S372" s="45" t="str">
        <f aca="false">IF(G372=0,"Stockout ⚠",IF(G372&lt;Q372,"Reorder 🔄",IF(G372&gt;Q372+L372,"Overstock 📦","Aman ✅")))</f>
        <v>Overstock 📦</v>
      </c>
      <c r="T372" s="46" t="n">
        <f aca="false">IFERROR(N372/AVERAGE(M372:M376),0)</f>
        <v>0.260304176960232</v>
      </c>
      <c r="U372" s="47" t="n">
        <v>-1297.31</v>
      </c>
      <c r="V372" s="48" t="n">
        <v>0.2826</v>
      </c>
    </row>
    <row r="373" customFormat="false" ht="15" hidden="false" customHeight="true" outlineLevel="0" collapsed="false">
      <c r="A373" s="49" t="n">
        <v>2</v>
      </c>
      <c r="B373" s="35" t="n">
        <v>2022</v>
      </c>
      <c r="C373" s="49" t="s">
        <v>264</v>
      </c>
      <c r="D373" s="49" t="s">
        <v>182</v>
      </c>
      <c r="E373" s="50" t="s">
        <v>183</v>
      </c>
      <c r="F373" s="49" t="s">
        <v>36</v>
      </c>
      <c r="G373" s="37" t="n">
        <v>0</v>
      </c>
      <c r="H373" s="37" t="n">
        <v>32</v>
      </c>
      <c r="I373" s="37" t="n">
        <f aca="false">IFERROR(ROUND('Data Bulanan'!BC79,0),0)</f>
        <v>36795</v>
      </c>
      <c r="J373" s="37" t="n">
        <v>8464719</v>
      </c>
      <c r="K373" s="37" t="n">
        <v>135160</v>
      </c>
      <c r="L373" s="38" t="n">
        <f aca="false">IFERROR(ROUND(SQRT(2*I373*J373/K373),0),0)</f>
        <v>2147</v>
      </c>
      <c r="M373" s="39" t="n">
        <f aca="false">IFERROR(AVERAGE('Data Bulanan'!AF79,'Data Bulanan'!AH79,'Data Bulanan'!AJ79,'Data Bulanan'!AL79,'Data Bulanan'!AN79,'Data Bulanan'!AP79,'Data Bulanan'!AR79,'Data Bulanan'!AT79,'Data Bulanan'!AV79,'Data Bulanan'!AX79,'Data Bulanan'!AZ79,'Data Bulanan'!BB79),0)</f>
        <v>98.0594790066564</v>
      </c>
      <c r="N373" s="40" t="n">
        <f aca="false">'Data Bulanan'!BD79</f>
        <v>21.3778138100019</v>
      </c>
      <c r="O373" s="41" t="n">
        <f aca="false">IFERROR(N373*SQRT(H373),0)</f>
        <v>120.931176895966</v>
      </c>
      <c r="P373" s="42" t="n">
        <f aca="false">IFERROR(ROUND(1.65*O373,0),0)</f>
        <v>200</v>
      </c>
      <c r="Q373" s="43" t="n">
        <f aca="false">IFERROR(ROUND(M373*H373+P373,0),0)</f>
        <v>3338</v>
      </c>
      <c r="R373" s="44" t="n">
        <f aca="false">G373-Q373</f>
        <v>-3338</v>
      </c>
      <c r="S373" s="45" t="str">
        <f aca="false">IF(G373=0,"Stockout ⚠",IF(G373&lt;Q373,"Reorder 🔄",IF(G373&gt;Q373+L373,"Overstock 📦","Aman ✅")))</f>
        <v>Stockout ⚠</v>
      </c>
      <c r="T373" s="46" t="n">
        <f aca="false">IFERROR(N373/AVERAGE(M372:M376),0)</f>
        <v>0.204322084813742</v>
      </c>
      <c r="U373" s="47" t="n">
        <v>-1297.31</v>
      </c>
      <c r="V373" s="48" t="n">
        <v>0.2826</v>
      </c>
    </row>
    <row r="374" customFormat="false" ht="15" hidden="false" customHeight="true" outlineLevel="0" collapsed="false">
      <c r="A374" s="49" t="n">
        <v>3</v>
      </c>
      <c r="B374" s="35" t="n">
        <v>2023</v>
      </c>
      <c r="C374" s="49" t="s">
        <v>264</v>
      </c>
      <c r="D374" s="49" t="s">
        <v>182</v>
      </c>
      <c r="E374" s="50" t="s">
        <v>183</v>
      </c>
      <c r="F374" s="49" t="s">
        <v>36</v>
      </c>
      <c r="G374" s="37" t="n">
        <v>24428</v>
      </c>
      <c r="H374" s="37" t="n">
        <v>32</v>
      </c>
      <c r="I374" s="37" t="n">
        <f aca="false">IFERROR(ROUND('Data Bulanan'!CC79,0),0)</f>
        <v>41401</v>
      </c>
      <c r="J374" s="37" t="n">
        <v>8684958</v>
      </c>
      <c r="K374" s="37" t="n">
        <v>134259</v>
      </c>
      <c r="L374" s="38" t="n">
        <f aca="false">IFERROR(ROUND(SQRT(2*I374*J374/K374),0),0)</f>
        <v>2314</v>
      </c>
      <c r="M374" s="39" t="n">
        <f aca="false">IFERROR(AVERAGE('Data Bulanan'!BF79,'Data Bulanan'!BH79,'Data Bulanan'!BJ79,'Data Bulanan'!BL79,'Data Bulanan'!BN79,'Data Bulanan'!BP79,'Data Bulanan'!BR79,'Data Bulanan'!BT79,'Data Bulanan'!BV79,'Data Bulanan'!BX79,'Data Bulanan'!BZ79,'Data Bulanan'!CB79),0)</f>
        <v>110.563376856119</v>
      </c>
      <c r="N374" s="40" t="n">
        <f aca="false">'Data Bulanan'!CD79</f>
        <v>30.8283290594795</v>
      </c>
      <c r="O374" s="41" t="n">
        <f aca="false">IFERROR(N374*SQRT(H374),0)</f>
        <v>174.391364244866</v>
      </c>
      <c r="P374" s="42" t="n">
        <f aca="false">IFERROR(ROUND(1.65*O374,0),0)</f>
        <v>288</v>
      </c>
      <c r="Q374" s="43" t="n">
        <f aca="false">IFERROR(ROUND(M374*H374+P374,0),0)</f>
        <v>3826</v>
      </c>
      <c r="R374" s="44" t="n">
        <f aca="false">G374-Q374</f>
        <v>20602</v>
      </c>
      <c r="S374" s="45" t="str">
        <f aca="false">IF(G374=0,"Stockout ⚠",IF(G374&lt;Q374,"Reorder 🔄",IF(G374&gt;Q374+L374,"Overstock 📦","Aman ✅")))</f>
        <v>Overstock 📦</v>
      </c>
      <c r="T374" s="46" t="n">
        <f aca="false">IFERROR(N374/AVERAGE(M372:M376),0)</f>
        <v>0.294646988730433</v>
      </c>
      <c r="U374" s="47" t="n">
        <v>-1297.31</v>
      </c>
      <c r="V374" s="48" t="n">
        <v>0.2826</v>
      </c>
    </row>
    <row r="375" customFormat="false" ht="15" hidden="false" customHeight="true" outlineLevel="0" collapsed="false">
      <c r="A375" s="49" t="n">
        <v>4</v>
      </c>
      <c r="B375" s="35" t="n">
        <v>2024</v>
      </c>
      <c r="C375" s="49" t="s">
        <v>264</v>
      </c>
      <c r="D375" s="49" t="s">
        <v>182</v>
      </c>
      <c r="E375" s="50" t="s">
        <v>183</v>
      </c>
      <c r="F375" s="49" t="s">
        <v>36</v>
      </c>
      <c r="G375" s="37" t="n">
        <v>10651</v>
      </c>
      <c r="H375" s="37" t="n">
        <v>32</v>
      </c>
      <c r="I375" s="37" t="n">
        <f aca="false">IFERROR(ROUND('Data Bulanan'!DC79,0),0)</f>
        <v>41744</v>
      </c>
      <c r="J375" s="37" t="n">
        <v>9113221</v>
      </c>
      <c r="K375" s="37" t="n">
        <v>131438</v>
      </c>
      <c r="L375" s="38" t="n">
        <f aca="false">IFERROR(ROUND(SQRT(2*I375*J375/K375),0),0)</f>
        <v>2406</v>
      </c>
      <c r="M375" s="39" t="n">
        <f aca="false">IFERROR(AVERAGE('Data Bulanan'!CF79,'Data Bulanan'!CH79,'Data Bulanan'!CJ79,'Data Bulanan'!CL79,'Data Bulanan'!CN79,'Data Bulanan'!CP79,'Data Bulanan'!CR79,'Data Bulanan'!CT79,'Data Bulanan'!CV79,'Data Bulanan'!CX79,'Data Bulanan'!CZ79,'Data Bulanan'!DB79),0)</f>
        <v>111.170276497696</v>
      </c>
      <c r="N375" s="40" t="n">
        <f aca="false">'Data Bulanan'!DD79</f>
        <v>25.3566727806897</v>
      </c>
      <c r="O375" s="41" t="n">
        <f aca="false">IFERROR(N375*SQRT(H375),0)</f>
        <v>143.439002172433</v>
      </c>
      <c r="P375" s="42" t="n">
        <f aca="false">IFERROR(ROUND(1.65*O375,0),0)</f>
        <v>237</v>
      </c>
      <c r="Q375" s="43" t="n">
        <f aca="false">IFERROR(ROUND(M375*H375+P375,0),0)</f>
        <v>3794</v>
      </c>
      <c r="R375" s="44" t="n">
        <f aca="false">G375-Q375</f>
        <v>6857</v>
      </c>
      <c r="S375" s="45" t="str">
        <f aca="false">IF(G375=0,"Stockout ⚠",IF(G375&lt;Q375,"Reorder 🔄",IF(G375&gt;Q375+L375,"Overstock 📦","Aman ✅")))</f>
        <v>Overstock 📦</v>
      </c>
      <c r="T375" s="46" t="n">
        <f aca="false">IFERROR(N375/AVERAGE(M372:M376),0)</f>
        <v>0.242350704919435</v>
      </c>
      <c r="U375" s="47" t="n">
        <v>-1297.31</v>
      </c>
      <c r="V375" s="48" t="n">
        <v>0.2826</v>
      </c>
    </row>
    <row r="376" customFormat="false" ht="15" hidden="false" customHeight="true" outlineLevel="0" collapsed="false">
      <c r="A376" s="49" t="n">
        <v>5</v>
      </c>
      <c r="B376" s="35" t="n">
        <v>2025</v>
      </c>
      <c r="C376" s="49" t="s">
        <v>264</v>
      </c>
      <c r="D376" s="49" t="s">
        <v>182</v>
      </c>
      <c r="E376" s="50" t="s">
        <v>183</v>
      </c>
      <c r="F376" s="49" t="s">
        <v>36</v>
      </c>
      <c r="G376" s="37" t="n">
        <v>10389</v>
      </c>
      <c r="H376" s="37" t="n">
        <v>32</v>
      </c>
      <c r="I376" s="37" t="n">
        <f aca="false">IFERROR(ROUND('Data Bulanan'!EC79,0),0)</f>
        <v>33645</v>
      </c>
      <c r="J376" s="37" t="n">
        <v>9797791</v>
      </c>
      <c r="K376" s="37" t="n">
        <v>145881</v>
      </c>
      <c r="L376" s="38" t="n">
        <f aca="false">IFERROR(ROUND(SQRT(2*I376*J376/K376),0),0)</f>
        <v>2126</v>
      </c>
      <c r="M376" s="39" t="n">
        <f aca="false">IFERROR(AVERAGE('Data Bulanan'!DF79,'Data Bulanan'!DH79,'Data Bulanan'!DJ79,'Data Bulanan'!DL79,'Data Bulanan'!DN79,'Data Bulanan'!DP79,'Data Bulanan'!DR79,'Data Bulanan'!DT79,'Data Bulanan'!DV79,'Data Bulanan'!DX79,'Data Bulanan'!DZ79,'Data Bulanan'!EB79),0)</f>
        <v>89.8579365079365</v>
      </c>
      <c r="N376" s="40" t="n">
        <f aca="false">'Data Bulanan'!ED79</f>
        <v>21.2728581925228</v>
      </c>
      <c r="O376" s="41" t="n">
        <f aca="false">IFERROR(N376*SQRT(H376),0)</f>
        <v>120.337458265221</v>
      </c>
      <c r="P376" s="42" t="n">
        <f aca="false">IFERROR(ROUND(1.65*O376,0),0)</f>
        <v>199</v>
      </c>
      <c r="Q376" s="43" t="n">
        <f aca="false">IFERROR(ROUND(M376*H376+P376,0),0)</f>
        <v>3074</v>
      </c>
      <c r="R376" s="44" t="n">
        <f aca="false">G376-Q376</f>
        <v>7315</v>
      </c>
      <c r="S376" s="45" t="str">
        <f aca="false">IF(G376=0,"Stockout ⚠",IF(G376&lt;Q376,"Reorder 🔄",IF(G376&gt;Q376+L376,"Overstock 📦","Aman ✅")))</f>
        <v>Overstock 📦</v>
      </c>
      <c r="T376" s="46" t="n">
        <f aca="false">IFERROR(N376/AVERAGE(M372:M376),0)</f>
        <v>0.203318953681305</v>
      </c>
      <c r="U376" s="47" t="n">
        <v>-1297.31</v>
      </c>
      <c r="V376" s="48" t="n">
        <v>0.2826</v>
      </c>
    </row>
    <row r="377" customFormat="false" ht="15" hidden="false" customHeight="true" outlineLevel="0" collapsed="false">
      <c r="A377" s="34" t="n">
        <v>1</v>
      </c>
      <c r="B377" s="35" t="n">
        <v>2021</v>
      </c>
      <c r="C377" s="34" t="s">
        <v>264</v>
      </c>
      <c r="D377" s="34" t="s">
        <v>184</v>
      </c>
      <c r="E377" s="36" t="s">
        <v>185</v>
      </c>
      <c r="F377" s="34" t="s">
        <v>36</v>
      </c>
      <c r="G377" s="37" t="n">
        <v>10945</v>
      </c>
      <c r="H377" s="37" t="n">
        <v>34</v>
      </c>
      <c r="I377" s="37" t="n">
        <f aca="false">IFERROR(ROUND('Data Bulanan'!AC80,0),0)</f>
        <v>41034</v>
      </c>
      <c r="J377" s="37" t="n">
        <v>9073518</v>
      </c>
      <c r="K377" s="37" t="n">
        <v>385685</v>
      </c>
      <c r="L377" s="38" t="n">
        <f aca="false">IFERROR(ROUND(SQRT(2*I377*J377/K377),0),0)</f>
        <v>1389</v>
      </c>
      <c r="M377" s="39" t="n">
        <f aca="false">IFERROR(AVERAGE('Data Bulanan'!F80,'Data Bulanan'!H80,'Data Bulanan'!J80,'Data Bulanan'!L80,'Data Bulanan'!N80,'Data Bulanan'!P80,'Data Bulanan'!R80,'Data Bulanan'!T80,'Data Bulanan'!V80,'Data Bulanan'!X80,'Data Bulanan'!Z80,'Data Bulanan'!AB80),0)</f>
        <v>109.631061187916</v>
      </c>
      <c r="N377" s="40" t="n">
        <f aca="false">'Data Bulanan'!AD80</f>
        <v>33.2953304338106</v>
      </c>
      <c r="O377" s="41" t="n">
        <f aca="false">IFERROR(N377*SQRT(H377),0)</f>
        <v>194.143470082528</v>
      </c>
      <c r="P377" s="42" t="n">
        <f aca="false">IFERROR(ROUND(1.65*O377,0),0)</f>
        <v>320</v>
      </c>
      <c r="Q377" s="43" t="n">
        <f aca="false">IFERROR(ROUND(M377*H377+P377,0),0)</f>
        <v>4047</v>
      </c>
      <c r="R377" s="44" t="n">
        <f aca="false">G377-Q377</f>
        <v>6898</v>
      </c>
      <c r="S377" s="45" t="str">
        <f aca="false">IF(G377=0,"Stockout ⚠",IF(G377&lt;Q377,"Reorder 🔄",IF(G377&gt;Q377+L377,"Overstock 📦","Aman ✅")))</f>
        <v>Overstock 📦</v>
      </c>
      <c r="T377" s="46" t="n">
        <f aca="false">IFERROR(N377/AVERAGE(M377:M381),0)</f>
        <v>0.305071667463873</v>
      </c>
      <c r="U377" s="47" t="n">
        <v>-292.83</v>
      </c>
      <c r="V377" s="48" t="n">
        <v>0.0323</v>
      </c>
    </row>
    <row r="378" customFormat="false" ht="15" hidden="false" customHeight="true" outlineLevel="0" collapsed="false">
      <c r="A378" s="34" t="n">
        <v>2</v>
      </c>
      <c r="B378" s="35" t="n">
        <v>2022</v>
      </c>
      <c r="C378" s="34" t="s">
        <v>264</v>
      </c>
      <c r="D378" s="34" t="s">
        <v>184</v>
      </c>
      <c r="E378" s="36" t="s">
        <v>185</v>
      </c>
      <c r="F378" s="34" t="s">
        <v>36</v>
      </c>
      <c r="G378" s="37" t="n">
        <v>6895</v>
      </c>
      <c r="H378" s="37" t="n">
        <v>34</v>
      </c>
      <c r="I378" s="37" t="n">
        <f aca="false">IFERROR(ROUND('Data Bulanan'!BC80,0),0)</f>
        <v>42382</v>
      </c>
      <c r="J378" s="37" t="n">
        <v>9496067</v>
      </c>
      <c r="K378" s="37" t="n">
        <v>370591</v>
      </c>
      <c r="L378" s="38" t="n">
        <f aca="false">IFERROR(ROUND(SQRT(2*I378*J378/K378),0),0)</f>
        <v>1474</v>
      </c>
      <c r="M378" s="39" t="n">
        <f aca="false">IFERROR(AVERAGE('Data Bulanan'!AF80,'Data Bulanan'!AH80,'Data Bulanan'!AJ80,'Data Bulanan'!AL80,'Data Bulanan'!AN80,'Data Bulanan'!AP80,'Data Bulanan'!AR80,'Data Bulanan'!AT80,'Data Bulanan'!AV80,'Data Bulanan'!AX80,'Data Bulanan'!AZ80,'Data Bulanan'!BB80),0)</f>
        <v>113.165322580645</v>
      </c>
      <c r="N378" s="40" t="n">
        <f aca="false">'Data Bulanan'!BD80</f>
        <v>32.1951196670972</v>
      </c>
      <c r="O378" s="41" t="n">
        <f aca="false">IFERROR(N378*SQRT(H378),0)</f>
        <v>187.728194027632</v>
      </c>
      <c r="P378" s="42" t="n">
        <f aca="false">IFERROR(ROUND(1.65*O378,0),0)</f>
        <v>310</v>
      </c>
      <c r="Q378" s="43" t="n">
        <f aca="false">IFERROR(ROUND(M378*H378+P378,0),0)</f>
        <v>4158</v>
      </c>
      <c r="R378" s="44" t="n">
        <f aca="false">G378-Q378</f>
        <v>2737</v>
      </c>
      <c r="S378" s="45" t="str">
        <f aca="false">IF(G378=0,"Stockout ⚠",IF(G378&lt;Q378,"Reorder 🔄",IF(G378&gt;Q378+L378,"Overstock 📦","Aman ✅")))</f>
        <v>Overstock 📦</v>
      </c>
      <c r="T378" s="46" t="n">
        <f aca="false">IFERROR(N378/AVERAGE(M377:M381),0)</f>
        <v>0.294990880494955</v>
      </c>
      <c r="U378" s="47" t="n">
        <v>-292.83</v>
      </c>
      <c r="V378" s="48" t="n">
        <v>0.0323</v>
      </c>
    </row>
    <row r="379" customFormat="false" ht="15" hidden="false" customHeight="true" outlineLevel="0" collapsed="false">
      <c r="A379" s="34" t="n">
        <v>3</v>
      </c>
      <c r="B379" s="35" t="n">
        <v>2023</v>
      </c>
      <c r="C379" s="34" t="s">
        <v>264</v>
      </c>
      <c r="D379" s="34" t="s">
        <v>184</v>
      </c>
      <c r="E379" s="36" t="s">
        <v>185</v>
      </c>
      <c r="F379" s="34" t="s">
        <v>36</v>
      </c>
      <c r="G379" s="37" t="n">
        <v>2780</v>
      </c>
      <c r="H379" s="37" t="n">
        <v>34</v>
      </c>
      <c r="I379" s="37" t="n">
        <f aca="false">IFERROR(ROUND('Data Bulanan'!CC80,0),0)</f>
        <v>38242</v>
      </c>
      <c r="J379" s="37" t="n">
        <v>8967054</v>
      </c>
      <c r="K379" s="37" t="n">
        <v>368909</v>
      </c>
      <c r="L379" s="38" t="n">
        <f aca="false">IFERROR(ROUND(SQRT(2*I379*J379/K379),0),0)</f>
        <v>1363</v>
      </c>
      <c r="M379" s="39" t="n">
        <f aca="false">IFERROR(AVERAGE('Data Bulanan'!BF80,'Data Bulanan'!BH80,'Data Bulanan'!BJ80,'Data Bulanan'!BL80,'Data Bulanan'!BN80,'Data Bulanan'!BP80,'Data Bulanan'!BR80,'Data Bulanan'!BT80,'Data Bulanan'!BV80,'Data Bulanan'!BX80,'Data Bulanan'!BZ80,'Data Bulanan'!CB80),0)</f>
        <v>101.790162570405</v>
      </c>
      <c r="N379" s="40" t="n">
        <f aca="false">'Data Bulanan'!CD80</f>
        <v>25.1634773619203</v>
      </c>
      <c r="O379" s="41" t="n">
        <f aca="false">IFERROR(N379*SQRT(H379),0)</f>
        <v>146.727026004386</v>
      </c>
      <c r="P379" s="42" t="n">
        <f aca="false">IFERROR(ROUND(1.65*O379,0),0)</f>
        <v>242</v>
      </c>
      <c r="Q379" s="43" t="n">
        <f aca="false">IFERROR(ROUND(M379*H379+P379,0),0)</f>
        <v>3703</v>
      </c>
      <c r="R379" s="44" t="n">
        <f aca="false">G379-Q379</f>
        <v>-923</v>
      </c>
      <c r="S379" s="45" t="str">
        <f aca="false">IF(G379=0,"Stockout ⚠",IF(G379&lt;Q379,"Reorder 🔄",IF(G379&gt;Q379+L379,"Overstock 📦","Aman ✅")))</f>
        <v>Reorder 🔄</v>
      </c>
      <c r="T379" s="46" t="n">
        <f aca="false">IFERROR(N379/AVERAGE(M377:M381),0)</f>
        <v>0.23056278156636</v>
      </c>
      <c r="U379" s="47" t="n">
        <v>-292.83</v>
      </c>
      <c r="V379" s="48" t="n">
        <v>0.0323</v>
      </c>
    </row>
    <row r="380" customFormat="false" ht="15" hidden="false" customHeight="true" outlineLevel="0" collapsed="false">
      <c r="A380" s="34" t="n">
        <v>4</v>
      </c>
      <c r="B380" s="35" t="n">
        <v>2024</v>
      </c>
      <c r="C380" s="34" t="s">
        <v>264</v>
      </c>
      <c r="D380" s="34" t="s">
        <v>184</v>
      </c>
      <c r="E380" s="36" t="s">
        <v>185</v>
      </c>
      <c r="F380" s="34" t="s">
        <v>36</v>
      </c>
      <c r="G380" s="37" t="n">
        <v>8298</v>
      </c>
      <c r="H380" s="37" t="n">
        <v>34</v>
      </c>
      <c r="I380" s="37" t="n">
        <f aca="false">IFERROR(ROUND('Data Bulanan'!DC80,0),0)</f>
        <v>44351</v>
      </c>
      <c r="J380" s="37" t="n">
        <v>8675703</v>
      </c>
      <c r="K380" s="37" t="n">
        <v>364578</v>
      </c>
      <c r="L380" s="38" t="n">
        <f aca="false">IFERROR(ROUND(SQRT(2*I380*J380/K380),0),0)</f>
        <v>1453</v>
      </c>
      <c r="M380" s="39" t="n">
        <f aca="false">IFERROR(AVERAGE('Data Bulanan'!CF80,'Data Bulanan'!CH80,'Data Bulanan'!CJ80,'Data Bulanan'!CL80,'Data Bulanan'!CN80,'Data Bulanan'!CP80,'Data Bulanan'!CR80,'Data Bulanan'!CT80,'Data Bulanan'!CV80,'Data Bulanan'!CX80,'Data Bulanan'!CZ80,'Data Bulanan'!DB80),0)</f>
        <v>118.051414490527</v>
      </c>
      <c r="N380" s="40" t="n">
        <f aca="false">'Data Bulanan'!DD80</f>
        <v>24.1634411306757</v>
      </c>
      <c r="O380" s="41" t="n">
        <f aca="false">IFERROR(N380*SQRT(H380),0)</f>
        <v>140.895862846896</v>
      </c>
      <c r="P380" s="42" t="n">
        <f aca="false">IFERROR(ROUND(1.65*O380,0),0)</f>
        <v>232</v>
      </c>
      <c r="Q380" s="43" t="n">
        <f aca="false">IFERROR(ROUND(M380*H380+P380,0),0)</f>
        <v>4246</v>
      </c>
      <c r="R380" s="44" t="n">
        <f aca="false">G380-Q380</f>
        <v>4052</v>
      </c>
      <c r="S380" s="45" t="str">
        <f aca="false">IF(G380=0,"Stockout ⚠",IF(G380&lt;Q380,"Reorder 🔄",IF(G380&gt;Q380+L380,"Overstock 📦","Aman ✅")))</f>
        <v>Overstock 📦</v>
      </c>
      <c r="T380" s="46" t="n">
        <f aca="false">IFERROR(N380/AVERAGE(M377:M381),0)</f>
        <v>0.221399853413519</v>
      </c>
      <c r="U380" s="47" t="n">
        <v>-292.83</v>
      </c>
      <c r="V380" s="48" t="n">
        <v>0.0323</v>
      </c>
    </row>
    <row r="381" customFormat="false" ht="15" hidden="false" customHeight="true" outlineLevel="0" collapsed="false">
      <c r="A381" s="34" t="n">
        <v>5</v>
      </c>
      <c r="B381" s="35" t="n">
        <v>2025</v>
      </c>
      <c r="C381" s="34" t="s">
        <v>264</v>
      </c>
      <c r="D381" s="34" t="s">
        <v>184</v>
      </c>
      <c r="E381" s="36" t="s">
        <v>185</v>
      </c>
      <c r="F381" s="34" t="s">
        <v>36</v>
      </c>
      <c r="G381" s="37" t="n">
        <v>10848</v>
      </c>
      <c r="H381" s="37" t="n">
        <v>34</v>
      </c>
      <c r="I381" s="37" t="n">
        <f aca="false">IFERROR(ROUND('Data Bulanan'!EC80,0),0)</f>
        <v>38585</v>
      </c>
      <c r="J381" s="37" t="n">
        <v>9028309</v>
      </c>
      <c r="K381" s="37" t="n">
        <v>347121</v>
      </c>
      <c r="L381" s="38" t="n">
        <f aca="false">IFERROR(ROUND(SQRT(2*I381*J381/K381),0),0)</f>
        <v>1417</v>
      </c>
      <c r="M381" s="39" t="n">
        <f aca="false">IFERROR(AVERAGE('Data Bulanan'!DF80,'Data Bulanan'!DH80,'Data Bulanan'!DJ80,'Data Bulanan'!DL80,'Data Bulanan'!DN80,'Data Bulanan'!DP80,'Data Bulanan'!DR80,'Data Bulanan'!DT80,'Data Bulanan'!DV80,'Data Bulanan'!DX80,'Data Bulanan'!DZ80,'Data Bulanan'!EB80),0)</f>
        <v>103.05890296979</v>
      </c>
      <c r="N381" s="40" t="n">
        <f aca="false">'Data Bulanan'!ED80</f>
        <v>27.7990336999517</v>
      </c>
      <c r="O381" s="41" t="n">
        <f aca="false">IFERROR(N381*SQRT(H381),0)</f>
        <v>162.094828227602</v>
      </c>
      <c r="P381" s="42" t="n">
        <f aca="false">IFERROR(ROUND(1.65*O381,0),0)</f>
        <v>267</v>
      </c>
      <c r="Q381" s="43" t="n">
        <f aca="false">IFERROR(ROUND(M381*H381+P381,0),0)</f>
        <v>3771</v>
      </c>
      <c r="R381" s="44" t="n">
        <f aca="false">G381-Q381</f>
        <v>7077</v>
      </c>
      <c r="S381" s="45" t="str">
        <f aca="false">IF(G381=0,"Stockout ⚠",IF(G381&lt;Q381,"Reorder 🔄",IF(G381&gt;Q381+L381,"Overstock 📦","Aman ✅")))</f>
        <v>Overstock 📦</v>
      </c>
      <c r="T381" s="46" t="n">
        <f aca="false">IFERROR(N381/AVERAGE(M377:M381),0)</f>
        <v>0.254711320002901</v>
      </c>
      <c r="U381" s="47" t="n">
        <v>-292.83</v>
      </c>
      <c r="V381" s="48" t="n">
        <v>0.0323</v>
      </c>
    </row>
    <row r="382" customFormat="false" ht="15" hidden="false" customHeight="true" outlineLevel="0" collapsed="false">
      <c r="A382" s="49" t="n">
        <v>1</v>
      </c>
      <c r="B382" s="35" t="n">
        <v>2021</v>
      </c>
      <c r="C382" s="49" t="s">
        <v>263</v>
      </c>
      <c r="D382" s="49" t="s">
        <v>186</v>
      </c>
      <c r="E382" s="50" t="s">
        <v>187</v>
      </c>
      <c r="F382" s="49" t="s">
        <v>36</v>
      </c>
      <c r="G382" s="37" t="n">
        <v>24314</v>
      </c>
      <c r="H382" s="37" t="n">
        <v>28</v>
      </c>
      <c r="I382" s="37" t="n">
        <f aca="false">IFERROR(ROUND('Data Bulanan'!AC81,0),0)</f>
        <v>46829</v>
      </c>
      <c r="J382" s="37" t="n">
        <v>5272349</v>
      </c>
      <c r="K382" s="37" t="n">
        <v>229706</v>
      </c>
      <c r="L382" s="38" t="n">
        <f aca="false">IFERROR(ROUND(SQRT(2*I382*J382/K382),0),0)</f>
        <v>1466</v>
      </c>
      <c r="M382" s="39" t="n">
        <f aca="false">IFERROR(AVERAGE('Data Bulanan'!F81,'Data Bulanan'!H81,'Data Bulanan'!J81,'Data Bulanan'!L81,'Data Bulanan'!N81,'Data Bulanan'!P81,'Data Bulanan'!R81,'Data Bulanan'!T81,'Data Bulanan'!V81,'Data Bulanan'!X81,'Data Bulanan'!Z81,'Data Bulanan'!AB81),0)</f>
        <v>124.35428187404</v>
      </c>
      <c r="N382" s="40" t="n">
        <f aca="false">'Data Bulanan'!AD81</f>
        <v>24.1365229461975</v>
      </c>
      <c r="O382" s="41" t="n">
        <f aca="false">IFERROR(N382*SQRT(H382),0)</f>
        <v>127.718474458885</v>
      </c>
      <c r="P382" s="42" t="n">
        <f aca="false">IFERROR(ROUND(1.65*O382,0),0)</f>
        <v>211</v>
      </c>
      <c r="Q382" s="43" t="n">
        <f aca="false">IFERROR(ROUND(M382*H382+P382,0),0)</f>
        <v>3693</v>
      </c>
      <c r="R382" s="44" t="n">
        <f aca="false">G382-Q382</f>
        <v>20621</v>
      </c>
      <c r="S382" s="45" t="str">
        <f aca="false">IF(G382=0,"Stockout ⚠",IF(G382&lt;Q382,"Reorder 🔄",IF(G382&gt;Q382+L382,"Overstock 📦","Aman ✅")))</f>
        <v>Overstock 📦</v>
      </c>
      <c r="T382" s="46" t="n">
        <f aca="false">IFERROR(N382/AVERAGE(M382:M386),0)</f>
        <v>0.186751134383892</v>
      </c>
      <c r="U382" s="47" t="n">
        <v>1074.93</v>
      </c>
      <c r="V382" s="48" t="n">
        <v>0.0963</v>
      </c>
    </row>
    <row r="383" customFormat="false" ht="15" hidden="false" customHeight="true" outlineLevel="0" collapsed="false">
      <c r="A383" s="49" t="n">
        <v>2</v>
      </c>
      <c r="B383" s="35" t="n">
        <v>2022</v>
      </c>
      <c r="C383" s="49" t="s">
        <v>263</v>
      </c>
      <c r="D383" s="49" t="s">
        <v>186</v>
      </c>
      <c r="E383" s="50" t="s">
        <v>187</v>
      </c>
      <c r="F383" s="49" t="s">
        <v>36</v>
      </c>
      <c r="G383" s="37" t="n">
        <v>22621</v>
      </c>
      <c r="H383" s="37" t="n">
        <v>28</v>
      </c>
      <c r="I383" s="37" t="n">
        <f aca="false">IFERROR(ROUND('Data Bulanan'!BC81,0),0)</f>
        <v>46950</v>
      </c>
      <c r="J383" s="37" t="n">
        <v>5047366</v>
      </c>
      <c r="K383" s="37" t="n">
        <v>215705</v>
      </c>
      <c r="L383" s="38" t="n">
        <f aca="false">IFERROR(ROUND(SQRT(2*I383*J383/K383),0),0)</f>
        <v>1482</v>
      </c>
      <c r="M383" s="39" t="n">
        <f aca="false">IFERROR(AVERAGE('Data Bulanan'!AF81,'Data Bulanan'!AH81,'Data Bulanan'!AJ81,'Data Bulanan'!AL81,'Data Bulanan'!AN81,'Data Bulanan'!AP81,'Data Bulanan'!AR81,'Data Bulanan'!AT81,'Data Bulanan'!AV81,'Data Bulanan'!AX81,'Data Bulanan'!AZ81,'Data Bulanan'!BB81),0)</f>
        <v>124.768369175627</v>
      </c>
      <c r="N383" s="40" t="n">
        <f aca="false">'Data Bulanan'!BD81</f>
        <v>31.1757837346894</v>
      </c>
      <c r="O383" s="41" t="n">
        <f aca="false">IFERROR(N383*SQRT(H383),0)</f>
        <v>164.966741379041</v>
      </c>
      <c r="P383" s="42" t="n">
        <f aca="false">IFERROR(ROUND(1.65*O383,0),0)</f>
        <v>272</v>
      </c>
      <c r="Q383" s="43" t="n">
        <f aca="false">IFERROR(ROUND(M383*H383+P383,0),0)</f>
        <v>3766</v>
      </c>
      <c r="R383" s="44" t="n">
        <f aca="false">G383-Q383</f>
        <v>18855</v>
      </c>
      <c r="S383" s="45" t="str">
        <f aca="false">IF(G383=0,"Stockout ⚠",IF(G383&lt;Q383,"Reorder 🔄",IF(G383&gt;Q383+L383,"Overstock 📦","Aman ✅")))</f>
        <v>Overstock 📦</v>
      </c>
      <c r="T383" s="46" t="n">
        <f aca="false">IFERROR(N383/AVERAGE(M382:M386),0)</f>
        <v>0.241215894714337</v>
      </c>
      <c r="U383" s="47" t="n">
        <v>1074.93</v>
      </c>
      <c r="V383" s="48" t="n">
        <v>0.0963</v>
      </c>
    </row>
    <row r="384" customFormat="false" ht="15" hidden="false" customHeight="true" outlineLevel="0" collapsed="false">
      <c r="A384" s="49" t="n">
        <v>3</v>
      </c>
      <c r="B384" s="35" t="n">
        <v>2023</v>
      </c>
      <c r="C384" s="49" t="s">
        <v>263</v>
      </c>
      <c r="D384" s="49" t="s">
        <v>186</v>
      </c>
      <c r="E384" s="50" t="s">
        <v>187</v>
      </c>
      <c r="F384" s="49" t="s">
        <v>36</v>
      </c>
      <c r="G384" s="37" t="n">
        <v>0</v>
      </c>
      <c r="H384" s="37" t="n">
        <v>28</v>
      </c>
      <c r="I384" s="37" t="n">
        <f aca="false">IFERROR(ROUND('Data Bulanan'!CC81,0),0)</f>
        <v>52994</v>
      </c>
      <c r="J384" s="37" t="n">
        <v>5129113</v>
      </c>
      <c r="K384" s="37" t="n">
        <v>230700</v>
      </c>
      <c r="L384" s="38" t="n">
        <f aca="false">IFERROR(ROUND(SQRT(2*I384*J384/K384),0),0)</f>
        <v>1535</v>
      </c>
      <c r="M384" s="39" t="n">
        <f aca="false">IFERROR(AVERAGE('Data Bulanan'!BF81,'Data Bulanan'!BH81,'Data Bulanan'!BJ81,'Data Bulanan'!BL81,'Data Bulanan'!BN81,'Data Bulanan'!BP81,'Data Bulanan'!BR81,'Data Bulanan'!BT81,'Data Bulanan'!BV81,'Data Bulanan'!BX81,'Data Bulanan'!BZ81,'Data Bulanan'!CB81),0)</f>
        <v>141.04503328213</v>
      </c>
      <c r="N384" s="40" t="n">
        <f aca="false">'Data Bulanan'!CD81</f>
        <v>29.3134214743083</v>
      </c>
      <c r="O384" s="41" t="n">
        <f aca="false">IFERROR(N384*SQRT(H384),0)</f>
        <v>155.11204659488</v>
      </c>
      <c r="P384" s="42" t="n">
        <f aca="false">IFERROR(ROUND(1.65*O384,0),0)</f>
        <v>256</v>
      </c>
      <c r="Q384" s="43" t="n">
        <f aca="false">IFERROR(ROUND(M384*H384+P384,0),0)</f>
        <v>4205</v>
      </c>
      <c r="R384" s="44" t="n">
        <f aca="false">G384-Q384</f>
        <v>-4205</v>
      </c>
      <c r="S384" s="45" t="str">
        <f aca="false">IF(G384=0,"Stockout ⚠",IF(G384&lt;Q384,"Reorder 🔄",IF(G384&gt;Q384+L384,"Overstock 📦","Aman ✅")))</f>
        <v>Stockout ⚠</v>
      </c>
      <c r="T384" s="46" t="n">
        <f aca="false">IFERROR(N384/AVERAGE(M382:M386),0)</f>
        <v>0.226806268873233</v>
      </c>
      <c r="U384" s="47" t="n">
        <v>1074.93</v>
      </c>
      <c r="V384" s="48" t="n">
        <v>0.0963</v>
      </c>
    </row>
    <row r="385" customFormat="false" ht="15" hidden="false" customHeight="true" outlineLevel="0" collapsed="false">
      <c r="A385" s="49" t="n">
        <v>4</v>
      </c>
      <c r="B385" s="35" t="n">
        <v>2024</v>
      </c>
      <c r="C385" s="49" t="s">
        <v>263</v>
      </c>
      <c r="D385" s="49" t="s">
        <v>186</v>
      </c>
      <c r="E385" s="50" t="s">
        <v>187</v>
      </c>
      <c r="F385" s="49" t="s">
        <v>36</v>
      </c>
      <c r="G385" s="37" t="n">
        <v>5640</v>
      </c>
      <c r="H385" s="37" t="n">
        <v>28</v>
      </c>
      <c r="I385" s="37" t="n">
        <f aca="false">IFERROR(ROUND('Data Bulanan'!DC81,0),0)</f>
        <v>41290</v>
      </c>
      <c r="J385" s="37" t="n">
        <v>5234968</v>
      </c>
      <c r="K385" s="37" t="n">
        <v>201692</v>
      </c>
      <c r="L385" s="38" t="n">
        <f aca="false">IFERROR(ROUND(SQRT(2*I385*J385/K385),0),0)</f>
        <v>1464</v>
      </c>
      <c r="M385" s="39" t="n">
        <f aca="false">IFERROR(AVERAGE('Data Bulanan'!CF81,'Data Bulanan'!CH81,'Data Bulanan'!CJ81,'Data Bulanan'!CL81,'Data Bulanan'!CN81,'Data Bulanan'!CP81,'Data Bulanan'!CR81,'Data Bulanan'!CT81,'Data Bulanan'!CV81,'Data Bulanan'!CX81,'Data Bulanan'!CZ81,'Data Bulanan'!DB81),0)</f>
        <v>109.481662826421</v>
      </c>
      <c r="N385" s="40" t="n">
        <f aca="false">'Data Bulanan'!DD81</f>
        <v>28.6872921674619</v>
      </c>
      <c r="O385" s="41" t="n">
        <f aca="false">IFERROR(N385*SQRT(H385),0)</f>
        <v>151.798881725911</v>
      </c>
      <c r="P385" s="42" t="n">
        <f aca="false">IFERROR(ROUND(1.65*O385,0),0)</f>
        <v>250</v>
      </c>
      <c r="Q385" s="43" t="n">
        <f aca="false">IFERROR(ROUND(M385*H385+P385,0),0)</f>
        <v>3315</v>
      </c>
      <c r="R385" s="44" t="n">
        <f aca="false">G385-Q385</f>
        <v>2325</v>
      </c>
      <c r="S385" s="45" t="str">
        <f aca="false">IF(G385=0,"Stockout ⚠",IF(G385&lt;Q385,"Reorder 🔄",IF(G385&gt;Q385+L385,"Overstock 📦","Aman ✅")))</f>
        <v>Overstock 📦</v>
      </c>
      <c r="T385" s="46" t="n">
        <f aca="false">IFERROR(N385/AVERAGE(M382:M386),0)</f>
        <v>0.221961728564539</v>
      </c>
      <c r="U385" s="47" t="n">
        <v>1074.93</v>
      </c>
      <c r="V385" s="48" t="n">
        <v>0.0963</v>
      </c>
    </row>
    <row r="386" customFormat="false" ht="15" hidden="false" customHeight="true" outlineLevel="0" collapsed="false">
      <c r="A386" s="49" t="n">
        <v>5</v>
      </c>
      <c r="B386" s="35" t="n">
        <v>2025</v>
      </c>
      <c r="C386" s="49" t="s">
        <v>263</v>
      </c>
      <c r="D386" s="49" t="s">
        <v>186</v>
      </c>
      <c r="E386" s="50" t="s">
        <v>187</v>
      </c>
      <c r="F386" s="49" t="s">
        <v>36</v>
      </c>
      <c r="G386" s="37" t="n">
        <v>12780</v>
      </c>
      <c r="H386" s="37" t="n">
        <v>28</v>
      </c>
      <c r="I386" s="37" t="n">
        <f aca="false">IFERROR(ROUND('Data Bulanan'!EC81,0),0)</f>
        <v>55033</v>
      </c>
      <c r="J386" s="37" t="n">
        <v>5208133</v>
      </c>
      <c r="K386" s="37" t="n">
        <v>214028</v>
      </c>
      <c r="L386" s="38" t="n">
        <f aca="false">IFERROR(ROUND(SQRT(2*I386*J386/K386),0),0)</f>
        <v>1637</v>
      </c>
      <c r="M386" s="39" t="n">
        <f aca="false">IFERROR(AVERAGE('Data Bulanan'!DF81,'Data Bulanan'!DH81,'Data Bulanan'!DJ81,'Data Bulanan'!DL81,'Data Bulanan'!DN81,'Data Bulanan'!DP81,'Data Bulanan'!DR81,'Data Bulanan'!DT81,'Data Bulanan'!DV81,'Data Bulanan'!DX81,'Data Bulanan'!DZ81,'Data Bulanan'!EB81),0)</f>
        <v>146.572241423451</v>
      </c>
      <c r="N386" s="40" t="n">
        <f aca="false">'Data Bulanan'!ED81</f>
        <v>39.2523144056202</v>
      </c>
      <c r="O386" s="41" t="n">
        <f aca="false">IFERROR(N386*SQRT(H386),0)</f>
        <v>207.703724601978</v>
      </c>
      <c r="P386" s="42" t="n">
        <f aca="false">IFERROR(ROUND(1.65*O386,0),0)</f>
        <v>343</v>
      </c>
      <c r="Q386" s="43" t="n">
        <f aca="false">IFERROR(ROUND(M386*H386+P386,0),0)</f>
        <v>4447</v>
      </c>
      <c r="R386" s="44" t="n">
        <f aca="false">G386-Q386</f>
        <v>8333</v>
      </c>
      <c r="S386" s="45" t="str">
        <f aca="false">IF(G386=0,"Stockout ⚠",IF(G386&lt;Q386,"Reorder 🔄",IF(G386&gt;Q386+L386,"Overstock 📦","Aman ✅")))</f>
        <v>Overstock 📦</v>
      </c>
      <c r="T386" s="46" t="n">
        <f aca="false">IFERROR(N386/AVERAGE(M382:M386),0)</f>
        <v>0.303706306777613</v>
      </c>
      <c r="U386" s="47" t="n">
        <v>1074.93</v>
      </c>
      <c r="V386" s="48" t="n">
        <v>0.0963</v>
      </c>
    </row>
    <row r="387" customFormat="false" ht="15" hidden="false" customHeight="true" outlineLevel="0" collapsed="false">
      <c r="A387" s="34" t="n">
        <v>1</v>
      </c>
      <c r="B387" s="35" t="n">
        <v>2021</v>
      </c>
      <c r="C387" s="34" t="s">
        <v>263</v>
      </c>
      <c r="D387" s="34" t="s">
        <v>188</v>
      </c>
      <c r="E387" s="36" t="s">
        <v>189</v>
      </c>
      <c r="F387" s="34" t="s">
        <v>36</v>
      </c>
      <c r="G387" s="37" t="n">
        <v>4124</v>
      </c>
      <c r="H387" s="37" t="n">
        <v>30</v>
      </c>
      <c r="I387" s="37" t="n">
        <f aca="false">IFERROR(ROUND('Data Bulanan'!AC82,0),0)</f>
        <v>17502</v>
      </c>
      <c r="J387" s="37" t="n">
        <v>6550981</v>
      </c>
      <c r="K387" s="37" t="n">
        <v>445433</v>
      </c>
      <c r="L387" s="38" t="n">
        <f aca="false">IFERROR(ROUND(SQRT(2*I387*J387/K387),0),0)</f>
        <v>717</v>
      </c>
      <c r="M387" s="39" t="n">
        <f aca="false">IFERROR(AVERAGE('Data Bulanan'!F82,'Data Bulanan'!H82,'Data Bulanan'!J82,'Data Bulanan'!L82,'Data Bulanan'!N82,'Data Bulanan'!P82,'Data Bulanan'!R82,'Data Bulanan'!T82,'Data Bulanan'!V82,'Data Bulanan'!X82,'Data Bulanan'!Z82,'Data Bulanan'!AB82),0)</f>
        <v>46.5500256016385</v>
      </c>
      <c r="N387" s="40" t="n">
        <f aca="false">'Data Bulanan'!AD82</f>
        <v>9.34750894737636</v>
      </c>
      <c r="O387" s="41" t="n">
        <f aca="false">IFERROR(N387*SQRT(H387),0)</f>
        <v>51.198415069594</v>
      </c>
      <c r="P387" s="42" t="n">
        <f aca="false">IFERROR(ROUND(1.65*O387,0),0)</f>
        <v>84</v>
      </c>
      <c r="Q387" s="43" t="n">
        <f aca="false">IFERROR(ROUND(M387*H387+P387,0),0)</f>
        <v>1481</v>
      </c>
      <c r="R387" s="44" t="n">
        <f aca="false">G387-Q387</f>
        <v>2643</v>
      </c>
      <c r="S387" s="45" t="str">
        <f aca="false">IF(G387=0,"Stockout ⚠",IF(G387&lt;Q387,"Reorder 🔄",IF(G387&gt;Q387+L387,"Overstock 📦","Aman ✅")))</f>
        <v>Overstock 📦</v>
      </c>
      <c r="T387" s="46" t="n">
        <f aca="false">IFERROR(N387/AVERAGE(M387:M391),0)</f>
        <v>0.199152664472135</v>
      </c>
      <c r="U387" s="47" t="n">
        <v>304.18</v>
      </c>
      <c r="V387" s="48" t="n">
        <v>0.0443</v>
      </c>
    </row>
    <row r="388" customFormat="false" ht="15" hidden="false" customHeight="true" outlineLevel="0" collapsed="false">
      <c r="A388" s="34" t="n">
        <v>2</v>
      </c>
      <c r="B388" s="35" t="n">
        <v>2022</v>
      </c>
      <c r="C388" s="34" t="s">
        <v>263</v>
      </c>
      <c r="D388" s="34" t="s">
        <v>188</v>
      </c>
      <c r="E388" s="36" t="s">
        <v>189</v>
      </c>
      <c r="F388" s="34" t="s">
        <v>36</v>
      </c>
      <c r="G388" s="37" t="n">
        <v>3942</v>
      </c>
      <c r="H388" s="37" t="n">
        <v>30</v>
      </c>
      <c r="I388" s="37" t="n">
        <f aca="false">IFERROR(ROUND('Data Bulanan'!BC82,0),0)</f>
        <v>16808</v>
      </c>
      <c r="J388" s="37" t="n">
        <v>6818907</v>
      </c>
      <c r="K388" s="37" t="n">
        <v>498420</v>
      </c>
      <c r="L388" s="38" t="n">
        <f aca="false">IFERROR(ROUND(SQRT(2*I388*J388/K388),0),0)</f>
        <v>678</v>
      </c>
      <c r="M388" s="39" t="n">
        <f aca="false">IFERROR(AVERAGE('Data Bulanan'!AF82,'Data Bulanan'!AH82,'Data Bulanan'!AJ82,'Data Bulanan'!AL82,'Data Bulanan'!AN82,'Data Bulanan'!AP82,'Data Bulanan'!AR82,'Data Bulanan'!AT82,'Data Bulanan'!AV82,'Data Bulanan'!AX82,'Data Bulanan'!AZ82,'Data Bulanan'!BB82),0)</f>
        <v>44.9389528929852</v>
      </c>
      <c r="N388" s="40" t="n">
        <f aca="false">'Data Bulanan'!BD82</f>
        <v>10.820137162242</v>
      </c>
      <c r="O388" s="41" t="n">
        <f aca="false">IFERROR(N388*SQRT(H388),0)</f>
        <v>59.2643319905985</v>
      </c>
      <c r="P388" s="42" t="n">
        <f aca="false">IFERROR(ROUND(1.65*O388,0),0)</f>
        <v>98</v>
      </c>
      <c r="Q388" s="43" t="n">
        <f aca="false">IFERROR(ROUND(M388*H388+P388,0),0)</f>
        <v>1446</v>
      </c>
      <c r="R388" s="44" t="n">
        <f aca="false">G388-Q388</f>
        <v>2496</v>
      </c>
      <c r="S388" s="45" t="str">
        <f aca="false">IF(G388=0,"Stockout ⚠",IF(G388&lt;Q388,"Reorder 🔄",IF(G388&gt;Q388+L388,"Overstock 📦","Aman ✅")))</f>
        <v>Overstock 📦</v>
      </c>
      <c r="T388" s="46" t="n">
        <f aca="false">IFERROR(N388/AVERAGE(M387:M391),0)</f>
        <v>0.23052763660839</v>
      </c>
      <c r="U388" s="47" t="n">
        <v>304.18</v>
      </c>
      <c r="V388" s="48" t="n">
        <v>0.0443</v>
      </c>
    </row>
    <row r="389" customFormat="false" ht="15" hidden="false" customHeight="true" outlineLevel="0" collapsed="false">
      <c r="A389" s="34" t="n">
        <v>3</v>
      </c>
      <c r="B389" s="35" t="n">
        <v>2023</v>
      </c>
      <c r="C389" s="34" t="s">
        <v>263</v>
      </c>
      <c r="D389" s="34" t="s">
        <v>188</v>
      </c>
      <c r="E389" s="36" t="s">
        <v>189</v>
      </c>
      <c r="F389" s="34" t="s">
        <v>36</v>
      </c>
      <c r="G389" s="37" t="n">
        <v>5246</v>
      </c>
      <c r="H389" s="37" t="n">
        <v>30</v>
      </c>
      <c r="I389" s="37" t="n">
        <f aca="false">IFERROR(ROUND('Data Bulanan'!CC82,0),0)</f>
        <v>15701</v>
      </c>
      <c r="J389" s="37" t="n">
        <v>6719965</v>
      </c>
      <c r="K389" s="37" t="n">
        <v>457781</v>
      </c>
      <c r="L389" s="38" t="n">
        <f aca="false">IFERROR(ROUND(SQRT(2*I389*J389/K389),0),0)</f>
        <v>679</v>
      </c>
      <c r="M389" s="39" t="n">
        <f aca="false">IFERROR(AVERAGE('Data Bulanan'!BF82,'Data Bulanan'!BH82,'Data Bulanan'!BJ82,'Data Bulanan'!BL82,'Data Bulanan'!BN82,'Data Bulanan'!BP82,'Data Bulanan'!BR82,'Data Bulanan'!BT82,'Data Bulanan'!BV82,'Data Bulanan'!BX82,'Data Bulanan'!BZ82,'Data Bulanan'!CB82),0)</f>
        <v>41.73955453149</v>
      </c>
      <c r="N389" s="40" t="n">
        <f aca="false">'Data Bulanan'!CD82</f>
        <v>8.01573653546191</v>
      </c>
      <c r="O389" s="41" t="n">
        <f aca="false">IFERROR(N389*SQRT(H389),0)</f>
        <v>43.903997154908</v>
      </c>
      <c r="P389" s="42" t="n">
        <f aca="false">IFERROR(ROUND(1.65*O389,0),0)</f>
        <v>72</v>
      </c>
      <c r="Q389" s="43" t="n">
        <f aca="false">IFERROR(ROUND(M389*H389+P389,0),0)</f>
        <v>1324</v>
      </c>
      <c r="R389" s="44" t="n">
        <f aca="false">G389-Q389</f>
        <v>3922</v>
      </c>
      <c r="S389" s="45" t="str">
        <f aca="false">IF(G389=0,"Stockout ⚠",IF(G389&lt;Q389,"Reorder 🔄",IF(G389&gt;Q389+L389,"Overstock 📦","Aman ✅")))</f>
        <v>Overstock 📦</v>
      </c>
      <c r="T389" s="46" t="n">
        <f aca="false">IFERROR(N389/AVERAGE(M387:M391),0)</f>
        <v>0.170778685287265</v>
      </c>
      <c r="U389" s="47" t="n">
        <v>304.18</v>
      </c>
      <c r="V389" s="48" t="n">
        <v>0.0443</v>
      </c>
    </row>
    <row r="390" customFormat="false" ht="15" hidden="false" customHeight="true" outlineLevel="0" collapsed="false">
      <c r="A390" s="34" t="n">
        <v>4</v>
      </c>
      <c r="B390" s="35" t="n">
        <v>2024</v>
      </c>
      <c r="C390" s="34" t="s">
        <v>263</v>
      </c>
      <c r="D390" s="34" t="s">
        <v>188</v>
      </c>
      <c r="E390" s="36" t="s">
        <v>189</v>
      </c>
      <c r="F390" s="34" t="s">
        <v>36</v>
      </c>
      <c r="G390" s="37" t="n">
        <v>6077</v>
      </c>
      <c r="H390" s="37" t="n">
        <v>30</v>
      </c>
      <c r="I390" s="37" t="n">
        <f aca="false">IFERROR(ROUND('Data Bulanan'!DC82,0),0)</f>
        <v>21567</v>
      </c>
      <c r="J390" s="37" t="n">
        <v>7117079</v>
      </c>
      <c r="K390" s="37" t="n">
        <v>468002</v>
      </c>
      <c r="L390" s="38" t="n">
        <f aca="false">IFERROR(ROUND(SQRT(2*I390*J390/K390),0),0)</f>
        <v>810</v>
      </c>
      <c r="M390" s="39" t="n">
        <f aca="false">IFERROR(AVERAGE('Data Bulanan'!CF82,'Data Bulanan'!CH82,'Data Bulanan'!CJ82,'Data Bulanan'!CL82,'Data Bulanan'!CN82,'Data Bulanan'!CP82,'Data Bulanan'!CR82,'Data Bulanan'!CT82,'Data Bulanan'!CV82,'Data Bulanan'!CX82,'Data Bulanan'!CZ82,'Data Bulanan'!DB82),0)</f>
        <v>57.2273553507425</v>
      </c>
      <c r="N390" s="40" t="n">
        <f aca="false">'Data Bulanan'!DD82</f>
        <v>13.1579700177186</v>
      </c>
      <c r="O390" s="41" t="n">
        <f aca="false">IFERROR(N390*SQRT(H390),0)</f>
        <v>72.0691698968112</v>
      </c>
      <c r="P390" s="42" t="n">
        <f aca="false">IFERROR(ROUND(1.65*O390,0),0)</f>
        <v>119</v>
      </c>
      <c r="Q390" s="43" t="n">
        <f aca="false">IFERROR(ROUND(M390*H390+P390,0),0)</f>
        <v>1836</v>
      </c>
      <c r="R390" s="44" t="n">
        <f aca="false">G390-Q390</f>
        <v>4241</v>
      </c>
      <c r="S390" s="45" t="str">
        <f aca="false">IF(G390=0,"Stockout ⚠",IF(G390&lt;Q390,"Reorder 🔄",IF(G390&gt;Q390+L390,"Overstock 📦","Aman ✅")))</f>
        <v>Overstock 📦</v>
      </c>
      <c r="T390" s="46" t="n">
        <f aca="false">IFERROR(N390/AVERAGE(M387:M391),0)</f>
        <v>0.280336162588925</v>
      </c>
      <c r="U390" s="47" t="n">
        <v>304.18</v>
      </c>
      <c r="V390" s="48" t="n">
        <v>0.0443</v>
      </c>
    </row>
    <row r="391" customFormat="false" ht="15" hidden="false" customHeight="true" outlineLevel="0" collapsed="false">
      <c r="A391" s="34" t="n">
        <v>5</v>
      </c>
      <c r="B391" s="35" t="n">
        <v>2025</v>
      </c>
      <c r="C391" s="34" t="s">
        <v>263</v>
      </c>
      <c r="D391" s="34" t="s">
        <v>188</v>
      </c>
      <c r="E391" s="36" t="s">
        <v>189</v>
      </c>
      <c r="F391" s="34" t="s">
        <v>36</v>
      </c>
      <c r="G391" s="37" t="n">
        <v>2715</v>
      </c>
      <c r="H391" s="37" t="n">
        <v>30</v>
      </c>
      <c r="I391" s="37" t="n">
        <f aca="false">IFERROR(ROUND('Data Bulanan'!EC82,0),0)</f>
        <v>16644</v>
      </c>
      <c r="J391" s="37" t="n">
        <v>7330531</v>
      </c>
      <c r="K391" s="37" t="n">
        <v>457848</v>
      </c>
      <c r="L391" s="38" t="n">
        <f aca="false">IFERROR(ROUND(SQRT(2*I391*J391/K391),0),0)</f>
        <v>730</v>
      </c>
      <c r="M391" s="39" t="n">
        <f aca="false">IFERROR(AVERAGE('Data Bulanan'!DF82,'Data Bulanan'!DH82,'Data Bulanan'!DJ82,'Data Bulanan'!DL82,'Data Bulanan'!DN82,'Data Bulanan'!DP82,'Data Bulanan'!DR82,'Data Bulanan'!DT82,'Data Bulanan'!DV82,'Data Bulanan'!DX82,'Data Bulanan'!DZ82,'Data Bulanan'!EB82),0)</f>
        <v>44.2261072708653</v>
      </c>
      <c r="N391" s="40" t="n">
        <f aca="false">'Data Bulanan'!ED82</f>
        <v>11.1221386823032</v>
      </c>
      <c r="O391" s="41" t="n">
        <f aca="false">IFERROR(N391*SQRT(H391),0)</f>
        <v>60.9184624399823</v>
      </c>
      <c r="P391" s="42" t="n">
        <f aca="false">IFERROR(ROUND(1.65*O391,0),0)</f>
        <v>101</v>
      </c>
      <c r="Q391" s="43" t="n">
        <f aca="false">IFERROR(ROUND(M391*H391+P391,0),0)</f>
        <v>1428</v>
      </c>
      <c r="R391" s="44" t="n">
        <f aca="false">G391-Q391</f>
        <v>1287</v>
      </c>
      <c r="S391" s="45" t="str">
        <f aca="false">IF(G391=0,"Stockout ⚠",IF(G391&lt;Q391,"Reorder 🔄",IF(G391&gt;Q391+L391,"Overstock 📦","Aman ✅")))</f>
        <v>Overstock 📦</v>
      </c>
      <c r="T391" s="46" t="n">
        <f aca="false">IFERROR(N391/AVERAGE(M387:M391),0)</f>
        <v>0.236961907785173</v>
      </c>
      <c r="U391" s="47" t="n">
        <v>304.18</v>
      </c>
      <c r="V391" s="48" t="n">
        <v>0.0443</v>
      </c>
    </row>
    <row r="392" customFormat="false" ht="15" hidden="false" customHeight="true" outlineLevel="0" collapsed="false">
      <c r="A392" s="49" t="n">
        <v>1</v>
      </c>
      <c r="B392" s="35" t="n">
        <v>2021</v>
      </c>
      <c r="C392" s="49" t="s">
        <v>263</v>
      </c>
      <c r="D392" s="49" t="s">
        <v>190</v>
      </c>
      <c r="E392" s="50" t="s">
        <v>191</v>
      </c>
      <c r="F392" s="49" t="s">
        <v>36</v>
      </c>
      <c r="G392" s="37" t="n">
        <v>5259</v>
      </c>
      <c r="H392" s="37" t="n">
        <v>8</v>
      </c>
      <c r="I392" s="37" t="n">
        <f aca="false">IFERROR(ROUND('Data Bulanan'!AC83,0),0)</f>
        <v>37393</v>
      </c>
      <c r="J392" s="37" t="n">
        <v>1101512</v>
      </c>
      <c r="K392" s="37" t="n">
        <v>310275</v>
      </c>
      <c r="L392" s="38" t="n">
        <f aca="false">IFERROR(ROUND(SQRT(2*I392*J392/K392),0),0)</f>
        <v>515</v>
      </c>
      <c r="M392" s="39" t="n">
        <f aca="false">IFERROR(AVERAGE('Data Bulanan'!F83,'Data Bulanan'!H83,'Data Bulanan'!J83,'Data Bulanan'!L83,'Data Bulanan'!N83,'Data Bulanan'!P83,'Data Bulanan'!R83,'Data Bulanan'!T83,'Data Bulanan'!V83,'Data Bulanan'!X83,'Data Bulanan'!Z83,'Data Bulanan'!AB83),0)</f>
        <v>99.5532834101383</v>
      </c>
      <c r="N392" s="40" t="n">
        <f aca="false">'Data Bulanan'!AD83</f>
        <v>20.54283681156</v>
      </c>
      <c r="O392" s="41" t="n">
        <f aca="false">IFERROR(N392*SQRT(H392),0)</f>
        <v>58.1039168570509</v>
      </c>
      <c r="P392" s="42" t="n">
        <f aca="false">IFERROR(ROUND(1.65*O392,0),0)</f>
        <v>96</v>
      </c>
      <c r="Q392" s="43" t="n">
        <f aca="false">IFERROR(ROUND(M392*H392+P392,0),0)</f>
        <v>892</v>
      </c>
      <c r="R392" s="44" t="n">
        <f aca="false">G392-Q392</f>
        <v>4367</v>
      </c>
      <c r="S392" s="45" t="str">
        <f aca="false">IF(G392=0,"Stockout ⚠",IF(G392&lt;Q392,"Reorder 🔄",IF(G392&gt;Q392+L392,"Overstock 📦","Aman ✅")))</f>
        <v>Overstock 📦</v>
      </c>
      <c r="T392" s="46" t="n">
        <f aca="false">IFERROR(N392/AVERAGE(M392:M396),0)</f>
        <v>0.205681362510424</v>
      </c>
      <c r="U392" s="47" t="n">
        <v>-34.83</v>
      </c>
      <c r="V392" s="48" t="n">
        <v>0.0004</v>
      </c>
    </row>
    <row r="393" customFormat="false" ht="15" hidden="false" customHeight="true" outlineLevel="0" collapsed="false">
      <c r="A393" s="49" t="n">
        <v>2</v>
      </c>
      <c r="B393" s="35" t="n">
        <v>2022</v>
      </c>
      <c r="C393" s="49" t="s">
        <v>263</v>
      </c>
      <c r="D393" s="49" t="s">
        <v>190</v>
      </c>
      <c r="E393" s="50" t="s">
        <v>191</v>
      </c>
      <c r="F393" s="49" t="s">
        <v>36</v>
      </c>
      <c r="G393" s="37" t="n">
        <v>4860</v>
      </c>
      <c r="H393" s="37" t="n">
        <v>8</v>
      </c>
      <c r="I393" s="37" t="n">
        <f aca="false">IFERROR(ROUND('Data Bulanan'!BC83,0),0)</f>
        <v>37908</v>
      </c>
      <c r="J393" s="37" t="n">
        <v>1044857</v>
      </c>
      <c r="K393" s="37" t="n">
        <v>352451</v>
      </c>
      <c r="L393" s="38" t="n">
        <f aca="false">IFERROR(ROUND(SQRT(2*I393*J393/K393),0),0)</f>
        <v>474</v>
      </c>
      <c r="M393" s="39" t="n">
        <f aca="false">IFERROR(AVERAGE('Data Bulanan'!AF83,'Data Bulanan'!AH83,'Data Bulanan'!AJ83,'Data Bulanan'!AL83,'Data Bulanan'!AN83,'Data Bulanan'!AP83,'Data Bulanan'!AR83,'Data Bulanan'!AT83,'Data Bulanan'!AV83,'Data Bulanan'!AX83,'Data Bulanan'!AZ83,'Data Bulanan'!BB83),0)</f>
        <v>101.1476062468</v>
      </c>
      <c r="N393" s="40" t="n">
        <f aca="false">'Data Bulanan'!BD83</f>
        <v>25.8160686775088</v>
      </c>
      <c r="O393" s="41" t="n">
        <f aca="false">IFERROR(N393*SQRT(H393),0)</f>
        <v>73.0188689017763</v>
      </c>
      <c r="P393" s="42" t="n">
        <f aca="false">IFERROR(ROUND(1.65*O393,0),0)</f>
        <v>120</v>
      </c>
      <c r="Q393" s="43" t="n">
        <f aca="false">IFERROR(ROUND(M393*H393+P393,0),0)</f>
        <v>929</v>
      </c>
      <c r="R393" s="44" t="n">
        <f aca="false">G393-Q393</f>
        <v>3931</v>
      </c>
      <c r="S393" s="45" t="str">
        <f aca="false">IF(G393=0,"Stockout ⚠",IF(G393&lt;Q393,"Reorder 🔄",IF(G393&gt;Q393+L393,"Overstock 📦","Aman ✅")))</f>
        <v>Overstock 📦</v>
      </c>
      <c r="T393" s="46" t="n">
        <f aca="false">IFERROR(N393/AVERAGE(M392:M396),0)</f>
        <v>0.258478623422869</v>
      </c>
      <c r="U393" s="47" t="n">
        <v>-34.83</v>
      </c>
      <c r="V393" s="48" t="n">
        <v>0.0004</v>
      </c>
    </row>
    <row r="394" customFormat="false" ht="15" hidden="false" customHeight="true" outlineLevel="0" collapsed="false">
      <c r="A394" s="49" t="n">
        <v>3</v>
      </c>
      <c r="B394" s="35" t="n">
        <v>2023</v>
      </c>
      <c r="C394" s="49" t="s">
        <v>263</v>
      </c>
      <c r="D394" s="49" t="s">
        <v>190</v>
      </c>
      <c r="E394" s="50" t="s">
        <v>191</v>
      </c>
      <c r="F394" s="49" t="s">
        <v>36</v>
      </c>
      <c r="G394" s="37" t="n">
        <v>1738</v>
      </c>
      <c r="H394" s="37" t="n">
        <v>8</v>
      </c>
      <c r="I394" s="37" t="n">
        <f aca="false">IFERROR(ROUND('Data Bulanan'!CC83,0),0)</f>
        <v>39558</v>
      </c>
      <c r="J394" s="37" t="n">
        <v>1194943</v>
      </c>
      <c r="K394" s="37" t="n">
        <v>301289</v>
      </c>
      <c r="L394" s="38" t="n">
        <f aca="false">IFERROR(ROUND(SQRT(2*I394*J394/K394),0),0)</f>
        <v>560</v>
      </c>
      <c r="M394" s="39" t="n">
        <f aca="false">IFERROR(AVERAGE('Data Bulanan'!BF83,'Data Bulanan'!BH83,'Data Bulanan'!BJ83,'Data Bulanan'!BL83,'Data Bulanan'!BN83,'Data Bulanan'!BP83,'Data Bulanan'!BR83,'Data Bulanan'!BT83,'Data Bulanan'!BV83,'Data Bulanan'!BX83,'Data Bulanan'!BZ83,'Data Bulanan'!CB83),0)</f>
        <v>105.490514592934</v>
      </c>
      <c r="N394" s="40" t="n">
        <f aca="false">'Data Bulanan'!CD83</f>
        <v>21.4672885966786</v>
      </c>
      <c r="O394" s="41" t="n">
        <f aca="false">IFERROR(N394*SQRT(H394),0)</f>
        <v>60.7186613616002</v>
      </c>
      <c r="P394" s="42" t="n">
        <f aca="false">IFERROR(ROUND(1.65*O394,0),0)</f>
        <v>100</v>
      </c>
      <c r="Q394" s="43" t="n">
        <f aca="false">IFERROR(ROUND(M394*H394+P394,0),0)</f>
        <v>944</v>
      </c>
      <c r="R394" s="44" t="n">
        <f aca="false">G394-Q394</f>
        <v>794</v>
      </c>
      <c r="S394" s="45" t="str">
        <f aca="false">IF(G394=0,"Stockout ⚠",IF(G394&lt;Q394,"Reorder 🔄",IF(G394&gt;Q394+L394,"Overstock 📦","Aman ✅")))</f>
        <v>Overstock 📦</v>
      </c>
      <c r="T394" s="46" t="n">
        <f aca="false">IFERROR(N394/AVERAGE(M392:M396),0)</f>
        <v>0.214937265406531</v>
      </c>
      <c r="U394" s="47" t="n">
        <v>-34.83</v>
      </c>
      <c r="V394" s="48" t="n">
        <v>0.0004</v>
      </c>
    </row>
    <row r="395" customFormat="false" ht="15" hidden="false" customHeight="true" outlineLevel="0" collapsed="false">
      <c r="A395" s="49" t="n">
        <v>4</v>
      </c>
      <c r="B395" s="35" t="n">
        <v>2024</v>
      </c>
      <c r="C395" s="49" t="s">
        <v>263</v>
      </c>
      <c r="D395" s="49" t="s">
        <v>190</v>
      </c>
      <c r="E395" s="50" t="s">
        <v>191</v>
      </c>
      <c r="F395" s="49" t="s">
        <v>36</v>
      </c>
      <c r="G395" s="37" t="n">
        <v>1421</v>
      </c>
      <c r="H395" s="37" t="n">
        <v>8</v>
      </c>
      <c r="I395" s="37" t="n">
        <f aca="false">IFERROR(ROUND('Data Bulanan'!DC83,0),0)</f>
        <v>32969</v>
      </c>
      <c r="J395" s="37" t="n">
        <v>1164529</v>
      </c>
      <c r="K395" s="37" t="n">
        <v>342152</v>
      </c>
      <c r="L395" s="38" t="n">
        <f aca="false">IFERROR(ROUND(SQRT(2*I395*J395/K395),0),0)</f>
        <v>474</v>
      </c>
      <c r="M395" s="39" t="n">
        <f aca="false">IFERROR(AVERAGE('Data Bulanan'!CF83,'Data Bulanan'!CH83,'Data Bulanan'!CJ83,'Data Bulanan'!CL83,'Data Bulanan'!CN83,'Data Bulanan'!CP83,'Data Bulanan'!CR83,'Data Bulanan'!CT83,'Data Bulanan'!CV83,'Data Bulanan'!CX83,'Data Bulanan'!CZ83,'Data Bulanan'!DB83),0)</f>
        <v>87.7767921146953</v>
      </c>
      <c r="N395" s="40" t="n">
        <f aca="false">'Data Bulanan'!DD83</f>
        <v>18.1463944316266</v>
      </c>
      <c r="O395" s="41" t="n">
        <f aca="false">IFERROR(N395*SQRT(H395),0)</f>
        <v>51.3257542267559</v>
      </c>
      <c r="P395" s="42" t="n">
        <f aca="false">IFERROR(ROUND(1.65*O395,0),0)</f>
        <v>85</v>
      </c>
      <c r="Q395" s="43" t="n">
        <f aca="false">IFERROR(ROUND(M395*H395+P395,0),0)</f>
        <v>787</v>
      </c>
      <c r="R395" s="44" t="n">
        <f aca="false">G395-Q395</f>
        <v>634</v>
      </c>
      <c r="S395" s="45" t="str">
        <f aca="false">IF(G395=0,"Stockout ⚠",IF(G395&lt;Q395,"Reorder 🔄",IF(G395&gt;Q395+L395,"Overstock 📦","Aman ✅")))</f>
        <v>Overstock 📦</v>
      </c>
      <c r="T395" s="46" t="n">
        <f aca="false">IFERROR(N395/AVERAGE(M392:M396),0)</f>
        <v>0.181687425431341</v>
      </c>
      <c r="U395" s="47" t="n">
        <v>-34.83</v>
      </c>
      <c r="V395" s="48" t="n">
        <v>0.0004</v>
      </c>
    </row>
    <row r="396" customFormat="false" ht="15" hidden="false" customHeight="true" outlineLevel="0" collapsed="false">
      <c r="A396" s="49" t="n">
        <v>5</v>
      </c>
      <c r="B396" s="35" t="n">
        <v>2025</v>
      </c>
      <c r="C396" s="49" t="s">
        <v>263</v>
      </c>
      <c r="D396" s="49" t="s">
        <v>190</v>
      </c>
      <c r="E396" s="50" t="s">
        <v>191</v>
      </c>
      <c r="F396" s="49" t="s">
        <v>36</v>
      </c>
      <c r="G396" s="37" t="n">
        <v>2638</v>
      </c>
      <c r="H396" s="37" t="n">
        <v>8</v>
      </c>
      <c r="I396" s="37" t="n">
        <f aca="false">IFERROR(ROUND('Data Bulanan'!EC83,0),0)</f>
        <v>39688</v>
      </c>
      <c r="J396" s="37" t="n">
        <v>1067123</v>
      </c>
      <c r="K396" s="37" t="n">
        <v>306764</v>
      </c>
      <c r="L396" s="38" t="n">
        <f aca="false">IFERROR(ROUND(SQRT(2*I396*J396/K396),0),0)</f>
        <v>525</v>
      </c>
      <c r="M396" s="39" t="n">
        <f aca="false">IFERROR(AVERAGE('Data Bulanan'!DF83,'Data Bulanan'!DH83,'Data Bulanan'!DJ83,'Data Bulanan'!DL83,'Data Bulanan'!DN83,'Data Bulanan'!DP83,'Data Bulanan'!DR83,'Data Bulanan'!DT83,'Data Bulanan'!DV83,'Data Bulanan'!DX83,'Data Bulanan'!DZ83,'Data Bulanan'!EB83),0)</f>
        <v>105.41678827445</v>
      </c>
      <c r="N396" s="40" t="n">
        <f aca="false">'Data Bulanan'!ED83</f>
        <v>22.4262750038131</v>
      </c>
      <c r="O396" s="41" t="n">
        <f aca="false">IFERROR(N396*SQRT(H396),0)</f>
        <v>63.4310845278023</v>
      </c>
      <c r="P396" s="42" t="n">
        <f aca="false">IFERROR(ROUND(1.65*O396,0),0)</f>
        <v>105</v>
      </c>
      <c r="Q396" s="43" t="n">
        <f aca="false">IFERROR(ROUND(M396*H396+P396,0),0)</f>
        <v>948</v>
      </c>
      <c r="R396" s="44" t="n">
        <f aca="false">G396-Q396</f>
        <v>1690</v>
      </c>
      <c r="S396" s="45" t="str">
        <f aca="false">IF(G396=0,"Stockout ⚠",IF(G396&lt;Q396,"Reorder 🔄",IF(G396&gt;Q396+L396,"Overstock 📦","Aman ✅")))</f>
        <v>Overstock 📦</v>
      </c>
      <c r="T396" s="46" t="n">
        <f aca="false">IFERROR(N396/AVERAGE(M392:M396),0)</f>
        <v>0.224538939832402</v>
      </c>
      <c r="U396" s="47" t="n">
        <v>-34.83</v>
      </c>
      <c r="V396" s="48" t="n">
        <v>0.0004</v>
      </c>
    </row>
    <row r="397" customFormat="false" ht="15" hidden="false" customHeight="true" outlineLevel="0" collapsed="false">
      <c r="A397" s="34" t="n">
        <v>1</v>
      </c>
      <c r="B397" s="35" t="n">
        <v>2021</v>
      </c>
      <c r="C397" s="34" t="s">
        <v>263</v>
      </c>
      <c r="D397" s="34" t="s">
        <v>192</v>
      </c>
      <c r="E397" s="36" t="s">
        <v>193</v>
      </c>
      <c r="F397" s="34" t="s">
        <v>36</v>
      </c>
      <c r="G397" s="37" t="n">
        <v>0</v>
      </c>
      <c r="H397" s="37" t="n">
        <v>41</v>
      </c>
      <c r="I397" s="37" t="n">
        <f aca="false">IFERROR(ROUND('Data Bulanan'!AC84,0),0)</f>
        <v>39591</v>
      </c>
      <c r="J397" s="37" t="n">
        <v>6053758</v>
      </c>
      <c r="K397" s="37" t="n">
        <v>484841</v>
      </c>
      <c r="L397" s="38" t="n">
        <f aca="false">IFERROR(ROUND(SQRT(2*I397*J397/K397),0),0)</f>
        <v>994</v>
      </c>
      <c r="M397" s="39" t="n">
        <f aca="false">IFERROR(AVERAGE('Data Bulanan'!F84,'Data Bulanan'!H84,'Data Bulanan'!J84,'Data Bulanan'!L84,'Data Bulanan'!N84,'Data Bulanan'!P84,'Data Bulanan'!R84,'Data Bulanan'!T84,'Data Bulanan'!V84,'Data Bulanan'!X84,'Data Bulanan'!Z84,'Data Bulanan'!AB84),0)</f>
        <v>105.076395289299</v>
      </c>
      <c r="N397" s="40" t="n">
        <f aca="false">'Data Bulanan'!AD84</f>
        <v>25.6338139218585</v>
      </c>
      <c r="O397" s="41" t="n">
        <f aca="false">IFERROR(N397*SQRT(H397),0)</f>
        <v>164.136495220895</v>
      </c>
      <c r="P397" s="42" t="n">
        <f aca="false">IFERROR(ROUND(1.65*O397,0),0)</f>
        <v>271</v>
      </c>
      <c r="Q397" s="43" t="n">
        <f aca="false">IFERROR(ROUND(M397*H397+P397,0),0)</f>
        <v>4579</v>
      </c>
      <c r="R397" s="44" t="n">
        <f aca="false">G397-Q397</f>
        <v>-4579</v>
      </c>
      <c r="S397" s="45" t="str">
        <f aca="false">IF(G397=0,"Stockout ⚠",IF(G397&lt;Q397,"Reorder 🔄",IF(G397&gt;Q397+L397,"Overstock 📦","Aman ✅")))</f>
        <v>Stockout ⚠</v>
      </c>
      <c r="T397" s="46" t="n">
        <f aca="false">IFERROR(N397/AVERAGE(M397:M401),0)</f>
        <v>0.220388658364098</v>
      </c>
      <c r="U397" s="47" t="n">
        <v>-1095.8</v>
      </c>
      <c r="V397" s="48" t="n">
        <v>0.0923</v>
      </c>
    </row>
    <row r="398" customFormat="false" ht="15" hidden="false" customHeight="true" outlineLevel="0" collapsed="false">
      <c r="A398" s="34" t="n">
        <v>2</v>
      </c>
      <c r="B398" s="35" t="n">
        <v>2022</v>
      </c>
      <c r="C398" s="34" t="s">
        <v>263</v>
      </c>
      <c r="D398" s="34" t="s">
        <v>192</v>
      </c>
      <c r="E398" s="36" t="s">
        <v>193</v>
      </c>
      <c r="F398" s="34" t="s">
        <v>36</v>
      </c>
      <c r="G398" s="37" t="n">
        <v>4973</v>
      </c>
      <c r="H398" s="37" t="n">
        <v>41</v>
      </c>
      <c r="I398" s="37" t="n">
        <f aca="false">IFERROR(ROUND('Data Bulanan'!BC84,0),0)</f>
        <v>50425</v>
      </c>
      <c r="J398" s="37" t="n">
        <v>5544719</v>
      </c>
      <c r="K398" s="37" t="n">
        <v>446874</v>
      </c>
      <c r="L398" s="38" t="n">
        <f aca="false">IFERROR(ROUND(SQRT(2*I398*J398/K398),0),0)</f>
        <v>1119</v>
      </c>
      <c r="M398" s="39" t="n">
        <f aca="false">IFERROR(AVERAGE('Data Bulanan'!AF84,'Data Bulanan'!AH84,'Data Bulanan'!AJ84,'Data Bulanan'!AL84,'Data Bulanan'!AN84,'Data Bulanan'!AP84,'Data Bulanan'!AR84,'Data Bulanan'!AT84,'Data Bulanan'!AV84,'Data Bulanan'!AX84,'Data Bulanan'!AZ84,'Data Bulanan'!BB84),0)</f>
        <v>134.142268305172</v>
      </c>
      <c r="N398" s="40" t="n">
        <f aca="false">'Data Bulanan'!BD84</f>
        <v>39.3363310602331</v>
      </c>
      <c r="O398" s="41" t="n">
        <f aca="false">IFERROR(N398*SQRT(H398),0)</f>
        <v>251.875414823461</v>
      </c>
      <c r="P398" s="42" t="n">
        <f aca="false">IFERROR(ROUND(1.65*O398,0),0)</f>
        <v>416</v>
      </c>
      <c r="Q398" s="43" t="n">
        <f aca="false">IFERROR(ROUND(M398*H398+P398,0),0)</f>
        <v>5916</v>
      </c>
      <c r="R398" s="44" t="n">
        <f aca="false">G398-Q398</f>
        <v>-943</v>
      </c>
      <c r="S398" s="45" t="str">
        <f aca="false">IF(G398=0,"Stockout ⚠",IF(G398&lt;Q398,"Reorder 🔄",IF(G398&gt;Q398+L398,"Overstock 📦","Aman ✅")))</f>
        <v>Reorder 🔄</v>
      </c>
      <c r="T398" s="46" t="n">
        <f aca="false">IFERROR(N398/AVERAGE(M397:M401),0)</f>
        <v>0.338197088180401</v>
      </c>
      <c r="U398" s="47" t="n">
        <v>-1095.8</v>
      </c>
      <c r="V398" s="48" t="n">
        <v>0.0923</v>
      </c>
    </row>
    <row r="399" customFormat="false" ht="15" hidden="false" customHeight="true" outlineLevel="0" collapsed="false">
      <c r="A399" s="34" t="n">
        <v>3</v>
      </c>
      <c r="B399" s="35" t="n">
        <v>2023</v>
      </c>
      <c r="C399" s="34" t="s">
        <v>263</v>
      </c>
      <c r="D399" s="34" t="s">
        <v>192</v>
      </c>
      <c r="E399" s="36" t="s">
        <v>193</v>
      </c>
      <c r="F399" s="34" t="s">
        <v>36</v>
      </c>
      <c r="G399" s="37" t="n">
        <v>15847</v>
      </c>
      <c r="H399" s="37" t="n">
        <v>41</v>
      </c>
      <c r="I399" s="37" t="n">
        <f aca="false">IFERROR(ROUND('Data Bulanan'!CC84,0),0)</f>
        <v>49327</v>
      </c>
      <c r="J399" s="37" t="n">
        <v>5695795</v>
      </c>
      <c r="K399" s="37" t="n">
        <v>429547</v>
      </c>
      <c r="L399" s="38" t="n">
        <f aca="false">IFERROR(ROUND(SQRT(2*I399*J399/K399),0),0)</f>
        <v>1144</v>
      </c>
      <c r="M399" s="39" t="n">
        <f aca="false">IFERROR(AVERAGE('Data Bulanan'!BF84,'Data Bulanan'!BH84,'Data Bulanan'!BJ84,'Data Bulanan'!BL84,'Data Bulanan'!BN84,'Data Bulanan'!BP84,'Data Bulanan'!BR84,'Data Bulanan'!BT84,'Data Bulanan'!BV84,'Data Bulanan'!BX84,'Data Bulanan'!BZ84,'Data Bulanan'!CB84),0)</f>
        <v>131.856566820277</v>
      </c>
      <c r="N399" s="40" t="n">
        <f aca="false">'Data Bulanan'!CD84</f>
        <v>37.423289040857</v>
      </c>
      <c r="O399" s="41" t="n">
        <f aca="false">IFERROR(N399*SQRT(H399),0)</f>
        <v>239.625969101967</v>
      </c>
      <c r="P399" s="42" t="n">
        <f aca="false">IFERROR(ROUND(1.65*O399,0),0)</f>
        <v>395</v>
      </c>
      <c r="Q399" s="43" t="n">
        <f aca="false">IFERROR(ROUND(M399*H399+P399,0),0)</f>
        <v>5801</v>
      </c>
      <c r="R399" s="44" t="n">
        <f aca="false">G399-Q399</f>
        <v>10046</v>
      </c>
      <c r="S399" s="45" t="str">
        <f aca="false">IF(G399=0,"Stockout ⚠",IF(G399&lt;Q399,"Reorder 🔄",IF(G399&gt;Q399+L399,"Overstock 📦","Aman ✅")))</f>
        <v>Overstock 📦</v>
      </c>
      <c r="T399" s="46" t="n">
        <f aca="false">IFERROR(N399/AVERAGE(M397:M401),0)</f>
        <v>0.321749564400691</v>
      </c>
      <c r="U399" s="47" t="n">
        <v>-1095.8</v>
      </c>
      <c r="V399" s="48" t="n">
        <v>0.0923</v>
      </c>
    </row>
    <row r="400" customFormat="false" ht="15" hidden="false" customHeight="true" outlineLevel="0" collapsed="false">
      <c r="A400" s="34" t="n">
        <v>4</v>
      </c>
      <c r="B400" s="35" t="n">
        <v>2024</v>
      </c>
      <c r="C400" s="34" t="s">
        <v>263</v>
      </c>
      <c r="D400" s="34" t="s">
        <v>192</v>
      </c>
      <c r="E400" s="36" t="s">
        <v>193</v>
      </c>
      <c r="F400" s="34" t="s">
        <v>36</v>
      </c>
      <c r="G400" s="37" t="n">
        <v>7659</v>
      </c>
      <c r="H400" s="37" t="n">
        <v>41</v>
      </c>
      <c r="I400" s="37" t="n">
        <f aca="false">IFERROR(ROUND('Data Bulanan'!DC84,0),0)</f>
        <v>39149</v>
      </c>
      <c r="J400" s="37" t="n">
        <v>5695479</v>
      </c>
      <c r="K400" s="37" t="n">
        <v>491159</v>
      </c>
      <c r="L400" s="38" t="n">
        <f aca="false">IFERROR(ROUND(SQRT(2*I400*J400/K400),0),0)</f>
        <v>953</v>
      </c>
      <c r="M400" s="39" t="n">
        <f aca="false">IFERROR(AVERAGE('Data Bulanan'!CF84,'Data Bulanan'!CH84,'Data Bulanan'!CJ84,'Data Bulanan'!CL84,'Data Bulanan'!CN84,'Data Bulanan'!CP84,'Data Bulanan'!CR84,'Data Bulanan'!CT84,'Data Bulanan'!CV84,'Data Bulanan'!CX84,'Data Bulanan'!CZ84,'Data Bulanan'!DB84),0)</f>
        <v>104.577105734767</v>
      </c>
      <c r="N400" s="40" t="n">
        <f aca="false">'Data Bulanan'!DD84</f>
        <v>26.9324486756364</v>
      </c>
      <c r="O400" s="41" t="n">
        <f aca="false">IFERROR(N400*SQRT(H400),0)</f>
        <v>172.451814888384</v>
      </c>
      <c r="P400" s="42" t="n">
        <f aca="false">IFERROR(ROUND(1.65*O400,0),0)</f>
        <v>285</v>
      </c>
      <c r="Q400" s="43" t="n">
        <f aca="false">IFERROR(ROUND(M400*H400+P400,0),0)</f>
        <v>4573</v>
      </c>
      <c r="R400" s="44" t="n">
        <f aca="false">G400-Q400</f>
        <v>3086</v>
      </c>
      <c r="S400" s="45" t="str">
        <f aca="false">IF(G400=0,"Stockout ⚠",IF(G400&lt;Q400,"Reorder 🔄",IF(G400&gt;Q400+L400,"Overstock 📦","Aman ✅")))</f>
        <v>Overstock 📦</v>
      </c>
      <c r="T400" s="46" t="n">
        <f aca="false">IFERROR(N400/AVERAGE(M397:M401),0)</f>
        <v>0.231553769102694</v>
      </c>
      <c r="U400" s="47" t="n">
        <v>-1095.8</v>
      </c>
      <c r="V400" s="48" t="n">
        <v>0.0923</v>
      </c>
    </row>
    <row r="401" customFormat="false" ht="15" hidden="false" customHeight="true" outlineLevel="0" collapsed="false">
      <c r="A401" s="34" t="n">
        <v>5</v>
      </c>
      <c r="B401" s="35" t="n">
        <v>2025</v>
      </c>
      <c r="C401" s="34" t="s">
        <v>263</v>
      </c>
      <c r="D401" s="34" t="s">
        <v>192</v>
      </c>
      <c r="E401" s="36" t="s">
        <v>193</v>
      </c>
      <c r="F401" s="34" t="s">
        <v>36</v>
      </c>
      <c r="G401" s="37" t="n">
        <v>5670</v>
      </c>
      <c r="H401" s="37" t="n">
        <v>41</v>
      </c>
      <c r="I401" s="37" t="n">
        <f aca="false">IFERROR(ROUND('Data Bulanan'!EC84,0),0)</f>
        <v>39750</v>
      </c>
      <c r="J401" s="37" t="n">
        <v>6180530</v>
      </c>
      <c r="K401" s="37" t="n">
        <v>491430</v>
      </c>
      <c r="L401" s="38" t="n">
        <f aca="false">IFERROR(ROUND(SQRT(2*I401*J401/K401),0),0)</f>
        <v>1000</v>
      </c>
      <c r="M401" s="39" t="n">
        <f aca="false">IFERROR(AVERAGE('Data Bulanan'!DF84,'Data Bulanan'!DH84,'Data Bulanan'!DJ84,'Data Bulanan'!DL84,'Data Bulanan'!DN84,'Data Bulanan'!DP84,'Data Bulanan'!DR84,'Data Bulanan'!DT84,'Data Bulanan'!DV84,'Data Bulanan'!DX84,'Data Bulanan'!DZ84,'Data Bulanan'!EB84),0)</f>
        <v>105.906944444444</v>
      </c>
      <c r="N401" s="40" t="n">
        <f aca="false">'Data Bulanan'!ED84</f>
        <v>30.1884376979651</v>
      </c>
      <c r="O401" s="41" t="n">
        <f aca="false">IFERROR(N401*SQRT(H401),0)</f>
        <v>193.300317114072</v>
      </c>
      <c r="P401" s="42" t="n">
        <f aca="false">IFERROR(ROUND(1.65*O401,0),0)</f>
        <v>319</v>
      </c>
      <c r="Q401" s="43" t="n">
        <f aca="false">IFERROR(ROUND(M401*H401+P401,0),0)</f>
        <v>4661</v>
      </c>
      <c r="R401" s="44" t="n">
        <f aca="false">G401-Q401</f>
        <v>1009</v>
      </c>
      <c r="S401" s="45" t="str">
        <f aca="false">IF(G401=0,"Stockout ⚠",IF(G401&lt;Q401,"Reorder 🔄",IF(G401&gt;Q401+L401,"Overstock 📦","Aman ✅")))</f>
        <v>Overstock 📦</v>
      </c>
      <c r="T401" s="46" t="n">
        <f aca="false">IFERROR(N401/AVERAGE(M397:M401),0)</f>
        <v>0.259547381542368</v>
      </c>
      <c r="U401" s="47" t="n">
        <v>-1095.8</v>
      </c>
      <c r="V401" s="48" t="n">
        <v>0.0923</v>
      </c>
    </row>
    <row r="402" customFormat="false" ht="15" hidden="false" customHeight="true" outlineLevel="0" collapsed="false">
      <c r="A402" s="49" t="n">
        <v>1</v>
      </c>
      <c r="B402" s="35" t="n">
        <v>2021</v>
      </c>
      <c r="C402" s="49" t="s">
        <v>263</v>
      </c>
      <c r="D402" s="49" t="s">
        <v>194</v>
      </c>
      <c r="E402" s="50" t="s">
        <v>195</v>
      </c>
      <c r="F402" s="49" t="s">
        <v>36</v>
      </c>
      <c r="G402" s="37" t="n">
        <v>0</v>
      </c>
      <c r="H402" s="37" t="n">
        <v>7</v>
      </c>
      <c r="I402" s="37" t="n">
        <f aca="false">IFERROR(ROUND('Data Bulanan'!AC85,0),0)</f>
        <v>31882</v>
      </c>
      <c r="J402" s="37" t="n">
        <v>1314132</v>
      </c>
      <c r="K402" s="37" t="n">
        <v>511534</v>
      </c>
      <c r="L402" s="38" t="n">
        <f aca="false">IFERROR(ROUND(SQRT(2*I402*J402/K402),0),0)</f>
        <v>405</v>
      </c>
      <c r="M402" s="39" t="n">
        <f aca="false">IFERROR(AVERAGE('Data Bulanan'!F85,'Data Bulanan'!H85,'Data Bulanan'!J85,'Data Bulanan'!L85,'Data Bulanan'!N85,'Data Bulanan'!P85,'Data Bulanan'!R85,'Data Bulanan'!T85,'Data Bulanan'!V85,'Data Bulanan'!X85,'Data Bulanan'!Z85,'Data Bulanan'!AB85),0)</f>
        <v>85.0314132104455</v>
      </c>
      <c r="N402" s="40" t="n">
        <f aca="false">'Data Bulanan'!AD85</f>
        <v>23.8294891074456</v>
      </c>
      <c r="O402" s="41" t="n">
        <f aca="false">IFERROR(N402*SQRT(H402),0)</f>
        <v>63.0469020480237</v>
      </c>
      <c r="P402" s="42" t="n">
        <f aca="false">IFERROR(ROUND(1.65*O402,0),0)</f>
        <v>104</v>
      </c>
      <c r="Q402" s="43" t="n">
        <f aca="false">IFERROR(ROUND(M402*H402+P402,0),0)</f>
        <v>699</v>
      </c>
      <c r="R402" s="44" t="n">
        <f aca="false">G402-Q402</f>
        <v>-699</v>
      </c>
      <c r="S402" s="45" t="str">
        <f aca="false">IF(G402=0,"Stockout ⚠",IF(G402&lt;Q402,"Reorder 🔄",IF(G402&gt;Q402+L402,"Overstock 📦","Aman ✅")))</f>
        <v>Stockout ⚠</v>
      </c>
      <c r="T402" s="46" t="n">
        <f aca="false">IFERROR(N402/AVERAGE(M402:M406),0)</f>
        <v>0.280741449317742</v>
      </c>
      <c r="U402" s="47" t="n">
        <v>-135.16</v>
      </c>
      <c r="V402" s="48" t="n">
        <v>0.0517</v>
      </c>
    </row>
    <row r="403" customFormat="false" ht="15" hidden="false" customHeight="true" outlineLevel="0" collapsed="false">
      <c r="A403" s="49" t="n">
        <v>2</v>
      </c>
      <c r="B403" s="35" t="n">
        <v>2022</v>
      </c>
      <c r="C403" s="49" t="s">
        <v>263</v>
      </c>
      <c r="D403" s="49" t="s">
        <v>194</v>
      </c>
      <c r="E403" s="50" t="s">
        <v>195</v>
      </c>
      <c r="F403" s="49" t="s">
        <v>36</v>
      </c>
      <c r="G403" s="37" t="n">
        <v>1252</v>
      </c>
      <c r="H403" s="37" t="n">
        <v>7</v>
      </c>
      <c r="I403" s="37" t="n">
        <f aca="false">IFERROR(ROUND('Data Bulanan'!BC85,0),0)</f>
        <v>32737</v>
      </c>
      <c r="J403" s="37" t="n">
        <v>1422733</v>
      </c>
      <c r="K403" s="37" t="n">
        <v>490858</v>
      </c>
      <c r="L403" s="38" t="n">
        <f aca="false">IFERROR(ROUND(SQRT(2*I403*J403/K403),0),0)</f>
        <v>436</v>
      </c>
      <c r="M403" s="39" t="n">
        <f aca="false">IFERROR(AVERAGE('Data Bulanan'!AF85,'Data Bulanan'!AH85,'Data Bulanan'!AJ85,'Data Bulanan'!AL85,'Data Bulanan'!AN85,'Data Bulanan'!AP85,'Data Bulanan'!AR85,'Data Bulanan'!AT85,'Data Bulanan'!AV85,'Data Bulanan'!AX85,'Data Bulanan'!AZ85,'Data Bulanan'!BB85),0)</f>
        <v>87.1259536610343</v>
      </c>
      <c r="N403" s="40" t="n">
        <f aca="false">'Data Bulanan'!BD85</f>
        <v>16.9488041064797</v>
      </c>
      <c r="O403" s="41" t="n">
        <f aca="false">IFERROR(N403*SQRT(H403),0)</f>
        <v>44.8423206856955</v>
      </c>
      <c r="P403" s="42" t="n">
        <f aca="false">IFERROR(ROUND(1.65*O403,0),0)</f>
        <v>74</v>
      </c>
      <c r="Q403" s="43" t="n">
        <f aca="false">IFERROR(ROUND(M403*H403+P403,0),0)</f>
        <v>684</v>
      </c>
      <c r="R403" s="44" t="n">
        <f aca="false">G403-Q403</f>
        <v>568</v>
      </c>
      <c r="S403" s="45" t="str">
        <f aca="false">IF(G403=0,"Stockout ⚠",IF(G403&lt;Q403,"Reorder 🔄",IF(G403&gt;Q403+L403,"Overstock 📦","Aman ✅")))</f>
        <v>Overstock 📦</v>
      </c>
      <c r="T403" s="46" t="n">
        <f aca="false">IFERROR(N403/AVERAGE(M402:M406),0)</f>
        <v>0.19967829807853</v>
      </c>
      <c r="U403" s="47" t="n">
        <v>-135.16</v>
      </c>
      <c r="V403" s="48" t="n">
        <v>0.0517</v>
      </c>
    </row>
    <row r="404" customFormat="false" ht="15" hidden="false" customHeight="true" outlineLevel="0" collapsed="false">
      <c r="A404" s="49" t="n">
        <v>3</v>
      </c>
      <c r="B404" s="35" t="n">
        <v>2023</v>
      </c>
      <c r="C404" s="49" t="s">
        <v>263</v>
      </c>
      <c r="D404" s="49" t="s">
        <v>194</v>
      </c>
      <c r="E404" s="50" t="s">
        <v>195</v>
      </c>
      <c r="F404" s="49" t="s">
        <v>36</v>
      </c>
      <c r="G404" s="37" t="n">
        <v>0</v>
      </c>
      <c r="H404" s="37" t="n">
        <v>7</v>
      </c>
      <c r="I404" s="37" t="n">
        <f aca="false">IFERROR(ROUND('Data Bulanan'!CC85,0),0)</f>
        <v>31973</v>
      </c>
      <c r="J404" s="37" t="n">
        <v>1312560</v>
      </c>
      <c r="K404" s="37" t="n">
        <v>523896</v>
      </c>
      <c r="L404" s="38" t="n">
        <f aca="false">IFERROR(ROUND(SQRT(2*I404*J404/K404),0),0)</f>
        <v>400</v>
      </c>
      <c r="M404" s="39" t="n">
        <f aca="false">IFERROR(AVERAGE('Data Bulanan'!BF85,'Data Bulanan'!BH85,'Data Bulanan'!BJ85,'Data Bulanan'!BL85,'Data Bulanan'!BN85,'Data Bulanan'!BP85,'Data Bulanan'!BR85,'Data Bulanan'!BT85,'Data Bulanan'!BV85,'Data Bulanan'!BX85,'Data Bulanan'!BZ85,'Data Bulanan'!CB85),0)</f>
        <v>85.2126792114695</v>
      </c>
      <c r="N404" s="40" t="n">
        <f aca="false">'Data Bulanan'!CD85</f>
        <v>23.2529229845453</v>
      </c>
      <c r="O404" s="41" t="n">
        <f aca="false">IFERROR(N404*SQRT(H404),0)</f>
        <v>61.5214514724446</v>
      </c>
      <c r="P404" s="42" t="n">
        <f aca="false">IFERROR(ROUND(1.65*O404,0),0)</f>
        <v>102</v>
      </c>
      <c r="Q404" s="43" t="n">
        <f aca="false">IFERROR(ROUND(M404*H404+P404,0),0)</f>
        <v>698</v>
      </c>
      <c r="R404" s="44" t="n">
        <f aca="false">G404-Q404</f>
        <v>-698</v>
      </c>
      <c r="S404" s="45" t="str">
        <f aca="false">IF(G404=0,"Stockout ⚠",IF(G404&lt;Q404,"Reorder 🔄",IF(G404&gt;Q404+L404,"Overstock 📦","Aman ✅")))</f>
        <v>Stockout ⚠</v>
      </c>
      <c r="T404" s="46" t="n">
        <f aca="false">IFERROR(N404/AVERAGE(M402:M406),0)</f>
        <v>0.27394877288894</v>
      </c>
      <c r="U404" s="47" t="n">
        <v>-135.16</v>
      </c>
      <c r="V404" s="48" t="n">
        <v>0.0517</v>
      </c>
    </row>
    <row r="405" customFormat="false" ht="15" hidden="false" customHeight="true" outlineLevel="0" collapsed="false">
      <c r="A405" s="49" t="n">
        <v>4</v>
      </c>
      <c r="B405" s="35" t="n">
        <v>2024</v>
      </c>
      <c r="C405" s="49" t="s">
        <v>263</v>
      </c>
      <c r="D405" s="49" t="s">
        <v>194</v>
      </c>
      <c r="E405" s="50" t="s">
        <v>195</v>
      </c>
      <c r="F405" s="49" t="s">
        <v>36</v>
      </c>
      <c r="G405" s="37" t="n">
        <v>1958</v>
      </c>
      <c r="H405" s="37" t="n">
        <v>7</v>
      </c>
      <c r="I405" s="37" t="n">
        <f aca="false">IFERROR(ROUND('Data Bulanan'!DC85,0),0)</f>
        <v>30301</v>
      </c>
      <c r="J405" s="37" t="n">
        <v>1445276</v>
      </c>
      <c r="K405" s="37" t="n">
        <v>496816</v>
      </c>
      <c r="L405" s="38" t="n">
        <f aca="false">IFERROR(ROUND(SQRT(2*I405*J405/K405),0),0)</f>
        <v>420</v>
      </c>
      <c r="M405" s="39" t="n">
        <f aca="false">IFERROR(AVERAGE('Data Bulanan'!CF85,'Data Bulanan'!CH85,'Data Bulanan'!CJ85,'Data Bulanan'!CL85,'Data Bulanan'!CN85,'Data Bulanan'!CP85,'Data Bulanan'!CR85,'Data Bulanan'!CT85,'Data Bulanan'!CV85,'Data Bulanan'!CX85,'Data Bulanan'!CZ85,'Data Bulanan'!DB85),0)</f>
        <v>80.7685547875064</v>
      </c>
      <c r="N405" s="40" t="n">
        <f aca="false">'Data Bulanan'!DD85</f>
        <v>19.8442270249368</v>
      </c>
      <c r="O405" s="41" t="n">
        <f aca="false">IFERROR(N405*SQRT(H405),0)</f>
        <v>52.5028896682898</v>
      </c>
      <c r="P405" s="42" t="n">
        <f aca="false">IFERROR(ROUND(1.65*O405,0),0)</f>
        <v>87</v>
      </c>
      <c r="Q405" s="43" t="n">
        <f aca="false">IFERROR(ROUND(M405*H405+P405,0),0)</f>
        <v>652</v>
      </c>
      <c r="R405" s="44" t="n">
        <f aca="false">G405-Q405</f>
        <v>1306</v>
      </c>
      <c r="S405" s="45" t="str">
        <f aca="false">IF(G405=0,"Stockout ⚠",IF(G405&lt;Q405,"Reorder 🔄",IF(G405&gt;Q405+L405,"Overstock 📦","Aman ✅")))</f>
        <v>Overstock 📦</v>
      </c>
      <c r="T405" s="46" t="n">
        <f aca="false">IFERROR(N405/AVERAGE(M402:M406),0)</f>
        <v>0.233790033451885</v>
      </c>
      <c r="U405" s="47" t="n">
        <v>-135.16</v>
      </c>
      <c r="V405" s="48" t="n">
        <v>0.0517</v>
      </c>
    </row>
    <row r="406" customFormat="false" ht="15" hidden="false" customHeight="true" outlineLevel="0" collapsed="false">
      <c r="A406" s="49" t="n">
        <v>5</v>
      </c>
      <c r="B406" s="35" t="n">
        <v>2025</v>
      </c>
      <c r="C406" s="49" t="s">
        <v>263</v>
      </c>
      <c r="D406" s="49" t="s">
        <v>194</v>
      </c>
      <c r="E406" s="50" t="s">
        <v>195</v>
      </c>
      <c r="F406" s="49" t="s">
        <v>36</v>
      </c>
      <c r="G406" s="37" t="n">
        <v>1978</v>
      </c>
      <c r="H406" s="37" t="n">
        <v>7</v>
      </c>
      <c r="I406" s="37" t="n">
        <f aca="false">IFERROR(ROUND('Data Bulanan'!EC85,0),0)</f>
        <v>32424</v>
      </c>
      <c r="J406" s="37" t="n">
        <v>1432336</v>
      </c>
      <c r="K406" s="37" t="n">
        <v>583098</v>
      </c>
      <c r="L406" s="38" t="n">
        <f aca="false">IFERROR(ROUND(SQRT(2*I406*J406/K406),0),0)</f>
        <v>399</v>
      </c>
      <c r="M406" s="39" t="n">
        <f aca="false">IFERROR(AVERAGE('Data Bulanan'!DF85,'Data Bulanan'!DH85,'Data Bulanan'!DJ85,'Data Bulanan'!DL85,'Data Bulanan'!DN85,'Data Bulanan'!DP85,'Data Bulanan'!DR85,'Data Bulanan'!DT85,'Data Bulanan'!DV85,'Data Bulanan'!DX85,'Data Bulanan'!DZ85,'Data Bulanan'!EB85),0)</f>
        <v>86.2641577060932</v>
      </c>
      <c r="N406" s="40" t="n">
        <f aca="false">'Data Bulanan'!ED85</f>
        <v>20.9383469836224</v>
      </c>
      <c r="O406" s="41" t="n">
        <f aca="false">IFERROR(N406*SQRT(H406),0)</f>
        <v>55.3976589834443</v>
      </c>
      <c r="P406" s="42" t="n">
        <f aca="false">IFERROR(ROUND(1.65*O406,0),0)</f>
        <v>91</v>
      </c>
      <c r="Q406" s="43" t="n">
        <f aca="false">IFERROR(ROUND(M406*H406+P406,0),0)</f>
        <v>695</v>
      </c>
      <c r="R406" s="44" t="n">
        <f aca="false">G406-Q406</f>
        <v>1283</v>
      </c>
      <c r="S406" s="45" t="str">
        <f aca="false">IF(G406=0,"Stockout ⚠",IF(G406&lt;Q406,"Reorder 🔄",IF(G406&gt;Q406+L406,"Overstock 📦","Aman ✅")))</f>
        <v>Overstock 📦</v>
      </c>
      <c r="T406" s="46" t="n">
        <f aca="false">IFERROR(N406/AVERAGE(M402:M406),0)</f>
        <v>0.246680147106605</v>
      </c>
      <c r="U406" s="47" t="n">
        <v>-135.16</v>
      </c>
      <c r="V406" s="48" t="n">
        <v>0.0517</v>
      </c>
    </row>
    <row r="407" customFormat="false" ht="15" hidden="false" customHeight="true" outlineLevel="0" collapsed="false">
      <c r="A407" s="34" t="n">
        <v>1</v>
      </c>
      <c r="B407" s="35" t="n">
        <v>2021</v>
      </c>
      <c r="C407" s="34" t="s">
        <v>264</v>
      </c>
      <c r="D407" s="34" t="s">
        <v>196</v>
      </c>
      <c r="E407" s="36" t="s">
        <v>197</v>
      </c>
      <c r="F407" s="34" t="s">
        <v>36</v>
      </c>
      <c r="G407" s="37" t="n">
        <v>717</v>
      </c>
      <c r="H407" s="37" t="n">
        <v>37</v>
      </c>
      <c r="I407" s="37" t="n">
        <f aca="false">IFERROR(ROUND('Data Bulanan'!AC86,0),0)</f>
        <v>1030</v>
      </c>
      <c r="J407" s="37" t="n">
        <v>6873849</v>
      </c>
      <c r="K407" s="37" t="n">
        <v>548477</v>
      </c>
      <c r="L407" s="38" t="n">
        <f aca="false">IFERROR(ROUND(SQRT(2*I407*J407/K407),0),0)</f>
        <v>161</v>
      </c>
      <c r="M407" s="39" t="n">
        <f aca="false">IFERROR(AVERAGE('Data Bulanan'!F86,'Data Bulanan'!H86,'Data Bulanan'!J86,'Data Bulanan'!L86,'Data Bulanan'!N86,'Data Bulanan'!P86,'Data Bulanan'!R86,'Data Bulanan'!T86,'Data Bulanan'!V86,'Data Bulanan'!X86,'Data Bulanan'!Z86,'Data Bulanan'!AB86),0)</f>
        <v>2.74491807475678</v>
      </c>
      <c r="N407" s="40" t="n">
        <f aca="false">'Data Bulanan'!AD86</f>
        <v>0.577653795289703</v>
      </c>
      <c r="O407" s="41" t="n">
        <f aca="false">IFERROR(N407*SQRT(H407),0)</f>
        <v>3.51373086147276</v>
      </c>
      <c r="P407" s="42" t="n">
        <f aca="false">IFERROR(ROUND(1.65*O407,0),0)</f>
        <v>6</v>
      </c>
      <c r="Q407" s="43" t="n">
        <f aca="false">IFERROR(ROUND(M407*H407+P407,0),0)</f>
        <v>108</v>
      </c>
      <c r="R407" s="44" t="n">
        <f aca="false">G407-Q407</f>
        <v>609</v>
      </c>
      <c r="S407" s="45" t="str">
        <f aca="false">IF(G407=0,"Stockout ⚠",IF(G407&lt;Q407,"Reorder 🔄",IF(G407&gt;Q407+L407,"Overstock 📦","Aman ✅")))</f>
        <v>Overstock 📦</v>
      </c>
      <c r="T407" s="46" t="n">
        <f aca="false">IFERROR(N407/AVERAGE(M407:M411),0)</f>
        <v>0.210614544782613</v>
      </c>
      <c r="U407" s="47" t="n">
        <v>-0.29</v>
      </c>
      <c r="V407" s="48" t="n">
        <v>0.1351</v>
      </c>
    </row>
    <row r="408" customFormat="false" ht="15" hidden="false" customHeight="true" outlineLevel="0" collapsed="false">
      <c r="A408" s="34" t="n">
        <v>2</v>
      </c>
      <c r="B408" s="35" t="n">
        <v>2022</v>
      </c>
      <c r="C408" s="34" t="s">
        <v>264</v>
      </c>
      <c r="D408" s="34" t="s">
        <v>196</v>
      </c>
      <c r="E408" s="36" t="s">
        <v>197</v>
      </c>
      <c r="F408" s="34" t="s">
        <v>36</v>
      </c>
      <c r="G408" s="37" t="n">
        <v>0</v>
      </c>
      <c r="H408" s="37" t="n">
        <v>37</v>
      </c>
      <c r="I408" s="37" t="n">
        <f aca="false">IFERROR(ROUND('Data Bulanan'!BC86,0),0)</f>
        <v>1032</v>
      </c>
      <c r="J408" s="37" t="n">
        <v>7187835</v>
      </c>
      <c r="K408" s="37" t="n">
        <v>561282</v>
      </c>
      <c r="L408" s="38" t="n">
        <f aca="false">IFERROR(ROUND(SQRT(2*I408*J408/K408),0),0)</f>
        <v>163</v>
      </c>
      <c r="M408" s="39" t="n">
        <f aca="false">IFERROR(AVERAGE('Data Bulanan'!AF86,'Data Bulanan'!AH86,'Data Bulanan'!AJ86,'Data Bulanan'!AL86,'Data Bulanan'!AN86,'Data Bulanan'!AP86,'Data Bulanan'!AR86,'Data Bulanan'!AT86,'Data Bulanan'!AV86,'Data Bulanan'!AX86,'Data Bulanan'!AZ86,'Data Bulanan'!BB86),0)</f>
        <v>2.75037762416795</v>
      </c>
      <c r="N408" s="40" t="n">
        <f aca="false">'Data Bulanan'!BD86</f>
        <v>0.708682907764596</v>
      </c>
      <c r="O408" s="41" t="n">
        <f aca="false">IFERROR(N408*SQRT(H408),0)</f>
        <v>4.31074983721327</v>
      </c>
      <c r="P408" s="42" t="n">
        <f aca="false">IFERROR(ROUND(1.65*O408,0),0)</f>
        <v>7</v>
      </c>
      <c r="Q408" s="43" t="n">
        <f aca="false">IFERROR(ROUND(M408*H408+P408,0),0)</f>
        <v>109</v>
      </c>
      <c r="R408" s="44" t="n">
        <f aca="false">G408-Q408</f>
        <v>-109</v>
      </c>
      <c r="S408" s="45" t="str">
        <f aca="false">IF(G408=0,"Stockout ⚠",IF(G408&lt;Q408,"Reorder 🔄",IF(G408&gt;Q408+L408,"Overstock 📦","Aman ✅")))</f>
        <v>Stockout ⚠</v>
      </c>
      <c r="T408" s="46" t="n">
        <f aca="false">IFERROR(N408/AVERAGE(M407:M411),0)</f>
        <v>0.258388206277089</v>
      </c>
      <c r="U408" s="47" t="n">
        <v>-0.29</v>
      </c>
      <c r="V408" s="48" t="n">
        <v>0.1351</v>
      </c>
    </row>
    <row r="409" customFormat="false" ht="15" hidden="false" customHeight="true" outlineLevel="0" collapsed="false">
      <c r="A409" s="34" t="n">
        <v>3</v>
      </c>
      <c r="B409" s="35" t="n">
        <v>2023</v>
      </c>
      <c r="C409" s="34" t="s">
        <v>264</v>
      </c>
      <c r="D409" s="34" t="s">
        <v>196</v>
      </c>
      <c r="E409" s="36" t="s">
        <v>197</v>
      </c>
      <c r="F409" s="34" t="s">
        <v>36</v>
      </c>
      <c r="G409" s="37" t="n">
        <v>620</v>
      </c>
      <c r="H409" s="37" t="n">
        <v>37</v>
      </c>
      <c r="I409" s="37" t="n">
        <f aca="false">IFERROR(ROUND('Data Bulanan'!CC86,0),0)</f>
        <v>1031</v>
      </c>
      <c r="J409" s="37" t="n">
        <v>7127980</v>
      </c>
      <c r="K409" s="37" t="n">
        <v>487757</v>
      </c>
      <c r="L409" s="38" t="n">
        <f aca="false">IFERROR(ROUND(SQRT(2*I409*J409/K409),0),0)</f>
        <v>174</v>
      </c>
      <c r="M409" s="39" t="n">
        <f aca="false">IFERROR(AVERAGE('Data Bulanan'!BF86,'Data Bulanan'!BH86,'Data Bulanan'!BJ86,'Data Bulanan'!BL86,'Data Bulanan'!BN86,'Data Bulanan'!BP86,'Data Bulanan'!BR86,'Data Bulanan'!BT86,'Data Bulanan'!BV86,'Data Bulanan'!BX86,'Data Bulanan'!BZ86,'Data Bulanan'!CB86),0)</f>
        <v>2.73959293394777</v>
      </c>
      <c r="N409" s="40" t="n">
        <f aca="false">'Data Bulanan'!CD86</f>
        <v>0.455735887130536</v>
      </c>
      <c r="O409" s="41" t="n">
        <f aca="false">IFERROR(N409*SQRT(H409),0)</f>
        <v>2.77213317794984</v>
      </c>
      <c r="P409" s="42" t="n">
        <f aca="false">IFERROR(ROUND(1.65*O409,0),0)</f>
        <v>5</v>
      </c>
      <c r="Q409" s="43" t="n">
        <f aca="false">IFERROR(ROUND(M409*H409+P409,0),0)</f>
        <v>106</v>
      </c>
      <c r="R409" s="44" t="n">
        <f aca="false">G409-Q409</f>
        <v>514</v>
      </c>
      <c r="S409" s="45" t="str">
        <f aca="false">IF(G409=0,"Stockout ⚠",IF(G409&lt;Q409,"Reorder 🔄",IF(G409&gt;Q409+L409,"Overstock 📦","Aman ✅")))</f>
        <v>Overstock 📦</v>
      </c>
      <c r="T409" s="46" t="n">
        <f aca="false">IFERROR(N409/AVERAGE(M407:M411),0)</f>
        <v>0.166162859470109</v>
      </c>
      <c r="U409" s="47" t="n">
        <v>-0.29</v>
      </c>
      <c r="V409" s="48" t="n">
        <v>0.1351</v>
      </c>
    </row>
    <row r="410" customFormat="false" ht="15" hidden="false" customHeight="true" outlineLevel="0" collapsed="false">
      <c r="A410" s="34" t="n">
        <v>4</v>
      </c>
      <c r="B410" s="35" t="n">
        <v>2024</v>
      </c>
      <c r="C410" s="34" t="s">
        <v>264</v>
      </c>
      <c r="D410" s="34" t="s">
        <v>196</v>
      </c>
      <c r="E410" s="36" t="s">
        <v>197</v>
      </c>
      <c r="F410" s="34" t="s">
        <v>36</v>
      </c>
      <c r="G410" s="37" t="n">
        <v>186</v>
      </c>
      <c r="H410" s="37" t="n">
        <v>37</v>
      </c>
      <c r="I410" s="37" t="n">
        <f aca="false">IFERROR(ROUND('Data Bulanan'!DC86,0),0)</f>
        <v>1029</v>
      </c>
      <c r="J410" s="37" t="n">
        <v>6233742</v>
      </c>
      <c r="K410" s="37" t="n">
        <v>569103</v>
      </c>
      <c r="L410" s="38" t="n">
        <f aca="false">IFERROR(ROUND(SQRT(2*I410*J410/K410),0),0)</f>
        <v>150</v>
      </c>
      <c r="M410" s="39" t="n">
        <f aca="false">IFERROR(AVERAGE('Data Bulanan'!CF86,'Data Bulanan'!CH86,'Data Bulanan'!CJ86,'Data Bulanan'!CL86,'Data Bulanan'!CN86,'Data Bulanan'!CP86,'Data Bulanan'!CR86,'Data Bulanan'!CT86,'Data Bulanan'!CV86,'Data Bulanan'!CX86,'Data Bulanan'!CZ86,'Data Bulanan'!DB86),0)</f>
        <v>2.74180747567844</v>
      </c>
      <c r="N410" s="40" t="n">
        <f aca="false">'Data Bulanan'!DD86</f>
        <v>0.814890309499909</v>
      </c>
      <c r="O410" s="41" t="n">
        <f aca="false">IFERROR(N410*SQRT(H410),0)</f>
        <v>4.95678424092916</v>
      </c>
      <c r="P410" s="42" t="n">
        <f aca="false">IFERROR(ROUND(1.65*O410,0),0)</f>
        <v>8</v>
      </c>
      <c r="Q410" s="43" t="n">
        <f aca="false">IFERROR(ROUND(M410*H410+P410,0),0)</f>
        <v>109</v>
      </c>
      <c r="R410" s="44" t="n">
        <f aca="false">G410-Q410</f>
        <v>77</v>
      </c>
      <c r="S410" s="45" t="str">
        <f aca="false">IF(G410=0,"Stockout ⚠",IF(G410&lt;Q410,"Reorder 🔄",IF(G410&gt;Q410+L410,"Overstock 📦","Aman ✅")))</f>
        <v>Aman ✅</v>
      </c>
      <c r="T410" s="46" t="n">
        <f aca="false">IFERROR(N410/AVERAGE(M407:M411),0)</f>
        <v>0.297111787341433</v>
      </c>
      <c r="U410" s="47" t="n">
        <v>-0.29</v>
      </c>
      <c r="V410" s="48" t="n">
        <v>0.1351</v>
      </c>
    </row>
    <row r="411" customFormat="false" ht="15" hidden="false" customHeight="true" outlineLevel="0" collapsed="false">
      <c r="A411" s="34" t="n">
        <v>5</v>
      </c>
      <c r="B411" s="35" t="n">
        <v>2025</v>
      </c>
      <c r="C411" s="34" t="s">
        <v>264</v>
      </c>
      <c r="D411" s="34" t="s">
        <v>196</v>
      </c>
      <c r="E411" s="36" t="s">
        <v>197</v>
      </c>
      <c r="F411" s="34" t="s">
        <v>36</v>
      </c>
      <c r="G411" s="37" t="n">
        <v>270</v>
      </c>
      <c r="H411" s="37" t="n">
        <v>37</v>
      </c>
      <c r="I411" s="37" t="n">
        <f aca="false">IFERROR(ROUND('Data Bulanan'!EC86,0),0)</f>
        <v>1030</v>
      </c>
      <c r="J411" s="37" t="n">
        <v>7117130</v>
      </c>
      <c r="K411" s="37" t="n">
        <v>473427</v>
      </c>
      <c r="L411" s="38" t="n">
        <f aca="false">IFERROR(ROUND(SQRT(2*I411*J411/K411),0),0)</f>
        <v>176</v>
      </c>
      <c r="M411" s="39" t="n">
        <f aca="false">IFERROR(AVERAGE('Data Bulanan'!DF86,'Data Bulanan'!DH86,'Data Bulanan'!DJ86,'Data Bulanan'!DL86,'Data Bulanan'!DN86,'Data Bulanan'!DP86,'Data Bulanan'!DR86,'Data Bulanan'!DT86,'Data Bulanan'!DV86,'Data Bulanan'!DX86,'Data Bulanan'!DZ86,'Data Bulanan'!EB86),0)</f>
        <v>2.73683435739887</v>
      </c>
      <c r="N411" s="40" t="n">
        <f aca="false">'Data Bulanan'!ED86</f>
        <v>0.451840991682082</v>
      </c>
      <c r="O411" s="41" t="n">
        <f aca="false">IFERROR(N411*SQRT(H411),0)</f>
        <v>2.74844145385656</v>
      </c>
      <c r="P411" s="42" t="n">
        <f aca="false">IFERROR(ROUND(1.65*O411,0),0)</f>
        <v>5</v>
      </c>
      <c r="Q411" s="43" t="n">
        <f aca="false">IFERROR(ROUND(M411*H411+P411,0),0)</f>
        <v>106</v>
      </c>
      <c r="R411" s="44" t="n">
        <f aca="false">G411-Q411</f>
        <v>164</v>
      </c>
      <c r="S411" s="45" t="str">
        <f aca="false">IF(G411=0,"Stockout ⚠",IF(G411&lt;Q411,"Reorder 🔄",IF(G411&gt;Q411+L411,"Overstock 📦","Aman ✅")))</f>
        <v>Aman ✅</v>
      </c>
      <c r="T411" s="46" t="n">
        <f aca="false">IFERROR(N411/AVERAGE(M407:M411),0)</f>
        <v>0.16474276729978</v>
      </c>
      <c r="U411" s="47" t="n">
        <v>-0.29</v>
      </c>
      <c r="V411" s="48" t="n">
        <v>0.1351</v>
      </c>
    </row>
    <row r="412" customFormat="false" ht="15" hidden="false" customHeight="true" outlineLevel="0" collapsed="false">
      <c r="A412" s="49" t="n">
        <v>1</v>
      </c>
      <c r="B412" s="35" t="n">
        <v>2021</v>
      </c>
      <c r="C412" s="49" t="s">
        <v>264</v>
      </c>
      <c r="D412" s="49" t="s">
        <v>198</v>
      </c>
      <c r="E412" s="50" t="s">
        <v>199</v>
      </c>
      <c r="F412" s="49" t="s">
        <v>36</v>
      </c>
      <c r="G412" s="37" t="n">
        <v>16893</v>
      </c>
      <c r="H412" s="37" t="n">
        <v>43</v>
      </c>
      <c r="I412" s="37" t="n">
        <f aca="false">IFERROR(ROUND('Data Bulanan'!AC87,0),0)</f>
        <v>32292</v>
      </c>
      <c r="J412" s="37" t="n">
        <v>4760073</v>
      </c>
      <c r="K412" s="37" t="n">
        <v>405922</v>
      </c>
      <c r="L412" s="38" t="n">
        <f aca="false">IFERROR(ROUND(SQRT(2*I412*J412/K412),0),0)</f>
        <v>870</v>
      </c>
      <c r="M412" s="39" t="n">
        <f aca="false">IFERROR(AVERAGE('Data Bulanan'!F87,'Data Bulanan'!H87,'Data Bulanan'!J87,'Data Bulanan'!L87,'Data Bulanan'!N87,'Data Bulanan'!P87,'Data Bulanan'!R87,'Data Bulanan'!T87,'Data Bulanan'!V87,'Data Bulanan'!X87,'Data Bulanan'!Z87,'Data Bulanan'!AB87),0)</f>
        <v>86.1203981054787</v>
      </c>
      <c r="N412" s="40" t="n">
        <f aca="false">'Data Bulanan'!AD87</f>
        <v>17.6005117117173</v>
      </c>
      <c r="O412" s="41" t="n">
        <f aca="false">IFERROR(N412*SQRT(H412),0)</f>
        <v>115.414273545844</v>
      </c>
      <c r="P412" s="42" t="n">
        <f aca="false">IFERROR(ROUND(1.65*O412,0),0)</f>
        <v>190</v>
      </c>
      <c r="Q412" s="43" t="n">
        <f aca="false">IFERROR(ROUND(M412*H412+P412,0),0)</f>
        <v>3893</v>
      </c>
      <c r="R412" s="44" t="n">
        <f aca="false">G412-Q412</f>
        <v>13000</v>
      </c>
      <c r="S412" s="45" t="str">
        <f aca="false">IF(G412=0,"Stockout ⚠",IF(G412&lt;Q412,"Reorder 🔄",IF(G412&gt;Q412+L412,"Overstock 📦","Aman ✅")))</f>
        <v>Overstock 📦</v>
      </c>
      <c r="T412" s="46" t="n">
        <f aca="false">IFERROR(N412/AVERAGE(M412:M416),0)</f>
        <v>0.189914423218226</v>
      </c>
      <c r="U412" s="47" t="n">
        <v>479.58</v>
      </c>
      <c r="V412" s="48" t="n">
        <v>0.0552</v>
      </c>
    </row>
    <row r="413" customFormat="false" ht="15" hidden="false" customHeight="true" outlineLevel="0" collapsed="false">
      <c r="A413" s="49" t="n">
        <v>2</v>
      </c>
      <c r="B413" s="35" t="n">
        <v>2022</v>
      </c>
      <c r="C413" s="49" t="s">
        <v>264</v>
      </c>
      <c r="D413" s="49" t="s">
        <v>198</v>
      </c>
      <c r="E413" s="50" t="s">
        <v>199</v>
      </c>
      <c r="F413" s="49" t="s">
        <v>36</v>
      </c>
      <c r="G413" s="37" t="n">
        <v>0</v>
      </c>
      <c r="H413" s="37" t="n">
        <v>43</v>
      </c>
      <c r="I413" s="37" t="n">
        <f aca="false">IFERROR(ROUND('Data Bulanan'!BC87,0),0)</f>
        <v>32810</v>
      </c>
      <c r="J413" s="37" t="n">
        <v>5457461</v>
      </c>
      <c r="K413" s="37" t="n">
        <v>352041</v>
      </c>
      <c r="L413" s="38" t="n">
        <f aca="false">IFERROR(ROUND(SQRT(2*I413*J413/K413),0),0)</f>
        <v>1009</v>
      </c>
      <c r="M413" s="39" t="n">
        <f aca="false">IFERROR(AVERAGE('Data Bulanan'!AF87,'Data Bulanan'!AH87,'Data Bulanan'!AJ87,'Data Bulanan'!AL87,'Data Bulanan'!AN87,'Data Bulanan'!AP87,'Data Bulanan'!AR87,'Data Bulanan'!AT87,'Data Bulanan'!AV87,'Data Bulanan'!AX87,'Data Bulanan'!AZ87,'Data Bulanan'!BB87),0)</f>
        <v>87.3534946236559</v>
      </c>
      <c r="N413" s="40" t="n">
        <f aca="false">'Data Bulanan'!BD87</f>
        <v>17.219649001609</v>
      </c>
      <c r="O413" s="41" t="n">
        <f aca="false">IFERROR(N413*SQRT(H413),0)</f>
        <v>112.916789738109</v>
      </c>
      <c r="P413" s="42" t="n">
        <f aca="false">IFERROR(ROUND(1.65*O413,0),0)</f>
        <v>186</v>
      </c>
      <c r="Q413" s="43" t="n">
        <f aca="false">IFERROR(ROUND(M413*H413+P413,0),0)</f>
        <v>3942</v>
      </c>
      <c r="R413" s="44" t="n">
        <f aca="false">G413-Q413</f>
        <v>-3942</v>
      </c>
      <c r="S413" s="45" t="str">
        <f aca="false">IF(G413=0,"Stockout ⚠",IF(G413&lt;Q413,"Reorder 🔄",IF(G413&gt;Q413+L413,"Overstock 📦","Aman ✅")))</f>
        <v>Stockout ⚠</v>
      </c>
      <c r="T413" s="46" t="n">
        <f aca="false">IFERROR(N413/AVERAGE(M412:M416),0)</f>
        <v>0.185804808503592</v>
      </c>
      <c r="U413" s="47" t="n">
        <v>479.58</v>
      </c>
      <c r="V413" s="48" t="n">
        <v>0.0552</v>
      </c>
    </row>
    <row r="414" customFormat="false" ht="15" hidden="false" customHeight="true" outlineLevel="0" collapsed="false">
      <c r="A414" s="49" t="n">
        <v>3</v>
      </c>
      <c r="B414" s="35" t="n">
        <v>2023</v>
      </c>
      <c r="C414" s="49" t="s">
        <v>264</v>
      </c>
      <c r="D414" s="49" t="s">
        <v>198</v>
      </c>
      <c r="E414" s="50" t="s">
        <v>199</v>
      </c>
      <c r="F414" s="49" t="s">
        <v>36</v>
      </c>
      <c r="G414" s="37" t="n">
        <v>0</v>
      </c>
      <c r="H414" s="37" t="n">
        <v>43</v>
      </c>
      <c r="I414" s="37" t="n">
        <f aca="false">IFERROR(ROUND('Data Bulanan'!CC87,0),0)</f>
        <v>40304</v>
      </c>
      <c r="J414" s="37" t="n">
        <v>4614304</v>
      </c>
      <c r="K414" s="37" t="n">
        <v>423396</v>
      </c>
      <c r="L414" s="38" t="n">
        <f aca="false">IFERROR(ROUND(SQRT(2*I414*J414/K414),0),0)</f>
        <v>937</v>
      </c>
      <c r="M414" s="39" t="n">
        <f aca="false">IFERROR(AVERAGE('Data Bulanan'!BF87,'Data Bulanan'!BH87,'Data Bulanan'!BJ87,'Data Bulanan'!BL87,'Data Bulanan'!BN87,'Data Bulanan'!BP87,'Data Bulanan'!BR87,'Data Bulanan'!BT87,'Data Bulanan'!BV87,'Data Bulanan'!BX87,'Data Bulanan'!BZ87,'Data Bulanan'!CB87),0)</f>
        <v>107.486578341014</v>
      </c>
      <c r="N414" s="40" t="n">
        <f aca="false">'Data Bulanan'!CD87</f>
        <v>27.6004740391152</v>
      </c>
      <c r="O414" s="41" t="n">
        <f aca="false">IFERROR(N414*SQRT(H414),0)</f>
        <v>180.988411753092</v>
      </c>
      <c r="P414" s="42" t="n">
        <f aca="false">IFERROR(ROUND(1.65*O414,0),0)</f>
        <v>299</v>
      </c>
      <c r="Q414" s="43" t="n">
        <f aca="false">IFERROR(ROUND(M414*H414+P414,0),0)</f>
        <v>4921</v>
      </c>
      <c r="R414" s="44" t="n">
        <f aca="false">G414-Q414</f>
        <v>-4921</v>
      </c>
      <c r="S414" s="45" t="str">
        <f aca="false">IF(G414=0,"Stockout ⚠",IF(G414&lt;Q414,"Reorder 🔄",IF(G414&gt;Q414+L414,"Overstock 📦","Aman ✅")))</f>
        <v>Stockout ⚠</v>
      </c>
      <c r="T414" s="46" t="n">
        <f aca="false">IFERROR(N414/AVERAGE(M412:M416),0)</f>
        <v>0.297816801780744</v>
      </c>
      <c r="U414" s="47" t="n">
        <v>479.58</v>
      </c>
      <c r="V414" s="48" t="n">
        <v>0.0552</v>
      </c>
    </row>
    <row r="415" customFormat="false" ht="15" hidden="false" customHeight="true" outlineLevel="0" collapsed="false">
      <c r="A415" s="49" t="n">
        <v>4</v>
      </c>
      <c r="B415" s="35" t="n">
        <v>2024</v>
      </c>
      <c r="C415" s="49" t="s">
        <v>264</v>
      </c>
      <c r="D415" s="49" t="s">
        <v>198</v>
      </c>
      <c r="E415" s="50" t="s">
        <v>199</v>
      </c>
      <c r="F415" s="49" t="s">
        <v>36</v>
      </c>
      <c r="G415" s="37" t="n">
        <v>9287</v>
      </c>
      <c r="H415" s="37" t="n">
        <v>43</v>
      </c>
      <c r="I415" s="37" t="n">
        <f aca="false">IFERROR(ROUND('Data Bulanan'!DC87,0),0)</f>
        <v>34731</v>
      </c>
      <c r="J415" s="37" t="n">
        <v>5490572</v>
      </c>
      <c r="K415" s="37" t="n">
        <v>384948</v>
      </c>
      <c r="L415" s="38" t="n">
        <f aca="false">IFERROR(ROUND(SQRT(2*I415*J415/K415),0),0)</f>
        <v>995</v>
      </c>
      <c r="M415" s="39" t="n">
        <f aca="false">IFERROR(AVERAGE('Data Bulanan'!CF87,'Data Bulanan'!CH87,'Data Bulanan'!CJ87,'Data Bulanan'!CL87,'Data Bulanan'!CN87,'Data Bulanan'!CP87,'Data Bulanan'!CR87,'Data Bulanan'!CT87,'Data Bulanan'!CV87,'Data Bulanan'!CX87,'Data Bulanan'!CZ87,'Data Bulanan'!DB87),0)</f>
        <v>92.557859703021</v>
      </c>
      <c r="N415" s="40" t="n">
        <f aca="false">'Data Bulanan'!DD87</f>
        <v>21.1783698193857</v>
      </c>
      <c r="O415" s="41" t="n">
        <f aca="false">IFERROR(N415*SQRT(H415),0)</f>
        <v>138.875858135554</v>
      </c>
      <c r="P415" s="42" t="n">
        <f aca="false">IFERROR(ROUND(1.65*O415,0),0)</f>
        <v>229</v>
      </c>
      <c r="Q415" s="43" t="n">
        <f aca="false">IFERROR(ROUND(M415*H415+P415,0),0)</f>
        <v>4209</v>
      </c>
      <c r="R415" s="44" t="n">
        <f aca="false">G415-Q415</f>
        <v>5078</v>
      </c>
      <c r="S415" s="45" t="str">
        <f aca="false">IF(G415=0,"Stockout ⚠",IF(G415&lt;Q415,"Reorder 🔄",IF(G415&gt;Q415+L415,"Overstock 📦","Aman ✅")))</f>
        <v>Overstock 📦</v>
      </c>
      <c r="T415" s="46" t="n">
        <f aca="false">IFERROR(N415/AVERAGE(M412:M416),0)</f>
        <v>0.228520508655056</v>
      </c>
      <c r="U415" s="47" t="n">
        <v>479.58</v>
      </c>
      <c r="V415" s="48" t="n">
        <v>0.0552</v>
      </c>
    </row>
    <row r="416" customFormat="false" ht="15" hidden="false" customHeight="true" outlineLevel="0" collapsed="false">
      <c r="A416" s="49" t="n">
        <v>5</v>
      </c>
      <c r="B416" s="35" t="n">
        <v>2025</v>
      </c>
      <c r="C416" s="49" t="s">
        <v>264</v>
      </c>
      <c r="D416" s="49" t="s">
        <v>198</v>
      </c>
      <c r="E416" s="50" t="s">
        <v>199</v>
      </c>
      <c r="F416" s="49" t="s">
        <v>36</v>
      </c>
      <c r="G416" s="37" t="n">
        <v>19459</v>
      </c>
      <c r="H416" s="37" t="n">
        <v>43</v>
      </c>
      <c r="I416" s="37" t="n">
        <f aca="false">IFERROR(ROUND('Data Bulanan'!EC87,0),0)</f>
        <v>33729</v>
      </c>
      <c r="J416" s="37" t="n">
        <v>4633746</v>
      </c>
      <c r="K416" s="37" t="n">
        <v>367816</v>
      </c>
      <c r="L416" s="38" t="n">
        <f aca="false">IFERROR(ROUND(SQRT(2*I416*J416/K416),0),0)</f>
        <v>922</v>
      </c>
      <c r="M416" s="39" t="n">
        <f aca="false">IFERROR(AVERAGE('Data Bulanan'!DF87,'Data Bulanan'!DH87,'Data Bulanan'!DJ87,'Data Bulanan'!DL87,'Data Bulanan'!DN87,'Data Bulanan'!DP87,'Data Bulanan'!DR87,'Data Bulanan'!DT87,'Data Bulanan'!DV87,'Data Bulanan'!DX87,'Data Bulanan'!DZ87,'Data Bulanan'!EB87),0)</f>
        <v>89.8617383512545</v>
      </c>
      <c r="N416" s="40" t="n">
        <f aca="false">'Data Bulanan'!ED87</f>
        <v>14.9213407955531</v>
      </c>
      <c r="O416" s="41" t="n">
        <f aca="false">IFERROR(N416*SQRT(H416),0)</f>
        <v>97.8457749669992</v>
      </c>
      <c r="P416" s="42" t="n">
        <f aca="false">IFERROR(ROUND(1.65*O416,0),0)</f>
        <v>161</v>
      </c>
      <c r="Q416" s="43" t="n">
        <f aca="false">IFERROR(ROUND(M416*H416+P416,0),0)</f>
        <v>4025</v>
      </c>
      <c r="R416" s="44" t="n">
        <f aca="false">G416-Q416</f>
        <v>15434</v>
      </c>
      <c r="S416" s="45" t="str">
        <f aca="false">IF(G416=0,"Stockout ⚠",IF(G416&lt;Q416,"Reorder 🔄",IF(G416&gt;Q416+L416,"Overstock 📦","Aman ✅")))</f>
        <v>Overstock 📦</v>
      </c>
      <c r="T416" s="46" t="n">
        <f aca="false">IFERROR(N416/AVERAGE(M412:M416),0)</f>
        <v>0.161005422867535</v>
      </c>
      <c r="U416" s="47" t="n">
        <v>479.58</v>
      </c>
      <c r="V416" s="48" t="n">
        <v>0.0552</v>
      </c>
    </row>
    <row r="417" customFormat="false" ht="15" hidden="false" customHeight="true" outlineLevel="0" collapsed="false">
      <c r="A417" s="34" t="n">
        <v>1</v>
      </c>
      <c r="B417" s="35" t="n">
        <v>2021</v>
      </c>
      <c r="C417" s="34" t="s">
        <v>264</v>
      </c>
      <c r="D417" s="34" t="s">
        <v>200</v>
      </c>
      <c r="E417" s="36" t="s">
        <v>201</v>
      </c>
      <c r="F417" s="34" t="s">
        <v>36</v>
      </c>
      <c r="G417" s="37" t="n">
        <v>2130</v>
      </c>
      <c r="H417" s="37" t="n">
        <v>8</v>
      </c>
      <c r="I417" s="37" t="n">
        <f aca="false">IFERROR(ROUND('Data Bulanan'!AC88,0),0)</f>
        <v>19262</v>
      </c>
      <c r="J417" s="37" t="n">
        <v>1046086</v>
      </c>
      <c r="K417" s="37" t="n">
        <v>455301</v>
      </c>
      <c r="L417" s="38" t="n">
        <f aca="false">IFERROR(ROUND(SQRT(2*I417*J417/K417),0),0)</f>
        <v>298</v>
      </c>
      <c r="M417" s="39" t="n">
        <f aca="false">IFERROR(AVERAGE('Data Bulanan'!F88,'Data Bulanan'!H88,'Data Bulanan'!J88,'Data Bulanan'!L88,'Data Bulanan'!N88,'Data Bulanan'!P88,'Data Bulanan'!R88,'Data Bulanan'!T88,'Data Bulanan'!V88,'Data Bulanan'!X88,'Data Bulanan'!Z88,'Data Bulanan'!AB88),0)</f>
        <v>51.4308435739887</v>
      </c>
      <c r="N417" s="40" t="n">
        <f aca="false">'Data Bulanan'!AD88</f>
        <v>13.2215993009682</v>
      </c>
      <c r="O417" s="41" t="n">
        <f aca="false">IFERROR(N417*SQRT(H417),0)</f>
        <v>37.3963300953836</v>
      </c>
      <c r="P417" s="42" t="n">
        <f aca="false">IFERROR(ROUND(1.65*O417,0),0)</f>
        <v>62</v>
      </c>
      <c r="Q417" s="43" t="n">
        <f aca="false">IFERROR(ROUND(M417*H417+P417,0),0)</f>
        <v>473</v>
      </c>
      <c r="R417" s="44" t="n">
        <f aca="false">G417-Q417</f>
        <v>1657</v>
      </c>
      <c r="S417" s="45" t="str">
        <f aca="false">IF(G417=0,"Stockout ⚠",IF(G417&lt;Q417,"Reorder 🔄",IF(G417&gt;Q417+L417,"Overstock 📦","Aman ✅")))</f>
        <v>Overstock 📦</v>
      </c>
      <c r="T417" s="46" t="n">
        <f aca="false">IFERROR(N417/AVERAGE(M417:M421),0)</f>
        <v>0.268574405870648</v>
      </c>
      <c r="U417" s="47" t="n">
        <v>428.11</v>
      </c>
      <c r="V417" s="48" t="n">
        <v>0.18</v>
      </c>
    </row>
    <row r="418" customFormat="false" ht="15" hidden="false" customHeight="true" outlineLevel="0" collapsed="false">
      <c r="A418" s="34" t="n">
        <v>2</v>
      </c>
      <c r="B418" s="35" t="n">
        <v>2022</v>
      </c>
      <c r="C418" s="34" t="s">
        <v>264</v>
      </c>
      <c r="D418" s="34" t="s">
        <v>200</v>
      </c>
      <c r="E418" s="36" t="s">
        <v>201</v>
      </c>
      <c r="F418" s="34" t="s">
        <v>36</v>
      </c>
      <c r="G418" s="37" t="n">
        <v>1488</v>
      </c>
      <c r="H418" s="37" t="n">
        <v>8</v>
      </c>
      <c r="I418" s="37" t="n">
        <f aca="false">IFERROR(ROUND('Data Bulanan'!BC88,0),0)</f>
        <v>16002</v>
      </c>
      <c r="J418" s="37" t="n">
        <v>1054938</v>
      </c>
      <c r="K418" s="37" t="n">
        <v>507663</v>
      </c>
      <c r="L418" s="38" t="n">
        <f aca="false">IFERROR(ROUND(SQRT(2*I418*J418/K418),0),0)</f>
        <v>258</v>
      </c>
      <c r="M418" s="39" t="n">
        <f aca="false">IFERROR(AVERAGE('Data Bulanan'!AF88,'Data Bulanan'!AH88,'Data Bulanan'!AJ88,'Data Bulanan'!AL88,'Data Bulanan'!AN88,'Data Bulanan'!AP88,'Data Bulanan'!AR88,'Data Bulanan'!AT88,'Data Bulanan'!AV88,'Data Bulanan'!AX88,'Data Bulanan'!AZ88,'Data Bulanan'!BB88),0)</f>
        <v>42.5031746031746</v>
      </c>
      <c r="N418" s="40" t="n">
        <f aca="false">'Data Bulanan'!BD88</f>
        <v>9.54248922113805</v>
      </c>
      <c r="O418" s="41" t="n">
        <f aca="false">IFERROR(N418*SQRT(H418),0)</f>
        <v>26.990235350665</v>
      </c>
      <c r="P418" s="42" t="n">
        <f aca="false">IFERROR(ROUND(1.65*O418,0),0)</f>
        <v>45</v>
      </c>
      <c r="Q418" s="43" t="n">
        <f aca="false">IFERROR(ROUND(M418*H418+P418,0),0)</f>
        <v>385</v>
      </c>
      <c r="R418" s="44" t="n">
        <f aca="false">G418-Q418</f>
        <v>1103</v>
      </c>
      <c r="S418" s="45" t="str">
        <f aca="false">IF(G418=0,"Stockout ⚠",IF(G418&lt;Q418,"Reorder 🔄",IF(G418&gt;Q418+L418,"Overstock 📦","Aman ✅")))</f>
        <v>Overstock 📦</v>
      </c>
      <c r="T418" s="46" t="n">
        <f aca="false">IFERROR(N418/AVERAGE(M417:M421),0)</f>
        <v>0.193839513265732</v>
      </c>
      <c r="U418" s="47" t="n">
        <v>428.11</v>
      </c>
      <c r="V418" s="48" t="n">
        <v>0.18</v>
      </c>
    </row>
    <row r="419" customFormat="false" ht="15" hidden="false" customHeight="true" outlineLevel="0" collapsed="false">
      <c r="A419" s="34" t="n">
        <v>3</v>
      </c>
      <c r="B419" s="35" t="n">
        <v>2023</v>
      </c>
      <c r="C419" s="34" t="s">
        <v>264</v>
      </c>
      <c r="D419" s="34" t="s">
        <v>200</v>
      </c>
      <c r="E419" s="36" t="s">
        <v>201</v>
      </c>
      <c r="F419" s="34" t="s">
        <v>36</v>
      </c>
      <c r="G419" s="37" t="n">
        <v>1257</v>
      </c>
      <c r="H419" s="37" t="n">
        <v>8</v>
      </c>
      <c r="I419" s="37" t="n">
        <f aca="false">IFERROR(ROUND('Data Bulanan'!CC88,0),0)</f>
        <v>18712</v>
      </c>
      <c r="J419" s="37" t="n">
        <v>1118361</v>
      </c>
      <c r="K419" s="37" t="n">
        <v>502379</v>
      </c>
      <c r="L419" s="38" t="n">
        <f aca="false">IFERROR(ROUND(SQRT(2*I419*J419/K419),0),0)</f>
        <v>289</v>
      </c>
      <c r="M419" s="39" t="n">
        <f aca="false">IFERROR(AVERAGE('Data Bulanan'!BF88,'Data Bulanan'!BH88,'Data Bulanan'!BJ88,'Data Bulanan'!BL88,'Data Bulanan'!BN88,'Data Bulanan'!BP88,'Data Bulanan'!BR88,'Data Bulanan'!BT88,'Data Bulanan'!BV88,'Data Bulanan'!BX88,'Data Bulanan'!BZ88,'Data Bulanan'!CB88),0)</f>
        <v>49.8504160266257</v>
      </c>
      <c r="N419" s="40" t="n">
        <f aca="false">'Data Bulanan'!CD88</f>
        <v>11.8291984779757</v>
      </c>
      <c r="O419" s="41" t="n">
        <f aca="false">IFERROR(N419*SQRT(H419),0)</f>
        <v>33.4580258391127</v>
      </c>
      <c r="P419" s="42" t="n">
        <f aca="false">IFERROR(ROUND(1.65*O419,0),0)</f>
        <v>55</v>
      </c>
      <c r="Q419" s="43" t="n">
        <f aca="false">IFERROR(ROUND(M419*H419+P419,0),0)</f>
        <v>454</v>
      </c>
      <c r="R419" s="44" t="n">
        <f aca="false">G419-Q419</f>
        <v>803</v>
      </c>
      <c r="S419" s="45" t="str">
        <f aca="false">IF(G419=0,"Stockout ⚠",IF(G419&lt;Q419,"Reorder 🔄",IF(G419&gt;Q419+L419,"Overstock 📦","Aman ✅")))</f>
        <v>Overstock 📦</v>
      </c>
      <c r="T419" s="46" t="n">
        <f aca="false">IFERROR(N419/AVERAGE(M417:M421),0)</f>
        <v>0.240290140460969</v>
      </c>
      <c r="U419" s="47" t="n">
        <v>428.11</v>
      </c>
      <c r="V419" s="48" t="n">
        <v>0.18</v>
      </c>
    </row>
    <row r="420" customFormat="false" ht="15" hidden="false" customHeight="true" outlineLevel="0" collapsed="false">
      <c r="A420" s="34" t="n">
        <v>4</v>
      </c>
      <c r="B420" s="35" t="n">
        <v>2024</v>
      </c>
      <c r="C420" s="34" t="s">
        <v>264</v>
      </c>
      <c r="D420" s="34" t="s">
        <v>200</v>
      </c>
      <c r="E420" s="36" t="s">
        <v>201</v>
      </c>
      <c r="F420" s="34" t="s">
        <v>36</v>
      </c>
      <c r="G420" s="37" t="n">
        <v>1181</v>
      </c>
      <c r="H420" s="37" t="n">
        <v>8</v>
      </c>
      <c r="I420" s="37" t="n">
        <f aca="false">IFERROR(ROUND('Data Bulanan'!DC88,0),0)</f>
        <v>18211</v>
      </c>
      <c r="J420" s="37" t="n">
        <v>1159765</v>
      </c>
      <c r="K420" s="37" t="n">
        <v>454942</v>
      </c>
      <c r="L420" s="38" t="n">
        <f aca="false">IFERROR(ROUND(SQRT(2*I420*J420/K420),0),0)</f>
        <v>305</v>
      </c>
      <c r="M420" s="39" t="n">
        <f aca="false">IFERROR(AVERAGE('Data Bulanan'!CF88,'Data Bulanan'!CH88,'Data Bulanan'!CJ88,'Data Bulanan'!CL88,'Data Bulanan'!CN88,'Data Bulanan'!CP88,'Data Bulanan'!CR88,'Data Bulanan'!CT88,'Data Bulanan'!CV88,'Data Bulanan'!CX88,'Data Bulanan'!CZ88,'Data Bulanan'!DB88),0)</f>
        <v>48.3284562211982</v>
      </c>
      <c r="N420" s="40" t="n">
        <f aca="false">'Data Bulanan'!DD88</f>
        <v>10.5569561659016</v>
      </c>
      <c r="O420" s="41" t="n">
        <f aca="false">IFERROR(N420*SQRT(H420),0)</f>
        <v>29.8595811743927</v>
      </c>
      <c r="P420" s="42" t="n">
        <f aca="false">IFERROR(ROUND(1.65*O420,0),0)</f>
        <v>49</v>
      </c>
      <c r="Q420" s="43" t="n">
        <f aca="false">IFERROR(ROUND(M420*H420+P420,0),0)</f>
        <v>436</v>
      </c>
      <c r="R420" s="44" t="n">
        <f aca="false">G420-Q420</f>
        <v>745</v>
      </c>
      <c r="S420" s="45" t="str">
        <f aca="false">IF(G420=0,"Stockout ⚠",IF(G420&lt;Q420,"Reorder 🔄",IF(G420&gt;Q420+L420,"Overstock 📦","Aman ✅")))</f>
        <v>Overstock 📦</v>
      </c>
      <c r="T420" s="46" t="n">
        <f aca="false">IFERROR(N420/AVERAGE(M417:M421),0)</f>
        <v>0.214446691774412</v>
      </c>
      <c r="U420" s="47" t="n">
        <v>428.11</v>
      </c>
      <c r="V420" s="48" t="n">
        <v>0.18</v>
      </c>
    </row>
    <row r="421" customFormat="false" ht="15" hidden="false" customHeight="true" outlineLevel="0" collapsed="false">
      <c r="A421" s="34" t="n">
        <v>5</v>
      </c>
      <c r="B421" s="35" t="n">
        <v>2025</v>
      </c>
      <c r="C421" s="34" t="s">
        <v>264</v>
      </c>
      <c r="D421" s="34" t="s">
        <v>200</v>
      </c>
      <c r="E421" s="36" t="s">
        <v>201</v>
      </c>
      <c r="F421" s="34" t="s">
        <v>36</v>
      </c>
      <c r="G421" s="37" t="n">
        <v>673</v>
      </c>
      <c r="H421" s="37" t="n">
        <v>8</v>
      </c>
      <c r="I421" s="37" t="n">
        <f aca="false">IFERROR(ROUND('Data Bulanan'!EC88,0),0)</f>
        <v>20298</v>
      </c>
      <c r="J421" s="37" t="n">
        <v>960256</v>
      </c>
      <c r="K421" s="37" t="n">
        <v>427998</v>
      </c>
      <c r="L421" s="38" t="n">
        <f aca="false">IFERROR(ROUND(SQRT(2*I421*J421/K421),0),0)</f>
        <v>302</v>
      </c>
      <c r="M421" s="39" t="n">
        <f aca="false">IFERROR(AVERAGE('Data Bulanan'!DF88,'Data Bulanan'!DH88,'Data Bulanan'!DJ88,'Data Bulanan'!DL88,'Data Bulanan'!DN88,'Data Bulanan'!DP88,'Data Bulanan'!DR88,'Data Bulanan'!DT88,'Data Bulanan'!DV88,'Data Bulanan'!DX88,'Data Bulanan'!DZ88,'Data Bulanan'!EB88),0)</f>
        <v>54.0311763952893</v>
      </c>
      <c r="N421" s="40" t="n">
        <f aca="false">'Data Bulanan'!ED88</f>
        <v>11.7100144963529</v>
      </c>
      <c r="O421" s="41" t="n">
        <f aca="false">IFERROR(N421*SQRT(H421),0)</f>
        <v>33.1209226326557</v>
      </c>
      <c r="P421" s="42" t="n">
        <f aca="false">IFERROR(ROUND(1.65*O421,0),0)</f>
        <v>55</v>
      </c>
      <c r="Q421" s="43" t="n">
        <f aca="false">IFERROR(ROUND(M421*H421+P421,0),0)</f>
        <v>487</v>
      </c>
      <c r="R421" s="44" t="n">
        <f aca="false">G421-Q421</f>
        <v>186</v>
      </c>
      <c r="S421" s="45" t="str">
        <f aca="false">IF(G421=0,"Stockout ⚠",IF(G421&lt;Q421,"Reorder 🔄",IF(G421&gt;Q421+L421,"Overstock 📦","Aman ✅")))</f>
        <v>Aman ✅</v>
      </c>
      <c r="T421" s="46" t="n">
        <f aca="false">IFERROR(N421/AVERAGE(M417:M421),0)</f>
        <v>0.237869119650628</v>
      </c>
      <c r="U421" s="47" t="n">
        <v>428.11</v>
      </c>
      <c r="V421" s="48" t="n">
        <v>0.18</v>
      </c>
    </row>
    <row r="422" customFormat="false" ht="15" hidden="false" customHeight="true" outlineLevel="0" collapsed="false">
      <c r="A422" s="49" t="n">
        <v>1</v>
      </c>
      <c r="B422" s="35" t="n">
        <v>2021</v>
      </c>
      <c r="C422" s="49" t="s">
        <v>264</v>
      </c>
      <c r="D422" s="49" t="s">
        <v>202</v>
      </c>
      <c r="E422" s="50" t="s">
        <v>203</v>
      </c>
      <c r="F422" s="49" t="s">
        <v>36</v>
      </c>
      <c r="G422" s="37" t="n">
        <v>1916</v>
      </c>
      <c r="H422" s="37" t="n">
        <v>7</v>
      </c>
      <c r="I422" s="37" t="n">
        <f aca="false">IFERROR(ROUND('Data Bulanan'!AC89,0),0)</f>
        <v>52183</v>
      </c>
      <c r="J422" s="37" t="n">
        <v>623884</v>
      </c>
      <c r="K422" s="37" t="n">
        <v>276879</v>
      </c>
      <c r="L422" s="38" t="n">
        <f aca="false">IFERROR(ROUND(SQRT(2*I422*J422/K422),0),0)</f>
        <v>485</v>
      </c>
      <c r="M422" s="39" t="n">
        <f aca="false">IFERROR(AVERAGE('Data Bulanan'!F89,'Data Bulanan'!H89,'Data Bulanan'!J89,'Data Bulanan'!L89,'Data Bulanan'!N89,'Data Bulanan'!P89,'Data Bulanan'!R89,'Data Bulanan'!T89,'Data Bulanan'!V89,'Data Bulanan'!X89,'Data Bulanan'!Z89,'Data Bulanan'!AB89),0)</f>
        <v>138.632174859191</v>
      </c>
      <c r="N422" s="40" t="n">
        <f aca="false">'Data Bulanan'!AD89</f>
        <v>21.8551977423659</v>
      </c>
      <c r="O422" s="41" t="n">
        <f aca="false">IFERROR(N422*SQRT(H422),0)</f>
        <v>57.8234180804406</v>
      </c>
      <c r="P422" s="42" t="n">
        <f aca="false">IFERROR(ROUND(1.65*O422,0),0)</f>
        <v>95</v>
      </c>
      <c r="Q422" s="43" t="n">
        <f aca="false">IFERROR(ROUND(M422*H422+P422,0),0)</f>
        <v>1065</v>
      </c>
      <c r="R422" s="44" t="n">
        <f aca="false">G422-Q422</f>
        <v>851</v>
      </c>
      <c r="S422" s="45" t="str">
        <f aca="false">IF(G422=0,"Stockout ⚠",IF(G422&lt;Q422,"Reorder 🔄",IF(G422&gt;Q422+L422,"Overstock 📦","Aman ✅")))</f>
        <v>Overstock 📦</v>
      </c>
      <c r="T422" s="46" t="n">
        <f aca="false">IFERROR(N422/AVERAGE(M422:M426),0)</f>
        <v>0.163909218118508</v>
      </c>
      <c r="U422" s="47" t="n">
        <v>291.44</v>
      </c>
      <c r="V422" s="48" t="n">
        <v>0.0357</v>
      </c>
    </row>
    <row r="423" customFormat="false" ht="15" hidden="false" customHeight="true" outlineLevel="0" collapsed="false">
      <c r="A423" s="49" t="n">
        <v>2</v>
      </c>
      <c r="B423" s="35" t="n">
        <v>2022</v>
      </c>
      <c r="C423" s="49" t="s">
        <v>264</v>
      </c>
      <c r="D423" s="49" t="s">
        <v>202</v>
      </c>
      <c r="E423" s="50" t="s">
        <v>203</v>
      </c>
      <c r="F423" s="49" t="s">
        <v>36</v>
      </c>
      <c r="G423" s="37" t="n">
        <v>5455</v>
      </c>
      <c r="H423" s="37" t="n">
        <v>7</v>
      </c>
      <c r="I423" s="37" t="n">
        <f aca="false">IFERROR(ROUND('Data Bulanan'!BC89,0),0)</f>
        <v>48109</v>
      </c>
      <c r="J423" s="37" t="n">
        <v>673272</v>
      </c>
      <c r="K423" s="37" t="n">
        <v>278113</v>
      </c>
      <c r="L423" s="38" t="n">
        <f aca="false">IFERROR(ROUND(SQRT(2*I423*J423/K423),0),0)</f>
        <v>483</v>
      </c>
      <c r="M423" s="39" t="n">
        <f aca="false">IFERROR(AVERAGE('Data Bulanan'!AF89,'Data Bulanan'!AH89,'Data Bulanan'!AJ89,'Data Bulanan'!AL89,'Data Bulanan'!AN89,'Data Bulanan'!AP89,'Data Bulanan'!AR89,'Data Bulanan'!AT89,'Data Bulanan'!AV89,'Data Bulanan'!AX89,'Data Bulanan'!AZ89,'Data Bulanan'!BB89),0)</f>
        <v>128.276817716334</v>
      </c>
      <c r="N423" s="40" t="n">
        <f aca="false">'Data Bulanan'!BD89</f>
        <v>29.1702699693973</v>
      </c>
      <c r="O423" s="41" t="n">
        <f aca="false">IFERROR(N423*SQRT(H423),0)</f>
        <v>77.177280015641</v>
      </c>
      <c r="P423" s="42" t="n">
        <f aca="false">IFERROR(ROUND(1.65*O423,0),0)</f>
        <v>127</v>
      </c>
      <c r="Q423" s="43" t="n">
        <f aca="false">IFERROR(ROUND(M423*H423+P423,0),0)</f>
        <v>1025</v>
      </c>
      <c r="R423" s="44" t="n">
        <f aca="false">G423-Q423</f>
        <v>4430</v>
      </c>
      <c r="S423" s="45" t="str">
        <f aca="false">IF(G423=0,"Stockout ⚠",IF(G423&lt;Q423,"Reorder 🔄",IF(G423&gt;Q423+L423,"Overstock 📦","Aman ✅")))</f>
        <v>Overstock 📦</v>
      </c>
      <c r="T423" s="46" t="n">
        <f aca="false">IFERROR(N423/AVERAGE(M422:M426),0)</f>
        <v>0.218770664962747</v>
      </c>
      <c r="U423" s="47" t="n">
        <v>291.44</v>
      </c>
      <c r="V423" s="48" t="n">
        <v>0.0357</v>
      </c>
    </row>
    <row r="424" customFormat="false" ht="15" hidden="false" customHeight="true" outlineLevel="0" collapsed="false">
      <c r="A424" s="49" t="n">
        <v>3</v>
      </c>
      <c r="B424" s="35" t="n">
        <v>2023</v>
      </c>
      <c r="C424" s="49" t="s">
        <v>264</v>
      </c>
      <c r="D424" s="49" t="s">
        <v>202</v>
      </c>
      <c r="E424" s="50" t="s">
        <v>203</v>
      </c>
      <c r="F424" s="49" t="s">
        <v>36</v>
      </c>
      <c r="G424" s="37" t="n">
        <v>2573</v>
      </c>
      <c r="H424" s="37" t="n">
        <v>7</v>
      </c>
      <c r="I424" s="37" t="n">
        <f aca="false">IFERROR(ROUND('Data Bulanan'!CC89,0),0)</f>
        <v>48349</v>
      </c>
      <c r="J424" s="37" t="n">
        <v>731838</v>
      </c>
      <c r="K424" s="37" t="n">
        <v>327723</v>
      </c>
      <c r="L424" s="38" t="n">
        <f aca="false">IFERROR(ROUND(SQRT(2*I424*J424/K424),0),0)</f>
        <v>465</v>
      </c>
      <c r="M424" s="39" t="n">
        <f aca="false">IFERROR(AVERAGE('Data Bulanan'!BF89,'Data Bulanan'!BH89,'Data Bulanan'!BJ89,'Data Bulanan'!BL89,'Data Bulanan'!BN89,'Data Bulanan'!BP89,'Data Bulanan'!BR89,'Data Bulanan'!BT89,'Data Bulanan'!BV89,'Data Bulanan'!BX89,'Data Bulanan'!BZ89,'Data Bulanan'!CB89),0)</f>
        <v>128.377201740911</v>
      </c>
      <c r="N424" s="40" t="n">
        <f aca="false">'Data Bulanan'!CD89</f>
        <v>35.235538771665</v>
      </c>
      <c r="O424" s="41" t="n">
        <f aca="false">IFERROR(N424*SQRT(H424),0)</f>
        <v>93.2244729011998</v>
      </c>
      <c r="P424" s="42" t="n">
        <f aca="false">IFERROR(ROUND(1.65*O424,0),0)</f>
        <v>154</v>
      </c>
      <c r="Q424" s="43" t="n">
        <f aca="false">IFERROR(ROUND(M424*H424+P424,0),0)</f>
        <v>1053</v>
      </c>
      <c r="R424" s="44" t="n">
        <f aca="false">G424-Q424</f>
        <v>1520</v>
      </c>
      <c r="S424" s="45" t="str">
        <f aca="false">IF(G424=0,"Stockout ⚠",IF(G424&lt;Q424,"Reorder 🔄",IF(G424&gt;Q424+L424,"Overstock 📦","Aman ✅")))</f>
        <v>Overstock 📦</v>
      </c>
      <c r="T424" s="46" t="n">
        <f aca="false">IFERROR(N424/AVERAGE(M422:M426),0)</f>
        <v>0.264258858607919</v>
      </c>
      <c r="U424" s="47" t="n">
        <v>291.44</v>
      </c>
      <c r="V424" s="48" t="n">
        <v>0.0357</v>
      </c>
    </row>
    <row r="425" customFormat="false" ht="15" hidden="false" customHeight="true" outlineLevel="0" collapsed="false">
      <c r="A425" s="49" t="n">
        <v>4</v>
      </c>
      <c r="B425" s="35" t="n">
        <v>2024</v>
      </c>
      <c r="C425" s="49" t="s">
        <v>264</v>
      </c>
      <c r="D425" s="49" t="s">
        <v>202</v>
      </c>
      <c r="E425" s="50" t="s">
        <v>203</v>
      </c>
      <c r="F425" s="49" t="s">
        <v>36</v>
      </c>
      <c r="G425" s="37" t="n">
        <v>1787</v>
      </c>
      <c r="H425" s="37" t="n">
        <v>7</v>
      </c>
      <c r="I425" s="37" t="n">
        <f aca="false">IFERROR(ROUND('Data Bulanan'!DC89,0),0)</f>
        <v>48712</v>
      </c>
      <c r="J425" s="37" t="n">
        <v>684668</v>
      </c>
      <c r="K425" s="37" t="n">
        <v>293379</v>
      </c>
      <c r="L425" s="38" t="n">
        <f aca="false">IFERROR(ROUND(SQRT(2*I425*J425/K425),0),0)</f>
        <v>477</v>
      </c>
      <c r="M425" s="39" t="n">
        <f aca="false">IFERROR(AVERAGE('Data Bulanan'!CF89,'Data Bulanan'!CH89,'Data Bulanan'!CJ89,'Data Bulanan'!CL89,'Data Bulanan'!CN89,'Data Bulanan'!CP89,'Data Bulanan'!CR89,'Data Bulanan'!CT89,'Data Bulanan'!CV89,'Data Bulanan'!CX89,'Data Bulanan'!CZ89,'Data Bulanan'!DB89),0)</f>
        <v>129.517498719918</v>
      </c>
      <c r="N425" s="40" t="n">
        <f aca="false">'Data Bulanan'!DD89</f>
        <v>27.1297777930147</v>
      </c>
      <c r="O425" s="41" t="n">
        <f aca="false">IFERROR(N425*SQRT(H425),0)</f>
        <v>71.7786451647596</v>
      </c>
      <c r="P425" s="42" t="n">
        <f aca="false">IFERROR(ROUND(1.65*O425,0),0)</f>
        <v>118</v>
      </c>
      <c r="Q425" s="43" t="n">
        <f aca="false">IFERROR(ROUND(M425*H425+P425,0),0)</f>
        <v>1025</v>
      </c>
      <c r="R425" s="44" t="n">
        <f aca="false">G425-Q425</f>
        <v>762</v>
      </c>
      <c r="S425" s="45" t="str">
        <f aca="false">IF(G425=0,"Stockout ⚠",IF(G425&lt;Q425,"Reorder 🔄",IF(G425&gt;Q425+L425,"Overstock 📦","Aman ✅")))</f>
        <v>Overstock 📦</v>
      </c>
      <c r="T425" s="46" t="n">
        <f aca="false">IFERROR(N425/AVERAGE(M422:M426),0)</f>
        <v>0.203467418515359</v>
      </c>
      <c r="U425" s="47" t="n">
        <v>291.44</v>
      </c>
      <c r="V425" s="48" t="n">
        <v>0.0357</v>
      </c>
    </row>
    <row r="426" customFormat="false" ht="15" hidden="false" customHeight="true" outlineLevel="0" collapsed="false">
      <c r="A426" s="49" t="n">
        <v>5</v>
      </c>
      <c r="B426" s="35" t="n">
        <v>2025</v>
      </c>
      <c r="C426" s="49" t="s">
        <v>264</v>
      </c>
      <c r="D426" s="49" t="s">
        <v>202</v>
      </c>
      <c r="E426" s="50" t="s">
        <v>203</v>
      </c>
      <c r="F426" s="49" t="s">
        <v>36</v>
      </c>
      <c r="G426" s="37" t="n">
        <v>0</v>
      </c>
      <c r="H426" s="37" t="n">
        <v>7</v>
      </c>
      <c r="I426" s="37" t="n">
        <f aca="false">IFERROR(ROUND('Data Bulanan'!EC89,0),0)</f>
        <v>53339</v>
      </c>
      <c r="J426" s="37" t="n">
        <v>749999</v>
      </c>
      <c r="K426" s="37" t="n">
        <v>312231</v>
      </c>
      <c r="L426" s="38" t="n">
        <f aca="false">IFERROR(ROUND(SQRT(2*I426*J426/K426),0),0)</f>
        <v>506</v>
      </c>
      <c r="M426" s="39" t="n">
        <f aca="false">IFERROR(AVERAGE('Data Bulanan'!DF89,'Data Bulanan'!DH89,'Data Bulanan'!DJ89,'Data Bulanan'!DL89,'Data Bulanan'!DN89,'Data Bulanan'!DP89,'Data Bulanan'!DR89,'Data Bulanan'!DT89,'Data Bulanan'!DV89,'Data Bulanan'!DX89,'Data Bulanan'!DZ89,'Data Bulanan'!EB89),0)</f>
        <v>141.882354070661</v>
      </c>
      <c r="N426" s="40" t="n">
        <f aca="false">'Data Bulanan'!ED89</f>
        <v>29.7470416459753</v>
      </c>
      <c r="O426" s="41" t="n">
        <f aca="false">IFERROR(N426*SQRT(H426),0)</f>
        <v>78.7032744351322</v>
      </c>
      <c r="P426" s="42" t="n">
        <f aca="false">IFERROR(ROUND(1.65*O426,0),0)</f>
        <v>130</v>
      </c>
      <c r="Q426" s="43" t="n">
        <f aca="false">IFERROR(ROUND(M426*H426+P426,0),0)</f>
        <v>1123</v>
      </c>
      <c r="R426" s="44" t="n">
        <f aca="false">G426-Q426</f>
        <v>-1123</v>
      </c>
      <c r="S426" s="45" t="str">
        <f aca="false">IF(G426=0,"Stockout ⚠",IF(G426&lt;Q426,"Reorder 🔄",IF(G426&gt;Q426+L426,"Overstock 📦","Aman ✅")))</f>
        <v>Stockout ⚠</v>
      </c>
      <c r="T426" s="46" t="n">
        <f aca="false">IFERROR(N426/AVERAGE(M422:M426),0)</f>
        <v>0.223096326787235</v>
      </c>
      <c r="U426" s="47" t="n">
        <v>291.44</v>
      </c>
      <c r="V426" s="48" t="n">
        <v>0.0357</v>
      </c>
    </row>
    <row r="427" customFormat="false" ht="15" hidden="false" customHeight="true" outlineLevel="0" collapsed="false">
      <c r="A427" s="34" t="n">
        <v>1</v>
      </c>
      <c r="B427" s="35" t="n">
        <v>2021</v>
      </c>
      <c r="C427" s="34" t="s">
        <v>264</v>
      </c>
      <c r="D427" s="34" t="s">
        <v>204</v>
      </c>
      <c r="E427" s="36" t="s">
        <v>205</v>
      </c>
      <c r="F427" s="34" t="s">
        <v>36</v>
      </c>
      <c r="G427" s="37" t="n">
        <v>21501</v>
      </c>
      <c r="H427" s="37" t="n">
        <v>42</v>
      </c>
      <c r="I427" s="37" t="n">
        <f aca="false">IFERROR(ROUND('Data Bulanan'!AC90,0),0)</f>
        <v>34840</v>
      </c>
      <c r="J427" s="37" t="n">
        <v>9136737</v>
      </c>
      <c r="K427" s="37" t="n">
        <v>248023</v>
      </c>
      <c r="L427" s="38" t="n">
        <f aca="false">IFERROR(ROUND(SQRT(2*I427*J427/K427),0),0)</f>
        <v>1602</v>
      </c>
      <c r="M427" s="39" t="n">
        <f aca="false">IFERROR(AVERAGE('Data Bulanan'!F90,'Data Bulanan'!H90,'Data Bulanan'!J90,'Data Bulanan'!L90,'Data Bulanan'!N90,'Data Bulanan'!P90,'Data Bulanan'!R90,'Data Bulanan'!T90,'Data Bulanan'!V90,'Data Bulanan'!X90,'Data Bulanan'!Z90,'Data Bulanan'!AB90),0)</f>
        <v>92.810016641065</v>
      </c>
      <c r="N427" s="40" t="n">
        <f aca="false">'Data Bulanan'!AD90</f>
        <v>15.8405226085907</v>
      </c>
      <c r="O427" s="41" t="n">
        <f aca="false">IFERROR(N427*SQRT(H427),0)</f>
        <v>102.658319553543</v>
      </c>
      <c r="P427" s="42" t="n">
        <f aca="false">IFERROR(ROUND(1.65*O427,0),0)</f>
        <v>169</v>
      </c>
      <c r="Q427" s="43" t="n">
        <f aca="false">IFERROR(ROUND(M427*H427+P427,0),0)</f>
        <v>4067</v>
      </c>
      <c r="R427" s="44" t="n">
        <f aca="false">G427-Q427</f>
        <v>17434</v>
      </c>
      <c r="S427" s="45" t="str">
        <f aca="false">IF(G427=0,"Stockout ⚠",IF(G427&lt;Q427,"Reorder 🔄",IF(G427&gt;Q427+L427,"Overstock 📦","Aman ✅")))</f>
        <v>Overstock 📦</v>
      </c>
      <c r="T427" s="46" t="n">
        <f aca="false">IFERROR(N427/AVERAGE(M427:M431),0)</f>
        <v>0.156457209653334</v>
      </c>
      <c r="U427" s="47" t="n">
        <v>22.7</v>
      </c>
      <c r="V427" s="48" t="n">
        <v>0.0001</v>
      </c>
    </row>
    <row r="428" customFormat="false" ht="15" hidden="false" customHeight="true" outlineLevel="0" collapsed="false">
      <c r="A428" s="34" t="n">
        <v>2</v>
      </c>
      <c r="B428" s="35" t="n">
        <v>2022</v>
      </c>
      <c r="C428" s="34" t="s">
        <v>264</v>
      </c>
      <c r="D428" s="34" t="s">
        <v>204</v>
      </c>
      <c r="E428" s="36" t="s">
        <v>205</v>
      </c>
      <c r="F428" s="34" t="s">
        <v>36</v>
      </c>
      <c r="G428" s="37" t="n">
        <v>8313</v>
      </c>
      <c r="H428" s="37" t="n">
        <v>42</v>
      </c>
      <c r="I428" s="37" t="n">
        <f aca="false">IFERROR(ROUND('Data Bulanan'!BC90,0),0)</f>
        <v>41322</v>
      </c>
      <c r="J428" s="37" t="n">
        <v>9295094</v>
      </c>
      <c r="K428" s="37" t="n">
        <v>259953</v>
      </c>
      <c r="L428" s="38" t="n">
        <f aca="false">IFERROR(ROUND(SQRT(2*I428*J428/K428),0),0)</f>
        <v>1719</v>
      </c>
      <c r="M428" s="39" t="n">
        <f aca="false">IFERROR(AVERAGE('Data Bulanan'!AF90,'Data Bulanan'!AH90,'Data Bulanan'!AJ90,'Data Bulanan'!AL90,'Data Bulanan'!AN90,'Data Bulanan'!AP90,'Data Bulanan'!AR90,'Data Bulanan'!AT90,'Data Bulanan'!AV90,'Data Bulanan'!AX90,'Data Bulanan'!AZ90,'Data Bulanan'!BB90),0)</f>
        <v>109.638216845878</v>
      </c>
      <c r="N428" s="40" t="n">
        <f aca="false">'Data Bulanan'!BD90</f>
        <v>24.3728669789882</v>
      </c>
      <c r="O428" s="41" t="n">
        <f aca="false">IFERROR(N428*SQRT(H428),0)</f>
        <v>157.95423096761</v>
      </c>
      <c r="P428" s="42" t="n">
        <f aca="false">IFERROR(ROUND(1.65*O428,0),0)</f>
        <v>261</v>
      </c>
      <c r="Q428" s="43" t="n">
        <f aca="false">IFERROR(ROUND(M428*H428+P428,0),0)</f>
        <v>4866</v>
      </c>
      <c r="R428" s="44" t="n">
        <f aca="false">G428-Q428</f>
        <v>3447</v>
      </c>
      <c r="S428" s="45" t="str">
        <f aca="false">IF(G428=0,"Stockout ⚠",IF(G428&lt;Q428,"Reorder 🔄",IF(G428&gt;Q428+L428,"Overstock 📦","Aman ✅")))</f>
        <v>Overstock 📦</v>
      </c>
      <c r="T428" s="46" t="n">
        <f aca="false">IFERROR(N428/AVERAGE(M427:M431),0)</f>
        <v>0.240731373137672</v>
      </c>
      <c r="U428" s="47" t="n">
        <v>22.7</v>
      </c>
      <c r="V428" s="48" t="n">
        <v>0.0001</v>
      </c>
    </row>
    <row r="429" customFormat="false" ht="15" hidden="false" customHeight="true" outlineLevel="0" collapsed="false">
      <c r="A429" s="34" t="n">
        <v>3</v>
      </c>
      <c r="B429" s="35" t="n">
        <v>2023</v>
      </c>
      <c r="C429" s="34" t="s">
        <v>264</v>
      </c>
      <c r="D429" s="34" t="s">
        <v>204</v>
      </c>
      <c r="E429" s="36" t="s">
        <v>205</v>
      </c>
      <c r="F429" s="34" t="s">
        <v>36</v>
      </c>
      <c r="G429" s="37" t="n">
        <v>19066</v>
      </c>
      <c r="H429" s="37" t="n">
        <v>42</v>
      </c>
      <c r="I429" s="37" t="n">
        <f aca="false">IFERROR(ROUND('Data Bulanan'!CC90,0),0)</f>
        <v>38149</v>
      </c>
      <c r="J429" s="37" t="n">
        <v>8633502</v>
      </c>
      <c r="K429" s="37" t="n">
        <v>241516</v>
      </c>
      <c r="L429" s="38" t="n">
        <f aca="false">IFERROR(ROUND(SQRT(2*I429*J429/K429),0),0)</f>
        <v>1651</v>
      </c>
      <c r="M429" s="39" t="n">
        <f aca="false">IFERROR(AVERAGE('Data Bulanan'!BF90,'Data Bulanan'!BH90,'Data Bulanan'!BJ90,'Data Bulanan'!BL90,'Data Bulanan'!BN90,'Data Bulanan'!BP90,'Data Bulanan'!BR90,'Data Bulanan'!BT90,'Data Bulanan'!BV90,'Data Bulanan'!BX90,'Data Bulanan'!BZ90,'Data Bulanan'!CB90),0)</f>
        <v>101.526260880696</v>
      </c>
      <c r="N429" s="40" t="n">
        <f aca="false">'Data Bulanan'!CD90</f>
        <v>19.2371962068792</v>
      </c>
      <c r="O429" s="41" t="n">
        <f aca="false">IFERROR(N429*SQRT(H429),0)</f>
        <v>124.671280381179</v>
      </c>
      <c r="P429" s="42" t="n">
        <f aca="false">IFERROR(ROUND(1.65*O429,0),0)</f>
        <v>206</v>
      </c>
      <c r="Q429" s="43" t="n">
        <f aca="false">IFERROR(ROUND(M429*H429+P429,0),0)</f>
        <v>4470</v>
      </c>
      <c r="R429" s="44" t="n">
        <f aca="false">G429-Q429</f>
        <v>14596</v>
      </c>
      <c r="S429" s="45" t="str">
        <f aca="false">IF(G429=0,"Stockout ⚠",IF(G429&lt;Q429,"Reorder 🔄",IF(G429&gt;Q429+L429,"Overstock 📦","Aman ✅")))</f>
        <v>Overstock 📦</v>
      </c>
      <c r="T429" s="46" t="n">
        <f aca="false">IFERROR(N429/AVERAGE(M427:M431),0)</f>
        <v>0.190006233661113</v>
      </c>
      <c r="U429" s="47" t="n">
        <v>22.7</v>
      </c>
      <c r="V429" s="48" t="n">
        <v>0.0001</v>
      </c>
    </row>
    <row r="430" customFormat="false" ht="15" hidden="false" customHeight="true" outlineLevel="0" collapsed="false">
      <c r="A430" s="34" t="n">
        <v>4</v>
      </c>
      <c r="B430" s="35" t="n">
        <v>2024</v>
      </c>
      <c r="C430" s="34" t="s">
        <v>264</v>
      </c>
      <c r="D430" s="34" t="s">
        <v>204</v>
      </c>
      <c r="E430" s="36" t="s">
        <v>205</v>
      </c>
      <c r="F430" s="34" t="s">
        <v>36</v>
      </c>
      <c r="G430" s="37" t="n">
        <v>0</v>
      </c>
      <c r="H430" s="37" t="n">
        <v>42</v>
      </c>
      <c r="I430" s="37" t="n">
        <f aca="false">IFERROR(ROUND('Data Bulanan'!DC90,0),0)</f>
        <v>40952</v>
      </c>
      <c r="J430" s="37" t="n">
        <v>8628867</v>
      </c>
      <c r="K430" s="37" t="n">
        <v>248750</v>
      </c>
      <c r="L430" s="38" t="n">
        <f aca="false">IFERROR(ROUND(SQRT(2*I430*J430/K430),0),0)</f>
        <v>1686</v>
      </c>
      <c r="M430" s="39" t="n">
        <f aca="false">IFERROR(AVERAGE('Data Bulanan'!CF90,'Data Bulanan'!CH90,'Data Bulanan'!CJ90,'Data Bulanan'!CL90,'Data Bulanan'!CN90,'Data Bulanan'!CP90,'Data Bulanan'!CR90,'Data Bulanan'!CT90,'Data Bulanan'!CV90,'Data Bulanan'!CX90,'Data Bulanan'!CZ90,'Data Bulanan'!DB90),0)</f>
        <v>108.622356630824</v>
      </c>
      <c r="N430" s="40" t="n">
        <f aca="false">'Data Bulanan'!DD90</f>
        <v>27.1513672448171</v>
      </c>
      <c r="O430" s="41" t="n">
        <f aca="false">IFERROR(N430*SQRT(H430),0)</f>
        <v>175.960970720904</v>
      </c>
      <c r="P430" s="42" t="n">
        <f aca="false">IFERROR(ROUND(1.65*O430,0),0)</f>
        <v>290</v>
      </c>
      <c r="Q430" s="43" t="n">
        <f aca="false">IFERROR(ROUND(M430*H430+P430,0),0)</f>
        <v>4852</v>
      </c>
      <c r="R430" s="44" t="n">
        <f aca="false">G430-Q430</f>
        <v>-4852</v>
      </c>
      <c r="S430" s="45" t="str">
        <f aca="false">IF(G430=0,"Stockout ⚠",IF(G430&lt;Q430,"Reorder 🔄",IF(G430&gt;Q430+L430,"Overstock 📦","Aman ✅")))</f>
        <v>Stockout ⚠</v>
      </c>
      <c r="T430" s="46" t="n">
        <f aca="false">IFERROR(N430/AVERAGE(M427:M431),0)</f>
        <v>0.26817468478554</v>
      </c>
      <c r="U430" s="47" t="n">
        <v>22.7</v>
      </c>
      <c r="V430" s="48" t="n">
        <v>0.0001</v>
      </c>
    </row>
    <row r="431" customFormat="false" ht="15" hidden="false" customHeight="true" outlineLevel="0" collapsed="false">
      <c r="A431" s="34" t="n">
        <v>5</v>
      </c>
      <c r="B431" s="35" t="n">
        <v>2025</v>
      </c>
      <c r="C431" s="34" t="s">
        <v>264</v>
      </c>
      <c r="D431" s="34" t="s">
        <v>204</v>
      </c>
      <c r="E431" s="36" t="s">
        <v>205</v>
      </c>
      <c r="F431" s="34" t="s">
        <v>36</v>
      </c>
      <c r="G431" s="37" t="n">
        <v>11990</v>
      </c>
      <c r="H431" s="37" t="n">
        <v>42</v>
      </c>
      <c r="I431" s="37" t="n">
        <f aca="false">IFERROR(ROUND('Data Bulanan'!EC90,0),0)</f>
        <v>35139</v>
      </c>
      <c r="J431" s="37" t="n">
        <v>8578245</v>
      </c>
      <c r="K431" s="37" t="n">
        <v>268215</v>
      </c>
      <c r="L431" s="38" t="n">
        <f aca="false">IFERROR(ROUND(SQRT(2*I431*J431/K431),0),0)</f>
        <v>1499</v>
      </c>
      <c r="M431" s="39" t="n">
        <f aca="false">IFERROR(AVERAGE('Data Bulanan'!DF90,'Data Bulanan'!DH90,'Data Bulanan'!DJ90,'Data Bulanan'!DL90,'Data Bulanan'!DN90,'Data Bulanan'!DP90,'Data Bulanan'!DR90,'Data Bulanan'!DT90,'Data Bulanan'!DV90,'Data Bulanan'!DX90,'Data Bulanan'!DZ90,'Data Bulanan'!EB90),0)</f>
        <v>93.6285458269329</v>
      </c>
      <c r="N431" s="40" t="n">
        <f aca="false">'Data Bulanan'!ED90</f>
        <v>19.2556190878657</v>
      </c>
      <c r="O431" s="41" t="n">
        <f aca="false">IFERROR(N431*SQRT(H431),0)</f>
        <v>124.79067429577</v>
      </c>
      <c r="P431" s="42" t="n">
        <f aca="false">IFERROR(ROUND(1.65*O431,0),0)</f>
        <v>206</v>
      </c>
      <c r="Q431" s="43" t="n">
        <f aca="false">IFERROR(ROUND(M431*H431+P431,0),0)</f>
        <v>4138</v>
      </c>
      <c r="R431" s="44" t="n">
        <f aca="false">G431-Q431</f>
        <v>7852</v>
      </c>
      <c r="S431" s="45" t="str">
        <f aca="false">IF(G431=0,"Stockout ⚠",IF(G431&lt;Q431,"Reorder 🔄",IF(G431&gt;Q431+L431,"Overstock 📦","Aman ✅")))</f>
        <v>Overstock 📦</v>
      </c>
      <c r="T431" s="46" t="n">
        <f aca="false">IFERROR(N431/AVERAGE(M427:M431),0)</f>
        <v>0.190188196884432</v>
      </c>
      <c r="U431" s="47" t="n">
        <v>22.7</v>
      </c>
      <c r="V431" s="48" t="n">
        <v>0.0001</v>
      </c>
    </row>
    <row r="432" customFormat="false" ht="15" hidden="false" customHeight="true" outlineLevel="0" collapsed="false">
      <c r="A432" s="49" t="n">
        <v>1</v>
      </c>
      <c r="B432" s="35" t="n">
        <v>2021</v>
      </c>
      <c r="C432" s="49" t="s">
        <v>264</v>
      </c>
      <c r="D432" s="49" t="s">
        <v>206</v>
      </c>
      <c r="E432" s="50" t="s">
        <v>207</v>
      </c>
      <c r="F432" s="49" t="s">
        <v>36</v>
      </c>
      <c r="G432" s="37" t="n">
        <v>745</v>
      </c>
      <c r="H432" s="37" t="n">
        <v>8</v>
      </c>
      <c r="I432" s="37" t="n">
        <f aca="false">IFERROR(ROUND('Data Bulanan'!AC91,0),0)</f>
        <v>18070</v>
      </c>
      <c r="J432" s="37" t="n">
        <v>1230893</v>
      </c>
      <c r="K432" s="37" t="n">
        <v>475283</v>
      </c>
      <c r="L432" s="38" t="n">
        <f aca="false">IFERROR(ROUND(SQRT(2*I432*J432/K432),0),0)</f>
        <v>306</v>
      </c>
      <c r="M432" s="39" t="n">
        <f aca="false">IFERROR(AVERAGE('Data Bulanan'!F91,'Data Bulanan'!H91,'Data Bulanan'!J91,'Data Bulanan'!L91,'Data Bulanan'!N91,'Data Bulanan'!P91,'Data Bulanan'!R91,'Data Bulanan'!T91,'Data Bulanan'!V91,'Data Bulanan'!X91,'Data Bulanan'!Z91,'Data Bulanan'!AB91),0)</f>
        <v>48.1412826420891</v>
      </c>
      <c r="N432" s="40" t="n">
        <f aca="false">'Data Bulanan'!AD91</f>
        <v>11.9537201563957</v>
      </c>
      <c r="O432" s="41" t="n">
        <f aca="false">IFERROR(N432*SQRT(H432),0)</f>
        <v>33.8102263319748</v>
      </c>
      <c r="P432" s="42" t="n">
        <f aca="false">IFERROR(ROUND(1.65*O432,0),0)</f>
        <v>56</v>
      </c>
      <c r="Q432" s="43" t="n">
        <f aca="false">IFERROR(ROUND(M432*H432+P432,0),0)</f>
        <v>441</v>
      </c>
      <c r="R432" s="44" t="n">
        <f aca="false">G432-Q432</f>
        <v>304</v>
      </c>
      <c r="S432" s="45" t="str">
        <f aca="false">IF(G432=0,"Stockout ⚠",IF(G432&lt;Q432,"Reorder 🔄",IF(G432&gt;Q432+L432,"Overstock 📦","Aman ✅")))</f>
        <v>Aman ✅</v>
      </c>
      <c r="T432" s="46" t="n">
        <f aca="false">IFERROR(N432/AVERAGE(M432:M436),0)</f>
        <v>0.273165619276908</v>
      </c>
      <c r="U432" s="47" t="n">
        <v>-632.82</v>
      </c>
      <c r="V432" s="48" t="n">
        <v>0.5405</v>
      </c>
    </row>
    <row r="433" customFormat="false" ht="15" hidden="false" customHeight="true" outlineLevel="0" collapsed="false">
      <c r="A433" s="49" t="n">
        <v>2</v>
      </c>
      <c r="B433" s="35" t="n">
        <v>2022</v>
      </c>
      <c r="C433" s="49" t="s">
        <v>264</v>
      </c>
      <c r="D433" s="49" t="s">
        <v>206</v>
      </c>
      <c r="E433" s="50" t="s">
        <v>207</v>
      </c>
      <c r="F433" s="49" t="s">
        <v>36</v>
      </c>
      <c r="G433" s="37" t="n">
        <v>2273</v>
      </c>
      <c r="H433" s="37" t="n">
        <v>8</v>
      </c>
      <c r="I433" s="37" t="n">
        <f aca="false">IFERROR(ROUND('Data Bulanan'!BC91,0),0)</f>
        <v>16841</v>
      </c>
      <c r="J433" s="37" t="n">
        <v>1299601</v>
      </c>
      <c r="K433" s="37" t="n">
        <v>477446</v>
      </c>
      <c r="L433" s="38" t="n">
        <f aca="false">IFERROR(ROUND(SQRT(2*I433*J433/K433),0),0)</f>
        <v>303</v>
      </c>
      <c r="M433" s="39" t="n">
        <f aca="false">IFERROR(AVERAGE('Data Bulanan'!AF91,'Data Bulanan'!AH91,'Data Bulanan'!AJ91,'Data Bulanan'!AL91,'Data Bulanan'!AN91,'Data Bulanan'!AP91,'Data Bulanan'!AR91,'Data Bulanan'!AT91,'Data Bulanan'!AV91,'Data Bulanan'!AX91,'Data Bulanan'!AZ91,'Data Bulanan'!BB91),0)</f>
        <v>44.7519201228879</v>
      </c>
      <c r="N433" s="40" t="n">
        <f aca="false">'Data Bulanan'!BD91</f>
        <v>9.40336586144443</v>
      </c>
      <c r="O433" s="41" t="n">
        <f aca="false">IFERROR(N433*SQRT(H433),0)</f>
        <v>26.5967350664217</v>
      </c>
      <c r="P433" s="42" t="n">
        <f aca="false">IFERROR(ROUND(1.65*O433,0),0)</f>
        <v>44</v>
      </c>
      <c r="Q433" s="43" t="n">
        <f aca="false">IFERROR(ROUND(M433*H433+P433,0),0)</f>
        <v>402</v>
      </c>
      <c r="R433" s="44" t="n">
        <f aca="false">G433-Q433</f>
        <v>1871</v>
      </c>
      <c r="S433" s="45" t="str">
        <f aca="false">IF(G433=0,"Stockout ⚠",IF(G433&lt;Q433,"Reorder 🔄",IF(G433&gt;Q433+L433,"Overstock 📦","Aman ✅")))</f>
        <v>Overstock 📦</v>
      </c>
      <c r="T433" s="46" t="n">
        <f aca="false">IFERROR(N433/AVERAGE(M432:M436),0)</f>
        <v>0.214885092274346</v>
      </c>
      <c r="U433" s="47" t="n">
        <v>-632.82</v>
      </c>
      <c r="V433" s="48" t="n">
        <v>0.5405</v>
      </c>
    </row>
    <row r="434" customFormat="false" ht="15" hidden="false" customHeight="true" outlineLevel="0" collapsed="false">
      <c r="A434" s="49" t="n">
        <v>3</v>
      </c>
      <c r="B434" s="35" t="n">
        <v>2023</v>
      </c>
      <c r="C434" s="49" t="s">
        <v>264</v>
      </c>
      <c r="D434" s="49" t="s">
        <v>206</v>
      </c>
      <c r="E434" s="50" t="s">
        <v>207</v>
      </c>
      <c r="F434" s="49" t="s">
        <v>36</v>
      </c>
      <c r="G434" s="37" t="n">
        <v>1068</v>
      </c>
      <c r="H434" s="37" t="n">
        <v>8</v>
      </c>
      <c r="I434" s="37" t="n">
        <f aca="false">IFERROR(ROUND('Data Bulanan'!CC91,0),0)</f>
        <v>16824</v>
      </c>
      <c r="J434" s="37" t="n">
        <v>1226597</v>
      </c>
      <c r="K434" s="37" t="n">
        <v>546689</v>
      </c>
      <c r="L434" s="38" t="n">
        <f aca="false">IFERROR(ROUND(SQRT(2*I434*J434/K434),0),0)</f>
        <v>275</v>
      </c>
      <c r="M434" s="39" t="n">
        <f aca="false">IFERROR(AVERAGE('Data Bulanan'!BF91,'Data Bulanan'!BH91,'Data Bulanan'!BJ91,'Data Bulanan'!BL91,'Data Bulanan'!BN91,'Data Bulanan'!BP91,'Data Bulanan'!BR91,'Data Bulanan'!BT91,'Data Bulanan'!BV91,'Data Bulanan'!BX91,'Data Bulanan'!BZ91,'Data Bulanan'!CB91),0)</f>
        <v>44.8130632360471</v>
      </c>
      <c r="N434" s="40" t="n">
        <f aca="false">'Data Bulanan'!CD91</f>
        <v>8.43533614333494</v>
      </c>
      <c r="O434" s="41" t="n">
        <f aca="false">IFERROR(N434*SQRT(H434),0)</f>
        <v>23.8587335541604</v>
      </c>
      <c r="P434" s="42" t="n">
        <f aca="false">IFERROR(ROUND(1.65*O434,0),0)</f>
        <v>39</v>
      </c>
      <c r="Q434" s="43" t="n">
        <f aca="false">IFERROR(ROUND(M434*H434+P434,0),0)</f>
        <v>398</v>
      </c>
      <c r="R434" s="44" t="n">
        <f aca="false">G434-Q434</f>
        <v>670</v>
      </c>
      <c r="S434" s="45" t="str">
        <f aca="false">IF(G434=0,"Stockout ⚠",IF(G434&lt;Q434,"Reorder 🔄",IF(G434&gt;Q434+L434,"Overstock 📦","Aman ✅")))</f>
        <v>Overstock 📦</v>
      </c>
      <c r="T434" s="46" t="n">
        <f aca="false">IFERROR(N434/AVERAGE(M432:M436),0)</f>
        <v>0.192763741434094</v>
      </c>
      <c r="U434" s="47" t="n">
        <v>-632.82</v>
      </c>
      <c r="V434" s="48" t="n">
        <v>0.5405</v>
      </c>
    </row>
    <row r="435" customFormat="false" ht="15" hidden="false" customHeight="true" outlineLevel="0" collapsed="false">
      <c r="A435" s="49" t="n">
        <v>4</v>
      </c>
      <c r="B435" s="35" t="n">
        <v>2024</v>
      </c>
      <c r="C435" s="49" t="s">
        <v>264</v>
      </c>
      <c r="D435" s="49" t="s">
        <v>206</v>
      </c>
      <c r="E435" s="50" t="s">
        <v>207</v>
      </c>
      <c r="F435" s="49" t="s">
        <v>36</v>
      </c>
      <c r="G435" s="37" t="n">
        <v>742</v>
      </c>
      <c r="H435" s="37" t="n">
        <v>8</v>
      </c>
      <c r="I435" s="37" t="n">
        <f aca="false">IFERROR(ROUND('Data Bulanan'!DC91,0),0)</f>
        <v>14352</v>
      </c>
      <c r="J435" s="37" t="n">
        <v>1300199</v>
      </c>
      <c r="K435" s="37" t="n">
        <v>486766</v>
      </c>
      <c r="L435" s="38" t="n">
        <f aca="false">IFERROR(ROUND(SQRT(2*I435*J435/K435),0),0)</f>
        <v>277</v>
      </c>
      <c r="M435" s="39" t="n">
        <f aca="false">IFERROR(AVERAGE('Data Bulanan'!CF91,'Data Bulanan'!CH91,'Data Bulanan'!CJ91,'Data Bulanan'!CL91,'Data Bulanan'!CN91,'Data Bulanan'!CP91,'Data Bulanan'!CR91,'Data Bulanan'!CT91,'Data Bulanan'!CV91,'Data Bulanan'!CX91,'Data Bulanan'!CZ91,'Data Bulanan'!DB91),0)</f>
        <v>38.1754416282642</v>
      </c>
      <c r="N435" s="40" t="n">
        <f aca="false">'Data Bulanan'!DD91</f>
        <v>8.34965622830466</v>
      </c>
      <c r="O435" s="41" t="n">
        <f aca="false">IFERROR(N435*SQRT(H435),0)</f>
        <v>23.6163941584429</v>
      </c>
      <c r="P435" s="42" t="n">
        <f aca="false">IFERROR(ROUND(1.65*O435,0),0)</f>
        <v>39</v>
      </c>
      <c r="Q435" s="43" t="n">
        <f aca="false">IFERROR(ROUND(M435*H435+P435,0),0)</f>
        <v>344</v>
      </c>
      <c r="R435" s="44" t="n">
        <f aca="false">G435-Q435</f>
        <v>398</v>
      </c>
      <c r="S435" s="45" t="str">
        <f aca="false">IF(G435=0,"Stockout ⚠",IF(G435&lt;Q435,"Reorder 🔄",IF(G435&gt;Q435+L435,"Overstock 📦","Aman ✅")))</f>
        <v>Overstock 📦</v>
      </c>
      <c r="T435" s="46" t="n">
        <f aca="false">IFERROR(N435/AVERAGE(M432:M436),0)</f>
        <v>0.19080578970504</v>
      </c>
      <c r="U435" s="47" t="n">
        <v>-632.82</v>
      </c>
      <c r="V435" s="48" t="n">
        <v>0.5405</v>
      </c>
    </row>
    <row r="436" customFormat="false" ht="15" hidden="false" customHeight="true" outlineLevel="0" collapsed="false">
      <c r="A436" s="49" t="n">
        <v>5</v>
      </c>
      <c r="B436" s="35" t="n">
        <v>2025</v>
      </c>
      <c r="C436" s="49" t="s">
        <v>264</v>
      </c>
      <c r="D436" s="49" t="s">
        <v>206</v>
      </c>
      <c r="E436" s="50" t="s">
        <v>207</v>
      </c>
      <c r="F436" s="49" t="s">
        <v>36</v>
      </c>
      <c r="G436" s="37" t="n">
        <v>1565</v>
      </c>
      <c r="H436" s="37" t="n">
        <v>8</v>
      </c>
      <c r="I436" s="37" t="n">
        <f aca="false">IFERROR(ROUND('Data Bulanan'!EC91,0),0)</f>
        <v>16151</v>
      </c>
      <c r="J436" s="37" t="n">
        <v>1212356</v>
      </c>
      <c r="K436" s="37" t="n">
        <v>505493</v>
      </c>
      <c r="L436" s="38" t="n">
        <f aca="false">IFERROR(ROUND(SQRT(2*I436*J436/K436),0),0)</f>
        <v>278</v>
      </c>
      <c r="M436" s="39" t="n">
        <f aca="false">IFERROR(AVERAGE('Data Bulanan'!DF91,'Data Bulanan'!DH91,'Data Bulanan'!DJ91,'Data Bulanan'!DL91,'Data Bulanan'!DN91,'Data Bulanan'!DP91,'Data Bulanan'!DR91,'Data Bulanan'!DT91,'Data Bulanan'!DV91,'Data Bulanan'!DX91,'Data Bulanan'!DZ91,'Data Bulanan'!EB91),0)</f>
        <v>42.9181579621096</v>
      </c>
      <c r="N436" s="40" t="n">
        <f aca="false">'Data Bulanan'!ED91</f>
        <v>7.16849312522217</v>
      </c>
      <c r="O436" s="41" t="n">
        <f aca="false">IFERROR(N436*SQRT(H436),0)</f>
        <v>20.275560398935</v>
      </c>
      <c r="P436" s="42" t="n">
        <f aca="false">IFERROR(ROUND(1.65*O436,0),0)</f>
        <v>33</v>
      </c>
      <c r="Q436" s="43" t="n">
        <f aca="false">IFERROR(ROUND(M436*H436+P436,0),0)</f>
        <v>376</v>
      </c>
      <c r="R436" s="44" t="n">
        <f aca="false">G436-Q436</f>
        <v>1189</v>
      </c>
      <c r="S436" s="45" t="str">
        <f aca="false">IF(G436=0,"Stockout ⚠",IF(G436&lt;Q436,"Reorder 🔄",IF(G436&gt;Q436+L436,"Overstock 📦","Aman ✅")))</f>
        <v>Overstock 📦</v>
      </c>
      <c r="T436" s="46" t="n">
        <f aca="false">IFERROR(N436/AVERAGE(M432:M436),0)</f>
        <v>0.16381392890362</v>
      </c>
      <c r="U436" s="47" t="n">
        <v>-632.82</v>
      </c>
      <c r="V436" s="48" t="n">
        <v>0.5405</v>
      </c>
    </row>
    <row r="437" customFormat="false" ht="15" hidden="false" customHeight="true" outlineLevel="0" collapsed="false">
      <c r="A437" s="34" t="n">
        <v>1</v>
      </c>
      <c r="B437" s="35" t="n">
        <v>2021</v>
      </c>
      <c r="C437" s="34" t="s">
        <v>264</v>
      </c>
      <c r="D437" s="34" t="s">
        <v>208</v>
      </c>
      <c r="E437" s="36" t="s">
        <v>209</v>
      </c>
      <c r="F437" s="34" t="s">
        <v>36</v>
      </c>
      <c r="G437" s="37" t="n">
        <v>19453</v>
      </c>
      <c r="H437" s="37" t="n">
        <v>43</v>
      </c>
      <c r="I437" s="37" t="n">
        <f aca="false">IFERROR(ROUND('Data Bulanan'!AC92,0),0)</f>
        <v>55605</v>
      </c>
      <c r="J437" s="37" t="n">
        <v>9819816</v>
      </c>
      <c r="K437" s="37" t="n">
        <v>402685</v>
      </c>
      <c r="L437" s="38" t="n">
        <f aca="false">IFERROR(ROUND(SQRT(2*I437*J437/K437),0),0)</f>
        <v>1647</v>
      </c>
      <c r="M437" s="39" t="n">
        <f aca="false">IFERROR(AVERAGE('Data Bulanan'!F92,'Data Bulanan'!H92,'Data Bulanan'!J92,'Data Bulanan'!L92,'Data Bulanan'!N92,'Data Bulanan'!P92,'Data Bulanan'!R92,'Data Bulanan'!T92,'Data Bulanan'!V92,'Data Bulanan'!X92,'Data Bulanan'!Z92,'Data Bulanan'!AB92),0)</f>
        <v>147.852969790067</v>
      </c>
      <c r="N437" s="40" t="n">
        <f aca="false">'Data Bulanan'!AD92</f>
        <v>24.2741946186549</v>
      </c>
      <c r="O437" s="41" t="n">
        <f aca="false">IFERROR(N437*SQRT(H437),0)</f>
        <v>159.176538938772</v>
      </c>
      <c r="P437" s="42" t="n">
        <f aca="false">IFERROR(ROUND(1.65*O437,0),0)</f>
        <v>263</v>
      </c>
      <c r="Q437" s="43" t="n">
        <f aca="false">IFERROR(ROUND(M437*H437+P437,0),0)</f>
        <v>6621</v>
      </c>
      <c r="R437" s="44" t="n">
        <f aca="false">G437-Q437</f>
        <v>12832</v>
      </c>
      <c r="S437" s="45" t="str">
        <f aca="false">IF(G437=0,"Stockout ⚠",IF(G437&lt;Q437,"Reorder 🔄",IF(G437&gt;Q437+L437,"Overstock 📦","Aman ✅")))</f>
        <v>Overstock 📦</v>
      </c>
      <c r="T437" s="46" t="n">
        <f aca="false">IFERROR(N437/AVERAGE(M437:M441),0)</f>
        <v>0.172254442628761</v>
      </c>
      <c r="U437" s="47" t="n">
        <v>-1135.27</v>
      </c>
      <c r="V437" s="48" t="n">
        <v>0.2603</v>
      </c>
    </row>
    <row r="438" customFormat="false" ht="15" hidden="false" customHeight="true" outlineLevel="0" collapsed="false">
      <c r="A438" s="34" t="n">
        <v>2</v>
      </c>
      <c r="B438" s="35" t="n">
        <v>2022</v>
      </c>
      <c r="C438" s="34" t="s">
        <v>264</v>
      </c>
      <c r="D438" s="34" t="s">
        <v>208</v>
      </c>
      <c r="E438" s="36" t="s">
        <v>209</v>
      </c>
      <c r="F438" s="34" t="s">
        <v>36</v>
      </c>
      <c r="G438" s="37" t="n">
        <v>18602</v>
      </c>
      <c r="H438" s="37" t="n">
        <v>43</v>
      </c>
      <c r="I438" s="37" t="n">
        <f aca="false">IFERROR(ROUND('Data Bulanan'!BC92,0),0)</f>
        <v>54999</v>
      </c>
      <c r="J438" s="37" t="n">
        <v>11048183</v>
      </c>
      <c r="K438" s="37" t="n">
        <v>405367</v>
      </c>
      <c r="L438" s="38" t="n">
        <f aca="false">IFERROR(ROUND(SQRT(2*I438*J438/K438),0),0)</f>
        <v>1731</v>
      </c>
      <c r="M438" s="39" t="n">
        <f aca="false">IFERROR(AVERAGE('Data Bulanan'!AF92,'Data Bulanan'!AH92,'Data Bulanan'!AJ92,'Data Bulanan'!AL92,'Data Bulanan'!AN92,'Data Bulanan'!AP92,'Data Bulanan'!AR92,'Data Bulanan'!AT92,'Data Bulanan'!AV92,'Data Bulanan'!AX92,'Data Bulanan'!AZ92,'Data Bulanan'!BB92),0)</f>
        <v>146.516231438812</v>
      </c>
      <c r="N438" s="40" t="n">
        <f aca="false">'Data Bulanan'!BD92</f>
        <v>34.1278738063619</v>
      </c>
      <c r="O438" s="41" t="n">
        <f aca="false">IFERROR(N438*SQRT(H438),0)</f>
        <v>223.791434450355</v>
      </c>
      <c r="P438" s="42" t="n">
        <f aca="false">IFERROR(ROUND(1.65*O438,0),0)</f>
        <v>369</v>
      </c>
      <c r="Q438" s="43" t="n">
        <f aca="false">IFERROR(ROUND(M438*H438+P438,0),0)</f>
        <v>6669</v>
      </c>
      <c r="R438" s="44" t="n">
        <f aca="false">G438-Q438</f>
        <v>11933</v>
      </c>
      <c r="S438" s="45" t="str">
        <f aca="false">IF(G438=0,"Stockout ⚠",IF(G438&lt;Q438,"Reorder 🔄",IF(G438&gt;Q438+L438,"Overstock 📦","Aman ✅")))</f>
        <v>Overstock 📦</v>
      </c>
      <c r="T438" s="46" t="n">
        <f aca="false">IFERROR(N438/AVERAGE(M437:M441),0)</f>
        <v>0.242178081414151</v>
      </c>
      <c r="U438" s="47" t="n">
        <v>-1135.27</v>
      </c>
      <c r="V438" s="48" t="n">
        <v>0.2603</v>
      </c>
    </row>
    <row r="439" customFormat="false" ht="15" hidden="false" customHeight="true" outlineLevel="0" collapsed="false">
      <c r="A439" s="34" t="n">
        <v>3</v>
      </c>
      <c r="B439" s="35" t="n">
        <v>2023</v>
      </c>
      <c r="C439" s="34" t="s">
        <v>264</v>
      </c>
      <c r="D439" s="34" t="s">
        <v>208</v>
      </c>
      <c r="E439" s="36" t="s">
        <v>209</v>
      </c>
      <c r="F439" s="34" t="s">
        <v>36</v>
      </c>
      <c r="G439" s="37" t="n">
        <v>39527</v>
      </c>
      <c r="H439" s="37" t="n">
        <v>43</v>
      </c>
      <c r="I439" s="37" t="n">
        <f aca="false">IFERROR(ROUND('Data Bulanan'!CC92,0),0)</f>
        <v>53270</v>
      </c>
      <c r="J439" s="37" t="n">
        <v>10747745</v>
      </c>
      <c r="K439" s="37" t="n">
        <v>388622</v>
      </c>
      <c r="L439" s="38" t="n">
        <f aca="false">IFERROR(ROUND(SQRT(2*I439*J439/K439),0),0)</f>
        <v>1717</v>
      </c>
      <c r="M439" s="39" t="n">
        <f aca="false">IFERROR(AVERAGE('Data Bulanan'!BF92,'Data Bulanan'!BH92,'Data Bulanan'!BJ92,'Data Bulanan'!BL92,'Data Bulanan'!BN92,'Data Bulanan'!BP92,'Data Bulanan'!BR92,'Data Bulanan'!BT92,'Data Bulanan'!BV92,'Data Bulanan'!BX92,'Data Bulanan'!BZ92,'Data Bulanan'!CB92),0)</f>
        <v>142.039080901178</v>
      </c>
      <c r="N439" s="40" t="n">
        <f aca="false">'Data Bulanan'!CD92</f>
        <v>27.4342673648917</v>
      </c>
      <c r="O439" s="41" t="n">
        <f aca="false">IFERROR(N439*SQRT(H439),0)</f>
        <v>179.898521704542</v>
      </c>
      <c r="P439" s="42" t="n">
        <f aca="false">IFERROR(ROUND(1.65*O439,0),0)</f>
        <v>297</v>
      </c>
      <c r="Q439" s="43" t="n">
        <f aca="false">IFERROR(ROUND(M439*H439+P439,0),0)</f>
        <v>6405</v>
      </c>
      <c r="R439" s="44" t="n">
        <f aca="false">G439-Q439</f>
        <v>33122</v>
      </c>
      <c r="S439" s="45" t="str">
        <f aca="false">IF(G439=0,"Stockout ⚠",IF(G439&lt;Q439,"Reorder 🔄",IF(G439&gt;Q439+L439,"Overstock 📦","Aman ✅")))</f>
        <v>Overstock 📦</v>
      </c>
      <c r="T439" s="46" t="n">
        <f aca="false">IFERROR(N439/AVERAGE(M437:M441),0)</f>
        <v>0.194678938193735</v>
      </c>
      <c r="U439" s="47" t="n">
        <v>-1135.27</v>
      </c>
      <c r="V439" s="48" t="n">
        <v>0.2603</v>
      </c>
    </row>
    <row r="440" customFormat="false" ht="15" hidden="false" customHeight="true" outlineLevel="0" collapsed="false">
      <c r="A440" s="34" t="n">
        <v>4</v>
      </c>
      <c r="B440" s="35" t="n">
        <v>2024</v>
      </c>
      <c r="C440" s="34" t="s">
        <v>264</v>
      </c>
      <c r="D440" s="34" t="s">
        <v>208</v>
      </c>
      <c r="E440" s="36" t="s">
        <v>209</v>
      </c>
      <c r="F440" s="34" t="s">
        <v>36</v>
      </c>
      <c r="G440" s="37" t="n">
        <v>0</v>
      </c>
      <c r="H440" s="37" t="n">
        <v>43</v>
      </c>
      <c r="I440" s="37" t="n">
        <f aca="false">IFERROR(ROUND('Data Bulanan'!DC92,0),0)</f>
        <v>46862</v>
      </c>
      <c r="J440" s="37" t="n">
        <v>10522767</v>
      </c>
      <c r="K440" s="37" t="n">
        <v>405284</v>
      </c>
      <c r="L440" s="38" t="n">
        <f aca="false">IFERROR(ROUND(SQRT(2*I440*J440/K440),0),0)</f>
        <v>1560</v>
      </c>
      <c r="M440" s="39" t="n">
        <f aca="false">IFERROR(AVERAGE('Data Bulanan'!CF92,'Data Bulanan'!CH92,'Data Bulanan'!CJ92,'Data Bulanan'!CL92,'Data Bulanan'!CN92,'Data Bulanan'!CP92,'Data Bulanan'!CR92,'Data Bulanan'!CT92,'Data Bulanan'!CV92,'Data Bulanan'!CX92,'Data Bulanan'!CZ92,'Data Bulanan'!DB92),0)</f>
        <v>124.437589605735</v>
      </c>
      <c r="N440" s="40" t="n">
        <f aca="false">'Data Bulanan'!DD92</f>
        <v>23.0644552887183</v>
      </c>
      <c r="O440" s="41" t="n">
        <f aca="false">IFERROR(N440*SQRT(H440),0)</f>
        <v>151.243747652283</v>
      </c>
      <c r="P440" s="42" t="n">
        <f aca="false">IFERROR(ROUND(1.65*O440,0),0)</f>
        <v>250</v>
      </c>
      <c r="Q440" s="43" t="n">
        <f aca="false">IFERROR(ROUND(M440*H440+P440,0),0)</f>
        <v>5601</v>
      </c>
      <c r="R440" s="44" t="n">
        <f aca="false">G440-Q440</f>
        <v>-5601</v>
      </c>
      <c r="S440" s="45" t="str">
        <f aca="false">IF(G440=0,"Stockout ⚠",IF(G440&lt;Q440,"Reorder 🔄",IF(G440&gt;Q440+L440,"Overstock 📦","Aman ✅")))</f>
        <v>Stockout ⚠</v>
      </c>
      <c r="T440" s="46" t="n">
        <f aca="false">IFERROR(N440/AVERAGE(M437:M441),0)</f>
        <v>0.163669895240969</v>
      </c>
      <c r="U440" s="47" t="n">
        <v>-1135.27</v>
      </c>
      <c r="V440" s="48" t="n">
        <v>0.2603</v>
      </c>
    </row>
    <row r="441" customFormat="false" ht="15" hidden="false" customHeight="true" outlineLevel="0" collapsed="false">
      <c r="A441" s="34" t="n">
        <v>5</v>
      </c>
      <c r="B441" s="35" t="n">
        <v>2025</v>
      </c>
      <c r="C441" s="34" t="s">
        <v>264</v>
      </c>
      <c r="D441" s="34" t="s">
        <v>208</v>
      </c>
      <c r="E441" s="36" t="s">
        <v>209</v>
      </c>
      <c r="F441" s="34" t="s">
        <v>36</v>
      </c>
      <c r="G441" s="37" t="n">
        <v>0</v>
      </c>
      <c r="H441" s="37" t="n">
        <v>43</v>
      </c>
      <c r="I441" s="37" t="n">
        <f aca="false">IFERROR(ROUND('Data Bulanan'!EC92,0),0)</f>
        <v>53997</v>
      </c>
      <c r="J441" s="37" t="n">
        <v>11058208</v>
      </c>
      <c r="K441" s="37" t="n">
        <v>362305</v>
      </c>
      <c r="L441" s="38" t="n">
        <f aca="false">IFERROR(ROUND(SQRT(2*I441*J441/K441),0),0)</f>
        <v>1816</v>
      </c>
      <c r="M441" s="39" t="n">
        <f aca="false">IFERROR(AVERAGE('Data Bulanan'!DF92,'Data Bulanan'!DH92,'Data Bulanan'!DJ92,'Data Bulanan'!DL92,'Data Bulanan'!DN92,'Data Bulanan'!DP92,'Data Bulanan'!DR92,'Data Bulanan'!DT92,'Data Bulanan'!DV92,'Data Bulanan'!DX92,'Data Bulanan'!DZ92,'Data Bulanan'!EB92),0)</f>
        <v>143.756989247312</v>
      </c>
      <c r="N441" s="40" t="n">
        <f aca="false">'Data Bulanan'!ED92</f>
        <v>32.5989699054874</v>
      </c>
      <c r="O441" s="41" t="n">
        <f aca="false">IFERROR(N441*SQRT(H441),0)</f>
        <v>213.765741110805</v>
      </c>
      <c r="P441" s="42" t="n">
        <f aca="false">IFERROR(ROUND(1.65*O441,0),0)</f>
        <v>353</v>
      </c>
      <c r="Q441" s="43" t="n">
        <f aca="false">IFERROR(ROUND(M441*H441+P441,0),0)</f>
        <v>6535</v>
      </c>
      <c r="R441" s="44" t="n">
        <f aca="false">G441-Q441</f>
        <v>-6535</v>
      </c>
      <c r="S441" s="45" t="str">
        <f aca="false">IF(G441=0,"Stockout ⚠",IF(G441&lt;Q441,"Reorder 🔄",IF(G441&gt;Q441+L441,"Overstock 📦","Aman ✅")))</f>
        <v>Stockout ⚠</v>
      </c>
      <c r="T441" s="46" t="n">
        <f aca="false">IFERROR(N441/AVERAGE(M437:M441),0)</f>
        <v>0.231328679676403</v>
      </c>
      <c r="U441" s="47" t="n">
        <v>-1135.27</v>
      </c>
      <c r="V441" s="48" t="n">
        <v>0.2603</v>
      </c>
    </row>
    <row r="442" customFormat="false" ht="15" hidden="false" customHeight="true" outlineLevel="0" collapsed="false">
      <c r="A442" s="49" t="n">
        <v>1</v>
      </c>
      <c r="B442" s="35" t="n">
        <v>2021</v>
      </c>
      <c r="C442" s="49" t="s">
        <v>264</v>
      </c>
      <c r="D442" s="49" t="s">
        <v>210</v>
      </c>
      <c r="E442" s="50" t="s">
        <v>211</v>
      </c>
      <c r="F442" s="49" t="s">
        <v>36</v>
      </c>
      <c r="G442" s="37" t="n">
        <v>5067</v>
      </c>
      <c r="H442" s="37" t="n">
        <v>44</v>
      </c>
      <c r="I442" s="37" t="n">
        <f aca="false">IFERROR(ROUND('Data Bulanan'!AC93,0),0)</f>
        <v>44569</v>
      </c>
      <c r="J442" s="37" t="n">
        <v>6806383</v>
      </c>
      <c r="K442" s="37" t="n">
        <v>349007</v>
      </c>
      <c r="L442" s="38" t="n">
        <f aca="false">IFERROR(ROUND(SQRT(2*I442*J442/K442),0),0)</f>
        <v>1318</v>
      </c>
      <c r="M442" s="39" t="n">
        <f aca="false">IFERROR(AVERAGE('Data Bulanan'!F93,'Data Bulanan'!H93,'Data Bulanan'!J93,'Data Bulanan'!L93,'Data Bulanan'!N93,'Data Bulanan'!P93,'Data Bulanan'!R93,'Data Bulanan'!T93,'Data Bulanan'!V93,'Data Bulanan'!X93,'Data Bulanan'!Z93,'Data Bulanan'!AB93),0)</f>
        <v>118.458794162826</v>
      </c>
      <c r="N442" s="40" t="n">
        <f aca="false">'Data Bulanan'!AD93</f>
        <v>30.4835149237041</v>
      </c>
      <c r="O442" s="41" t="n">
        <f aca="false">IFERROR(N442*SQRT(H442),0)</f>
        <v>202.204762586252</v>
      </c>
      <c r="P442" s="42" t="n">
        <f aca="false">IFERROR(ROUND(1.65*O442,0),0)</f>
        <v>334</v>
      </c>
      <c r="Q442" s="43" t="n">
        <f aca="false">IFERROR(ROUND(M442*H442+P442,0),0)</f>
        <v>5546</v>
      </c>
      <c r="R442" s="44" t="n">
        <f aca="false">G442-Q442</f>
        <v>-479</v>
      </c>
      <c r="S442" s="45" t="str">
        <f aca="false">IF(G442=0,"Stockout ⚠",IF(G442&lt;Q442,"Reorder 🔄",IF(G442&gt;Q442+L442,"Overstock 📦","Aman ✅")))</f>
        <v>Reorder 🔄</v>
      </c>
      <c r="T442" s="46" t="n">
        <f aca="false">IFERROR(N442/AVERAGE(M442:M446),0)</f>
        <v>0.248126278875144</v>
      </c>
      <c r="U442" s="47" t="n">
        <v>-761.33</v>
      </c>
      <c r="V442" s="48" t="n">
        <v>0.1691</v>
      </c>
    </row>
    <row r="443" customFormat="false" ht="15" hidden="false" customHeight="true" outlineLevel="0" collapsed="false">
      <c r="A443" s="49" t="n">
        <v>2</v>
      </c>
      <c r="B443" s="35" t="n">
        <v>2022</v>
      </c>
      <c r="C443" s="49" t="s">
        <v>264</v>
      </c>
      <c r="D443" s="49" t="s">
        <v>210</v>
      </c>
      <c r="E443" s="50" t="s">
        <v>211</v>
      </c>
      <c r="F443" s="49" t="s">
        <v>36</v>
      </c>
      <c r="G443" s="37" t="n">
        <v>17287</v>
      </c>
      <c r="H443" s="37" t="n">
        <v>44</v>
      </c>
      <c r="I443" s="37" t="n">
        <f aca="false">IFERROR(ROUND('Data Bulanan'!BC93,0),0)</f>
        <v>49517</v>
      </c>
      <c r="J443" s="37" t="n">
        <v>7215465</v>
      </c>
      <c r="K443" s="37" t="n">
        <v>334468</v>
      </c>
      <c r="L443" s="38" t="n">
        <f aca="false">IFERROR(ROUND(SQRT(2*I443*J443/K443),0),0)</f>
        <v>1462</v>
      </c>
      <c r="M443" s="39" t="n">
        <f aca="false">IFERROR(AVERAGE('Data Bulanan'!AF93,'Data Bulanan'!AH93,'Data Bulanan'!AJ93,'Data Bulanan'!AL93,'Data Bulanan'!AN93,'Data Bulanan'!AP93,'Data Bulanan'!AR93,'Data Bulanan'!AT93,'Data Bulanan'!AV93,'Data Bulanan'!AX93,'Data Bulanan'!AZ93,'Data Bulanan'!BB93),0)</f>
        <v>132.014983358935</v>
      </c>
      <c r="N443" s="40" t="n">
        <f aca="false">'Data Bulanan'!BD93</f>
        <v>29.0627236694833</v>
      </c>
      <c r="O443" s="41" t="n">
        <f aca="false">IFERROR(N443*SQRT(H443),0)</f>
        <v>192.780299594914</v>
      </c>
      <c r="P443" s="42" t="n">
        <f aca="false">IFERROR(ROUND(1.65*O443,0),0)</f>
        <v>318</v>
      </c>
      <c r="Q443" s="43" t="n">
        <f aca="false">IFERROR(ROUND(M443*H443+P443,0),0)</f>
        <v>6127</v>
      </c>
      <c r="R443" s="44" t="n">
        <f aca="false">G443-Q443</f>
        <v>11160</v>
      </c>
      <c r="S443" s="45" t="str">
        <f aca="false">IF(G443=0,"Stockout ⚠",IF(G443&lt;Q443,"Reorder 🔄",IF(G443&gt;Q443+L443,"Overstock 📦","Aman ✅")))</f>
        <v>Overstock 📦</v>
      </c>
      <c r="T443" s="46" t="n">
        <f aca="false">IFERROR(N443/AVERAGE(M442:M446),0)</f>
        <v>0.23656148236626</v>
      </c>
      <c r="U443" s="47" t="n">
        <v>-761.33</v>
      </c>
      <c r="V443" s="48" t="n">
        <v>0.1691</v>
      </c>
    </row>
    <row r="444" customFormat="false" ht="15" hidden="false" customHeight="true" outlineLevel="0" collapsed="false">
      <c r="A444" s="49" t="n">
        <v>3</v>
      </c>
      <c r="B444" s="35" t="n">
        <v>2023</v>
      </c>
      <c r="C444" s="49" t="s">
        <v>264</v>
      </c>
      <c r="D444" s="49" t="s">
        <v>210</v>
      </c>
      <c r="E444" s="50" t="s">
        <v>211</v>
      </c>
      <c r="F444" s="49" t="s">
        <v>36</v>
      </c>
      <c r="G444" s="37" t="n">
        <v>22191</v>
      </c>
      <c r="H444" s="37" t="n">
        <v>44</v>
      </c>
      <c r="I444" s="37" t="n">
        <f aca="false">IFERROR(ROUND('Data Bulanan'!CC93,0),0)</f>
        <v>47604</v>
      </c>
      <c r="J444" s="37" t="n">
        <v>6903822</v>
      </c>
      <c r="K444" s="37" t="n">
        <v>349502</v>
      </c>
      <c r="L444" s="38" t="n">
        <f aca="false">IFERROR(ROUND(SQRT(2*I444*J444/K444),0),0)</f>
        <v>1371</v>
      </c>
      <c r="M444" s="39" t="n">
        <f aca="false">IFERROR(AVERAGE('Data Bulanan'!BF93,'Data Bulanan'!BH93,'Data Bulanan'!BJ93,'Data Bulanan'!BL93,'Data Bulanan'!BN93,'Data Bulanan'!BP93,'Data Bulanan'!BR93,'Data Bulanan'!BT93,'Data Bulanan'!BV93,'Data Bulanan'!BX93,'Data Bulanan'!BZ93,'Data Bulanan'!CB93),0)</f>
        <v>126.323419098822</v>
      </c>
      <c r="N444" s="40" t="n">
        <f aca="false">'Data Bulanan'!CD93</f>
        <v>33.5810865155282</v>
      </c>
      <c r="O444" s="41" t="n">
        <f aca="false">IFERROR(N444*SQRT(H444),0)</f>
        <v>222.75172804894</v>
      </c>
      <c r="P444" s="42" t="n">
        <f aca="false">IFERROR(ROUND(1.65*O444,0),0)</f>
        <v>368</v>
      </c>
      <c r="Q444" s="43" t="n">
        <f aca="false">IFERROR(ROUND(M444*H444+P444,0),0)</f>
        <v>5926</v>
      </c>
      <c r="R444" s="44" t="n">
        <f aca="false">G444-Q444</f>
        <v>16265</v>
      </c>
      <c r="S444" s="45" t="str">
        <f aca="false">IF(G444=0,"Stockout ⚠",IF(G444&lt;Q444,"Reorder 🔄",IF(G444&gt;Q444+L444,"Overstock 📦","Aman ✅")))</f>
        <v>Overstock 📦</v>
      </c>
      <c r="T444" s="46" t="n">
        <f aca="false">IFERROR(N444/AVERAGE(M442:M446),0)</f>
        <v>0.273339542980426</v>
      </c>
      <c r="U444" s="47" t="n">
        <v>-761.33</v>
      </c>
      <c r="V444" s="48" t="n">
        <v>0.1691</v>
      </c>
    </row>
    <row r="445" customFormat="false" ht="15" hidden="false" customHeight="true" outlineLevel="0" collapsed="false">
      <c r="A445" s="49" t="n">
        <v>4</v>
      </c>
      <c r="B445" s="35" t="n">
        <v>2024</v>
      </c>
      <c r="C445" s="49" t="s">
        <v>264</v>
      </c>
      <c r="D445" s="49" t="s">
        <v>210</v>
      </c>
      <c r="E445" s="50" t="s">
        <v>211</v>
      </c>
      <c r="F445" s="49" t="s">
        <v>36</v>
      </c>
      <c r="G445" s="37" t="n">
        <v>21803</v>
      </c>
      <c r="H445" s="37" t="n">
        <v>44</v>
      </c>
      <c r="I445" s="37" t="n">
        <f aca="false">IFERROR(ROUND('Data Bulanan'!DC93,0),0)</f>
        <v>47094</v>
      </c>
      <c r="J445" s="37" t="n">
        <v>6013894</v>
      </c>
      <c r="K445" s="37" t="n">
        <v>332386</v>
      </c>
      <c r="L445" s="38" t="n">
        <f aca="false">IFERROR(ROUND(SQRT(2*I445*J445/K445),0),0)</f>
        <v>1305</v>
      </c>
      <c r="M445" s="39" t="n">
        <f aca="false">IFERROR(AVERAGE('Data Bulanan'!CF93,'Data Bulanan'!CH93,'Data Bulanan'!CJ93,'Data Bulanan'!CL93,'Data Bulanan'!CN93,'Data Bulanan'!CP93,'Data Bulanan'!CR93,'Data Bulanan'!CT93,'Data Bulanan'!CV93,'Data Bulanan'!CX93,'Data Bulanan'!CZ93,'Data Bulanan'!DB93),0)</f>
        <v>125.583192524322</v>
      </c>
      <c r="N445" s="40" t="n">
        <f aca="false">'Data Bulanan'!DD93</f>
        <v>25.3770422851238</v>
      </c>
      <c r="O445" s="41" t="n">
        <f aca="false">IFERROR(N445*SQRT(H445),0)</f>
        <v>168.332255097478</v>
      </c>
      <c r="P445" s="42" t="n">
        <f aca="false">IFERROR(ROUND(1.65*O445,0),0)</f>
        <v>278</v>
      </c>
      <c r="Q445" s="43" t="n">
        <f aca="false">IFERROR(ROUND(M445*H445+P445,0),0)</f>
        <v>5804</v>
      </c>
      <c r="R445" s="44" t="n">
        <f aca="false">G445-Q445</f>
        <v>15999</v>
      </c>
      <c r="S445" s="45" t="str">
        <f aca="false">IF(G445=0,"Stockout ⚠",IF(G445&lt;Q445,"Reorder 🔄",IF(G445&gt;Q445+L445,"Overstock 📦","Aman ✅")))</f>
        <v>Overstock 📦</v>
      </c>
      <c r="T445" s="46" t="n">
        <f aca="false">IFERROR(N445/AVERAGE(M442:M446),0)</f>
        <v>0.206561188459557</v>
      </c>
      <c r="U445" s="47" t="n">
        <v>-761.33</v>
      </c>
      <c r="V445" s="48" t="n">
        <v>0.1691</v>
      </c>
    </row>
    <row r="446" customFormat="false" ht="15" hidden="false" customHeight="true" outlineLevel="0" collapsed="false">
      <c r="A446" s="49" t="n">
        <v>5</v>
      </c>
      <c r="B446" s="35" t="n">
        <v>2025</v>
      </c>
      <c r="C446" s="49" t="s">
        <v>264</v>
      </c>
      <c r="D446" s="49" t="s">
        <v>210</v>
      </c>
      <c r="E446" s="50" t="s">
        <v>211</v>
      </c>
      <c r="F446" s="49" t="s">
        <v>36</v>
      </c>
      <c r="G446" s="37" t="n">
        <v>0</v>
      </c>
      <c r="H446" s="37" t="n">
        <v>44</v>
      </c>
      <c r="I446" s="37" t="n">
        <f aca="false">IFERROR(ROUND('Data Bulanan'!EC93,0),0)</f>
        <v>41974</v>
      </c>
      <c r="J446" s="37" t="n">
        <v>6199622</v>
      </c>
      <c r="K446" s="37" t="n">
        <v>308779</v>
      </c>
      <c r="L446" s="38" t="n">
        <f aca="false">IFERROR(ROUND(SQRT(2*I446*J446/K446),0),0)</f>
        <v>1298</v>
      </c>
      <c r="M446" s="39" t="n">
        <f aca="false">IFERROR(AVERAGE('Data Bulanan'!DF93,'Data Bulanan'!DH93,'Data Bulanan'!DJ93,'Data Bulanan'!DL93,'Data Bulanan'!DN93,'Data Bulanan'!DP93,'Data Bulanan'!DR93,'Data Bulanan'!DT93,'Data Bulanan'!DV93,'Data Bulanan'!DX93,'Data Bulanan'!DZ93,'Data Bulanan'!EB93),0)</f>
        <v>111.893823604711</v>
      </c>
      <c r="N446" s="40" t="n">
        <f aca="false">'Data Bulanan'!ED93</f>
        <v>32.3445807600697</v>
      </c>
      <c r="O446" s="41" t="n">
        <f aca="false">IFERROR(N446*SQRT(H446),0)</f>
        <v>214.549676764999</v>
      </c>
      <c r="P446" s="42" t="n">
        <f aca="false">IFERROR(ROUND(1.65*O446,0),0)</f>
        <v>354</v>
      </c>
      <c r="Q446" s="43" t="n">
        <f aca="false">IFERROR(ROUND(M446*H446+P446,0),0)</f>
        <v>5277</v>
      </c>
      <c r="R446" s="44" t="n">
        <f aca="false">G446-Q446</f>
        <v>-5277</v>
      </c>
      <c r="S446" s="45" t="str">
        <f aca="false">IF(G446=0,"Stockout ⚠",IF(G446&lt;Q446,"Reorder 🔄",IF(G446&gt;Q446+L446,"Overstock 📦","Aman ✅")))</f>
        <v>Stockout ⚠</v>
      </c>
      <c r="T446" s="46" t="n">
        <f aca="false">IFERROR(N446/AVERAGE(M442:M446),0)</f>
        <v>0.263274772802921</v>
      </c>
      <c r="U446" s="47" t="n">
        <v>-761.33</v>
      </c>
      <c r="V446" s="48" t="n">
        <v>0.1691</v>
      </c>
    </row>
    <row r="447" customFormat="false" ht="15" hidden="false" customHeight="true" outlineLevel="0" collapsed="false">
      <c r="A447" s="34" t="n">
        <v>1</v>
      </c>
      <c r="B447" s="35" t="n">
        <v>2021</v>
      </c>
      <c r="C447" s="34" t="s">
        <v>264</v>
      </c>
      <c r="D447" s="34" t="s">
        <v>212</v>
      </c>
      <c r="E447" s="36" t="s">
        <v>213</v>
      </c>
      <c r="F447" s="34" t="s">
        <v>36</v>
      </c>
      <c r="G447" s="37" t="n">
        <v>2264</v>
      </c>
      <c r="H447" s="37" t="n">
        <v>9</v>
      </c>
      <c r="I447" s="37" t="n">
        <f aca="false">IFERROR(ROUND('Data Bulanan'!AC94,0),0)</f>
        <v>25432</v>
      </c>
      <c r="J447" s="37" t="n">
        <v>2556639</v>
      </c>
      <c r="K447" s="37" t="n">
        <v>193458</v>
      </c>
      <c r="L447" s="38" t="n">
        <f aca="false">IFERROR(ROUND(SQRT(2*I447*J447/K447),0),0)</f>
        <v>820</v>
      </c>
      <c r="M447" s="39" t="n">
        <f aca="false">IFERROR(AVERAGE('Data Bulanan'!F94,'Data Bulanan'!H94,'Data Bulanan'!J94,'Data Bulanan'!L94,'Data Bulanan'!N94,'Data Bulanan'!P94,'Data Bulanan'!R94,'Data Bulanan'!T94,'Data Bulanan'!V94,'Data Bulanan'!X94,'Data Bulanan'!Z94,'Data Bulanan'!AB94),0)</f>
        <v>67.4765681003584</v>
      </c>
      <c r="N447" s="40" t="n">
        <f aca="false">'Data Bulanan'!AD94</f>
        <v>12.1894973355175</v>
      </c>
      <c r="O447" s="41" t="n">
        <f aca="false">IFERROR(N447*SQRT(H447),0)</f>
        <v>36.5684920065526</v>
      </c>
      <c r="P447" s="42" t="n">
        <f aca="false">IFERROR(ROUND(1.65*O447,0),0)</f>
        <v>60</v>
      </c>
      <c r="Q447" s="43" t="n">
        <f aca="false">IFERROR(ROUND(M447*H447+P447,0),0)</f>
        <v>667</v>
      </c>
      <c r="R447" s="44" t="n">
        <f aca="false">G447-Q447</f>
        <v>1597</v>
      </c>
      <c r="S447" s="45" t="str">
        <f aca="false">IF(G447=0,"Stockout ⚠",IF(G447&lt;Q447,"Reorder 🔄",IF(G447&gt;Q447+L447,"Overstock 📦","Aman ✅")))</f>
        <v>Overstock 📦</v>
      </c>
      <c r="T447" s="46" t="n">
        <f aca="false">IFERROR(N447/AVERAGE(M447:M451),0)</f>
        <v>0.161007529632414</v>
      </c>
      <c r="U447" s="47" t="n">
        <v>854.26</v>
      </c>
      <c r="V447" s="48" t="n">
        <v>0.1414</v>
      </c>
    </row>
    <row r="448" customFormat="false" ht="15" hidden="false" customHeight="true" outlineLevel="0" collapsed="false">
      <c r="A448" s="34" t="n">
        <v>2</v>
      </c>
      <c r="B448" s="35" t="n">
        <v>2022</v>
      </c>
      <c r="C448" s="34" t="s">
        <v>264</v>
      </c>
      <c r="D448" s="34" t="s">
        <v>212</v>
      </c>
      <c r="E448" s="36" t="s">
        <v>213</v>
      </c>
      <c r="F448" s="34" t="s">
        <v>36</v>
      </c>
      <c r="G448" s="37" t="n">
        <v>0</v>
      </c>
      <c r="H448" s="37" t="n">
        <v>9</v>
      </c>
      <c r="I448" s="37" t="n">
        <f aca="false">IFERROR(ROUND('Data Bulanan'!BC94,0),0)</f>
        <v>32415</v>
      </c>
      <c r="J448" s="37" t="n">
        <v>2346677</v>
      </c>
      <c r="K448" s="37" t="n">
        <v>186386</v>
      </c>
      <c r="L448" s="38" t="n">
        <f aca="false">IFERROR(ROUND(SQRT(2*I448*J448/K448),0),0)</f>
        <v>903</v>
      </c>
      <c r="M448" s="39" t="n">
        <f aca="false">IFERROR(AVERAGE('Data Bulanan'!AF94,'Data Bulanan'!AH94,'Data Bulanan'!AJ94,'Data Bulanan'!AL94,'Data Bulanan'!AN94,'Data Bulanan'!AP94,'Data Bulanan'!AR94,'Data Bulanan'!AT94,'Data Bulanan'!AV94,'Data Bulanan'!AX94,'Data Bulanan'!AZ94,'Data Bulanan'!BB94),0)</f>
        <v>86.1446876600102</v>
      </c>
      <c r="N448" s="40" t="n">
        <f aca="false">'Data Bulanan'!BD94</f>
        <v>15.2726502636559</v>
      </c>
      <c r="O448" s="41" t="n">
        <f aca="false">IFERROR(N448*SQRT(H448),0)</f>
        <v>45.8179507909678</v>
      </c>
      <c r="P448" s="42" t="n">
        <f aca="false">IFERROR(ROUND(1.65*O448,0),0)</f>
        <v>76</v>
      </c>
      <c r="Q448" s="43" t="n">
        <f aca="false">IFERROR(ROUND(M448*H448+P448,0),0)</f>
        <v>851</v>
      </c>
      <c r="R448" s="44" t="n">
        <f aca="false">G448-Q448</f>
        <v>-851</v>
      </c>
      <c r="S448" s="45" t="str">
        <f aca="false">IF(G448=0,"Stockout ⚠",IF(G448&lt;Q448,"Reorder 🔄",IF(G448&gt;Q448+L448,"Overstock 📦","Aman ✅")))</f>
        <v>Stockout ⚠</v>
      </c>
      <c r="T448" s="46" t="n">
        <f aca="false">IFERROR(N448/AVERAGE(M447:M451),0)</f>
        <v>0.201732001099508</v>
      </c>
      <c r="U448" s="47" t="n">
        <v>854.26</v>
      </c>
      <c r="V448" s="48" t="n">
        <v>0.1414</v>
      </c>
    </row>
    <row r="449" customFormat="false" ht="15" hidden="false" customHeight="true" outlineLevel="0" collapsed="false">
      <c r="A449" s="34" t="n">
        <v>3</v>
      </c>
      <c r="B449" s="35" t="n">
        <v>2023</v>
      </c>
      <c r="C449" s="34" t="s">
        <v>264</v>
      </c>
      <c r="D449" s="34" t="s">
        <v>212</v>
      </c>
      <c r="E449" s="36" t="s">
        <v>213</v>
      </c>
      <c r="F449" s="34" t="s">
        <v>36</v>
      </c>
      <c r="G449" s="37" t="n">
        <v>1687</v>
      </c>
      <c r="H449" s="37" t="n">
        <v>9</v>
      </c>
      <c r="I449" s="37" t="n">
        <f aca="false">IFERROR(ROUND('Data Bulanan'!CC94,0),0)</f>
        <v>24607</v>
      </c>
      <c r="J449" s="37" t="n">
        <v>2404848</v>
      </c>
      <c r="K449" s="37" t="n">
        <v>174457</v>
      </c>
      <c r="L449" s="38" t="n">
        <f aca="false">IFERROR(ROUND(SQRT(2*I449*J449/K449),0),0)</f>
        <v>824</v>
      </c>
      <c r="M449" s="39" t="n">
        <f aca="false">IFERROR(AVERAGE('Data Bulanan'!BF94,'Data Bulanan'!BH94,'Data Bulanan'!BJ94,'Data Bulanan'!BL94,'Data Bulanan'!BN94,'Data Bulanan'!BP94,'Data Bulanan'!BR94,'Data Bulanan'!BT94,'Data Bulanan'!BV94,'Data Bulanan'!BX94,'Data Bulanan'!BZ94,'Data Bulanan'!CB94),0)</f>
        <v>65.3278289810548</v>
      </c>
      <c r="N449" s="40" t="n">
        <f aca="false">'Data Bulanan'!CD94</f>
        <v>15.4366976323108</v>
      </c>
      <c r="O449" s="41" t="n">
        <f aca="false">IFERROR(N449*SQRT(H449),0)</f>
        <v>46.3100928969323</v>
      </c>
      <c r="P449" s="42" t="n">
        <f aca="false">IFERROR(ROUND(1.65*O449,0),0)</f>
        <v>76</v>
      </c>
      <c r="Q449" s="43" t="n">
        <f aca="false">IFERROR(ROUND(M449*H449+P449,0),0)</f>
        <v>664</v>
      </c>
      <c r="R449" s="44" t="n">
        <f aca="false">G449-Q449</f>
        <v>1023</v>
      </c>
      <c r="S449" s="45" t="str">
        <f aca="false">IF(G449=0,"Stockout ⚠",IF(G449&lt;Q449,"Reorder 🔄",IF(G449&gt;Q449+L449,"Overstock 📦","Aman ✅")))</f>
        <v>Overstock 📦</v>
      </c>
      <c r="T449" s="46" t="n">
        <f aca="false">IFERROR(N449/AVERAGE(M447:M451),0)</f>
        <v>0.203898855141377</v>
      </c>
      <c r="U449" s="47" t="n">
        <v>854.26</v>
      </c>
      <c r="V449" s="48" t="n">
        <v>0.1414</v>
      </c>
    </row>
    <row r="450" customFormat="false" ht="15" hidden="false" customHeight="true" outlineLevel="0" collapsed="false">
      <c r="A450" s="34" t="n">
        <v>4</v>
      </c>
      <c r="B450" s="35" t="n">
        <v>2024</v>
      </c>
      <c r="C450" s="34" t="s">
        <v>264</v>
      </c>
      <c r="D450" s="34" t="s">
        <v>212</v>
      </c>
      <c r="E450" s="36" t="s">
        <v>213</v>
      </c>
      <c r="F450" s="34" t="s">
        <v>36</v>
      </c>
      <c r="G450" s="37" t="n">
        <v>5822</v>
      </c>
      <c r="H450" s="37" t="n">
        <v>9</v>
      </c>
      <c r="I450" s="37" t="n">
        <f aca="false">IFERROR(ROUND('Data Bulanan'!DC94,0),0)</f>
        <v>28035</v>
      </c>
      <c r="J450" s="37" t="n">
        <v>2503537</v>
      </c>
      <c r="K450" s="37" t="n">
        <v>166998</v>
      </c>
      <c r="L450" s="38" t="n">
        <f aca="false">IFERROR(ROUND(SQRT(2*I450*J450/K450),0),0)</f>
        <v>917</v>
      </c>
      <c r="M450" s="39" t="n">
        <f aca="false">IFERROR(AVERAGE('Data Bulanan'!CF94,'Data Bulanan'!CH94,'Data Bulanan'!CJ94,'Data Bulanan'!CL94,'Data Bulanan'!CN94,'Data Bulanan'!CP94,'Data Bulanan'!CR94,'Data Bulanan'!CT94,'Data Bulanan'!CV94,'Data Bulanan'!CX94,'Data Bulanan'!CZ94,'Data Bulanan'!DB94),0)</f>
        <v>74.6963133640553</v>
      </c>
      <c r="N450" s="40" t="n">
        <f aca="false">'Data Bulanan'!DD94</f>
        <v>19.279667684324</v>
      </c>
      <c r="O450" s="41" t="n">
        <f aca="false">IFERROR(N450*SQRT(H450),0)</f>
        <v>57.8390030529719</v>
      </c>
      <c r="P450" s="42" t="n">
        <f aca="false">IFERROR(ROUND(1.65*O450,0),0)</f>
        <v>95</v>
      </c>
      <c r="Q450" s="43" t="n">
        <f aca="false">IFERROR(ROUND(M450*H450+P450,0),0)</f>
        <v>767</v>
      </c>
      <c r="R450" s="44" t="n">
        <f aca="false">G450-Q450</f>
        <v>5055</v>
      </c>
      <c r="S450" s="45" t="str">
        <f aca="false">IF(G450=0,"Stockout ⚠",IF(G450&lt;Q450,"Reorder 🔄",IF(G450&gt;Q450+L450,"Overstock 📦","Aman ✅")))</f>
        <v>Overstock 📦</v>
      </c>
      <c r="T450" s="46" t="n">
        <f aca="false">IFERROR(N450/AVERAGE(M447:M451),0)</f>
        <v>0.254659530294331</v>
      </c>
      <c r="U450" s="47" t="n">
        <v>854.26</v>
      </c>
      <c r="V450" s="48" t="n">
        <v>0.1414</v>
      </c>
    </row>
    <row r="451" customFormat="false" ht="15" hidden="false" customHeight="true" outlineLevel="0" collapsed="false">
      <c r="A451" s="34" t="n">
        <v>5</v>
      </c>
      <c r="B451" s="35" t="n">
        <v>2025</v>
      </c>
      <c r="C451" s="34" t="s">
        <v>264</v>
      </c>
      <c r="D451" s="34" t="s">
        <v>212</v>
      </c>
      <c r="E451" s="36" t="s">
        <v>213</v>
      </c>
      <c r="F451" s="34" t="s">
        <v>36</v>
      </c>
      <c r="G451" s="37" t="n">
        <v>681</v>
      </c>
      <c r="H451" s="37" t="n">
        <v>9</v>
      </c>
      <c r="I451" s="37" t="n">
        <f aca="false">IFERROR(ROUND('Data Bulanan'!EC94,0),0)</f>
        <v>31894</v>
      </c>
      <c r="J451" s="37" t="n">
        <v>2101750</v>
      </c>
      <c r="K451" s="37" t="n">
        <v>190895</v>
      </c>
      <c r="L451" s="38" t="n">
        <f aca="false">IFERROR(ROUND(SQRT(2*I451*J451/K451),0),0)</f>
        <v>838</v>
      </c>
      <c r="M451" s="39" t="n">
        <f aca="false">IFERROR(AVERAGE('Data Bulanan'!DF94,'Data Bulanan'!DH94,'Data Bulanan'!DJ94,'Data Bulanan'!DL94,'Data Bulanan'!DN94,'Data Bulanan'!DP94,'Data Bulanan'!DR94,'Data Bulanan'!DT94,'Data Bulanan'!DV94,'Data Bulanan'!DX94,'Data Bulanan'!DZ94,'Data Bulanan'!EB94),0)</f>
        <v>84.8927163338454</v>
      </c>
      <c r="N451" s="40" t="n">
        <f aca="false">'Data Bulanan'!ED94</f>
        <v>17.0851411580489</v>
      </c>
      <c r="O451" s="41" t="n">
        <f aca="false">IFERROR(N451*SQRT(H451),0)</f>
        <v>51.2554234741468</v>
      </c>
      <c r="P451" s="42" t="n">
        <f aca="false">IFERROR(ROUND(1.65*O451,0),0)</f>
        <v>85</v>
      </c>
      <c r="Q451" s="43" t="n">
        <f aca="false">IFERROR(ROUND(M451*H451+P451,0),0)</f>
        <v>849</v>
      </c>
      <c r="R451" s="44" t="n">
        <f aca="false">G451-Q451</f>
        <v>-168</v>
      </c>
      <c r="S451" s="45" t="str">
        <f aca="false">IF(G451=0,"Stockout ⚠",IF(G451&lt;Q451,"Reorder 🔄",IF(G451&gt;Q451+L451,"Overstock 📦","Aman ✅")))</f>
        <v>Reorder 🔄</v>
      </c>
      <c r="T451" s="46" t="n">
        <f aca="false">IFERROR(N451/AVERAGE(M447:M451),0)</f>
        <v>0.22567266685093</v>
      </c>
      <c r="U451" s="47" t="n">
        <v>854.26</v>
      </c>
      <c r="V451" s="48" t="n">
        <v>0.1414</v>
      </c>
    </row>
    <row r="452" customFormat="false" ht="15" hidden="false" customHeight="true" outlineLevel="0" collapsed="false">
      <c r="A452" s="49" t="n">
        <v>1</v>
      </c>
      <c r="B452" s="35" t="n">
        <v>2021</v>
      </c>
      <c r="C452" s="49" t="s">
        <v>264</v>
      </c>
      <c r="D452" s="49" t="s">
        <v>214</v>
      </c>
      <c r="E452" s="50" t="s">
        <v>215</v>
      </c>
      <c r="F452" s="49" t="s">
        <v>36</v>
      </c>
      <c r="G452" s="37" t="n">
        <v>0</v>
      </c>
      <c r="H452" s="37" t="n">
        <v>33</v>
      </c>
      <c r="I452" s="37" t="n">
        <f aca="false">IFERROR(ROUND('Data Bulanan'!AC95,0),0)</f>
        <v>50894</v>
      </c>
      <c r="J452" s="37" t="n">
        <v>11254730</v>
      </c>
      <c r="K452" s="37" t="n">
        <v>126069</v>
      </c>
      <c r="L452" s="38" t="n">
        <f aca="false">IFERROR(ROUND(SQRT(2*I452*J452/K452),0),0)</f>
        <v>3014</v>
      </c>
      <c r="M452" s="39" t="n">
        <f aca="false">IFERROR(AVERAGE('Data Bulanan'!F95,'Data Bulanan'!H95,'Data Bulanan'!J95,'Data Bulanan'!L95,'Data Bulanan'!N95,'Data Bulanan'!P95,'Data Bulanan'!R95,'Data Bulanan'!T95,'Data Bulanan'!V95,'Data Bulanan'!X95,'Data Bulanan'!Z95,'Data Bulanan'!AB95),0)</f>
        <v>135.475236815156</v>
      </c>
      <c r="N452" s="40" t="n">
        <f aca="false">'Data Bulanan'!AD95</f>
        <v>38.0790745468599</v>
      </c>
      <c r="O452" s="41" t="n">
        <f aca="false">IFERROR(N452*SQRT(H452),0)</f>
        <v>218.747629256629</v>
      </c>
      <c r="P452" s="42" t="n">
        <f aca="false">IFERROR(ROUND(1.65*O452,0),0)</f>
        <v>361</v>
      </c>
      <c r="Q452" s="43" t="n">
        <f aca="false">IFERROR(ROUND(M452*H452+P452,0),0)</f>
        <v>4832</v>
      </c>
      <c r="R452" s="44" t="n">
        <f aca="false">G452-Q452</f>
        <v>-4832</v>
      </c>
      <c r="S452" s="45" t="str">
        <f aca="false">IF(G452=0,"Stockout ⚠",IF(G452&lt;Q452,"Reorder 🔄",IF(G452&gt;Q452+L452,"Overstock 📦","Aman ✅")))</f>
        <v>Stockout ⚠</v>
      </c>
      <c r="T452" s="46" t="n">
        <f aca="false">IFERROR(N452/AVERAGE(M452:M456),0)</f>
        <v>0.33218870578825</v>
      </c>
      <c r="U452" s="47" t="n">
        <v>-2324.22</v>
      </c>
      <c r="V452" s="48" t="n">
        <v>0.3858</v>
      </c>
    </row>
    <row r="453" customFormat="false" ht="15" hidden="false" customHeight="true" outlineLevel="0" collapsed="false">
      <c r="A453" s="49" t="n">
        <v>2</v>
      </c>
      <c r="B453" s="35" t="n">
        <v>2022</v>
      </c>
      <c r="C453" s="49" t="s">
        <v>264</v>
      </c>
      <c r="D453" s="49" t="s">
        <v>214</v>
      </c>
      <c r="E453" s="50" t="s">
        <v>215</v>
      </c>
      <c r="F453" s="49" t="s">
        <v>36</v>
      </c>
      <c r="G453" s="37" t="n">
        <v>10745</v>
      </c>
      <c r="H453" s="37" t="n">
        <v>33</v>
      </c>
      <c r="I453" s="37" t="n">
        <f aca="false">IFERROR(ROUND('Data Bulanan'!BC95,0),0)</f>
        <v>42855</v>
      </c>
      <c r="J453" s="37" t="n">
        <v>12187529</v>
      </c>
      <c r="K453" s="37" t="n">
        <v>134694</v>
      </c>
      <c r="L453" s="38" t="n">
        <f aca="false">IFERROR(ROUND(SQRT(2*I453*J453/K453),0),0)</f>
        <v>2785</v>
      </c>
      <c r="M453" s="39" t="n">
        <f aca="false">IFERROR(AVERAGE('Data Bulanan'!AF95,'Data Bulanan'!AH95,'Data Bulanan'!AJ95,'Data Bulanan'!AL95,'Data Bulanan'!AN95,'Data Bulanan'!AP95,'Data Bulanan'!AR95,'Data Bulanan'!AT95,'Data Bulanan'!AV95,'Data Bulanan'!AX95,'Data Bulanan'!AZ95,'Data Bulanan'!BB95),0)</f>
        <v>113.901856118792</v>
      </c>
      <c r="N453" s="40" t="n">
        <f aca="false">'Data Bulanan'!BD95</f>
        <v>28.4859550354834</v>
      </c>
      <c r="O453" s="41" t="n">
        <f aca="false">IFERROR(N453*SQRT(H453),0)</f>
        <v>163.6393532478</v>
      </c>
      <c r="P453" s="42" t="n">
        <f aca="false">IFERROR(ROUND(1.65*O453,0),0)</f>
        <v>270</v>
      </c>
      <c r="Q453" s="43" t="n">
        <f aca="false">IFERROR(ROUND(M453*H453+P453,0),0)</f>
        <v>4029</v>
      </c>
      <c r="R453" s="44" t="n">
        <f aca="false">G453-Q453</f>
        <v>6716</v>
      </c>
      <c r="S453" s="45" t="str">
        <f aca="false">IF(G453=0,"Stockout ⚠",IF(G453&lt;Q453,"Reorder 🔄",IF(G453&gt;Q453+L453,"Overstock 📦","Aman ✅")))</f>
        <v>Overstock 📦</v>
      </c>
      <c r="T453" s="46" t="n">
        <f aca="false">IFERROR(N453/AVERAGE(M452:M456),0)</f>
        <v>0.248501641623005</v>
      </c>
      <c r="U453" s="47" t="n">
        <v>-2324.22</v>
      </c>
      <c r="V453" s="48" t="n">
        <v>0.3858</v>
      </c>
    </row>
    <row r="454" customFormat="false" ht="15" hidden="false" customHeight="true" outlineLevel="0" collapsed="false">
      <c r="A454" s="49" t="n">
        <v>3</v>
      </c>
      <c r="B454" s="35" t="n">
        <v>2023</v>
      </c>
      <c r="C454" s="49" t="s">
        <v>264</v>
      </c>
      <c r="D454" s="49" t="s">
        <v>214</v>
      </c>
      <c r="E454" s="50" t="s">
        <v>215</v>
      </c>
      <c r="F454" s="49" t="s">
        <v>36</v>
      </c>
      <c r="G454" s="37" t="n">
        <v>6711</v>
      </c>
      <c r="H454" s="37" t="n">
        <v>33</v>
      </c>
      <c r="I454" s="37" t="n">
        <f aca="false">IFERROR(ROUND('Data Bulanan'!CC95,0),0)</f>
        <v>37420</v>
      </c>
      <c r="J454" s="37" t="n">
        <v>10651998</v>
      </c>
      <c r="K454" s="37" t="n">
        <v>146466</v>
      </c>
      <c r="L454" s="38" t="n">
        <f aca="false">IFERROR(ROUND(SQRT(2*I454*J454/K454),0),0)</f>
        <v>2333</v>
      </c>
      <c r="M454" s="39" t="n">
        <f aca="false">IFERROR(AVERAGE('Data Bulanan'!BF95,'Data Bulanan'!BH95,'Data Bulanan'!BJ95,'Data Bulanan'!BL95,'Data Bulanan'!BN95,'Data Bulanan'!BP95,'Data Bulanan'!BR95,'Data Bulanan'!BT95,'Data Bulanan'!BV95,'Data Bulanan'!BX95,'Data Bulanan'!BZ95,'Data Bulanan'!CB95),0)</f>
        <v>99.6495071684588</v>
      </c>
      <c r="N454" s="40" t="n">
        <f aca="false">'Data Bulanan'!CD95</f>
        <v>26.6301304160494</v>
      </c>
      <c r="O454" s="41" t="n">
        <f aca="false">IFERROR(N454*SQRT(H454),0)</f>
        <v>152.978452460474</v>
      </c>
      <c r="P454" s="42" t="n">
        <f aca="false">IFERROR(ROUND(1.65*O454,0),0)</f>
        <v>252</v>
      </c>
      <c r="Q454" s="43" t="n">
        <f aca="false">IFERROR(ROUND(M454*H454+P454,0),0)</f>
        <v>3540</v>
      </c>
      <c r="R454" s="44" t="n">
        <f aca="false">G454-Q454</f>
        <v>3171</v>
      </c>
      <c r="S454" s="45" t="str">
        <f aca="false">IF(G454=0,"Stockout ⚠",IF(G454&lt;Q454,"Reorder 🔄",IF(G454&gt;Q454+L454,"Overstock 📦","Aman ✅")))</f>
        <v>Overstock 📦</v>
      </c>
      <c r="T454" s="46" t="n">
        <f aca="false">IFERROR(N454/AVERAGE(M452:M456),0)</f>
        <v>0.232312068062306</v>
      </c>
      <c r="U454" s="47" t="n">
        <v>-2324.22</v>
      </c>
      <c r="V454" s="48" t="n">
        <v>0.3858</v>
      </c>
    </row>
    <row r="455" customFormat="false" ht="15" hidden="false" customHeight="true" outlineLevel="0" collapsed="false">
      <c r="A455" s="49" t="n">
        <v>4</v>
      </c>
      <c r="B455" s="35" t="n">
        <v>2024</v>
      </c>
      <c r="C455" s="49" t="s">
        <v>264</v>
      </c>
      <c r="D455" s="49" t="s">
        <v>214</v>
      </c>
      <c r="E455" s="50" t="s">
        <v>215</v>
      </c>
      <c r="F455" s="49" t="s">
        <v>36</v>
      </c>
      <c r="G455" s="37" t="n">
        <v>6721</v>
      </c>
      <c r="H455" s="37" t="n">
        <v>33</v>
      </c>
      <c r="I455" s="37" t="n">
        <f aca="false">IFERROR(ROUND('Data Bulanan'!DC95,0),0)</f>
        <v>46774</v>
      </c>
      <c r="J455" s="37" t="n">
        <v>11777623</v>
      </c>
      <c r="K455" s="37" t="n">
        <v>129866</v>
      </c>
      <c r="L455" s="38" t="n">
        <f aca="false">IFERROR(ROUND(SQRT(2*I455*J455/K455),0),0)</f>
        <v>2913</v>
      </c>
      <c r="M455" s="39" t="n">
        <f aca="false">IFERROR(AVERAGE('Data Bulanan'!CF95,'Data Bulanan'!CH95,'Data Bulanan'!CJ95,'Data Bulanan'!CL95,'Data Bulanan'!CN95,'Data Bulanan'!CP95,'Data Bulanan'!CR95,'Data Bulanan'!CT95,'Data Bulanan'!CV95,'Data Bulanan'!CX95,'Data Bulanan'!CZ95,'Data Bulanan'!DB95),0)</f>
        <v>124.73133640553</v>
      </c>
      <c r="N455" s="40" t="n">
        <f aca="false">'Data Bulanan'!DD95</f>
        <v>25.6370427854527</v>
      </c>
      <c r="O455" s="41" t="n">
        <f aca="false">IFERROR(N455*SQRT(H455),0)</f>
        <v>147.273598353009</v>
      </c>
      <c r="P455" s="42" t="n">
        <f aca="false">IFERROR(ROUND(1.65*O455,0),0)</f>
        <v>243</v>
      </c>
      <c r="Q455" s="43" t="n">
        <f aca="false">IFERROR(ROUND(M455*H455+P455,0),0)</f>
        <v>4359</v>
      </c>
      <c r="R455" s="44" t="n">
        <f aca="false">G455-Q455</f>
        <v>2362</v>
      </c>
      <c r="S455" s="45" t="str">
        <f aca="false">IF(G455=0,"Stockout ⚠",IF(G455&lt;Q455,"Reorder 🔄",IF(G455&gt;Q455+L455,"Overstock 📦","Aman ✅")))</f>
        <v>Aman ✅</v>
      </c>
      <c r="T455" s="46" t="n">
        <f aca="false">IFERROR(N455/AVERAGE(M452:M456),0)</f>
        <v>0.223648714273698</v>
      </c>
      <c r="U455" s="47" t="n">
        <v>-2324.22</v>
      </c>
      <c r="V455" s="48" t="n">
        <v>0.3858</v>
      </c>
    </row>
    <row r="456" customFormat="false" ht="15" hidden="false" customHeight="true" outlineLevel="0" collapsed="false">
      <c r="A456" s="49" t="n">
        <v>5</v>
      </c>
      <c r="B456" s="35" t="n">
        <v>2025</v>
      </c>
      <c r="C456" s="49" t="s">
        <v>264</v>
      </c>
      <c r="D456" s="49" t="s">
        <v>214</v>
      </c>
      <c r="E456" s="50" t="s">
        <v>215</v>
      </c>
      <c r="F456" s="49" t="s">
        <v>36</v>
      </c>
      <c r="G456" s="37" t="n">
        <v>0</v>
      </c>
      <c r="H456" s="37" t="n">
        <v>33</v>
      </c>
      <c r="I456" s="37" t="n">
        <f aca="false">IFERROR(ROUND('Data Bulanan'!EC95,0),0)</f>
        <v>37314</v>
      </c>
      <c r="J456" s="37" t="n">
        <v>11952993</v>
      </c>
      <c r="K456" s="37" t="n">
        <v>125060</v>
      </c>
      <c r="L456" s="38" t="n">
        <f aca="false">IFERROR(ROUND(SQRT(2*I456*J456/K456),0),0)</f>
        <v>2671</v>
      </c>
      <c r="M456" s="39" t="n">
        <f aca="false">IFERROR(AVERAGE('Data Bulanan'!DF95,'Data Bulanan'!DH95,'Data Bulanan'!DJ95,'Data Bulanan'!DL95,'Data Bulanan'!DN95,'Data Bulanan'!DP95,'Data Bulanan'!DR95,'Data Bulanan'!DT95,'Data Bulanan'!DV95,'Data Bulanan'!DX95,'Data Bulanan'!DZ95,'Data Bulanan'!EB95),0)</f>
        <v>99.3963261648746</v>
      </c>
      <c r="N456" s="40" t="n">
        <f aca="false">'Data Bulanan'!ED95</f>
        <v>22.5421884108456</v>
      </c>
      <c r="O456" s="41" t="n">
        <f aca="false">IFERROR(N456*SQRT(H456),0)</f>
        <v>129.495013516166</v>
      </c>
      <c r="P456" s="42" t="n">
        <f aca="false">IFERROR(ROUND(1.65*O456,0),0)</f>
        <v>214</v>
      </c>
      <c r="Q456" s="43" t="n">
        <f aca="false">IFERROR(ROUND(M456*H456+P456,0),0)</f>
        <v>3494</v>
      </c>
      <c r="R456" s="44" t="n">
        <f aca="false">G456-Q456</f>
        <v>-3494</v>
      </c>
      <c r="S456" s="45" t="str">
        <f aca="false">IF(G456=0,"Stockout ⚠",IF(G456&lt;Q456,"Reorder 🔄",IF(G456&gt;Q456+L456,"Overstock 📦","Aman ✅")))</f>
        <v>Stockout ⚠</v>
      </c>
      <c r="T456" s="46" t="n">
        <f aca="false">IFERROR(N456/AVERAGE(M452:M456),0)</f>
        <v>0.196650272700789</v>
      </c>
      <c r="U456" s="47" t="n">
        <v>-2324.22</v>
      </c>
      <c r="V456" s="48" t="n">
        <v>0.3858</v>
      </c>
    </row>
    <row r="457" customFormat="false" ht="15" hidden="false" customHeight="true" outlineLevel="0" collapsed="false">
      <c r="A457" s="34" t="n">
        <v>1</v>
      </c>
      <c r="B457" s="35" t="n">
        <v>2021</v>
      </c>
      <c r="C457" s="34" t="s">
        <v>264</v>
      </c>
      <c r="D457" s="34" t="s">
        <v>216</v>
      </c>
      <c r="E457" s="36" t="s">
        <v>217</v>
      </c>
      <c r="F457" s="34" t="s">
        <v>36</v>
      </c>
      <c r="G457" s="37" t="n">
        <v>3079</v>
      </c>
      <c r="H457" s="37" t="n">
        <v>12</v>
      </c>
      <c r="I457" s="37" t="n">
        <f aca="false">IFERROR(ROUND('Data Bulanan'!AC96,0),0)</f>
        <v>20426</v>
      </c>
      <c r="J457" s="37" t="n">
        <v>1691180</v>
      </c>
      <c r="K457" s="37" t="n">
        <v>397559</v>
      </c>
      <c r="L457" s="38" t="n">
        <f aca="false">IFERROR(ROUND(SQRT(2*I457*J457/K457),0),0)</f>
        <v>417</v>
      </c>
      <c r="M457" s="39" t="n">
        <f aca="false">IFERROR(AVERAGE('Data Bulanan'!F96,'Data Bulanan'!H96,'Data Bulanan'!J96,'Data Bulanan'!L96,'Data Bulanan'!N96,'Data Bulanan'!P96,'Data Bulanan'!R96,'Data Bulanan'!T96,'Data Bulanan'!V96,'Data Bulanan'!X96,'Data Bulanan'!Z96,'Data Bulanan'!AB96),0)</f>
        <v>54.1097478238607</v>
      </c>
      <c r="N457" s="40" t="n">
        <f aca="false">'Data Bulanan'!AD96</f>
        <v>12.4466839601421</v>
      </c>
      <c r="O457" s="41" t="n">
        <f aca="false">IFERROR(N457*SQRT(H457),0)</f>
        <v>43.1165780094374</v>
      </c>
      <c r="P457" s="42" t="n">
        <f aca="false">IFERROR(ROUND(1.65*O457,0),0)</f>
        <v>71</v>
      </c>
      <c r="Q457" s="43" t="n">
        <f aca="false">IFERROR(ROUND(M457*H457+P457,0),0)</f>
        <v>720</v>
      </c>
      <c r="R457" s="44" t="n">
        <f aca="false">G457-Q457</f>
        <v>2359</v>
      </c>
      <c r="S457" s="45" t="str">
        <f aca="false">IF(G457=0,"Stockout ⚠",IF(G457&lt;Q457,"Reorder 🔄",IF(G457&gt;Q457+L457,"Overstock 📦","Aman ✅")))</f>
        <v>Overstock 📦</v>
      </c>
      <c r="T457" s="46" t="n">
        <f aca="false">IFERROR(N457/AVERAGE(M457:M461),0)</f>
        <v>0.250982845544545</v>
      </c>
      <c r="U457" s="47" t="n">
        <v>163.88</v>
      </c>
      <c r="V457" s="48" t="n">
        <v>0.0179</v>
      </c>
    </row>
    <row r="458" customFormat="false" ht="15" hidden="false" customHeight="true" outlineLevel="0" collapsed="false">
      <c r="A458" s="34" t="n">
        <v>2</v>
      </c>
      <c r="B458" s="35" t="n">
        <v>2022</v>
      </c>
      <c r="C458" s="34" t="s">
        <v>264</v>
      </c>
      <c r="D458" s="34" t="s">
        <v>216</v>
      </c>
      <c r="E458" s="36" t="s">
        <v>217</v>
      </c>
      <c r="F458" s="34" t="s">
        <v>36</v>
      </c>
      <c r="G458" s="37" t="n">
        <v>1609</v>
      </c>
      <c r="H458" s="37" t="n">
        <v>12</v>
      </c>
      <c r="I458" s="37" t="n">
        <f aca="false">IFERROR(ROUND('Data Bulanan'!BC96,0),0)</f>
        <v>15937</v>
      </c>
      <c r="J458" s="37" t="n">
        <v>1716942</v>
      </c>
      <c r="K458" s="37" t="n">
        <v>396817</v>
      </c>
      <c r="L458" s="38" t="n">
        <f aca="false">IFERROR(ROUND(SQRT(2*I458*J458/K458),0),0)</f>
        <v>371</v>
      </c>
      <c r="M458" s="39" t="n">
        <f aca="false">IFERROR(AVERAGE('Data Bulanan'!AF96,'Data Bulanan'!AH96,'Data Bulanan'!AJ96,'Data Bulanan'!AL96,'Data Bulanan'!AN96,'Data Bulanan'!AP96,'Data Bulanan'!AR96,'Data Bulanan'!AT96,'Data Bulanan'!AV96,'Data Bulanan'!AX96,'Data Bulanan'!AZ96,'Data Bulanan'!BB96),0)</f>
        <v>42.4627112135177</v>
      </c>
      <c r="N458" s="40" t="n">
        <f aca="false">'Data Bulanan'!BD96</f>
        <v>7.72534165731765</v>
      </c>
      <c r="O458" s="41" t="n">
        <f aca="false">IFERROR(N458*SQRT(H458),0)</f>
        <v>26.761368512605</v>
      </c>
      <c r="P458" s="42" t="n">
        <f aca="false">IFERROR(ROUND(1.65*O458,0),0)</f>
        <v>44</v>
      </c>
      <c r="Q458" s="43" t="n">
        <f aca="false">IFERROR(ROUND(M458*H458+P458,0),0)</f>
        <v>554</v>
      </c>
      <c r="R458" s="44" t="n">
        <f aca="false">G458-Q458</f>
        <v>1055</v>
      </c>
      <c r="S458" s="45" t="str">
        <f aca="false">IF(G458=0,"Stockout ⚠",IF(G458&lt;Q458,"Reorder 🔄",IF(G458&gt;Q458+L458,"Overstock 📦","Aman ✅")))</f>
        <v>Overstock 📦</v>
      </c>
      <c r="T458" s="46" t="n">
        <f aca="false">IFERROR(N458/AVERAGE(M457:M461),0)</f>
        <v>0.155778698821823</v>
      </c>
      <c r="U458" s="47" t="n">
        <v>163.88</v>
      </c>
      <c r="V458" s="48" t="n">
        <v>0.0179</v>
      </c>
    </row>
    <row r="459" customFormat="false" ht="15" hidden="false" customHeight="true" outlineLevel="0" collapsed="false">
      <c r="A459" s="34" t="n">
        <v>3</v>
      </c>
      <c r="B459" s="35" t="n">
        <v>2023</v>
      </c>
      <c r="C459" s="34" t="s">
        <v>264</v>
      </c>
      <c r="D459" s="34" t="s">
        <v>216</v>
      </c>
      <c r="E459" s="36" t="s">
        <v>217</v>
      </c>
      <c r="F459" s="34" t="s">
        <v>36</v>
      </c>
      <c r="G459" s="37" t="n">
        <v>1998</v>
      </c>
      <c r="H459" s="37" t="n">
        <v>12</v>
      </c>
      <c r="I459" s="37" t="n">
        <f aca="false">IFERROR(ROUND('Data Bulanan'!CC96,0),0)</f>
        <v>18961</v>
      </c>
      <c r="J459" s="37" t="n">
        <v>1839038</v>
      </c>
      <c r="K459" s="37" t="n">
        <v>388247</v>
      </c>
      <c r="L459" s="38" t="n">
        <f aca="false">IFERROR(ROUND(SQRT(2*I459*J459/K459),0),0)</f>
        <v>424</v>
      </c>
      <c r="M459" s="39" t="n">
        <f aca="false">IFERROR(AVERAGE('Data Bulanan'!BF96,'Data Bulanan'!BH96,'Data Bulanan'!BJ96,'Data Bulanan'!BL96,'Data Bulanan'!BN96,'Data Bulanan'!BP96,'Data Bulanan'!BR96,'Data Bulanan'!BT96,'Data Bulanan'!BV96,'Data Bulanan'!BX96,'Data Bulanan'!BZ96,'Data Bulanan'!CB96),0)</f>
        <v>50.4622311827957</v>
      </c>
      <c r="N459" s="40" t="n">
        <f aca="false">'Data Bulanan'!CD96</f>
        <v>14.7569902803235</v>
      </c>
      <c r="O459" s="41" t="n">
        <f aca="false">IFERROR(N459*SQRT(H459),0)</f>
        <v>51.1197138646408</v>
      </c>
      <c r="P459" s="42" t="n">
        <f aca="false">IFERROR(ROUND(1.65*O459,0),0)</f>
        <v>84</v>
      </c>
      <c r="Q459" s="43" t="n">
        <f aca="false">IFERROR(ROUND(M459*H459+P459,0),0)</f>
        <v>690</v>
      </c>
      <c r="R459" s="44" t="n">
        <f aca="false">G459-Q459</f>
        <v>1308</v>
      </c>
      <c r="S459" s="45" t="str">
        <f aca="false">IF(G459=0,"Stockout ⚠",IF(G459&lt;Q459,"Reorder 🔄",IF(G459&gt;Q459+L459,"Overstock 📦","Aman ✅")))</f>
        <v>Overstock 📦</v>
      </c>
      <c r="T459" s="46" t="n">
        <f aca="false">IFERROR(N459/AVERAGE(M457:M461),0)</f>
        <v>0.297569330440885</v>
      </c>
      <c r="U459" s="47" t="n">
        <v>163.88</v>
      </c>
      <c r="V459" s="48" t="n">
        <v>0.0179</v>
      </c>
    </row>
    <row r="460" customFormat="false" ht="15" hidden="false" customHeight="true" outlineLevel="0" collapsed="false">
      <c r="A460" s="34" t="n">
        <v>4</v>
      </c>
      <c r="B460" s="35" t="n">
        <v>2024</v>
      </c>
      <c r="C460" s="34" t="s">
        <v>264</v>
      </c>
      <c r="D460" s="34" t="s">
        <v>216</v>
      </c>
      <c r="E460" s="36" t="s">
        <v>217</v>
      </c>
      <c r="F460" s="34" t="s">
        <v>36</v>
      </c>
      <c r="G460" s="37" t="n">
        <v>1715</v>
      </c>
      <c r="H460" s="37" t="n">
        <v>12</v>
      </c>
      <c r="I460" s="37" t="n">
        <f aca="false">IFERROR(ROUND('Data Bulanan'!DC96,0),0)</f>
        <v>17545</v>
      </c>
      <c r="J460" s="37" t="n">
        <v>1778083</v>
      </c>
      <c r="K460" s="37" t="n">
        <v>368608</v>
      </c>
      <c r="L460" s="38" t="n">
        <f aca="false">IFERROR(ROUND(SQRT(2*I460*J460/K460),0),0)</f>
        <v>411</v>
      </c>
      <c r="M460" s="39" t="n">
        <f aca="false">IFERROR(AVERAGE('Data Bulanan'!CF96,'Data Bulanan'!CH96,'Data Bulanan'!CJ96,'Data Bulanan'!CL96,'Data Bulanan'!CN96,'Data Bulanan'!CP96,'Data Bulanan'!CR96,'Data Bulanan'!CT96,'Data Bulanan'!CV96,'Data Bulanan'!CX96,'Data Bulanan'!CZ96,'Data Bulanan'!DB96),0)</f>
        <v>46.6044418842806</v>
      </c>
      <c r="N460" s="40" t="n">
        <f aca="false">'Data Bulanan'!DD96</f>
        <v>9.07510433029769</v>
      </c>
      <c r="O460" s="41" t="n">
        <f aca="false">IFERROR(N460*SQRT(H460),0)</f>
        <v>31.4370835681279</v>
      </c>
      <c r="P460" s="42" t="n">
        <f aca="false">IFERROR(ROUND(1.65*O460,0),0)</f>
        <v>52</v>
      </c>
      <c r="Q460" s="43" t="n">
        <f aca="false">IFERROR(ROUND(M460*H460+P460,0),0)</f>
        <v>611</v>
      </c>
      <c r="R460" s="44" t="n">
        <f aca="false">G460-Q460</f>
        <v>1104</v>
      </c>
      <c r="S460" s="45" t="str">
        <f aca="false">IF(G460=0,"Stockout ⚠",IF(G460&lt;Q460,"Reorder 🔄",IF(G460&gt;Q460+L460,"Overstock 📦","Aman ✅")))</f>
        <v>Overstock 📦</v>
      </c>
      <c r="T460" s="46" t="n">
        <f aca="false">IFERROR(N460/AVERAGE(M457:M461),0)</f>
        <v>0.182996171167002</v>
      </c>
      <c r="U460" s="47" t="n">
        <v>163.88</v>
      </c>
      <c r="V460" s="48" t="n">
        <v>0.0179</v>
      </c>
    </row>
    <row r="461" customFormat="false" ht="15" hidden="false" customHeight="true" outlineLevel="0" collapsed="false">
      <c r="A461" s="34" t="n">
        <v>5</v>
      </c>
      <c r="B461" s="35" t="n">
        <v>2025</v>
      </c>
      <c r="C461" s="34" t="s">
        <v>264</v>
      </c>
      <c r="D461" s="34" t="s">
        <v>216</v>
      </c>
      <c r="E461" s="36" t="s">
        <v>217</v>
      </c>
      <c r="F461" s="34" t="s">
        <v>36</v>
      </c>
      <c r="G461" s="37" t="n">
        <v>1063</v>
      </c>
      <c r="H461" s="37" t="n">
        <v>12</v>
      </c>
      <c r="I461" s="37" t="n">
        <f aca="false">IFERROR(ROUND('Data Bulanan'!EC96,0),0)</f>
        <v>20442</v>
      </c>
      <c r="J461" s="37" t="n">
        <v>1618875</v>
      </c>
      <c r="K461" s="37" t="n">
        <v>362383</v>
      </c>
      <c r="L461" s="38" t="n">
        <f aca="false">IFERROR(ROUND(SQRT(2*I461*J461/K461),0),0)</f>
        <v>427</v>
      </c>
      <c r="M461" s="39" t="n">
        <f aca="false">IFERROR(AVERAGE('Data Bulanan'!DF96,'Data Bulanan'!DH96,'Data Bulanan'!DJ96,'Data Bulanan'!DL96,'Data Bulanan'!DN96,'Data Bulanan'!DP96,'Data Bulanan'!DR96,'Data Bulanan'!DT96,'Data Bulanan'!DV96,'Data Bulanan'!DX96,'Data Bulanan'!DZ96,'Data Bulanan'!EB96),0)</f>
        <v>54.319726062468</v>
      </c>
      <c r="N461" s="40" t="n">
        <f aca="false">'Data Bulanan'!ED96</f>
        <v>13.1647203252704</v>
      </c>
      <c r="O461" s="41" t="n">
        <f aca="false">IFERROR(N461*SQRT(H461),0)</f>
        <v>45.603928941606</v>
      </c>
      <c r="P461" s="42" t="n">
        <f aca="false">IFERROR(ROUND(1.65*O461,0),0)</f>
        <v>75</v>
      </c>
      <c r="Q461" s="43" t="n">
        <f aca="false">IFERROR(ROUND(M461*H461+P461,0),0)</f>
        <v>727</v>
      </c>
      <c r="R461" s="44" t="n">
        <f aca="false">G461-Q461</f>
        <v>336</v>
      </c>
      <c r="S461" s="45" t="str">
        <f aca="false">IF(G461=0,"Stockout ⚠",IF(G461&lt;Q461,"Reorder 🔄",IF(G461&gt;Q461+L461,"Overstock 📦","Aman ✅")))</f>
        <v>Aman ✅</v>
      </c>
      <c r="T461" s="46" t="n">
        <f aca="false">IFERROR(N461/AVERAGE(M457:M461),0)</f>
        <v>0.265461787140673</v>
      </c>
      <c r="U461" s="47" t="n">
        <v>163.88</v>
      </c>
      <c r="V461" s="48" t="n">
        <v>0.0179</v>
      </c>
    </row>
    <row r="462" customFormat="false" ht="15" hidden="false" customHeight="true" outlineLevel="0" collapsed="false">
      <c r="A462" s="49" t="n">
        <v>1</v>
      </c>
      <c r="B462" s="35" t="n">
        <v>2021</v>
      </c>
      <c r="C462" s="49" t="s">
        <v>264</v>
      </c>
      <c r="D462" s="49" t="s">
        <v>218</v>
      </c>
      <c r="E462" s="50" t="s">
        <v>219</v>
      </c>
      <c r="F462" s="49" t="s">
        <v>36</v>
      </c>
      <c r="G462" s="37" t="n">
        <v>1200</v>
      </c>
      <c r="H462" s="37" t="n">
        <v>12</v>
      </c>
      <c r="I462" s="37" t="n">
        <f aca="false">IFERROR(ROUND('Data Bulanan'!AC97,0),0)</f>
        <v>6716</v>
      </c>
      <c r="J462" s="37" t="n">
        <v>536709</v>
      </c>
      <c r="K462" s="37" t="n">
        <v>85638</v>
      </c>
      <c r="L462" s="38" t="n">
        <f aca="false">IFERROR(ROUND(SQRT(2*I462*J462/K462),0),0)</f>
        <v>290</v>
      </c>
      <c r="M462" s="39" t="n">
        <f aca="false">IFERROR(AVERAGE('Data Bulanan'!F97,'Data Bulanan'!H97,'Data Bulanan'!J97,'Data Bulanan'!L97,'Data Bulanan'!N97,'Data Bulanan'!P97,'Data Bulanan'!R97,'Data Bulanan'!T97,'Data Bulanan'!V97,'Data Bulanan'!X97,'Data Bulanan'!Z97,'Data Bulanan'!AB97),0)</f>
        <v>17.8403289810548</v>
      </c>
      <c r="N462" s="40" t="n">
        <f aca="false">'Data Bulanan'!AD97</f>
        <v>3.93718707308181</v>
      </c>
      <c r="O462" s="41" t="n">
        <f aca="false">IFERROR(N462*SQRT(H462),0)</f>
        <v>13.6388160989622</v>
      </c>
      <c r="P462" s="42" t="n">
        <f aca="false">IFERROR(ROUND(1.65*O462,0),0)</f>
        <v>23</v>
      </c>
      <c r="Q462" s="43" t="n">
        <f aca="false">IFERROR(ROUND(M462*H462+P462,0),0)</f>
        <v>237</v>
      </c>
      <c r="R462" s="44" t="n">
        <f aca="false">G462-Q462</f>
        <v>963</v>
      </c>
      <c r="S462" s="45" t="str">
        <f aca="false">IF(G462=0,"Stockout ⚠",IF(G462&lt;Q462,"Reorder 🔄",IF(G462&gt;Q462+L462,"Overstock 📦","Aman ✅")))</f>
        <v>Overstock 📦</v>
      </c>
      <c r="T462" s="46" t="n">
        <f aca="false">IFERROR(N462/AVERAGE(M462:M466),0)</f>
        <v>0.200366433095429</v>
      </c>
      <c r="U462" s="47" t="n">
        <v>402.3</v>
      </c>
      <c r="V462" s="48" t="n">
        <v>0.9478</v>
      </c>
    </row>
    <row r="463" customFormat="false" ht="15" hidden="false" customHeight="true" outlineLevel="0" collapsed="false">
      <c r="A463" s="49" t="n">
        <v>2</v>
      </c>
      <c r="B463" s="35" t="n">
        <v>2022</v>
      </c>
      <c r="C463" s="49" t="s">
        <v>264</v>
      </c>
      <c r="D463" s="49" t="s">
        <v>218</v>
      </c>
      <c r="E463" s="50" t="s">
        <v>219</v>
      </c>
      <c r="F463" s="49" t="s">
        <v>36</v>
      </c>
      <c r="G463" s="37" t="n">
        <v>0</v>
      </c>
      <c r="H463" s="37" t="n">
        <v>12</v>
      </c>
      <c r="I463" s="37" t="n">
        <f aca="false">IFERROR(ROUND('Data Bulanan'!BC97,0),0)</f>
        <v>6746</v>
      </c>
      <c r="J463" s="37" t="n">
        <v>540003</v>
      </c>
      <c r="K463" s="37" t="n">
        <v>88097</v>
      </c>
      <c r="L463" s="38" t="n">
        <f aca="false">IFERROR(ROUND(SQRT(2*I463*J463/K463),0),0)</f>
        <v>288</v>
      </c>
      <c r="M463" s="39" t="n">
        <f aca="false">IFERROR(AVERAGE('Data Bulanan'!AF97,'Data Bulanan'!AH97,'Data Bulanan'!AJ97,'Data Bulanan'!AL97,'Data Bulanan'!AN97,'Data Bulanan'!AP97,'Data Bulanan'!AR97,'Data Bulanan'!AT97,'Data Bulanan'!AV97,'Data Bulanan'!AX97,'Data Bulanan'!AZ97,'Data Bulanan'!BB97),0)</f>
        <v>18.0240719406042</v>
      </c>
      <c r="N463" s="40" t="n">
        <f aca="false">'Data Bulanan'!BD97</f>
        <v>4.81267749074507</v>
      </c>
      <c r="O463" s="41" t="n">
        <f aca="false">IFERROR(N463*SQRT(H463),0)</f>
        <v>16.6716038688271</v>
      </c>
      <c r="P463" s="42" t="n">
        <f aca="false">IFERROR(ROUND(1.65*O463,0),0)</f>
        <v>28</v>
      </c>
      <c r="Q463" s="43" t="n">
        <f aca="false">IFERROR(ROUND(M463*H463+P463,0),0)</f>
        <v>244</v>
      </c>
      <c r="R463" s="44" t="n">
        <f aca="false">G463-Q463</f>
        <v>-244</v>
      </c>
      <c r="S463" s="45" t="str">
        <f aca="false">IF(G463=0,"Stockout ⚠",IF(G463&lt;Q463,"Reorder 🔄",IF(G463&gt;Q463+L463,"Overstock 📦","Aman ✅")))</f>
        <v>Stockout ⚠</v>
      </c>
      <c r="T463" s="46" t="n">
        <f aca="false">IFERROR(N463/AVERAGE(M462:M466),0)</f>
        <v>0.244920803751509</v>
      </c>
      <c r="U463" s="47" t="n">
        <v>402.3</v>
      </c>
      <c r="V463" s="48" t="n">
        <v>0.9478</v>
      </c>
    </row>
    <row r="464" customFormat="false" ht="15" hidden="false" customHeight="true" outlineLevel="0" collapsed="false">
      <c r="A464" s="49" t="n">
        <v>3</v>
      </c>
      <c r="B464" s="35" t="n">
        <v>2023</v>
      </c>
      <c r="C464" s="49" t="s">
        <v>264</v>
      </c>
      <c r="D464" s="49" t="s">
        <v>218</v>
      </c>
      <c r="E464" s="50" t="s">
        <v>219</v>
      </c>
      <c r="F464" s="49" t="s">
        <v>36</v>
      </c>
      <c r="G464" s="37" t="n">
        <v>0</v>
      </c>
      <c r="H464" s="37" t="n">
        <v>12</v>
      </c>
      <c r="I464" s="37" t="n">
        <f aca="false">IFERROR(ROUND('Data Bulanan'!CC97,0),0)</f>
        <v>7382</v>
      </c>
      <c r="J464" s="37" t="n">
        <v>598818</v>
      </c>
      <c r="K464" s="37" t="n">
        <v>82067</v>
      </c>
      <c r="L464" s="38" t="n">
        <f aca="false">IFERROR(ROUND(SQRT(2*I464*J464/K464),0),0)</f>
        <v>328</v>
      </c>
      <c r="M464" s="39" t="n">
        <f aca="false">IFERROR(AVERAGE('Data Bulanan'!BF97,'Data Bulanan'!BH97,'Data Bulanan'!BJ97,'Data Bulanan'!BL97,'Data Bulanan'!BN97,'Data Bulanan'!BP97,'Data Bulanan'!BR97,'Data Bulanan'!BT97,'Data Bulanan'!BV97,'Data Bulanan'!BX97,'Data Bulanan'!BZ97,'Data Bulanan'!CB97),0)</f>
        <v>19.6448540706605</v>
      </c>
      <c r="N464" s="40" t="n">
        <f aca="false">'Data Bulanan'!CD97</f>
        <v>3.66838316379082</v>
      </c>
      <c r="O464" s="41" t="n">
        <f aca="false">IFERROR(N464*SQRT(H464),0)</f>
        <v>12.7076520426319</v>
      </c>
      <c r="P464" s="42" t="n">
        <f aca="false">IFERROR(ROUND(1.65*O464,0),0)</f>
        <v>21</v>
      </c>
      <c r="Q464" s="43" t="n">
        <f aca="false">IFERROR(ROUND(M464*H464+P464,0),0)</f>
        <v>257</v>
      </c>
      <c r="R464" s="44" t="n">
        <f aca="false">G464-Q464</f>
        <v>-257</v>
      </c>
      <c r="S464" s="45" t="str">
        <f aca="false">IF(G464=0,"Stockout ⚠",IF(G464&lt;Q464,"Reorder 🔄",IF(G464&gt;Q464+L464,"Overstock 📦","Aman ✅")))</f>
        <v>Stockout ⚠</v>
      </c>
      <c r="T464" s="46" t="n">
        <f aca="false">IFERROR(N464/AVERAGE(M462:M466),0)</f>
        <v>0.186686798496663</v>
      </c>
      <c r="U464" s="47" t="n">
        <v>402.3</v>
      </c>
      <c r="V464" s="48" t="n">
        <v>0.9478</v>
      </c>
    </row>
    <row r="465" customFormat="false" ht="15" hidden="false" customHeight="true" outlineLevel="0" collapsed="false">
      <c r="A465" s="49" t="n">
        <v>4</v>
      </c>
      <c r="B465" s="35" t="n">
        <v>2024</v>
      </c>
      <c r="C465" s="49" t="s">
        <v>264</v>
      </c>
      <c r="D465" s="49" t="s">
        <v>218</v>
      </c>
      <c r="E465" s="50" t="s">
        <v>219</v>
      </c>
      <c r="F465" s="49" t="s">
        <v>36</v>
      </c>
      <c r="G465" s="37" t="n">
        <v>2072</v>
      </c>
      <c r="H465" s="37" t="n">
        <v>12</v>
      </c>
      <c r="I465" s="37" t="n">
        <f aca="false">IFERROR(ROUND('Data Bulanan'!DC97,0),0)</f>
        <v>7902</v>
      </c>
      <c r="J465" s="37" t="n">
        <v>557814</v>
      </c>
      <c r="K465" s="37" t="n">
        <v>81614</v>
      </c>
      <c r="L465" s="38" t="n">
        <f aca="false">IFERROR(ROUND(SQRT(2*I465*J465/K465),0),0)</f>
        <v>329</v>
      </c>
      <c r="M465" s="39" t="n">
        <f aca="false">IFERROR(AVERAGE('Data Bulanan'!CF97,'Data Bulanan'!CH97,'Data Bulanan'!CJ97,'Data Bulanan'!CL97,'Data Bulanan'!CN97,'Data Bulanan'!CP97,'Data Bulanan'!CR97,'Data Bulanan'!CT97,'Data Bulanan'!CV97,'Data Bulanan'!CX97,'Data Bulanan'!CZ97,'Data Bulanan'!DB97),0)</f>
        <v>21.0452700972862</v>
      </c>
      <c r="N465" s="40" t="n">
        <f aca="false">'Data Bulanan'!DD97</f>
        <v>4.20878652799847</v>
      </c>
      <c r="O465" s="41" t="n">
        <f aca="false">IFERROR(N465*SQRT(H465),0)</f>
        <v>14.5796642094095</v>
      </c>
      <c r="P465" s="42" t="n">
        <f aca="false">IFERROR(ROUND(1.65*O465,0),0)</f>
        <v>24</v>
      </c>
      <c r="Q465" s="43" t="n">
        <f aca="false">IFERROR(ROUND(M465*H465+P465,0),0)</f>
        <v>277</v>
      </c>
      <c r="R465" s="44" t="n">
        <f aca="false">G465-Q465</f>
        <v>1795</v>
      </c>
      <c r="S465" s="45" t="str">
        <f aca="false">IF(G465=0,"Stockout ⚠",IF(G465&lt;Q465,"Reorder 🔄",IF(G465&gt;Q465+L465,"Overstock 📦","Aman ✅")))</f>
        <v>Overstock 📦</v>
      </c>
      <c r="T465" s="46" t="n">
        <f aca="false">IFERROR(N465/AVERAGE(M462:M466),0)</f>
        <v>0.214188335129085</v>
      </c>
      <c r="U465" s="47" t="n">
        <v>402.3</v>
      </c>
      <c r="V465" s="48" t="n">
        <v>0.9478</v>
      </c>
    </row>
    <row r="466" customFormat="false" ht="15" hidden="false" customHeight="true" outlineLevel="0" collapsed="false">
      <c r="A466" s="49" t="n">
        <v>5</v>
      </c>
      <c r="B466" s="35" t="n">
        <v>2025</v>
      </c>
      <c r="C466" s="49" t="s">
        <v>264</v>
      </c>
      <c r="D466" s="49" t="s">
        <v>218</v>
      </c>
      <c r="E466" s="50" t="s">
        <v>219</v>
      </c>
      <c r="F466" s="49" t="s">
        <v>36</v>
      </c>
      <c r="G466" s="37" t="n">
        <v>740</v>
      </c>
      <c r="H466" s="37" t="n">
        <v>12</v>
      </c>
      <c r="I466" s="37" t="n">
        <f aca="false">IFERROR(ROUND('Data Bulanan'!EC97,0),0)</f>
        <v>8149</v>
      </c>
      <c r="J466" s="37" t="n">
        <v>591194</v>
      </c>
      <c r="K466" s="37" t="n">
        <v>82237</v>
      </c>
      <c r="L466" s="38" t="n">
        <f aca="false">IFERROR(ROUND(SQRT(2*I466*J466/K466),0),0)</f>
        <v>342</v>
      </c>
      <c r="M466" s="39" t="n">
        <f aca="false">IFERROR(AVERAGE('Data Bulanan'!DF97,'Data Bulanan'!DH97,'Data Bulanan'!DJ97,'Data Bulanan'!DL97,'Data Bulanan'!DN97,'Data Bulanan'!DP97,'Data Bulanan'!DR97,'Data Bulanan'!DT97,'Data Bulanan'!DV97,'Data Bulanan'!DX97,'Data Bulanan'!DZ97,'Data Bulanan'!EB97),0)</f>
        <v>21.6951420890937</v>
      </c>
      <c r="N466" s="40" t="n">
        <f aca="false">'Data Bulanan'!ED97</f>
        <v>5.9754886191808</v>
      </c>
      <c r="O466" s="41" t="n">
        <f aca="false">IFERROR(N466*SQRT(H466),0)</f>
        <v>20.6996997769415</v>
      </c>
      <c r="P466" s="42" t="n">
        <f aca="false">IFERROR(ROUND(1.65*O466,0),0)</f>
        <v>34</v>
      </c>
      <c r="Q466" s="43" t="n">
        <f aca="false">IFERROR(ROUND(M466*H466+P466,0),0)</f>
        <v>294</v>
      </c>
      <c r="R466" s="44" t="n">
        <f aca="false">G466-Q466</f>
        <v>446</v>
      </c>
      <c r="S466" s="45" t="str">
        <f aca="false">IF(G466=0,"Stockout ⚠",IF(G466&lt;Q466,"Reorder 🔄",IF(G466&gt;Q466+L466,"Overstock 📦","Aman ✅")))</f>
        <v>Overstock 📦</v>
      </c>
      <c r="T466" s="46" t="n">
        <f aca="false">IFERROR(N466/AVERAGE(M462:M466),0)</f>
        <v>0.304097143062704</v>
      </c>
      <c r="U466" s="47" t="n">
        <v>402.3</v>
      </c>
      <c r="V466" s="48" t="n">
        <v>0.9478</v>
      </c>
    </row>
    <row r="467" customFormat="false" ht="15" hidden="false" customHeight="true" outlineLevel="0" collapsed="false">
      <c r="A467" s="34" t="n">
        <v>1</v>
      </c>
      <c r="B467" s="35" t="n">
        <v>2021</v>
      </c>
      <c r="C467" s="34" t="s">
        <v>264</v>
      </c>
      <c r="D467" s="34" t="s">
        <v>220</v>
      </c>
      <c r="E467" s="36" t="s">
        <v>221</v>
      </c>
      <c r="F467" s="34" t="s">
        <v>36</v>
      </c>
      <c r="G467" s="37" t="n">
        <v>300</v>
      </c>
      <c r="H467" s="37" t="n">
        <v>12</v>
      </c>
      <c r="I467" s="37" t="n">
        <f aca="false">IFERROR(ROUND('Data Bulanan'!AC98,0),0)</f>
        <v>1337</v>
      </c>
      <c r="J467" s="37" t="n">
        <v>1955585</v>
      </c>
      <c r="K467" s="37" t="n">
        <v>378617</v>
      </c>
      <c r="L467" s="38" t="n">
        <f aca="false">IFERROR(ROUND(SQRT(2*I467*J467/K467),0),0)</f>
        <v>118</v>
      </c>
      <c r="M467" s="39" t="n">
        <f aca="false">IFERROR(AVERAGE('Data Bulanan'!F98,'Data Bulanan'!H98,'Data Bulanan'!J98,'Data Bulanan'!L98,'Data Bulanan'!N98,'Data Bulanan'!P98,'Data Bulanan'!R98,'Data Bulanan'!T98,'Data Bulanan'!V98,'Data Bulanan'!X98,'Data Bulanan'!Z98,'Data Bulanan'!AB98),0)</f>
        <v>3.55705965181772</v>
      </c>
      <c r="N467" s="40" t="n">
        <f aca="false">'Data Bulanan'!AD98</f>
        <v>0.796273414003733</v>
      </c>
      <c r="O467" s="41" t="n">
        <f aca="false">IFERROR(N467*SQRT(H467),0)</f>
        <v>2.75837201954159</v>
      </c>
      <c r="P467" s="42" t="n">
        <f aca="false">IFERROR(ROUND(1.65*O467,0),0)</f>
        <v>5</v>
      </c>
      <c r="Q467" s="43" t="n">
        <f aca="false">IFERROR(ROUND(M467*H467+P467,0),0)</f>
        <v>48</v>
      </c>
      <c r="R467" s="44" t="n">
        <f aca="false">G467-Q467</f>
        <v>252</v>
      </c>
      <c r="S467" s="45" t="str">
        <f aca="false">IF(G467=0,"Stockout ⚠",IF(G467&lt;Q467,"Reorder 🔄",IF(G467&gt;Q467+L467,"Overstock 📦","Aman ✅")))</f>
        <v>Overstock 📦</v>
      </c>
      <c r="T467" s="46" t="n">
        <f aca="false">IFERROR(N467/AVERAGE(M467:M471),0)</f>
        <v>0.243741216901977</v>
      </c>
      <c r="U467" s="47" t="n">
        <v>6.2</v>
      </c>
      <c r="V467" s="48" t="n">
        <v>0.0041</v>
      </c>
    </row>
    <row r="468" customFormat="false" ht="15" hidden="false" customHeight="true" outlineLevel="0" collapsed="false">
      <c r="A468" s="34" t="n">
        <v>2</v>
      </c>
      <c r="B468" s="35" t="n">
        <v>2022</v>
      </c>
      <c r="C468" s="34" t="s">
        <v>264</v>
      </c>
      <c r="D468" s="34" t="s">
        <v>220</v>
      </c>
      <c r="E468" s="36" t="s">
        <v>221</v>
      </c>
      <c r="F468" s="34" t="s">
        <v>36</v>
      </c>
      <c r="G468" s="37" t="n">
        <v>0</v>
      </c>
      <c r="H468" s="37" t="n">
        <v>12</v>
      </c>
      <c r="I468" s="37" t="n">
        <f aca="false">IFERROR(ROUND('Data Bulanan'!BC98,0),0)</f>
        <v>1154</v>
      </c>
      <c r="J468" s="37" t="n">
        <v>2077974</v>
      </c>
      <c r="K468" s="37" t="n">
        <v>408016</v>
      </c>
      <c r="L468" s="38" t="n">
        <f aca="false">IFERROR(ROUND(SQRT(2*I468*J468/K468),0),0)</f>
        <v>108</v>
      </c>
      <c r="M468" s="39" t="n">
        <f aca="false">IFERROR(AVERAGE('Data Bulanan'!AF98,'Data Bulanan'!AH98,'Data Bulanan'!AJ98,'Data Bulanan'!AL98,'Data Bulanan'!AN98,'Data Bulanan'!AP98,'Data Bulanan'!AR98,'Data Bulanan'!AT98,'Data Bulanan'!AV98,'Data Bulanan'!AX98,'Data Bulanan'!AZ98,'Data Bulanan'!BB98),0)</f>
        <v>3.07583845366103</v>
      </c>
      <c r="N468" s="40" t="n">
        <f aca="false">'Data Bulanan'!BD98</f>
        <v>0.794106453405984</v>
      </c>
      <c r="O468" s="41" t="n">
        <f aca="false">IFERROR(N468*SQRT(H468),0)</f>
        <v>2.75086544783498</v>
      </c>
      <c r="P468" s="42" t="n">
        <f aca="false">IFERROR(ROUND(1.65*O468,0),0)</f>
        <v>5</v>
      </c>
      <c r="Q468" s="43" t="n">
        <f aca="false">IFERROR(ROUND(M468*H468+P468,0),0)</f>
        <v>42</v>
      </c>
      <c r="R468" s="44" t="n">
        <f aca="false">G468-Q468</f>
        <v>-42</v>
      </c>
      <c r="S468" s="45" t="str">
        <f aca="false">IF(G468=0,"Stockout ⚠",IF(G468&lt;Q468,"Reorder 🔄",IF(G468&gt;Q468+L468,"Overstock 📦","Aman ✅")))</f>
        <v>Stockout ⚠</v>
      </c>
      <c r="T468" s="46" t="n">
        <f aca="false">IFERROR(N468/AVERAGE(M467:M471),0)</f>
        <v>0.243077905024693</v>
      </c>
      <c r="U468" s="47" t="n">
        <v>6.2</v>
      </c>
      <c r="V468" s="48" t="n">
        <v>0.0041</v>
      </c>
    </row>
    <row r="469" customFormat="false" ht="15" hidden="false" customHeight="true" outlineLevel="0" collapsed="false">
      <c r="A469" s="34" t="n">
        <v>3</v>
      </c>
      <c r="B469" s="35" t="n">
        <v>2023</v>
      </c>
      <c r="C469" s="34" t="s">
        <v>264</v>
      </c>
      <c r="D469" s="34" t="s">
        <v>220</v>
      </c>
      <c r="E469" s="36" t="s">
        <v>221</v>
      </c>
      <c r="F469" s="34" t="s">
        <v>36</v>
      </c>
      <c r="G469" s="37" t="n">
        <v>165</v>
      </c>
      <c r="H469" s="37" t="n">
        <v>12</v>
      </c>
      <c r="I469" s="37" t="n">
        <f aca="false">IFERROR(ROUND('Data Bulanan'!CC98,0),0)</f>
        <v>1182</v>
      </c>
      <c r="J469" s="37" t="n">
        <v>1927155</v>
      </c>
      <c r="K469" s="37" t="n">
        <v>425662</v>
      </c>
      <c r="L469" s="38" t="n">
        <f aca="false">IFERROR(ROUND(SQRT(2*I469*J469/K469),0),0)</f>
        <v>103</v>
      </c>
      <c r="M469" s="39" t="n">
        <f aca="false">IFERROR(AVERAGE('Data Bulanan'!BF98,'Data Bulanan'!BH98,'Data Bulanan'!BJ98,'Data Bulanan'!BL98,'Data Bulanan'!BN98,'Data Bulanan'!BP98,'Data Bulanan'!BR98,'Data Bulanan'!BT98,'Data Bulanan'!BV98,'Data Bulanan'!BX98,'Data Bulanan'!BZ98,'Data Bulanan'!CB98),0)</f>
        <v>3.13833205325141</v>
      </c>
      <c r="N469" s="40" t="n">
        <f aca="false">'Data Bulanan'!CD98</f>
        <v>0.863778864038478</v>
      </c>
      <c r="O469" s="41" t="n">
        <f aca="false">IFERROR(N469*SQRT(H469),0)</f>
        <v>2.99221775803755</v>
      </c>
      <c r="P469" s="42" t="n">
        <f aca="false">IFERROR(ROUND(1.65*O469,0),0)</f>
        <v>5</v>
      </c>
      <c r="Q469" s="43" t="n">
        <f aca="false">IFERROR(ROUND(M469*H469+P469,0),0)</f>
        <v>43</v>
      </c>
      <c r="R469" s="44" t="n">
        <f aca="false">G469-Q469</f>
        <v>122</v>
      </c>
      <c r="S469" s="45" t="str">
        <f aca="false">IF(G469=0,"Stockout ⚠",IF(G469&lt;Q469,"Reorder 🔄",IF(G469&gt;Q469+L469,"Overstock 📦","Aman ✅")))</f>
        <v>Overstock 📦</v>
      </c>
      <c r="T469" s="46" t="n">
        <f aca="false">IFERROR(N469/AVERAGE(M467:M471),0)</f>
        <v>0.264404798342243</v>
      </c>
      <c r="U469" s="47" t="n">
        <v>6.2</v>
      </c>
      <c r="V469" s="48" t="n">
        <v>0.0041</v>
      </c>
    </row>
    <row r="470" customFormat="false" ht="15" hidden="false" customHeight="true" outlineLevel="0" collapsed="false">
      <c r="A470" s="34" t="n">
        <v>4</v>
      </c>
      <c r="B470" s="35" t="n">
        <v>2024</v>
      </c>
      <c r="C470" s="34" t="s">
        <v>264</v>
      </c>
      <c r="D470" s="34" t="s">
        <v>220</v>
      </c>
      <c r="E470" s="36" t="s">
        <v>221</v>
      </c>
      <c r="F470" s="34" t="s">
        <v>36</v>
      </c>
      <c r="G470" s="37" t="n">
        <v>142</v>
      </c>
      <c r="H470" s="37" t="n">
        <v>12</v>
      </c>
      <c r="I470" s="37" t="n">
        <f aca="false">IFERROR(ROUND('Data Bulanan'!DC98,0),0)</f>
        <v>1042</v>
      </c>
      <c r="J470" s="37" t="n">
        <v>2036413</v>
      </c>
      <c r="K470" s="37" t="n">
        <v>445592</v>
      </c>
      <c r="L470" s="38" t="n">
        <f aca="false">IFERROR(ROUND(SQRT(2*I470*J470/K470),0),0)</f>
        <v>98</v>
      </c>
      <c r="M470" s="39" t="n">
        <f aca="false">IFERROR(AVERAGE('Data Bulanan'!CF98,'Data Bulanan'!CH98,'Data Bulanan'!CJ98,'Data Bulanan'!CL98,'Data Bulanan'!CN98,'Data Bulanan'!CP98,'Data Bulanan'!CR98,'Data Bulanan'!CT98,'Data Bulanan'!CV98,'Data Bulanan'!CX98,'Data Bulanan'!CZ98,'Data Bulanan'!DB98),0)</f>
        <v>2.769092421915</v>
      </c>
      <c r="N470" s="40" t="n">
        <f aca="false">'Data Bulanan'!DD98</f>
        <v>0.720244256643372</v>
      </c>
      <c r="O470" s="41" t="n">
        <f aca="false">IFERROR(N470*SQRT(H470),0)</f>
        <v>2.494999292732</v>
      </c>
      <c r="P470" s="42" t="n">
        <f aca="false">IFERROR(ROUND(1.65*O470,0),0)</f>
        <v>4</v>
      </c>
      <c r="Q470" s="43" t="n">
        <f aca="false">IFERROR(ROUND(M470*H470+P470,0),0)</f>
        <v>37</v>
      </c>
      <c r="R470" s="44" t="n">
        <f aca="false">G470-Q470</f>
        <v>105</v>
      </c>
      <c r="S470" s="45" t="str">
        <f aca="false">IF(G470=0,"Stockout ⚠",IF(G470&lt;Q470,"Reorder 🔄",IF(G470&gt;Q470+L470,"Overstock 📦","Aman ✅")))</f>
        <v>Overstock 📦</v>
      </c>
      <c r="T470" s="46" t="n">
        <f aca="false">IFERROR(N470/AVERAGE(M467:M471),0)</f>
        <v>0.220468508044515</v>
      </c>
      <c r="U470" s="47" t="n">
        <v>6.2</v>
      </c>
      <c r="V470" s="48" t="n">
        <v>0.0041</v>
      </c>
    </row>
    <row r="471" customFormat="false" ht="15" hidden="false" customHeight="true" outlineLevel="0" collapsed="false">
      <c r="A471" s="34" t="n">
        <v>5</v>
      </c>
      <c r="B471" s="35" t="n">
        <v>2025</v>
      </c>
      <c r="C471" s="34" t="s">
        <v>264</v>
      </c>
      <c r="D471" s="34" t="s">
        <v>220</v>
      </c>
      <c r="E471" s="36" t="s">
        <v>221</v>
      </c>
      <c r="F471" s="34" t="s">
        <v>36</v>
      </c>
      <c r="G471" s="37" t="n">
        <v>66</v>
      </c>
      <c r="H471" s="37" t="n">
        <v>12</v>
      </c>
      <c r="I471" s="37" t="n">
        <f aca="false">IFERROR(ROUND('Data Bulanan'!EC98,0),0)</f>
        <v>1425</v>
      </c>
      <c r="J471" s="37" t="n">
        <v>1907111</v>
      </c>
      <c r="K471" s="37" t="n">
        <v>415931</v>
      </c>
      <c r="L471" s="38" t="n">
        <f aca="false">IFERROR(ROUND(SQRT(2*I471*J471/K471),0),0)</f>
        <v>114</v>
      </c>
      <c r="M471" s="39" t="n">
        <f aca="false">IFERROR(AVERAGE('Data Bulanan'!DF98,'Data Bulanan'!DH98,'Data Bulanan'!DJ98,'Data Bulanan'!DL98,'Data Bulanan'!DN98,'Data Bulanan'!DP98,'Data Bulanan'!DR98,'Data Bulanan'!DT98,'Data Bulanan'!DV98,'Data Bulanan'!DX98,'Data Bulanan'!DZ98,'Data Bulanan'!EB98),0)</f>
        <v>3.79407962109575</v>
      </c>
      <c r="N471" s="40" t="n">
        <f aca="false">'Data Bulanan'!ED98</f>
        <v>0.803197246262111</v>
      </c>
      <c r="O471" s="41" t="n">
        <f aca="false">IFERROR(N471*SQRT(H471),0)</f>
        <v>2.78235687805078</v>
      </c>
      <c r="P471" s="42" t="n">
        <f aca="false">IFERROR(ROUND(1.65*O471,0),0)</f>
        <v>5</v>
      </c>
      <c r="Q471" s="43" t="n">
        <f aca="false">IFERROR(ROUND(M471*H471+P471,0),0)</f>
        <v>51</v>
      </c>
      <c r="R471" s="44" t="n">
        <f aca="false">G471-Q471</f>
        <v>15</v>
      </c>
      <c r="S471" s="45" t="str">
        <f aca="false">IF(G471=0,"Stockout ⚠",IF(G471&lt;Q471,"Reorder 🔄",IF(G471&gt;Q471+L471,"Overstock 📦","Aman ✅")))</f>
        <v>Aman ✅</v>
      </c>
      <c r="T471" s="46" t="n">
        <f aca="false">IFERROR(N471/AVERAGE(M467:M471),0)</f>
        <v>0.245860618693627</v>
      </c>
      <c r="U471" s="47" t="n">
        <v>6.2</v>
      </c>
      <c r="V471" s="48" t="n">
        <v>0.0041</v>
      </c>
    </row>
    <row r="472" customFormat="false" ht="15" hidden="false" customHeight="true" outlineLevel="0" collapsed="false">
      <c r="A472" s="49" t="n">
        <v>1</v>
      </c>
      <c r="B472" s="35" t="n">
        <v>2021</v>
      </c>
      <c r="C472" s="49" t="s">
        <v>263</v>
      </c>
      <c r="D472" s="49" t="s">
        <v>222</v>
      </c>
      <c r="E472" s="50" t="s">
        <v>223</v>
      </c>
      <c r="F472" s="49" t="s">
        <v>36</v>
      </c>
      <c r="G472" s="37" t="n">
        <v>321</v>
      </c>
      <c r="H472" s="37" t="n">
        <v>5</v>
      </c>
      <c r="I472" s="37" t="n">
        <f aca="false">IFERROR(ROUND('Data Bulanan'!AC99,0),0)</f>
        <v>2233</v>
      </c>
      <c r="J472" s="37" t="n">
        <v>1009283</v>
      </c>
      <c r="K472" s="37" t="n">
        <v>284592</v>
      </c>
      <c r="L472" s="38" t="n">
        <f aca="false">IFERROR(ROUND(SQRT(2*I472*J472/K472),0),0)</f>
        <v>126</v>
      </c>
      <c r="M472" s="39" t="n">
        <f aca="false">IFERROR(AVERAGE('Data Bulanan'!F99,'Data Bulanan'!H99,'Data Bulanan'!J99,'Data Bulanan'!L99,'Data Bulanan'!N99,'Data Bulanan'!P99,'Data Bulanan'!R99,'Data Bulanan'!T99,'Data Bulanan'!V99,'Data Bulanan'!X99,'Data Bulanan'!Z99,'Data Bulanan'!AB99),0)</f>
        <v>5.94669098822325</v>
      </c>
      <c r="N472" s="40" t="n">
        <f aca="false">'Data Bulanan'!AD99</f>
        <v>1.38697121240689</v>
      </c>
      <c r="O472" s="41" t="n">
        <f aca="false">IFERROR(N472*SQRT(H472),0)</f>
        <v>3.10136191377712</v>
      </c>
      <c r="P472" s="42" t="n">
        <f aca="false">IFERROR(ROUND(1.65*O472,0),0)</f>
        <v>5</v>
      </c>
      <c r="Q472" s="43" t="n">
        <f aca="false">IFERROR(ROUND(M472*H472+P472,0),0)</f>
        <v>35</v>
      </c>
      <c r="R472" s="44" t="n">
        <f aca="false">G472-Q472</f>
        <v>286</v>
      </c>
      <c r="S472" s="45" t="str">
        <f aca="false">IF(G472=0,"Stockout ⚠",IF(G472&lt;Q472,"Reorder 🔄",IF(G472&gt;Q472+L472,"Overstock 📦","Aman ✅")))</f>
        <v>Overstock 📦</v>
      </c>
      <c r="T472" s="46" t="n">
        <f aca="false">IFERROR(N472/AVERAGE(M472:M476),0)</f>
        <v>0.229018170320791</v>
      </c>
      <c r="U472" s="47" t="n">
        <v>112.36</v>
      </c>
      <c r="V472" s="48" t="n">
        <v>0.3194</v>
      </c>
    </row>
    <row r="473" customFormat="false" ht="15" hidden="false" customHeight="true" outlineLevel="0" collapsed="false">
      <c r="A473" s="49" t="n">
        <v>2</v>
      </c>
      <c r="B473" s="35" t="n">
        <v>2022</v>
      </c>
      <c r="C473" s="49" t="s">
        <v>263</v>
      </c>
      <c r="D473" s="49" t="s">
        <v>222</v>
      </c>
      <c r="E473" s="50" t="s">
        <v>223</v>
      </c>
      <c r="F473" s="49" t="s">
        <v>36</v>
      </c>
      <c r="G473" s="37" t="n">
        <v>0</v>
      </c>
      <c r="H473" s="37" t="n">
        <v>5</v>
      </c>
      <c r="I473" s="37" t="n">
        <f aca="false">IFERROR(ROUND('Data Bulanan'!BC99,0),0)</f>
        <v>2002</v>
      </c>
      <c r="J473" s="37" t="n">
        <v>961773</v>
      </c>
      <c r="K473" s="37" t="n">
        <v>293999</v>
      </c>
      <c r="L473" s="38" t="n">
        <f aca="false">IFERROR(ROUND(SQRT(2*I473*J473/K473),0),0)</f>
        <v>114</v>
      </c>
      <c r="M473" s="39" t="n">
        <f aca="false">IFERROR(AVERAGE('Data Bulanan'!AF99,'Data Bulanan'!AH99,'Data Bulanan'!AJ99,'Data Bulanan'!AL99,'Data Bulanan'!AN99,'Data Bulanan'!AP99,'Data Bulanan'!AR99,'Data Bulanan'!AT99,'Data Bulanan'!AV99,'Data Bulanan'!AX99,'Data Bulanan'!AZ99,'Data Bulanan'!BB99),0)</f>
        <v>5.31660906298003</v>
      </c>
      <c r="N473" s="40" t="n">
        <f aca="false">'Data Bulanan'!BD99</f>
        <v>1.52494451177714</v>
      </c>
      <c r="O473" s="41" t="n">
        <f aca="false">IFERROR(N473*SQRT(H473),0)</f>
        <v>3.40987959024892</v>
      </c>
      <c r="P473" s="42" t="n">
        <f aca="false">IFERROR(ROUND(1.65*O473,0),0)</f>
        <v>6</v>
      </c>
      <c r="Q473" s="43" t="n">
        <f aca="false">IFERROR(ROUND(M473*H473+P473,0),0)</f>
        <v>33</v>
      </c>
      <c r="R473" s="44" t="n">
        <f aca="false">G473-Q473</f>
        <v>-33</v>
      </c>
      <c r="S473" s="45" t="str">
        <f aca="false">IF(G473=0,"Stockout ⚠",IF(G473&lt;Q473,"Reorder 🔄",IF(G473&gt;Q473+L473,"Overstock 📦","Aman ✅")))</f>
        <v>Stockout ⚠</v>
      </c>
      <c r="T473" s="46" t="n">
        <f aca="false">IFERROR(N473/AVERAGE(M472:M476),0)</f>
        <v>0.251800469111306</v>
      </c>
      <c r="U473" s="47" t="n">
        <v>112.36</v>
      </c>
      <c r="V473" s="48" t="n">
        <v>0.3194</v>
      </c>
    </row>
    <row r="474" customFormat="false" ht="15" hidden="false" customHeight="true" outlineLevel="0" collapsed="false">
      <c r="A474" s="49" t="n">
        <v>3</v>
      </c>
      <c r="B474" s="35" t="n">
        <v>2023</v>
      </c>
      <c r="C474" s="49" t="s">
        <v>263</v>
      </c>
      <c r="D474" s="49" t="s">
        <v>222</v>
      </c>
      <c r="E474" s="50" t="s">
        <v>223</v>
      </c>
      <c r="F474" s="49" t="s">
        <v>36</v>
      </c>
      <c r="G474" s="37" t="n">
        <v>203</v>
      </c>
      <c r="H474" s="37" t="n">
        <v>5</v>
      </c>
      <c r="I474" s="37" t="n">
        <f aca="false">IFERROR(ROUND('Data Bulanan'!CC99,0),0)</f>
        <v>2339</v>
      </c>
      <c r="J474" s="37" t="n">
        <v>1109075</v>
      </c>
      <c r="K474" s="37" t="n">
        <v>286373</v>
      </c>
      <c r="L474" s="38" t="n">
        <f aca="false">IFERROR(ROUND(SQRT(2*I474*J474/K474),0),0)</f>
        <v>135</v>
      </c>
      <c r="M474" s="39" t="n">
        <f aca="false">IFERROR(AVERAGE('Data Bulanan'!BF99,'Data Bulanan'!BH99,'Data Bulanan'!BJ99,'Data Bulanan'!BL99,'Data Bulanan'!BN99,'Data Bulanan'!BP99,'Data Bulanan'!BR99,'Data Bulanan'!BT99,'Data Bulanan'!BV99,'Data Bulanan'!BX99,'Data Bulanan'!BZ99,'Data Bulanan'!CB99),0)</f>
        <v>6.2314196108551</v>
      </c>
      <c r="N474" s="40" t="n">
        <f aca="false">'Data Bulanan'!CD99</f>
        <v>1.243022016181</v>
      </c>
      <c r="O474" s="41" t="n">
        <f aca="false">IFERROR(N474*SQRT(H474),0)</f>
        <v>2.77948172570955</v>
      </c>
      <c r="P474" s="42" t="n">
        <f aca="false">IFERROR(ROUND(1.65*O474,0),0)</f>
        <v>5</v>
      </c>
      <c r="Q474" s="43" t="n">
        <f aca="false">IFERROR(ROUND(M474*H474+P474,0),0)</f>
        <v>36</v>
      </c>
      <c r="R474" s="44" t="n">
        <f aca="false">G474-Q474</f>
        <v>167</v>
      </c>
      <c r="S474" s="45" t="str">
        <f aca="false">IF(G474=0,"Stockout ⚠",IF(G474&lt;Q474,"Reorder 🔄",IF(G474&gt;Q474+L474,"Overstock 📦","Aman ✅")))</f>
        <v>Overstock 📦</v>
      </c>
      <c r="T474" s="46" t="n">
        <f aca="false">IFERROR(N474/AVERAGE(M472:M476),0)</f>
        <v>0.205249125048688</v>
      </c>
      <c r="U474" s="47" t="n">
        <v>112.36</v>
      </c>
      <c r="V474" s="48" t="n">
        <v>0.3194</v>
      </c>
    </row>
    <row r="475" customFormat="false" ht="15" hidden="false" customHeight="true" outlineLevel="0" collapsed="false">
      <c r="A475" s="49" t="n">
        <v>4</v>
      </c>
      <c r="B475" s="35" t="n">
        <v>2024</v>
      </c>
      <c r="C475" s="49" t="s">
        <v>263</v>
      </c>
      <c r="D475" s="49" t="s">
        <v>222</v>
      </c>
      <c r="E475" s="50" t="s">
        <v>223</v>
      </c>
      <c r="F475" s="49" t="s">
        <v>36</v>
      </c>
      <c r="G475" s="37" t="n">
        <v>0</v>
      </c>
      <c r="H475" s="37" t="n">
        <v>5</v>
      </c>
      <c r="I475" s="37" t="n">
        <f aca="false">IFERROR(ROUND('Data Bulanan'!DC99,0),0)</f>
        <v>2031</v>
      </c>
      <c r="J475" s="37" t="n">
        <v>1020886</v>
      </c>
      <c r="K475" s="37" t="n">
        <v>303916</v>
      </c>
      <c r="L475" s="38" t="n">
        <f aca="false">IFERROR(ROUND(SQRT(2*I475*J475/K475),0),0)</f>
        <v>117</v>
      </c>
      <c r="M475" s="39" t="n">
        <f aca="false">IFERROR(AVERAGE('Data Bulanan'!CF99,'Data Bulanan'!CH99,'Data Bulanan'!CJ99,'Data Bulanan'!CL99,'Data Bulanan'!CN99,'Data Bulanan'!CP99,'Data Bulanan'!CR99,'Data Bulanan'!CT99,'Data Bulanan'!CV99,'Data Bulanan'!CX99,'Data Bulanan'!CZ99,'Data Bulanan'!DB99),0)</f>
        <v>5.3869879672299</v>
      </c>
      <c r="N475" s="40" t="n">
        <f aca="false">'Data Bulanan'!DD99</f>
        <v>1.34457890955036</v>
      </c>
      <c r="O475" s="41" t="n">
        <f aca="false">IFERROR(N475*SQRT(H475),0)</f>
        <v>3.00656984286714</v>
      </c>
      <c r="P475" s="42" t="n">
        <f aca="false">IFERROR(ROUND(1.65*O475,0),0)</f>
        <v>5</v>
      </c>
      <c r="Q475" s="43" t="n">
        <f aca="false">IFERROR(ROUND(M475*H475+P475,0),0)</f>
        <v>32</v>
      </c>
      <c r="R475" s="44" t="n">
        <f aca="false">G475-Q475</f>
        <v>-32</v>
      </c>
      <c r="S475" s="45" t="str">
        <f aca="false">IF(G475=0,"Stockout ⚠",IF(G475&lt;Q475,"Reorder 🔄",IF(G475&gt;Q475+L475,"Overstock 📦","Aman ✅")))</f>
        <v>Stockout ⚠</v>
      </c>
      <c r="T475" s="46" t="n">
        <f aca="false">IFERROR(N475/AVERAGE(M472:M476),0)</f>
        <v>0.222018307923474</v>
      </c>
      <c r="U475" s="47" t="n">
        <v>112.36</v>
      </c>
      <c r="V475" s="48" t="n">
        <v>0.3194</v>
      </c>
    </row>
    <row r="476" customFormat="false" ht="15" hidden="false" customHeight="true" outlineLevel="0" collapsed="false">
      <c r="A476" s="49" t="n">
        <v>5</v>
      </c>
      <c r="B476" s="35" t="n">
        <v>2025</v>
      </c>
      <c r="C476" s="49" t="s">
        <v>263</v>
      </c>
      <c r="D476" s="49" t="s">
        <v>222</v>
      </c>
      <c r="E476" s="50" t="s">
        <v>223</v>
      </c>
      <c r="F476" s="49" t="s">
        <v>36</v>
      </c>
      <c r="G476" s="37" t="n">
        <v>45</v>
      </c>
      <c r="H476" s="37" t="n">
        <v>5</v>
      </c>
      <c r="I476" s="37" t="n">
        <f aca="false">IFERROR(ROUND('Data Bulanan'!EC99,0),0)</f>
        <v>2780</v>
      </c>
      <c r="J476" s="37" t="n">
        <v>987129</v>
      </c>
      <c r="K476" s="37" t="n">
        <v>304476</v>
      </c>
      <c r="L476" s="38" t="n">
        <f aca="false">IFERROR(ROUND(SQRT(2*I476*J476/K476),0),0)</f>
        <v>134</v>
      </c>
      <c r="M476" s="39" t="n">
        <f aca="false">IFERROR(AVERAGE('Data Bulanan'!DF99,'Data Bulanan'!DH99,'Data Bulanan'!DJ99,'Data Bulanan'!DL99,'Data Bulanan'!DN99,'Data Bulanan'!DP99,'Data Bulanan'!DR99,'Data Bulanan'!DT99,'Data Bulanan'!DV99,'Data Bulanan'!DX99,'Data Bulanan'!DZ99,'Data Bulanan'!EB99),0)</f>
        <v>7.39910394265233</v>
      </c>
      <c r="N476" s="40" t="n">
        <f aca="false">'Data Bulanan'!ED99</f>
        <v>1.62852460132428</v>
      </c>
      <c r="O476" s="41" t="n">
        <f aca="false">IFERROR(N476*SQRT(H476),0)</f>
        <v>3.64149171159183</v>
      </c>
      <c r="P476" s="42" t="n">
        <f aca="false">IFERROR(ROUND(1.65*O476,0),0)</f>
        <v>6</v>
      </c>
      <c r="Q476" s="43" t="n">
        <f aca="false">IFERROR(ROUND(M476*H476+P476,0),0)</f>
        <v>43</v>
      </c>
      <c r="R476" s="44" t="n">
        <f aca="false">G476-Q476</f>
        <v>2</v>
      </c>
      <c r="S476" s="45" t="str">
        <f aca="false">IF(G476=0,"Stockout ⚠",IF(G476&lt;Q476,"Reorder 🔄",IF(G476&gt;Q476+L476,"Overstock 📦","Aman ✅")))</f>
        <v>Aman ✅</v>
      </c>
      <c r="T476" s="46" t="n">
        <f aca="false">IFERROR(N476/AVERAGE(M472:M476),0)</f>
        <v>0.268903724303303</v>
      </c>
      <c r="U476" s="47" t="n">
        <v>112.36</v>
      </c>
      <c r="V476" s="48" t="n">
        <v>0.3194</v>
      </c>
    </row>
    <row r="477" customFormat="false" ht="15" hidden="false" customHeight="true" outlineLevel="0" collapsed="false">
      <c r="A477" s="34" t="n">
        <v>1</v>
      </c>
      <c r="B477" s="35" t="n">
        <v>2021</v>
      </c>
      <c r="C477" s="34" t="s">
        <v>263</v>
      </c>
      <c r="D477" s="34" t="s">
        <v>224</v>
      </c>
      <c r="E477" s="36" t="s">
        <v>225</v>
      </c>
      <c r="F477" s="34" t="s">
        <v>36</v>
      </c>
      <c r="G477" s="37" t="n">
        <v>451</v>
      </c>
      <c r="H477" s="37" t="n">
        <v>5</v>
      </c>
      <c r="I477" s="37" t="n">
        <f aca="false">IFERROR(ROUND('Data Bulanan'!AC100,0),0)</f>
        <v>21313</v>
      </c>
      <c r="J477" s="37" t="n">
        <v>1705753</v>
      </c>
      <c r="K477" s="37" t="n">
        <v>160355</v>
      </c>
      <c r="L477" s="38" t="n">
        <f aca="false">IFERROR(ROUND(SQRT(2*I477*J477/K477),0),0)</f>
        <v>673</v>
      </c>
      <c r="M477" s="39" t="n">
        <f aca="false">IFERROR(AVERAGE('Data Bulanan'!F100,'Data Bulanan'!H100,'Data Bulanan'!J100,'Data Bulanan'!L100,'Data Bulanan'!N100,'Data Bulanan'!P100,'Data Bulanan'!R100,'Data Bulanan'!T100,'Data Bulanan'!V100,'Data Bulanan'!X100,'Data Bulanan'!Z100,'Data Bulanan'!AB100),0)</f>
        <v>56.5743023553507</v>
      </c>
      <c r="N477" s="40" t="n">
        <f aca="false">'Data Bulanan'!AD100</f>
        <v>12.3129702174795</v>
      </c>
      <c r="O477" s="41" t="n">
        <f aca="false">IFERROR(N477*SQRT(H477),0)</f>
        <v>27.5326384112145</v>
      </c>
      <c r="P477" s="42" t="n">
        <f aca="false">IFERROR(ROUND(1.65*O477,0),0)</f>
        <v>45</v>
      </c>
      <c r="Q477" s="43" t="n">
        <f aca="false">IFERROR(ROUND(M477*H477+P477,0),0)</f>
        <v>328</v>
      </c>
      <c r="R477" s="44" t="n">
        <f aca="false">G477-Q477</f>
        <v>123</v>
      </c>
      <c r="S477" s="45" t="str">
        <f aca="false">IF(G477=0,"Stockout ⚠",IF(G477&lt;Q477,"Reorder 🔄",IF(G477&gt;Q477+L477,"Overstock 📦","Aman ✅")))</f>
        <v>Aman ✅</v>
      </c>
      <c r="T477" s="46" t="n">
        <f aca="false">IFERROR(N477/AVERAGE(M477:M481),0)</f>
        <v>0.222568925209941</v>
      </c>
      <c r="U477" s="47" t="n">
        <v>497.99</v>
      </c>
      <c r="V477" s="48" t="n">
        <v>0.2591</v>
      </c>
    </row>
    <row r="478" customFormat="false" ht="15" hidden="false" customHeight="true" outlineLevel="0" collapsed="false">
      <c r="A478" s="34" t="n">
        <v>2</v>
      </c>
      <c r="B478" s="35" t="n">
        <v>2022</v>
      </c>
      <c r="C478" s="34" t="s">
        <v>263</v>
      </c>
      <c r="D478" s="34" t="s">
        <v>224</v>
      </c>
      <c r="E478" s="36" t="s">
        <v>225</v>
      </c>
      <c r="F478" s="34" t="s">
        <v>36</v>
      </c>
      <c r="G478" s="37" t="n">
        <v>2364</v>
      </c>
      <c r="H478" s="37" t="n">
        <v>5</v>
      </c>
      <c r="I478" s="37" t="n">
        <f aca="false">IFERROR(ROUND('Data Bulanan'!BC100,0),0)</f>
        <v>19419</v>
      </c>
      <c r="J478" s="37" t="n">
        <v>1933691</v>
      </c>
      <c r="K478" s="37" t="n">
        <v>144063</v>
      </c>
      <c r="L478" s="38" t="n">
        <f aca="false">IFERROR(ROUND(SQRT(2*I478*J478/K478),0),0)</f>
        <v>722</v>
      </c>
      <c r="M478" s="39" t="n">
        <f aca="false">IFERROR(AVERAGE('Data Bulanan'!AF100,'Data Bulanan'!AH100,'Data Bulanan'!AJ100,'Data Bulanan'!AL100,'Data Bulanan'!AN100,'Data Bulanan'!AP100,'Data Bulanan'!AR100,'Data Bulanan'!AT100,'Data Bulanan'!AV100,'Data Bulanan'!AX100,'Data Bulanan'!AZ100,'Data Bulanan'!BB100),0)</f>
        <v>51.5803379416283</v>
      </c>
      <c r="N478" s="40" t="n">
        <f aca="false">'Data Bulanan'!BD100</f>
        <v>11.3599512092619</v>
      </c>
      <c r="O478" s="41" t="n">
        <f aca="false">IFERROR(N478*SQRT(H478),0)</f>
        <v>25.4016231249905</v>
      </c>
      <c r="P478" s="42" t="n">
        <f aca="false">IFERROR(ROUND(1.65*O478,0),0)</f>
        <v>42</v>
      </c>
      <c r="Q478" s="43" t="n">
        <f aca="false">IFERROR(ROUND(M478*H478+P478,0),0)</f>
        <v>300</v>
      </c>
      <c r="R478" s="44" t="n">
        <f aca="false">G478-Q478</f>
        <v>2064</v>
      </c>
      <c r="S478" s="45" t="str">
        <f aca="false">IF(G478=0,"Stockout ⚠",IF(G478&lt;Q478,"Reorder 🔄",IF(G478&gt;Q478+L478,"Overstock 📦","Aman ✅")))</f>
        <v>Overstock 📦</v>
      </c>
      <c r="T478" s="46" t="n">
        <f aca="false">IFERROR(N478/AVERAGE(M477:M481),0)</f>
        <v>0.205342178729021</v>
      </c>
      <c r="U478" s="47" t="n">
        <v>497.99</v>
      </c>
      <c r="V478" s="48" t="n">
        <v>0.2591</v>
      </c>
    </row>
    <row r="479" customFormat="false" ht="15" hidden="false" customHeight="true" outlineLevel="0" collapsed="false">
      <c r="A479" s="34" t="n">
        <v>3</v>
      </c>
      <c r="B479" s="35" t="n">
        <v>2023</v>
      </c>
      <c r="C479" s="34" t="s">
        <v>263</v>
      </c>
      <c r="D479" s="34" t="s">
        <v>224</v>
      </c>
      <c r="E479" s="36" t="s">
        <v>225</v>
      </c>
      <c r="F479" s="34" t="s">
        <v>36</v>
      </c>
      <c r="G479" s="37" t="n">
        <v>718</v>
      </c>
      <c r="H479" s="37" t="n">
        <v>5</v>
      </c>
      <c r="I479" s="37" t="n">
        <f aca="false">IFERROR(ROUND('Data Bulanan'!CC100,0),0)</f>
        <v>19476</v>
      </c>
      <c r="J479" s="37" t="n">
        <v>1857427</v>
      </c>
      <c r="K479" s="37" t="n">
        <v>156161</v>
      </c>
      <c r="L479" s="38" t="n">
        <f aca="false">IFERROR(ROUND(SQRT(2*I479*J479/K479),0),0)</f>
        <v>681</v>
      </c>
      <c r="M479" s="39" t="n">
        <f aca="false">IFERROR(AVERAGE('Data Bulanan'!BF100,'Data Bulanan'!BH100,'Data Bulanan'!BJ100,'Data Bulanan'!BL100,'Data Bulanan'!BN100,'Data Bulanan'!BP100,'Data Bulanan'!BR100,'Data Bulanan'!BT100,'Data Bulanan'!BV100,'Data Bulanan'!BX100,'Data Bulanan'!BZ100,'Data Bulanan'!CB100),0)</f>
        <v>51.773099078341</v>
      </c>
      <c r="N479" s="40" t="n">
        <f aca="false">'Data Bulanan'!CD100</f>
        <v>11.7720461149486</v>
      </c>
      <c r="O479" s="41" t="n">
        <f aca="false">IFERROR(N479*SQRT(H479),0)</f>
        <v>26.3230953472874</v>
      </c>
      <c r="P479" s="42" t="n">
        <f aca="false">IFERROR(ROUND(1.65*O479,0),0)</f>
        <v>43</v>
      </c>
      <c r="Q479" s="43" t="n">
        <f aca="false">IFERROR(ROUND(M479*H479+P479,0),0)</f>
        <v>302</v>
      </c>
      <c r="R479" s="44" t="n">
        <f aca="false">G479-Q479</f>
        <v>416</v>
      </c>
      <c r="S479" s="45" t="str">
        <f aca="false">IF(G479=0,"Stockout ⚠",IF(G479&lt;Q479,"Reorder 🔄",IF(G479&gt;Q479+L479,"Overstock 📦","Aman ✅")))</f>
        <v>Aman ✅</v>
      </c>
      <c r="T479" s="46" t="n">
        <f aca="false">IFERROR(N479/AVERAGE(M477:M481),0)</f>
        <v>0.212791195385699</v>
      </c>
      <c r="U479" s="47" t="n">
        <v>497.99</v>
      </c>
      <c r="V479" s="48" t="n">
        <v>0.2591</v>
      </c>
    </row>
    <row r="480" customFormat="false" ht="15" hidden="false" customHeight="true" outlineLevel="0" collapsed="false">
      <c r="A480" s="34" t="n">
        <v>4</v>
      </c>
      <c r="B480" s="35" t="n">
        <v>2024</v>
      </c>
      <c r="C480" s="34" t="s">
        <v>263</v>
      </c>
      <c r="D480" s="34" t="s">
        <v>224</v>
      </c>
      <c r="E480" s="36" t="s">
        <v>225</v>
      </c>
      <c r="F480" s="34" t="s">
        <v>36</v>
      </c>
      <c r="G480" s="37" t="n">
        <v>0</v>
      </c>
      <c r="H480" s="37" t="n">
        <v>5</v>
      </c>
      <c r="I480" s="37" t="n">
        <f aca="false">IFERROR(ROUND('Data Bulanan'!DC100,0),0)</f>
        <v>20678</v>
      </c>
      <c r="J480" s="37" t="n">
        <v>1865997</v>
      </c>
      <c r="K480" s="37" t="n">
        <v>142338</v>
      </c>
      <c r="L480" s="38" t="n">
        <f aca="false">IFERROR(ROUND(SQRT(2*I480*J480/K480),0),0)</f>
        <v>736</v>
      </c>
      <c r="M480" s="39" t="n">
        <f aca="false">IFERROR(AVERAGE('Data Bulanan'!CF100,'Data Bulanan'!CH100,'Data Bulanan'!CJ100,'Data Bulanan'!CL100,'Data Bulanan'!CN100,'Data Bulanan'!CP100,'Data Bulanan'!CR100,'Data Bulanan'!CT100,'Data Bulanan'!CV100,'Data Bulanan'!CX100,'Data Bulanan'!CZ100,'Data Bulanan'!DB100),0)</f>
        <v>55.1493279569893</v>
      </c>
      <c r="N480" s="40" t="n">
        <f aca="false">'Data Bulanan'!DD100</f>
        <v>14.9717251530697</v>
      </c>
      <c r="O480" s="41" t="n">
        <f aca="false">IFERROR(N480*SQRT(H480),0)</f>
        <v>33.4777951827074</v>
      </c>
      <c r="P480" s="42" t="n">
        <f aca="false">IFERROR(ROUND(1.65*O480,0),0)</f>
        <v>55</v>
      </c>
      <c r="Q480" s="43" t="n">
        <f aca="false">IFERROR(ROUND(M480*H480+P480,0),0)</f>
        <v>331</v>
      </c>
      <c r="R480" s="44" t="n">
        <f aca="false">G480-Q480</f>
        <v>-331</v>
      </c>
      <c r="S480" s="45" t="str">
        <f aca="false">IF(G480=0,"Stockout ⚠",IF(G480&lt;Q480,"Reorder 🔄",IF(G480&gt;Q480+L480,"Overstock 📦","Aman ✅")))</f>
        <v>Stockout ⚠</v>
      </c>
      <c r="T480" s="46" t="n">
        <f aca="false">IFERROR(N480/AVERAGE(M477:M481),0)</f>
        <v>0.270628509368676</v>
      </c>
      <c r="U480" s="47" t="n">
        <v>497.99</v>
      </c>
      <c r="V480" s="48" t="n">
        <v>0.2591</v>
      </c>
    </row>
    <row r="481" customFormat="false" ht="15" hidden="false" customHeight="true" outlineLevel="0" collapsed="false">
      <c r="A481" s="34" t="n">
        <v>5</v>
      </c>
      <c r="B481" s="35" t="n">
        <v>2025</v>
      </c>
      <c r="C481" s="34" t="s">
        <v>263</v>
      </c>
      <c r="D481" s="34" t="s">
        <v>224</v>
      </c>
      <c r="E481" s="36" t="s">
        <v>225</v>
      </c>
      <c r="F481" s="34" t="s">
        <v>36</v>
      </c>
      <c r="G481" s="37" t="n">
        <v>2224</v>
      </c>
      <c r="H481" s="37" t="n">
        <v>5</v>
      </c>
      <c r="I481" s="37" t="n">
        <f aca="false">IFERROR(ROUND('Data Bulanan'!EC100,0),0)</f>
        <v>23173</v>
      </c>
      <c r="J481" s="37" t="n">
        <v>1742964</v>
      </c>
      <c r="K481" s="37" t="n">
        <v>162172</v>
      </c>
      <c r="L481" s="38" t="n">
        <f aca="false">IFERROR(ROUND(SQRT(2*I481*J481/K481),0),0)</f>
        <v>706</v>
      </c>
      <c r="M481" s="39" t="n">
        <f aca="false">IFERROR(AVERAGE('Data Bulanan'!DF100,'Data Bulanan'!DH100,'Data Bulanan'!DJ100,'Data Bulanan'!DL100,'Data Bulanan'!DN100,'Data Bulanan'!DP100,'Data Bulanan'!DR100,'Data Bulanan'!DT100,'Data Bulanan'!DV100,'Data Bulanan'!DX100,'Data Bulanan'!DZ100,'Data Bulanan'!EB100),0)</f>
        <v>61.5332053251408</v>
      </c>
      <c r="N481" s="40" t="n">
        <f aca="false">'Data Bulanan'!ED100</f>
        <v>14.1496457265127</v>
      </c>
      <c r="O481" s="41" t="n">
        <f aca="false">IFERROR(N481*SQRT(H481),0)</f>
        <v>31.6395697020218</v>
      </c>
      <c r="P481" s="42" t="n">
        <f aca="false">IFERROR(ROUND(1.65*O481,0),0)</f>
        <v>52</v>
      </c>
      <c r="Q481" s="43" t="n">
        <f aca="false">IFERROR(ROUND(M481*H481+P481,0),0)</f>
        <v>360</v>
      </c>
      <c r="R481" s="44" t="n">
        <f aca="false">G481-Q481</f>
        <v>1864</v>
      </c>
      <c r="S481" s="45" t="str">
        <f aca="false">IF(G481=0,"Stockout ⚠",IF(G481&lt;Q481,"Reorder 🔄",IF(G481&gt;Q481+L481,"Overstock 📦","Aman ✅")))</f>
        <v>Overstock 📦</v>
      </c>
      <c r="T481" s="46" t="n">
        <f aca="false">IFERROR(N481/AVERAGE(M477:M481),0)</f>
        <v>0.255768623315653</v>
      </c>
      <c r="U481" s="47" t="n">
        <v>497.99</v>
      </c>
      <c r="V481" s="48" t="n">
        <v>0.2591</v>
      </c>
    </row>
    <row r="482" customFormat="false" ht="15" hidden="false" customHeight="true" outlineLevel="0" collapsed="false">
      <c r="A482" s="49" t="n">
        <v>1</v>
      </c>
      <c r="B482" s="35" t="n">
        <v>2021</v>
      </c>
      <c r="C482" s="49" t="s">
        <v>264</v>
      </c>
      <c r="D482" s="49" t="s">
        <v>226</v>
      </c>
      <c r="E482" s="50" t="s">
        <v>227</v>
      </c>
      <c r="F482" s="49" t="s">
        <v>36</v>
      </c>
      <c r="G482" s="37" t="n">
        <v>3372</v>
      </c>
      <c r="H482" s="37" t="n">
        <v>10</v>
      </c>
      <c r="I482" s="37" t="n">
        <f aca="false">IFERROR(ROUND('Data Bulanan'!AC101,0),0)</f>
        <v>41231</v>
      </c>
      <c r="J482" s="37" t="n">
        <v>1371717</v>
      </c>
      <c r="K482" s="37" t="n">
        <v>391331</v>
      </c>
      <c r="L482" s="38" t="n">
        <f aca="false">IFERROR(ROUND(SQRT(2*I482*J482/K482),0),0)</f>
        <v>538</v>
      </c>
      <c r="M482" s="39" t="n">
        <f aca="false">IFERROR(AVERAGE('Data Bulanan'!F101,'Data Bulanan'!H101,'Data Bulanan'!J101,'Data Bulanan'!L101,'Data Bulanan'!N101,'Data Bulanan'!P101,'Data Bulanan'!R101,'Data Bulanan'!T101,'Data Bulanan'!V101,'Data Bulanan'!X101,'Data Bulanan'!Z101,'Data Bulanan'!AB101),0)</f>
        <v>109.528405017921</v>
      </c>
      <c r="N482" s="40" t="n">
        <f aca="false">'Data Bulanan'!AD101</f>
        <v>18.6012510897334</v>
      </c>
      <c r="O482" s="41" t="n">
        <f aca="false">IFERROR(N482*SQRT(H482),0)</f>
        <v>58.8223207722467</v>
      </c>
      <c r="P482" s="42" t="n">
        <f aca="false">IFERROR(ROUND(1.65*O482,0),0)</f>
        <v>97</v>
      </c>
      <c r="Q482" s="43" t="n">
        <f aca="false">IFERROR(ROUND(M482*H482+P482,0),0)</f>
        <v>1192</v>
      </c>
      <c r="R482" s="44" t="n">
        <f aca="false">G482-Q482</f>
        <v>2180</v>
      </c>
      <c r="S482" s="45" t="str">
        <f aca="false">IF(G482=0,"Stockout ⚠",IF(G482&lt;Q482,"Reorder 🔄",IF(G482&gt;Q482+L482,"Overstock 📦","Aman ✅")))</f>
        <v>Overstock 📦</v>
      </c>
      <c r="T482" s="46" t="n">
        <f aca="false">IFERROR(N482/AVERAGE(M482:M486),0)</f>
        <v>0.184573846131585</v>
      </c>
      <c r="U482" s="47" t="n">
        <v>-456.9</v>
      </c>
      <c r="V482" s="48" t="n">
        <v>0.0343</v>
      </c>
    </row>
    <row r="483" customFormat="false" ht="15" hidden="false" customHeight="true" outlineLevel="0" collapsed="false">
      <c r="A483" s="49" t="n">
        <v>2</v>
      </c>
      <c r="B483" s="35" t="n">
        <v>2022</v>
      </c>
      <c r="C483" s="49" t="s">
        <v>264</v>
      </c>
      <c r="D483" s="49" t="s">
        <v>226</v>
      </c>
      <c r="E483" s="50" t="s">
        <v>227</v>
      </c>
      <c r="F483" s="49" t="s">
        <v>36</v>
      </c>
      <c r="G483" s="37" t="n">
        <v>0</v>
      </c>
      <c r="H483" s="37" t="n">
        <v>10</v>
      </c>
      <c r="I483" s="37" t="n">
        <f aca="false">IFERROR(ROUND('Data Bulanan'!BC101,0),0)</f>
        <v>35041</v>
      </c>
      <c r="J483" s="37" t="n">
        <v>1531434</v>
      </c>
      <c r="K483" s="37" t="n">
        <v>400717</v>
      </c>
      <c r="L483" s="38" t="n">
        <f aca="false">IFERROR(ROUND(SQRT(2*I483*J483/K483),0),0)</f>
        <v>518</v>
      </c>
      <c r="M483" s="39" t="n">
        <f aca="false">IFERROR(AVERAGE('Data Bulanan'!AF101,'Data Bulanan'!AH101,'Data Bulanan'!AJ101,'Data Bulanan'!AL101,'Data Bulanan'!AN101,'Data Bulanan'!AP101,'Data Bulanan'!AR101,'Data Bulanan'!AT101,'Data Bulanan'!AV101,'Data Bulanan'!AX101,'Data Bulanan'!AZ101,'Data Bulanan'!BB101),0)</f>
        <v>92.8799923195085</v>
      </c>
      <c r="N483" s="40" t="n">
        <f aca="false">'Data Bulanan'!BD101</f>
        <v>23.6791944301331</v>
      </c>
      <c r="O483" s="41" t="n">
        <f aca="false">IFERROR(N483*SQRT(H483),0)</f>
        <v>74.8801875571934</v>
      </c>
      <c r="P483" s="42" t="n">
        <f aca="false">IFERROR(ROUND(1.65*O483,0),0)</f>
        <v>124</v>
      </c>
      <c r="Q483" s="43" t="n">
        <f aca="false">IFERROR(ROUND(M483*H483+P483,0),0)</f>
        <v>1053</v>
      </c>
      <c r="R483" s="44" t="n">
        <f aca="false">G483-Q483</f>
        <v>-1053</v>
      </c>
      <c r="S483" s="45" t="str">
        <f aca="false">IF(G483=0,"Stockout ⚠",IF(G483&lt;Q483,"Reorder 🔄",IF(G483&gt;Q483+L483,"Overstock 📦","Aman ✅")))</f>
        <v>Stockout ⚠</v>
      </c>
      <c r="T483" s="46" t="n">
        <f aca="false">IFERROR(N483/AVERAGE(M482:M486),0)</f>
        <v>0.234960539384339</v>
      </c>
      <c r="U483" s="47" t="n">
        <v>-456.9</v>
      </c>
      <c r="V483" s="48" t="n">
        <v>0.0343</v>
      </c>
    </row>
    <row r="484" customFormat="false" ht="15" hidden="false" customHeight="true" outlineLevel="0" collapsed="false">
      <c r="A484" s="49" t="n">
        <v>3</v>
      </c>
      <c r="B484" s="35" t="n">
        <v>2023</v>
      </c>
      <c r="C484" s="49" t="s">
        <v>264</v>
      </c>
      <c r="D484" s="49" t="s">
        <v>226</v>
      </c>
      <c r="E484" s="50" t="s">
        <v>227</v>
      </c>
      <c r="F484" s="49" t="s">
        <v>36</v>
      </c>
      <c r="G484" s="37" t="n">
        <v>2228</v>
      </c>
      <c r="H484" s="37" t="n">
        <v>10</v>
      </c>
      <c r="I484" s="37" t="n">
        <f aca="false">IFERROR(ROUND('Data Bulanan'!CC101,0),0)</f>
        <v>40441</v>
      </c>
      <c r="J484" s="37" t="n">
        <v>1445062</v>
      </c>
      <c r="K484" s="37" t="n">
        <v>400605</v>
      </c>
      <c r="L484" s="38" t="n">
        <f aca="false">IFERROR(ROUND(SQRT(2*I484*J484/K484),0),0)</f>
        <v>540</v>
      </c>
      <c r="M484" s="39" t="n">
        <f aca="false">IFERROR(AVERAGE('Data Bulanan'!BF101,'Data Bulanan'!BH101,'Data Bulanan'!BJ101,'Data Bulanan'!BL101,'Data Bulanan'!BN101,'Data Bulanan'!BP101,'Data Bulanan'!BR101,'Data Bulanan'!BT101,'Data Bulanan'!BV101,'Data Bulanan'!BX101,'Data Bulanan'!BZ101,'Data Bulanan'!CB101),0)</f>
        <v>107.616916282642</v>
      </c>
      <c r="N484" s="40" t="n">
        <f aca="false">'Data Bulanan'!CD101</f>
        <v>26.8904300467519</v>
      </c>
      <c r="O484" s="41" t="n">
        <f aca="false">IFERROR(N484*SQRT(H484),0)</f>
        <v>85.0350062091641</v>
      </c>
      <c r="P484" s="42" t="n">
        <f aca="false">IFERROR(ROUND(1.65*O484,0),0)</f>
        <v>140</v>
      </c>
      <c r="Q484" s="43" t="n">
        <f aca="false">IFERROR(ROUND(M484*H484+P484,0),0)</f>
        <v>1216</v>
      </c>
      <c r="R484" s="44" t="n">
        <f aca="false">G484-Q484</f>
        <v>1012</v>
      </c>
      <c r="S484" s="45" t="str">
        <f aca="false">IF(G484=0,"Stockout ⚠",IF(G484&lt;Q484,"Reorder 🔄",IF(G484&gt;Q484+L484,"Overstock 📦","Aman ✅")))</f>
        <v>Overstock 📦</v>
      </c>
      <c r="T484" s="46" t="n">
        <f aca="false">IFERROR(N484/AVERAGE(M482:M486),0)</f>
        <v>0.26682453099086</v>
      </c>
      <c r="U484" s="47" t="n">
        <v>-456.9</v>
      </c>
      <c r="V484" s="48" t="n">
        <v>0.0343</v>
      </c>
    </row>
    <row r="485" customFormat="false" ht="15" hidden="false" customHeight="true" outlineLevel="0" collapsed="false">
      <c r="A485" s="49" t="n">
        <v>4</v>
      </c>
      <c r="B485" s="35" t="n">
        <v>2024</v>
      </c>
      <c r="C485" s="49" t="s">
        <v>264</v>
      </c>
      <c r="D485" s="49" t="s">
        <v>226</v>
      </c>
      <c r="E485" s="50" t="s">
        <v>227</v>
      </c>
      <c r="F485" s="49" t="s">
        <v>36</v>
      </c>
      <c r="G485" s="37" t="n">
        <v>5298</v>
      </c>
      <c r="H485" s="37" t="n">
        <v>10</v>
      </c>
      <c r="I485" s="37" t="n">
        <f aca="false">IFERROR(ROUND('Data Bulanan'!DC101,0),0)</f>
        <v>32458</v>
      </c>
      <c r="J485" s="37" t="n">
        <v>1463487</v>
      </c>
      <c r="K485" s="37" t="n">
        <v>379772</v>
      </c>
      <c r="L485" s="38" t="n">
        <f aca="false">IFERROR(ROUND(SQRT(2*I485*J485/K485),0),0)</f>
        <v>500</v>
      </c>
      <c r="M485" s="39" t="n">
        <f aca="false">IFERROR(AVERAGE('Data Bulanan'!CF101,'Data Bulanan'!CH101,'Data Bulanan'!CJ101,'Data Bulanan'!CL101,'Data Bulanan'!CN101,'Data Bulanan'!CP101,'Data Bulanan'!CR101,'Data Bulanan'!CT101,'Data Bulanan'!CV101,'Data Bulanan'!CX101,'Data Bulanan'!CZ101,'Data Bulanan'!DB101),0)</f>
        <v>86.4018881208397</v>
      </c>
      <c r="N485" s="40" t="n">
        <f aca="false">'Data Bulanan'!DD101</f>
        <v>17.6071021732519</v>
      </c>
      <c r="O485" s="41" t="n">
        <f aca="false">IFERROR(N485*SQRT(H485),0)</f>
        <v>55.6785458627766</v>
      </c>
      <c r="P485" s="42" t="n">
        <f aca="false">IFERROR(ROUND(1.65*O485,0),0)</f>
        <v>92</v>
      </c>
      <c r="Q485" s="43" t="n">
        <f aca="false">IFERROR(ROUND(M485*H485+P485,0),0)</f>
        <v>956</v>
      </c>
      <c r="R485" s="44" t="n">
        <f aca="false">G485-Q485</f>
        <v>4342</v>
      </c>
      <c r="S485" s="45" t="str">
        <f aca="false">IF(G485=0,"Stockout ⚠",IF(G485&lt;Q485,"Reorder 🔄",IF(G485&gt;Q485+L485,"Overstock 📦","Aman ✅")))</f>
        <v>Overstock 📦</v>
      </c>
      <c r="T485" s="46" t="n">
        <f aca="false">IFERROR(N485/AVERAGE(M482:M486),0)</f>
        <v>0.174709246795909</v>
      </c>
      <c r="U485" s="47" t="n">
        <v>-456.9</v>
      </c>
      <c r="V485" s="48" t="n">
        <v>0.0343</v>
      </c>
    </row>
    <row r="486" customFormat="false" ht="15" hidden="false" customHeight="true" outlineLevel="0" collapsed="false">
      <c r="A486" s="49" t="n">
        <v>5</v>
      </c>
      <c r="B486" s="35" t="n">
        <v>2025</v>
      </c>
      <c r="C486" s="49" t="s">
        <v>264</v>
      </c>
      <c r="D486" s="49" t="s">
        <v>226</v>
      </c>
      <c r="E486" s="50" t="s">
        <v>227</v>
      </c>
      <c r="F486" s="49" t="s">
        <v>36</v>
      </c>
      <c r="G486" s="37" t="n">
        <v>0</v>
      </c>
      <c r="H486" s="37" t="n">
        <v>10</v>
      </c>
      <c r="I486" s="37" t="n">
        <f aca="false">IFERROR(ROUND('Data Bulanan'!EC101,0),0)</f>
        <v>40238</v>
      </c>
      <c r="J486" s="37" t="n">
        <v>1356813</v>
      </c>
      <c r="K486" s="37" t="n">
        <v>384654</v>
      </c>
      <c r="L486" s="38" t="n">
        <f aca="false">IFERROR(ROUND(SQRT(2*I486*J486/K486),0),0)</f>
        <v>533</v>
      </c>
      <c r="M486" s="39" t="n">
        <f aca="false">IFERROR(AVERAGE('Data Bulanan'!DF101,'Data Bulanan'!DH101,'Data Bulanan'!DJ101,'Data Bulanan'!DL101,'Data Bulanan'!DN101,'Data Bulanan'!DP101,'Data Bulanan'!DR101,'Data Bulanan'!DT101,'Data Bulanan'!DV101,'Data Bulanan'!DX101,'Data Bulanan'!DZ101,'Data Bulanan'!EB101),0)</f>
        <v>107.470058883769</v>
      </c>
      <c r="N486" s="40" t="n">
        <f aca="false">'Data Bulanan'!ED101</f>
        <v>28.3170963975345</v>
      </c>
      <c r="O486" s="41" t="n">
        <f aca="false">IFERROR(N486*SQRT(H486),0)</f>
        <v>89.5465213387578</v>
      </c>
      <c r="P486" s="42" t="n">
        <f aca="false">IFERROR(ROUND(1.65*O486,0),0)</f>
        <v>148</v>
      </c>
      <c r="Q486" s="43" t="n">
        <f aca="false">IFERROR(ROUND(M486*H486+P486,0),0)</f>
        <v>1223</v>
      </c>
      <c r="R486" s="44" t="n">
        <f aca="false">G486-Q486</f>
        <v>-1223</v>
      </c>
      <c r="S486" s="45" t="str">
        <f aca="false">IF(G486=0,"Stockout ⚠",IF(G486&lt;Q486,"Reorder 🔄",IF(G486&gt;Q486+L486,"Overstock 📦","Aman ✅")))</f>
        <v>Stockout ⚠</v>
      </c>
      <c r="T486" s="46" t="n">
        <f aca="false">IFERROR(N486/AVERAGE(M482:M486),0)</f>
        <v>0.280980852747938</v>
      </c>
      <c r="U486" s="47" t="n">
        <v>-456.9</v>
      </c>
      <c r="V486" s="48" t="n">
        <v>0.0343</v>
      </c>
    </row>
    <row r="487" customFormat="false" ht="15" hidden="false" customHeight="true" outlineLevel="0" collapsed="false">
      <c r="A487" s="34" t="n">
        <v>1</v>
      </c>
      <c r="B487" s="35" t="n">
        <v>2021</v>
      </c>
      <c r="C487" s="34" t="s">
        <v>264</v>
      </c>
      <c r="D487" s="34" t="s">
        <v>228</v>
      </c>
      <c r="E487" s="36" t="s">
        <v>229</v>
      </c>
      <c r="F487" s="34" t="s">
        <v>36</v>
      </c>
      <c r="G487" s="37" t="n">
        <v>4543</v>
      </c>
      <c r="H487" s="37" t="n">
        <v>10</v>
      </c>
      <c r="I487" s="37" t="n">
        <f aca="false">IFERROR(ROUND('Data Bulanan'!AC102,0),0)</f>
        <v>22692</v>
      </c>
      <c r="J487" s="37" t="n">
        <v>2303332</v>
      </c>
      <c r="K487" s="37" t="n">
        <v>530252</v>
      </c>
      <c r="L487" s="38" t="n">
        <f aca="false">IFERROR(ROUND(SQRT(2*I487*J487/K487),0),0)</f>
        <v>444</v>
      </c>
      <c r="M487" s="39" t="n">
        <f aca="false">IFERROR(AVERAGE('Data Bulanan'!F102,'Data Bulanan'!H102,'Data Bulanan'!J102,'Data Bulanan'!L102,'Data Bulanan'!N102,'Data Bulanan'!P102,'Data Bulanan'!R102,'Data Bulanan'!T102,'Data Bulanan'!V102,'Data Bulanan'!X102,'Data Bulanan'!Z102,'Data Bulanan'!AB102),0)</f>
        <v>60.4540706605223</v>
      </c>
      <c r="N487" s="40" t="n">
        <f aca="false">'Data Bulanan'!AD102</f>
        <v>16.9983858972559</v>
      </c>
      <c r="O487" s="41" t="n">
        <f aca="false">IFERROR(N487*SQRT(H487),0)</f>
        <v>53.7536159818134</v>
      </c>
      <c r="P487" s="42" t="n">
        <f aca="false">IFERROR(ROUND(1.65*O487,0),0)</f>
        <v>89</v>
      </c>
      <c r="Q487" s="43" t="n">
        <f aca="false">IFERROR(ROUND(M487*H487+P487,0),0)</f>
        <v>694</v>
      </c>
      <c r="R487" s="44" t="n">
        <f aca="false">G487-Q487</f>
        <v>3849</v>
      </c>
      <c r="S487" s="45" t="str">
        <f aca="false">IF(G487=0,"Stockout ⚠",IF(G487&lt;Q487,"Reorder 🔄",IF(G487&gt;Q487+L487,"Overstock 📦","Aman ✅")))</f>
        <v>Overstock 📦</v>
      </c>
      <c r="T487" s="46" t="n">
        <f aca="false">IFERROR(N487/AVERAGE(M487:M491),0)</f>
        <v>0.245017131146362</v>
      </c>
      <c r="U487" s="47" t="n">
        <v>385.31</v>
      </c>
      <c r="V487" s="48" t="n">
        <v>0.0705</v>
      </c>
    </row>
    <row r="488" customFormat="false" ht="15" hidden="false" customHeight="true" outlineLevel="0" collapsed="false">
      <c r="A488" s="34" t="n">
        <v>2</v>
      </c>
      <c r="B488" s="35" t="n">
        <v>2022</v>
      </c>
      <c r="C488" s="34" t="s">
        <v>264</v>
      </c>
      <c r="D488" s="34" t="s">
        <v>228</v>
      </c>
      <c r="E488" s="36" t="s">
        <v>229</v>
      </c>
      <c r="F488" s="34" t="s">
        <v>36</v>
      </c>
      <c r="G488" s="37" t="n">
        <v>2557</v>
      </c>
      <c r="H488" s="37" t="n">
        <v>10</v>
      </c>
      <c r="I488" s="37" t="n">
        <f aca="false">IFERROR(ROUND('Data Bulanan'!BC102,0),0)</f>
        <v>28839</v>
      </c>
      <c r="J488" s="37" t="n">
        <v>2220179</v>
      </c>
      <c r="K488" s="37" t="n">
        <v>613883</v>
      </c>
      <c r="L488" s="38" t="n">
        <f aca="false">IFERROR(ROUND(SQRT(2*I488*J488/K488),0),0)</f>
        <v>457</v>
      </c>
      <c r="M488" s="39" t="n">
        <f aca="false">IFERROR(AVERAGE('Data Bulanan'!AF102,'Data Bulanan'!AH102,'Data Bulanan'!AJ102,'Data Bulanan'!AL102,'Data Bulanan'!AN102,'Data Bulanan'!AP102,'Data Bulanan'!AR102,'Data Bulanan'!AT102,'Data Bulanan'!AV102,'Data Bulanan'!AX102,'Data Bulanan'!AZ102,'Data Bulanan'!BB102),0)</f>
        <v>76.5377880184332</v>
      </c>
      <c r="N488" s="40" t="n">
        <f aca="false">'Data Bulanan'!BD102</f>
        <v>20.3432333188205</v>
      </c>
      <c r="O488" s="41" t="n">
        <f aca="false">IFERROR(N488*SQRT(H488),0)</f>
        <v>64.330952259699</v>
      </c>
      <c r="P488" s="42" t="n">
        <f aca="false">IFERROR(ROUND(1.65*O488,0),0)</f>
        <v>106</v>
      </c>
      <c r="Q488" s="43" t="n">
        <f aca="false">IFERROR(ROUND(M488*H488+P488,0),0)</f>
        <v>871</v>
      </c>
      <c r="R488" s="44" t="n">
        <f aca="false">G488-Q488</f>
        <v>1686</v>
      </c>
      <c r="S488" s="45" t="str">
        <f aca="false">IF(G488=0,"Stockout ⚠",IF(G488&lt;Q488,"Reorder 🔄",IF(G488&gt;Q488+L488,"Overstock 📦","Aman ✅")))</f>
        <v>Overstock 📦</v>
      </c>
      <c r="T488" s="46" t="n">
        <f aca="false">IFERROR(N488/AVERAGE(M487:M491),0)</f>
        <v>0.293230233514297</v>
      </c>
      <c r="U488" s="47" t="n">
        <v>385.31</v>
      </c>
      <c r="V488" s="48" t="n">
        <v>0.0705</v>
      </c>
    </row>
    <row r="489" customFormat="false" ht="15" hidden="false" customHeight="true" outlineLevel="0" collapsed="false">
      <c r="A489" s="34" t="n">
        <v>3</v>
      </c>
      <c r="B489" s="35" t="n">
        <v>2023</v>
      </c>
      <c r="C489" s="34" t="s">
        <v>264</v>
      </c>
      <c r="D489" s="34" t="s">
        <v>228</v>
      </c>
      <c r="E489" s="36" t="s">
        <v>229</v>
      </c>
      <c r="F489" s="34" t="s">
        <v>36</v>
      </c>
      <c r="G489" s="37" t="n">
        <v>1914</v>
      </c>
      <c r="H489" s="37" t="n">
        <v>10</v>
      </c>
      <c r="I489" s="37" t="n">
        <f aca="false">IFERROR(ROUND('Data Bulanan'!CC102,0),0)</f>
        <v>27281</v>
      </c>
      <c r="J489" s="37" t="n">
        <v>2226008</v>
      </c>
      <c r="K489" s="37" t="n">
        <v>522375</v>
      </c>
      <c r="L489" s="38" t="n">
        <f aca="false">IFERROR(ROUND(SQRT(2*I489*J489/K489),0),0)</f>
        <v>482</v>
      </c>
      <c r="M489" s="39" t="n">
        <f aca="false">IFERROR(AVERAGE('Data Bulanan'!BF102,'Data Bulanan'!BH102,'Data Bulanan'!BJ102,'Data Bulanan'!BL102,'Data Bulanan'!BN102,'Data Bulanan'!BP102,'Data Bulanan'!BR102,'Data Bulanan'!BT102,'Data Bulanan'!BV102,'Data Bulanan'!BX102,'Data Bulanan'!BZ102,'Data Bulanan'!CB102),0)</f>
        <v>72.4933115719406</v>
      </c>
      <c r="N489" s="40" t="n">
        <f aca="false">'Data Bulanan'!CD102</f>
        <v>13.5122767619418</v>
      </c>
      <c r="O489" s="41" t="n">
        <f aca="false">IFERROR(N489*SQRT(H489),0)</f>
        <v>42.7295709423008</v>
      </c>
      <c r="P489" s="42" t="n">
        <f aca="false">IFERROR(ROUND(1.65*O489,0),0)</f>
        <v>71</v>
      </c>
      <c r="Q489" s="43" t="n">
        <f aca="false">IFERROR(ROUND(M489*H489+P489,0),0)</f>
        <v>796</v>
      </c>
      <c r="R489" s="44" t="n">
        <f aca="false">G489-Q489</f>
        <v>1118</v>
      </c>
      <c r="S489" s="45" t="str">
        <f aca="false">IF(G489=0,"Stockout ⚠",IF(G489&lt;Q489,"Reorder 🔄",IF(G489&gt;Q489+L489,"Overstock 📦","Aman ✅")))</f>
        <v>Overstock 📦</v>
      </c>
      <c r="T489" s="46" t="n">
        <f aca="false">IFERROR(N489/AVERAGE(M487:M491),0)</f>
        <v>0.194767862518117</v>
      </c>
      <c r="U489" s="47" t="n">
        <v>385.31</v>
      </c>
      <c r="V489" s="48" t="n">
        <v>0.0705</v>
      </c>
    </row>
    <row r="490" customFormat="false" ht="15" hidden="false" customHeight="true" outlineLevel="0" collapsed="false">
      <c r="A490" s="34" t="n">
        <v>4</v>
      </c>
      <c r="B490" s="35" t="n">
        <v>2024</v>
      </c>
      <c r="C490" s="34" t="s">
        <v>264</v>
      </c>
      <c r="D490" s="34" t="s">
        <v>228</v>
      </c>
      <c r="E490" s="36" t="s">
        <v>229</v>
      </c>
      <c r="F490" s="34" t="s">
        <v>36</v>
      </c>
      <c r="G490" s="37" t="n">
        <v>1942</v>
      </c>
      <c r="H490" s="37" t="n">
        <v>10</v>
      </c>
      <c r="I490" s="37" t="n">
        <f aca="false">IFERROR(ROUND('Data Bulanan'!DC102,0),0)</f>
        <v>25398</v>
      </c>
      <c r="J490" s="37" t="n">
        <v>2237245</v>
      </c>
      <c r="K490" s="37" t="n">
        <v>565316</v>
      </c>
      <c r="L490" s="38" t="n">
        <f aca="false">IFERROR(ROUND(SQRT(2*I490*J490/K490),0),0)</f>
        <v>448</v>
      </c>
      <c r="M490" s="39" t="n">
        <f aca="false">IFERROR(AVERAGE('Data Bulanan'!CF102,'Data Bulanan'!CH102,'Data Bulanan'!CJ102,'Data Bulanan'!CL102,'Data Bulanan'!CN102,'Data Bulanan'!CP102,'Data Bulanan'!CR102,'Data Bulanan'!CT102,'Data Bulanan'!CV102,'Data Bulanan'!CX102,'Data Bulanan'!CZ102,'Data Bulanan'!DB102),0)</f>
        <v>67.46883640553</v>
      </c>
      <c r="N490" s="40" t="n">
        <f aca="false">'Data Bulanan'!DD102</f>
        <v>15.5166449164372</v>
      </c>
      <c r="O490" s="41" t="n">
        <f aca="false">IFERROR(N490*SQRT(H490),0)</f>
        <v>49.0679395800145</v>
      </c>
      <c r="P490" s="42" t="n">
        <f aca="false">IFERROR(ROUND(1.65*O490,0),0)</f>
        <v>81</v>
      </c>
      <c r="Q490" s="43" t="n">
        <f aca="false">IFERROR(ROUND(M490*H490+P490,0),0)</f>
        <v>756</v>
      </c>
      <c r="R490" s="44" t="n">
        <f aca="false">G490-Q490</f>
        <v>1186</v>
      </c>
      <c r="S490" s="45" t="str">
        <f aca="false">IF(G490=0,"Stockout ⚠",IF(G490&lt;Q490,"Reorder 🔄",IF(G490&gt;Q490+L490,"Overstock 📦","Aman ✅")))</f>
        <v>Overstock 📦</v>
      </c>
      <c r="T490" s="46" t="n">
        <f aca="false">IFERROR(N490/AVERAGE(M487:M491),0)</f>
        <v>0.223659107718926</v>
      </c>
      <c r="U490" s="47" t="n">
        <v>385.31</v>
      </c>
      <c r="V490" s="48" t="n">
        <v>0.0705</v>
      </c>
    </row>
    <row r="491" customFormat="false" ht="15" hidden="false" customHeight="true" outlineLevel="0" collapsed="false">
      <c r="A491" s="34" t="n">
        <v>5</v>
      </c>
      <c r="B491" s="35" t="n">
        <v>2025</v>
      </c>
      <c r="C491" s="34" t="s">
        <v>264</v>
      </c>
      <c r="D491" s="34" t="s">
        <v>228</v>
      </c>
      <c r="E491" s="36" t="s">
        <v>229</v>
      </c>
      <c r="F491" s="34" t="s">
        <v>36</v>
      </c>
      <c r="G491" s="37" t="n">
        <v>3030</v>
      </c>
      <c r="H491" s="37" t="n">
        <v>10</v>
      </c>
      <c r="I491" s="37" t="n">
        <f aca="false">IFERROR(ROUND('Data Bulanan'!EC102,0),0)</f>
        <v>26339</v>
      </c>
      <c r="J491" s="37" t="n">
        <v>2187086</v>
      </c>
      <c r="K491" s="37" t="n">
        <v>617158</v>
      </c>
      <c r="L491" s="38" t="n">
        <f aca="false">IFERROR(ROUND(SQRT(2*I491*J491/K491),0),0)</f>
        <v>432</v>
      </c>
      <c r="M491" s="39" t="n">
        <f aca="false">IFERROR(AVERAGE('Data Bulanan'!DF102,'Data Bulanan'!DH102,'Data Bulanan'!DJ102,'Data Bulanan'!DL102,'Data Bulanan'!DN102,'Data Bulanan'!DP102,'Data Bulanan'!DR102,'Data Bulanan'!DT102,'Data Bulanan'!DV102,'Data Bulanan'!DX102,'Data Bulanan'!DZ102,'Data Bulanan'!EB102),0)</f>
        <v>69.9275729646697</v>
      </c>
      <c r="N491" s="40" t="n">
        <f aca="false">'Data Bulanan'!ED102</f>
        <v>14.7008516650105</v>
      </c>
      <c r="O491" s="41" t="n">
        <f aca="false">IFERROR(N491*SQRT(H491),0)</f>
        <v>46.4881748057117</v>
      </c>
      <c r="P491" s="42" t="n">
        <f aca="false">IFERROR(ROUND(1.65*O491,0),0)</f>
        <v>77</v>
      </c>
      <c r="Q491" s="43" t="n">
        <f aca="false">IFERROR(ROUND(M491*H491+P491,0),0)</f>
        <v>776</v>
      </c>
      <c r="R491" s="44" t="n">
        <f aca="false">G491-Q491</f>
        <v>2254</v>
      </c>
      <c r="S491" s="45" t="str">
        <f aca="false">IF(G491=0,"Stockout ⚠",IF(G491&lt;Q491,"Reorder 🔄",IF(G491&gt;Q491+L491,"Overstock 📦","Aman ✅")))</f>
        <v>Overstock 📦</v>
      </c>
      <c r="T491" s="46" t="n">
        <f aca="false">IFERROR(N491/AVERAGE(M487:M491),0)</f>
        <v>0.21190014876357</v>
      </c>
      <c r="U491" s="47" t="n">
        <v>385.31</v>
      </c>
      <c r="V491" s="48" t="n">
        <v>0.0705</v>
      </c>
    </row>
    <row r="492" customFormat="false" ht="15" hidden="false" customHeight="true" outlineLevel="0" collapsed="false">
      <c r="A492" s="49" t="n">
        <v>1</v>
      </c>
      <c r="B492" s="35" t="n">
        <v>2021</v>
      </c>
      <c r="C492" s="49" t="s">
        <v>264</v>
      </c>
      <c r="D492" s="49" t="s">
        <v>230</v>
      </c>
      <c r="E492" s="50" t="s">
        <v>231</v>
      </c>
      <c r="F492" s="49" t="s">
        <v>36</v>
      </c>
      <c r="G492" s="37" t="n">
        <v>6857</v>
      </c>
      <c r="H492" s="37" t="n">
        <v>40</v>
      </c>
      <c r="I492" s="37" t="n">
        <f aca="false">IFERROR(ROUND('Data Bulanan'!AC103,0),0)</f>
        <v>14183</v>
      </c>
      <c r="J492" s="37" t="n">
        <v>8922467</v>
      </c>
      <c r="K492" s="37" t="n">
        <v>460911</v>
      </c>
      <c r="L492" s="38" t="n">
        <f aca="false">IFERROR(ROUND(SQRT(2*I492*J492/K492),0),0)</f>
        <v>741</v>
      </c>
      <c r="M492" s="39" t="n">
        <f aca="false">IFERROR(AVERAGE('Data Bulanan'!F103,'Data Bulanan'!H103,'Data Bulanan'!J103,'Data Bulanan'!L103,'Data Bulanan'!N103,'Data Bulanan'!P103,'Data Bulanan'!R103,'Data Bulanan'!T103,'Data Bulanan'!V103,'Data Bulanan'!X103,'Data Bulanan'!Z103,'Data Bulanan'!AB103),0)</f>
        <v>37.6384856630824</v>
      </c>
      <c r="N492" s="40" t="n">
        <f aca="false">'Data Bulanan'!AD103</f>
        <v>8.10652863612133</v>
      </c>
      <c r="O492" s="41" t="n">
        <f aca="false">IFERROR(N492*SQRT(H492),0)</f>
        <v>51.2701888150435</v>
      </c>
      <c r="P492" s="42" t="n">
        <f aca="false">IFERROR(ROUND(1.65*O492,0),0)</f>
        <v>85</v>
      </c>
      <c r="Q492" s="43" t="n">
        <f aca="false">IFERROR(ROUND(M492*H492+P492,0),0)</f>
        <v>1591</v>
      </c>
      <c r="R492" s="44" t="n">
        <f aca="false">G492-Q492</f>
        <v>5266</v>
      </c>
      <c r="S492" s="45" t="str">
        <f aca="false">IF(G492=0,"Stockout ⚠",IF(G492&lt;Q492,"Reorder 🔄",IF(G492&gt;Q492+L492,"Overstock 📦","Aman ✅")))</f>
        <v>Overstock 📦</v>
      </c>
      <c r="T492" s="46" t="n">
        <f aca="false">IFERROR(N492/AVERAGE(M492:M496),0)</f>
        <v>0.241094375330376</v>
      </c>
      <c r="U492" s="47" t="n">
        <v>-186.75</v>
      </c>
      <c r="V492" s="48" t="n">
        <v>0.0255</v>
      </c>
    </row>
    <row r="493" customFormat="false" ht="15" hidden="false" customHeight="true" outlineLevel="0" collapsed="false">
      <c r="A493" s="49" t="n">
        <v>2</v>
      </c>
      <c r="B493" s="35" t="n">
        <v>2022</v>
      </c>
      <c r="C493" s="49" t="s">
        <v>264</v>
      </c>
      <c r="D493" s="49" t="s">
        <v>230</v>
      </c>
      <c r="E493" s="50" t="s">
        <v>231</v>
      </c>
      <c r="F493" s="49" t="s">
        <v>36</v>
      </c>
      <c r="G493" s="37" t="n">
        <v>3401</v>
      </c>
      <c r="H493" s="37" t="n">
        <v>40</v>
      </c>
      <c r="I493" s="37" t="n">
        <f aca="false">IFERROR(ROUND('Data Bulanan'!BC103,0),0)</f>
        <v>10886</v>
      </c>
      <c r="J493" s="37" t="n">
        <v>8667695</v>
      </c>
      <c r="K493" s="37" t="n">
        <v>456049</v>
      </c>
      <c r="L493" s="38" t="n">
        <f aca="false">IFERROR(ROUND(SQRT(2*I493*J493/K493),0),0)</f>
        <v>643</v>
      </c>
      <c r="M493" s="39" t="n">
        <f aca="false">IFERROR(AVERAGE('Data Bulanan'!AF103,'Data Bulanan'!AH103,'Data Bulanan'!AJ103,'Data Bulanan'!AL103,'Data Bulanan'!AN103,'Data Bulanan'!AP103,'Data Bulanan'!AR103,'Data Bulanan'!AT103,'Data Bulanan'!AV103,'Data Bulanan'!AX103,'Data Bulanan'!AZ103,'Data Bulanan'!BB103),0)</f>
        <v>28.9927675371224</v>
      </c>
      <c r="N493" s="40" t="n">
        <f aca="false">'Data Bulanan'!BD103</f>
        <v>6.08292162311555</v>
      </c>
      <c r="O493" s="41" t="n">
        <f aca="false">IFERROR(N493*SQRT(H493),0)</f>
        <v>38.471774314667</v>
      </c>
      <c r="P493" s="42" t="n">
        <f aca="false">IFERROR(ROUND(1.65*O493,0),0)</f>
        <v>63</v>
      </c>
      <c r="Q493" s="43" t="n">
        <f aca="false">IFERROR(ROUND(M493*H493+P493,0),0)</f>
        <v>1223</v>
      </c>
      <c r="R493" s="44" t="n">
        <f aca="false">G493-Q493</f>
        <v>2178</v>
      </c>
      <c r="S493" s="45" t="str">
        <f aca="false">IF(G493=0,"Stockout ⚠",IF(G493&lt;Q493,"Reorder 🔄",IF(G493&gt;Q493+L493,"Overstock 📦","Aman ✅")))</f>
        <v>Overstock 📦</v>
      </c>
      <c r="T493" s="46" t="n">
        <f aca="false">IFERROR(N493/AVERAGE(M492:M496),0)</f>
        <v>0.180910751659341</v>
      </c>
      <c r="U493" s="47" t="n">
        <v>-186.75</v>
      </c>
      <c r="V493" s="48" t="n">
        <v>0.0255</v>
      </c>
    </row>
    <row r="494" customFormat="false" ht="15" hidden="false" customHeight="true" outlineLevel="0" collapsed="false">
      <c r="A494" s="49" t="n">
        <v>3</v>
      </c>
      <c r="B494" s="35" t="n">
        <v>2023</v>
      </c>
      <c r="C494" s="49" t="s">
        <v>264</v>
      </c>
      <c r="D494" s="49" t="s">
        <v>230</v>
      </c>
      <c r="E494" s="50" t="s">
        <v>231</v>
      </c>
      <c r="F494" s="49" t="s">
        <v>36</v>
      </c>
      <c r="G494" s="37" t="n">
        <v>0</v>
      </c>
      <c r="H494" s="37" t="n">
        <v>40</v>
      </c>
      <c r="I494" s="37" t="n">
        <f aca="false">IFERROR(ROUND('Data Bulanan'!CC103,0),0)</f>
        <v>14195</v>
      </c>
      <c r="J494" s="37" t="n">
        <v>8521248</v>
      </c>
      <c r="K494" s="37" t="n">
        <v>458956</v>
      </c>
      <c r="L494" s="38" t="n">
        <f aca="false">IFERROR(ROUND(SQRT(2*I494*J494/K494),0),0)</f>
        <v>726</v>
      </c>
      <c r="M494" s="39" t="n">
        <f aca="false">IFERROR(AVERAGE('Data Bulanan'!BF103,'Data Bulanan'!BH103,'Data Bulanan'!BJ103,'Data Bulanan'!BL103,'Data Bulanan'!BN103,'Data Bulanan'!BP103,'Data Bulanan'!BR103,'Data Bulanan'!BT103,'Data Bulanan'!BV103,'Data Bulanan'!BX103,'Data Bulanan'!BZ103,'Data Bulanan'!CB103),0)</f>
        <v>37.8848566308244</v>
      </c>
      <c r="N494" s="40" t="n">
        <f aca="false">'Data Bulanan'!CD103</f>
        <v>9.77309778017184</v>
      </c>
      <c r="O494" s="41" t="n">
        <f aca="false">IFERROR(N494*SQRT(H494),0)</f>
        <v>61.8104975617572</v>
      </c>
      <c r="P494" s="42" t="n">
        <f aca="false">IFERROR(ROUND(1.65*O494,0),0)</f>
        <v>102</v>
      </c>
      <c r="Q494" s="43" t="n">
        <f aca="false">IFERROR(ROUND(M494*H494+P494,0),0)</f>
        <v>1617</v>
      </c>
      <c r="R494" s="44" t="n">
        <f aca="false">G494-Q494</f>
        <v>-1617</v>
      </c>
      <c r="S494" s="45" t="str">
        <f aca="false">IF(G494=0,"Stockout ⚠",IF(G494&lt;Q494,"Reorder 🔄",IF(G494&gt;Q494+L494,"Overstock 📦","Aman ✅")))</f>
        <v>Stockout ⚠</v>
      </c>
      <c r="T494" s="46" t="n">
        <f aca="false">IFERROR(N494/AVERAGE(M492:M496),0)</f>
        <v>0.290659419107485</v>
      </c>
      <c r="U494" s="47" t="n">
        <v>-186.75</v>
      </c>
      <c r="V494" s="48" t="n">
        <v>0.0255</v>
      </c>
    </row>
    <row r="495" customFormat="false" ht="15" hidden="false" customHeight="true" outlineLevel="0" collapsed="false">
      <c r="A495" s="49" t="n">
        <v>4</v>
      </c>
      <c r="B495" s="35" t="n">
        <v>2024</v>
      </c>
      <c r="C495" s="49" t="s">
        <v>264</v>
      </c>
      <c r="D495" s="49" t="s">
        <v>230</v>
      </c>
      <c r="E495" s="50" t="s">
        <v>231</v>
      </c>
      <c r="F495" s="49" t="s">
        <v>36</v>
      </c>
      <c r="G495" s="37" t="n">
        <v>0</v>
      </c>
      <c r="H495" s="37" t="n">
        <v>40</v>
      </c>
      <c r="I495" s="37" t="n">
        <f aca="false">IFERROR(ROUND('Data Bulanan'!DC103,0),0)</f>
        <v>10387</v>
      </c>
      <c r="J495" s="37" t="n">
        <v>7859201</v>
      </c>
      <c r="K495" s="37" t="n">
        <v>476906</v>
      </c>
      <c r="L495" s="38" t="n">
        <f aca="false">IFERROR(ROUND(SQRT(2*I495*J495/K495),0),0)</f>
        <v>585</v>
      </c>
      <c r="M495" s="39" t="n">
        <f aca="false">IFERROR(AVERAGE('Data Bulanan'!CF103,'Data Bulanan'!CH103,'Data Bulanan'!CJ103,'Data Bulanan'!CL103,'Data Bulanan'!CN103,'Data Bulanan'!CP103,'Data Bulanan'!CR103,'Data Bulanan'!CT103,'Data Bulanan'!CV103,'Data Bulanan'!CX103,'Data Bulanan'!CZ103,'Data Bulanan'!DB103),0)</f>
        <v>27.6994623655914</v>
      </c>
      <c r="N495" s="40" t="n">
        <f aca="false">'Data Bulanan'!DD103</f>
        <v>6.39459068291295</v>
      </c>
      <c r="O495" s="41" t="n">
        <f aca="false">IFERROR(N495*SQRT(H495),0)</f>
        <v>40.442942524993</v>
      </c>
      <c r="P495" s="42" t="n">
        <f aca="false">IFERROR(ROUND(1.65*O495,0),0)</f>
        <v>67</v>
      </c>
      <c r="Q495" s="43" t="n">
        <f aca="false">IFERROR(ROUND(M495*H495+P495,0),0)</f>
        <v>1175</v>
      </c>
      <c r="R495" s="44" t="n">
        <f aca="false">G495-Q495</f>
        <v>-1175</v>
      </c>
      <c r="S495" s="45" t="str">
        <f aca="false">IF(G495=0,"Stockout ⚠",IF(G495&lt;Q495,"Reorder 🔄",IF(G495&gt;Q495+L495,"Overstock 📦","Aman ✅")))</f>
        <v>Stockout ⚠</v>
      </c>
      <c r="T495" s="46" t="n">
        <f aca="false">IFERROR(N495/AVERAGE(M492:M496),0)</f>
        <v>0.190180028393508</v>
      </c>
      <c r="U495" s="47" t="n">
        <v>-186.75</v>
      </c>
      <c r="V495" s="48" t="n">
        <v>0.0255</v>
      </c>
    </row>
    <row r="496" customFormat="false" ht="15" hidden="false" customHeight="true" outlineLevel="0" collapsed="false">
      <c r="A496" s="49" t="n">
        <v>5</v>
      </c>
      <c r="B496" s="35" t="n">
        <v>2025</v>
      </c>
      <c r="C496" s="49" t="s">
        <v>264</v>
      </c>
      <c r="D496" s="49" t="s">
        <v>230</v>
      </c>
      <c r="E496" s="50" t="s">
        <v>231</v>
      </c>
      <c r="F496" s="49" t="s">
        <v>36</v>
      </c>
      <c r="G496" s="37" t="n">
        <v>9286</v>
      </c>
      <c r="H496" s="37" t="n">
        <v>40</v>
      </c>
      <c r="I496" s="37" t="n">
        <f aca="false">IFERROR(ROUND('Data Bulanan'!EC103,0),0)</f>
        <v>13499</v>
      </c>
      <c r="J496" s="37" t="n">
        <v>7919897</v>
      </c>
      <c r="K496" s="37" t="n">
        <v>463393</v>
      </c>
      <c r="L496" s="38" t="n">
        <f aca="false">IFERROR(ROUND(SQRT(2*I496*J496/K496),0),0)</f>
        <v>679</v>
      </c>
      <c r="M496" s="39" t="n">
        <f aca="false">IFERROR(AVERAGE('Data Bulanan'!DF103,'Data Bulanan'!DH103,'Data Bulanan'!DJ103,'Data Bulanan'!DL103,'Data Bulanan'!DN103,'Data Bulanan'!DP103,'Data Bulanan'!DR103,'Data Bulanan'!DT103,'Data Bulanan'!DV103,'Data Bulanan'!DX103,'Data Bulanan'!DZ103,'Data Bulanan'!EB103),0)</f>
        <v>35.9038338453661</v>
      </c>
      <c r="N496" s="40" t="n">
        <f aca="false">'Data Bulanan'!ED103</f>
        <v>7.54545998690427</v>
      </c>
      <c r="O496" s="41" t="n">
        <f aca="false">IFERROR(N496*SQRT(H496),0)</f>
        <v>47.7216791045635</v>
      </c>
      <c r="P496" s="42" t="n">
        <f aca="false">IFERROR(ROUND(1.65*O496,0),0)</f>
        <v>79</v>
      </c>
      <c r="Q496" s="43" t="n">
        <f aca="false">IFERROR(ROUND(M496*H496+P496,0),0)</f>
        <v>1515</v>
      </c>
      <c r="R496" s="44" t="n">
        <f aca="false">G496-Q496</f>
        <v>7771</v>
      </c>
      <c r="S496" s="45" t="str">
        <f aca="false">IF(G496=0,"Stockout ⚠",IF(G496&lt;Q496,"Reorder 🔄",IF(G496&gt;Q496+L496,"Overstock 📦","Aman ✅")))</f>
        <v>Overstock 📦</v>
      </c>
      <c r="T496" s="46" t="n">
        <f aca="false">IFERROR(N496/AVERAGE(M492:M496),0)</f>
        <v>0.224407763640916</v>
      </c>
      <c r="U496" s="47" t="n">
        <v>-186.75</v>
      </c>
      <c r="V496" s="48" t="n">
        <v>0.0255</v>
      </c>
    </row>
    <row r="497" customFormat="false" ht="15" hidden="false" customHeight="true" outlineLevel="0" collapsed="false">
      <c r="A497" s="34" t="n">
        <v>1</v>
      </c>
      <c r="B497" s="35" t="n">
        <v>2021</v>
      </c>
      <c r="C497" s="34" t="s">
        <v>263</v>
      </c>
      <c r="D497" s="34" t="s">
        <v>232</v>
      </c>
      <c r="E497" s="36" t="s">
        <v>233</v>
      </c>
      <c r="F497" s="34" t="s">
        <v>36</v>
      </c>
      <c r="G497" s="37" t="n">
        <v>4085</v>
      </c>
      <c r="H497" s="37" t="n">
        <v>10</v>
      </c>
      <c r="I497" s="37" t="n">
        <f aca="false">IFERROR(ROUND('Data Bulanan'!AC104,0),0)</f>
        <v>41867</v>
      </c>
      <c r="J497" s="37" t="n">
        <v>1530710</v>
      </c>
      <c r="K497" s="37" t="n">
        <v>231497</v>
      </c>
      <c r="L497" s="38" t="n">
        <f aca="false">IFERROR(ROUND(SQRT(2*I497*J497/K497),0),0)</f>
        <v>744</v>
      </c>
      <c r="M497" s="39" t="n">
        <f aca="false">IFERROR(AVERAGE('Data Bulanan'!F104,'Data Bulanan'!H104,'Data Bulanan'!J104,'Data Bulanan'!L104,'Data Bulanan'!N104,'Data Bulanan'!P104,'Data Bulanan'!R104,'Data Bulanan'!T104,'Data Bulanan'!V104,'Data Bulanan'!X104,'Data Bulanan'!Z104,'Data Bulanan'!AB104),0)</f>
        <v>111.635202252944</v>
      </c>
      <c r="N497" s="40" t="n">
        <f aca="false">'Data Bulanan'!AD104</f>
        <v>24.1550040770783</v>
      </c>
      <c r="O497" s="41" t="n">
        <f aca="false">IFERROR(N497*SQRT(H497),0)</f>
        <v>76.3848297742207</v>
      </c>
      <c r="P497" s="42" t="n">
        <f aca="false">IFERROR(ROUND(1.65*O497,0),0)</f>
        <v>126</v>
      </c>
      <c r="Q497" s="43" t="n">
        <f aca="false">IFERROR(ROUND(M497*H497+P497,0),0)</f>
        <v>1242</v>
      </c>
      <c r="R497" s="44" t="n">
        <f aca="false">G497-Q497</f>
        <v>2843</v>
      </c>
      <c r="S497" s="45" t="str">
        <f aca="false">IF(G497=0,"Stockout ⚠",IF(G497&lt;Q497,"Reorder 🔄",IF(G497&gt;Q497+L497,"Overstock 📦","Aman ✅")))</f>
        <v>Overstock 📦</v>
      </c>
      <c r="T497" s="46" t="n">
        <f aca="false">IFERROR(N497/AVERAGE(M497:M501),0)</f>
        <v>0.185260377724993</v>
      </c>
      <c r="U497" s="47" t="n">
        <v>2884.02</v>
      </c>
      <c r="V497" s="48" t="n">
        <v>0.9477</v>
      </c>
    </row>
    <row r="498" customFormat="false" ht="15" hidden="false" customHeight="true" outlineLevel="0" collapsed="false">
      <c r="A498" s="34" t="n">
        <v>2</v>
      </c>
      <c r="B498" s="35" t="n">
        <v>2022</v>
      </c>
      <c r="C498" s="34" t="s">
        <v>263</v>
      </c>
      <c r="D498" s="34" t="s">
        <v>232</v>
      </c>
      <c r="E498" s="36" t="s">
        <v>233</v>
      </c>
      <c r="F498" s="34" t="s">
        <v>36</v>
      </c>
      <c r="G498" s="37" t="n">
        <v>3678</v>
      </c>
      <c r="H498" s="37" t="n">
        <v>10</v>
      </c>
      <c r="I498" s="37" t="n">
        <f aca="false">IFERROR(ROUND('Data Bulanan'!BC104,0),0)</f>
        <v>47633</v>
      </c>
      <c r="J498" s="37" t="n">
        <v>1625707</v>
      </c>
      <c r="K498" s="37" t="n">
        <v>260823</v>
      </c>
      <c r="L498" s="38" t="n">
        <f aca="false">IFERROR(ROUND(SQRT(2*I498*J498/K498),0),0)</f>
        <v>771</v>
      </c>
      <c r="M498" s="39" t="n">
        <f aca="false">IFERROR(AVERAGE('Data Bulanan'!AF104,'Data Bulanan'!AH104,'Data Bulanan'!AJ104,'Data Bulanan'!AL104,'Data Bulanan'!AN104,'Data Bulanan'!AP104,'Data Bulanan'!AR104,'Data Bulanan'!AT104,'Data Bulanan'!AV104,'Data Bulanan'!AX104,'Data Bulanan'!AZ104,'Data Bulanan'!BB104),0)</f>
        <v>127.007782898105</v>
      </c>
      <c r="N498" s="40" t="n">
        <f aca="false">'Data Bulanan'!BD104</f>
        <v>31.7970967558357</v>
      </c>
      <c r="O498" s="41" t="n">
        <f aca="false">IFERROR(N498*SQRT(H498),0)</f>
        <v>100.551248729192</v>
      </c>
      <c r="P498" s="42" t="n">
        <f aca="false">IFERROR(ROUND(1.65*O498,0),0)</f>
        <v>166</v>
      </c>
      <c r="Q498" s="43" t="n">
        <f aca="false">IFERROR(ROUND(M498*H498+P498,0),0)</f>
        <v>1436</v>
      </c>
      <c r="R498" s="44" t="n">
        <f aca="false">G498-Q498</f>
        <v>2242</v>
      </c>
      <c r="S498" s="45" t="str">
        <f aca="false">IF(G498=0,"Stockout ⚠",IF(G498&lt;Q498,"Reorder 🔄",IF(G498&gt;Q498+L498,"Overstock 📦","Aman ✅")))</f>
        <v>Overstock 📦</v>
      </c>
      <c r="T498" s="46" t="n">
        <f aca="false">IFERROR(N498/AVERAGE(M497:M501),0)</f>
        <v>0.243872538242884</v>
      </c>
      <c r="U498" s="47" t="n">
        <v>2884.02</v>
      </c>
      <c r="V498" s="48" t="n">
        <v>0.9477</v>
      </c>
    </row>
    <row r="499" customFormat="false" ht="15" hidden="false" customHeight="true" outlineLevel="0" collapsed="false">
      <c r="A499" s="34" t="n">
        <v>3</v>
      </c>
      <c r="B499" s="35" t="n">
        <v>2023</v>
      </c>
      <c r="C499" s="34" t="s">
        <v>263</v>
      </c>
      <c r="D499" s="34" t="s">
        <v>232</v>
      </c>
      <c r="E499" s="36" t="s">
        <v>233</v>
      </c>
      <c r="F499" s="34" t="s">
        <v>36</v>
      </c>
      <c r="G499" s="37" t="n">
        <v>5439</v>
      </c>
      <c r="H499" s="37" t="n">
        <v>10</v>
      </c>
      <c r="I499" s="37" t="n">
        <f aca="false">IFERROR(ROUND('Data Bulanan'!CC104,0),0)</f>
        <v>49348</v>
      </c>
      <c r="J499" s="37" t="n">
        <v>1606055</v>
      </c>
      <c r="K499" s="37" t="n">
        <v>258784</v>
      </c>
      <c r="L499" s="38" t="n">
        <f aca="false">IFERROR(ROUND(SQRT(2*I499*J499/K499),0),0)</f>
        <v>783</v>
      </c>
      <c r="M499" s="39" t="n">
        <f aca="false">IFERROR(AVERAGE('Data Bulanan'!BF104,'Data Bulanan'!BH104,'Data Bulanan'!BJ104,'Data Bulanan'!BL104,'Data Bulanan'!BN104,'Data Bulanan'!BP104,'Data Bulanan'!BR104,'Data Bulanan'!BT104,'Data Bulanan'!BV104,'Data Bulanan'!BX104,'Data Bulanan'!BZ104,'Data Bulanan'!CB104),0)</f>
        <v>131.552502560164</v>
      </c>
      <c r="N499" s="40" t="n">
        <f aca="false">'Data Bulanan'!CD104</f>
        <v>31.8930363731762</v>
      </c>
      <c r="O499" s="41" t="n">
        <f aca="false">IFERROR(N499*SQRT(H499),0)</f>
        <v>100.854636437833</v>
      </c>
      <c r="P499" s="42" t="n">
        <f aca="false">IFERROR(ROUND(1.65*O499,0),0)</f>
        <v>166</v>
      </c>
      <c r="Q499" s="43" t="n">
        <f aca="false">IFERROR(ROUND(M499*H499+P499,0),0)</f>
        <v>1482</v>
      </c>
      <c r="R499" s="44" t="n">
        <f aca="false">G499-Q499</f>
        <v>3957</v>
      </c>
      <c r="S499" s="45" t="str">
        <f aca="false">IF(G499=0,"Stockout ⚠",IF(G499&lt;Q499,"Reorder 🔄",IF(G499&gt;Q499+L499,"Overstock 📦","Aman ✅")))</f>
        <v>Overstock 📦</v>
      </c>
      <c r="T499" s="46" t="n">
        <f aca="false">IFERROR(N499/AVERAGE(M497:M501),0)</f>
        <v>0.244608361333229</v>
      </c>
      <c r="U499" s="47" t="n">
        <v>2884.02</v>
      </c>
      <c r="V499" s="48" t="n">
        <v>0.9477</v>
      </c>
    </row>
    <row r="500" customFormat="false" ht="15" hidden="false" customHeight="true" outlineLevel="0" collapsed="false">
      <c r="A500" s="34" t="n">
        <v>4</v>
      </c>
      <c r="B500" s="35" t="n">
        <v>2024</v>
      </c>
      <c r="C500" s="34" t="s">
        <v>263</v>
      </c>
      <c r="D500" s="34" t="s">
        <v>232</v>
      </c>
      <c r="E500" s="36" t="s">
        <v>233</v>
      </c>
      <c r="F500" s="34" t="s">
        <v>36</v>
      </c>
      <c r="G500" s="37" t="n">
        <v>4631</v>
      </c>
      <c r="H500" s="37" t="n">
        <v>10</v>
      </c>
      <c r="I500" s="37" t="n">
        <f aca="false">IFERROR(ROUND('Data Bulanan'!DC104,0),0)</f>
        <v>51759</v>
      </c>
      <c r="J500" s="37" t="n">
        <v>1474068</v>
      </c>
      <c r="K500" s="37" t="n">
        <v>248339</v>
      </c>
      <c r="L500" s="38" t="n">
        <f aca="false">IFERROR(ROUND(SQRT(2*I500*J500/K500),0),0)</f>
        <v>784</v>
      </c>
      <c r="M500" s="39" t="n">
        <f aca="false">IFERROR(AVERAGE('Data Bulanan'!CF104,'Data Bulanan'!CH104,'Data Bulanan'!CJ104,'Data Bulanan'!CL104,'Data Bulanan'!CN104,'Data Bulanan'!CP104,'Data Bulanan'!CR104,'Data Bulanan'!CT104,'Data Bulanan'!CV104,'Data Bulanan'!CX104,'Data Bulanan'!CZ104,'Data Bulanan'!DB104),0)</f>
        <v>137.834447004608</v>
      </c>
      <c r="N500" s="40" t="n">
        <f aca="false">'Data Bulanan'!DD104</f>
        <v>31.798259910552</v>
      </c>
      <c r="O500" s="41" t="n">
        <f aca="false">IFERROR(N500*SQRT(H500),0)</f>
        <v>100.554926947366</v>
      </c>
      <c r="P500" s="42" t="n">
        <f aca="false">IFERROR(ROUND(1.65*O500,0),0)</f>
        <v>166</v>
      </c>
      <c r="Q500" s="43" t="n">
        <f aca="false">IFERROR(ROUND(M500*H500+P500,0),0)</f>
        <v>1544</v>
      </c>
      <c r="R500" s="44" t="n">
        <f aca="false">G500-Q500</f>
        <v>3087</v>
      </c>
      <c r="S500" s="45" t="str">
        <f aca="false">IF(G500=0,"Stockout ⚠",IF(G500&lt;Q500,"Reorder 🔄",IF(G500&gt;Q500+L500,"Overstock 📦","Aman ✅")))</f>
        <v>Overstock 📦</v>
      </c>
      <c r="T500" s="46" t="n">
        <f aca="false">IFERROR(N500/AVERAGE(M497:M501),0)</f>
        <v>0.24388145923008</v>
      </c>
      <c r="U500" s="47" t="n">
        <v>2884.02</v>
      </c>
      <c r="V500" s="48" t="n">
        <v>0.9477</v>
      </c>
    </row>
    <row r="501" customFormat="false" ht="15" hidden="false" customHeight="true" outlineLevel="0" collapsed="false">
      <c r="A501" s="34" t="n">
        <v>5</v>
      </c>
      <c r="B501" s="35" t="n">
        <v>2025</v>
      </c>
      <c r="C501" s="34" t="s">
        <v>263</v>
      </c>
      <c r="D501" s="34" t="s">
        <v>232</v>
      </c>
      <c r="E501" s="36" t="s">
        <v>233</v>
      </c>
      <c r="F501" s="34" t="s">
        <v>36</v>
      </c>
      <c r="G501" s="37" t="n">
        <v>2668</v>
      </c>
      <c r="H501" s="37" t="n">
        <v>10</v>
      </c>
      <c r="I501" s="37" t="n">
        <f aca="false">IFERROR(ROUND('Data Bulanan'!EC104,0),0)</f>
        <v>54224</v>
      </c>
      <c r="J501" s="37" t="n">
        <v>1692855</v>
      </c>
      <c r="K501" s="37" t="n">
        <v>242884</v>
      </c>
      <c r="L501" s="38" t="n">
        <f aca="false">IFERROR(ROUND(SQRT(2*I501*J501/K501),0),0)</f>
        <v>869</v>
      </c>
      <c r="M501" s="39" t="n">
        <f aca="false">IFERROR(AVERAGE('Data Bulanan'!DF104,'Data Bulanan'!DH104,'Data Bulanan'!DJ104,'Data Bulanan'!DL104,'Data Bulanan'!DN104,'Data Bulanan'!DP104,'Data Bulanan'!DR104,'Data Bulanan'!DT104,'Data Bulanan'!DV104,'Data Bulanan'!DX104,'Data Bulanan'!DZ104,'Data Bulanan'!EB104),0)</f>
        <v>143.890469790067</v>
      </c>
      <c r="N501" s="40" t="n">
        <f aca="false">'Data Bulanan'!ED104</f>
        <v>33.5739106537228</v>
      </c>
      <c r="O501" s="41" t="n">
        <f aca="false">IFERROR(N501*SQRT(H501),0)</f>
        <v>106.170027624757</v>
      </c>
      <c r="P501" s="42" t="n">
        <f aca="false">IFERROR(ROUND(1.65*O501,0),0)</f>
        <v>175</v>
      </c>
      <c r="Q501" s="43" t="n">
        <f aca="false">IFERROR(ROUND(M501*H501+P501,0),0)</f>
        <v>1614</v>
      </c>
      <c r="R501" s="44" t="n">
        <f aca="false">G501-Q501</f>
        <v>1054</v>
      </c>
      <c r="S501" s="45" t="str">
        <f aca="false">IF(G501=0,"Stockout ⚠",IF(G501&lt;Q501,"Reorder 🔄",IF(G501&gt;Q501+L501,"Overstock 📦","Aman ✅")))</f>
        <v>Overstock 📦</v>
      </c>
      <c r="T501" s="46" t="n">
        <f aca="false">IFERROR(N501/AVERAGE(M497:M501),0)</f>
        <v>0.257500075328748</v>
      </c>
      <c r="U501" s="47" t="n">
        <v>2884.02</v>
      </c>
      <c r="V501" s="48" t="n">
        <v>0.9477</v>
      </c>
    </row>
    <row r="502" customFormat="false" ht="15" hidden="false" customHeight="true" outlineLevel="0" collapsed="false">
      <c r="A502" s="49" t="n">
        <v>1</v>
      </c>
      <c r="B502" s="35" t="n">
        <v>2021</v>
      </c>
      <c r="C502" s="49" t="s">
        <v>263</v>
      </c>
      <c r="D502" s="49" t="s">
        <v>234</v>
      </c>
      <c r="E502" s="50" t="s">
        <v>235</v>
      </c>
      <c r="F502" s="49" t="s">
        <v>36</v>
      </c>
      <c r="G502" s="37" t="n">
        <v>2738</v>
      </c>
      <c r="H502" s="37" t="n">
        <v>9</v>
      </c>
      <c r="I502" s="37" t="n">
        <f aca="false">IFERROR(ROUND('Data Bulanan'!AC105,0),0)</f>
        <v>34267</v>
      </c>
      <c r="J502" s="37" t="n">
        <v>719464</v>
      </c>
      <c r="K502" s="37" t="n">
        <v>230063</v>
      </c>
      <c r="L502" s="38" t="n">
        <f aca="false">IFERROR(ROUND(SQRT(2*I502*J502/K502),0),0)</f>
        <v>463</v>
      </c>
      <c r="M502" s="39" t="n">
        <f aca="false">IFERROR(AVERAGE('Data Bulanan'!F105,'Data Bulanan'!H105,'Data Bulanan'!J105,'Data Bulanan'!L105,'Data Bulanan'!N105,'Data Bulanan'!P105,'Data Bulanan'!R105,'Data Bulanan'!T105,'Data Bulanan'!V105,'Data Bulanan'!X105,'Data Bulanan'!Z105,'Data Bulanan'!AB105),0)</f>
        <v>91.0993023553507</v>
      </c>
      <c r="N502" s="40" t="n">
        <f aca="false">'Data Bulanan'!AD105</f>
        <v>25.1195767491709</v>
      </c>
      <c r="O502" s="41" t="n">
        <f aca="false">IFERROR(N502*SQRT(H502),0)</f>
        <v>75.3587302475127</v>
      </c>
      <c r="P502" s="42" t="n">
        <f aca="false">IFERROR(ROUND(1.65*O502,0),0)</f>
        <v>124</v>
      </c>
      <c r="Q502" s="43" t="n">
        <f aca="false">IFERROR(ROUND(M502*H502+P502,0),0)</f>
        <v>944</v>
      </c>
      <c r="R502" s="44" t="n">
        <f aca="false">G502-Q502</f>
        <v>1794</v>
      </c>
      <c r="S502" s="45" t="str">
        <f aca="false">IF(G502=0,"Stockout ⚠",IF(G502&lt;Q502,"Reorder 🔄",IF(G502&gt;Q502+L502,"Overstock 📦","Aman ✅")))</f>
        <v>Overstock 📦</v>
      </c>
      <c r="T502" s="46" t="n">
        <f aca="false">IFERROR(N502/AVERAGE(M502:M506),0)</f>
        <v>0.298545377781071</v>
      </c>
      <c r="U502" s="47" t="n">
        <v>-629.64</v>
      </c>
      <c r="V502" s="48" t="n">
        <v>0.0783</v>
      </c>
    </row>
    <row r="503" customFormat="false" ht="15" hidden="false" customHeight="true" outlineLevel="0" collapsed="false">
      <c r="A503" s="49" t="n">
        <v>2</v>
      </c>
      <c r="B503" s="35" t="n">
        <v>2022</v>
      </c>
      <c r="C503" s="49" t="s">
        <v>263</v>
      </c>
      <c r="D503" s="49" t="s">
        <v>234</v>
      </c>
      <c r="E503" s="50" t="s">
        <v>235</v>
      </c>
      <c r="F503" s="49" t="s">
        <v>36</v>
      </c>
      <c r="G503" s="37" t="n">
        <v>4278</v>
      </c>
      <c r="H503" s="37" t="n">
        <v>9</v>
      </c>
      <c r="I503" s="37" t="n">
        <f aca="false">IFERROR(ROUND('Data Bulanan'!BC105,0),0)</f>
        <v>34175</v>
      </c>
      <c r="J503" s="37" t="n">
        <v>691974</v>
      </c>
      <c r="K503" s="37" t="n">
        <v>221684</v>
      </c>
      <c r="L503" s="38" t="n">
        <f aca="false">IFERROR(ROUND(SQRT(2*I503*J503/K503),0),0)</f>
        <v>462</v>
      </c>
      <c r="M503" s="39" t="n">
        <f aca="false">IFERROR(AVERAGE('Data Bulanan'!AF105,'Data Bulanan'!AH105,'Data Bulanan'!AJ105,'Data Bulanan'!AL105,'Data Bulanan'!AN105,'Data Bulanan'!AP105,'Data Bulanan'!AR105,'Data Bulanan'!AT105,'Data Bulanan'!AV105,'Data Bulanan'!AX105,'Data Bulanan'!AZ105,'Data Bulanan'!BB105),0)</f>
        <v>90.9617447516641</v>
      </c>
      <c r="N503" s="40" t="n">
        <f aca="false">'Data Bulanan'!BD105</f>
        <v>20.7250138912478</v>
      </c>
      <c r="O503" s="41" t="n">
        <f aca="false">IFERROR(N503*SQRT(H503),0)</f>
        <v>62.1750416737435</v>
      </c>
      <c r="P503" s="42" t="n">
        <f aca="false">IFERROR(ROUND(1.65*O503,0),0)</f>
        <v>103</v>
      </c>
      <c r="Q503" s="43" t="n">
        <f aca="false">IFERROR(ROUND(M503*H503+P503,0),0)</f>
        <v>922</v>
      </c>
      <c r="R503" s="44" t="n">
        <f aca="false">G503-Q503</f>
        <v>3356</v>
      </c>
      <c r="S503" s="45" t="str">
        <f aca="false">IF(G503=0,"Stockout ⚠",IF(G503&lt;Q503,"Reorder 🔄",IF(G503&gt;Q503+L503,"Overstock 📦","Aman ✅")))</f>
        <v>Overstock 📦</v>
      </c>
      <c r="T503" s="46" t="n">
        <f aca="false">IFERROR(N503/AVERAGE(M502:M506),0)</f>
        <v>0.24631613675118</v>
      </c>
      <c r="U503" s="47" t="n">
        <v>-629.64</v>
      </c>
      <c r="V503" s="48" t="n">
        <v>0.0783</v>
      </c>
    </row>
    <row r="504" customFormat="false" ht="15" hidden="false" customHeight="true" outlineLevel="0" collapsed="false">
      <c r="A504" s="49" t="n">
        <v>3</v>
      </c>
      <c r="B504" s="35" t="n">
        <v>2023</v>
      </c>
      <c r="C504" s="49" t="s">
        <v>263</v>
      </c>
      <c r="D504" s="49" t="s">
        <v>234</v>
      </c>
      <c r="E504" s="50" t="s">
        <v>235</v>
      </c>
      <c r="F504" s="49" t="s">
        <v>36</v>
      </c>
      <c r="G504" s="37" t="n">
        <v>4844</v>
      </c>
      <c r="H504" s="37" t="n">
        <v>9</v>
      </c>
      <c r="I504" s="37" t="n">
        <f aca="false">IFERROR(ROUND('Data Bulanan'!CC105,0),0)</f>
        <v>27707</v>
      </c>
      <c r="J504" s="37" t="n">
        <v>716767</v>
      </c>
      <c r="K504" s="37" t="n">
        <v>201599</v>
      </c>
      <c r="L504" s="38" t="n">
        <f aca="false">IFERROR(ROUND(SQRT(2*I504*J504/K504),0),0)</f>
        <v>444</v>
      </c>
      <c r="M504" s="39" t="n">
        <f aca="false">IFERROR(AVERAGE('Data Bulanan'!BF105,'Data Bulanan'!BH105,'Data Bulanan'!BJ105,'Data Bulanan'!BL105,'Data Bulanan'!BN105,'Data Bulanan'!BP105,'Data Bulanan'!BR105,'Data Bulanan'!BT105,'Data Bulanan'!BV105,'Data Bulanan'!BX105,'Data Bulanan'!BZ105,'Data Bulanan'!CB105),0)</f>
        <v>73.7271697388633</v>
      </c>
      <c r="N504" s="40" t="n">
        <f aca="false">'Data Bulanan'!CD105</f>
        <v>18.0683751585641</v>
      </c>
      <c r="O504" s="41" t="n">
        <f aca="false">IFERROR(N504*SQRT(H504),0)</f>
        <v>54.2051254756922</v>
      </c>
      <c r="P504" s="42" t="n">
        <f aca="false">IFERROR(ROUND(1.65*O504,0),0)</f>
        <v>89</v>
      </c>
      <c r="Q504" s="43" t="n">
        <f aca="false">IFERROR(ROUND(M504*H504+P504,0),0)</f>
        <v>753</v>
      </c>
      <c r="R504" s="44" t="n">
        <f aca="false">G504-Q504</f>
        <v>4091</v>
      </c>
      <c r="S504" s="45" t="str">
        <f aca="false">IF(G504=0,"Stockout ⚠",IF(G504&lt;Q504,"Reorder 🔄",IF(G504&gt;Q504+L504,"Overstock 📦","Aman ✅")))</f>
        <v>Overstock 📦</v>
      </c>
      <c r="T504" s="46" t="n">
        <f aca="false">IFERROR(N504/AVERAGE(M502:M506),0)</f>
        <v>0.214742069162518</v>
      </c>
      <c r="U504" s="47" t="n">
        <v>-629.64</v>
      </c>
      <c r="V504" s="48" t="n">
        <v>0.0783</v>
      </c>
    </row>
    <row r="505" customFormat="false" ht="15" hidden="false" customHeight="true" outlineLevel="0" collapsed="false">
      <c r="A505" s="49" t="n">
        <v>4</v>
      </c>
      <c r="B505" s="35" t="n">
        <v>2024</v>
      </c>
      <c r="C505" s="49" t="s">
        <v>263</v>
      </c>
      <c r="D505" s="49" t="s">
        <v>234</v>
      </c>
      <c r="E505" s="50" t="s">
        <v>235</v>
      </c>
      <c r="F505" s="49" t="s">
        <v>36</v>
      </c>
      <c r="G505" s="37" t="n">
        <v>1745</v>
      </c>
      <c r="H505" s="37" t="n">
        <v>9</v>
      </c>
      <c r="I505" s="37" t="n">
        <f aca="false">IFERROR(ROUND('Data Bulanan'!DC105,0),0)</f>
        <v>27803</v>
      </c>
      <c r="J505" s="37" t="n">
        <v>779874</v>
      </c>
      <c r="K505" s="37" t="n">
        <v>197149</v>
      </c>
      <c r="L505" s="38" t="n">
        <f aca="false">IFERROR(ROUND(SQRT(2*I505*J505/K505),0),0)</f>
        <v>469</v>
      </c>
      <c r="M505" s="39" t="n">
        <f aca="false">IFERROR(AVERAGE('Data Bulanan'!CF105,'Data Bulanan'!CH105,'Data Bulanan'!CJ105,'Data Bulanan'!CL105,'Data Bulanan'!CN105,'Data Bulanan'!CP105,'Data Bulanan'!CR105,'Data Bulanan'!CT105,'Data Bulanan'!CV105,'Data Bulanan'!CX105,'Data Bulanan'!CZ105,'Data Bulanan'!DB105),0)</f>
        <v>73.7745647721454</v>
      </c>
      <c r="N505" s="40" t="n">
        <f aca="false">'Data Bulanan'!DD105</f>
        <v>16.0548635968109</v>
      </c>
      <c r="O505" s="41" t="n">
        <f aca="false">IFERROR(N505*SQRT(H505),0)</f>
        <v>48.1645907904327</v>
      </c>
      <c r="P505" s="42" t="n">
        <f aca="false">IFERROR(ROUND(1.65*O505,0),0)</f>
        <v>79</v>
      </c>
      <c r="Q505" s="43" t="n">
        <f aca="false">IFERROR(ROUND(M505*H505+P505,0),0)</f>
        <v>743</v>
      </c>
      <c r="R505" s="44" t="n">
        <f aca="false">G505-Q505</f>
        <v>1002</v>
      </c>
      <c r="S505" s="45" t="str">
        <f aca="false">IF(G505=0,"Stockout ⚠",IF(G505&lt;Q505,"Reorder 🔄",IF(G505&gt;Q505+L505,"Overstock 📦","Aman ✅")))</f>
        <v>Overstock 📦</v>
      </c>
      <c r="T505" s="46" t="n">
        <f aca="false">IFERROR(N505/AVERAGE(M502:M506),0)</f>
        <v>0.190811547726085</v>
      </c>
      <c r="U505" s="47" t="n">
        <v>-629.64</v>
      </c>
      <c r="V505" s="48" t="n">
        <v>0.0783</v>
      </c>
    </row>
    <row r="506" customFormat="false" ht="15" hidden="false" customHeight="true" outlineLevel="0" collapsed="false">
      <c r="A506" s="49" t="n">
        <v>5</v>
      </c>
      <c r="B506" s="35" t="n">
        <v>2025</v>
      </c>
      <c r="C506" s="49" t="s">
        <v>263</v>
      </c>
      <c r="D506" s="49" t="s">
        <v>234</v>
      </c>
      <c r="E506" s="50" t="s">
        <v>235</v>
      </c>
      <c r="F506" s="49" t="s">
        <v>36</v>
      </c>
      <c r="G506" s="37" t="n">
        <v>4725</v>
      </c>
      <c r="H506" s="37" t="n">
        <v>9</v>
      </c>
      <c r="I506" s="37" t="n">
        <f aca="false">IFERROR(ROUND('Data Bulanan'!EC105,0),0)</f>
        <v>34305</v>
      </c>
      <c r="J506" s="37" t="n">
        <v>748453</v>
      </c>
      <c r="K506" s="37" t="n">
        <v>219910</v>
      </c>
      <c r="L506" s="38" t="n">
        <f aca="false">IFERROR(ROUND(SQRT(2*I506*J506/K506),0),0)</f>
        <v>483</v>
      </c>
      <c r="M506" s="39" t="n">
        <f aca="false">IFERROR(AVERAGE('Data Bulanan'!DF105,'Data Bulanan'!DH105,'Data Bulanan'!DJ105,'Data Bulanan'!DL105,'Data Bulanan'!DN105,'Data Bulanan'!DP105,'Data Bulanan'!DR105,'Data Bulanan'!DT105,'Data Bulanan'!DV105,'Data Bulanan'!DX105,'Data Bulanan'!DZ105,'Data Bulanan'!EB105),0)</f>
        <v>91.1366935483871</v>
      </c>
      <c r="N506" s="40" t="n">
        <f aca="false">'Data Bulanan'!ED105</f>
        <v>23.0491421121965</v>
      </c>
      <c r="O506" s="41" t="n">
        <f aca="false">IFERROR(N506*SQRT(H506),0)</f>
        <v>69.1474263365896</v>
      </c>
      <c r="P506" s="42" t="n">
        <f aca="false">IFERROR(ROUND(1.65*O506,0),0)</f>
        <v>114</v>
      </c>
      <c r="Q506" s="43" t="n">
        <f aca="false">IFERROR(ROUND(M506*H506+P506,0),0)</f>
        <v>934</v>
      </c>
      <c r="R506" s="44" t="n">
        <f aca="false">G506-Q506</f>
        <v>3791</v>
      </c>
      <c r="S506" s="45" t="str">
        <f aca="false">IF(G506=0,"Stockout ⚠",IF(G506&lt;Q506,"Reorder 🔄",IF(G506&gt;Q506+L506,"Overstock 📦","Aman ✅")))</f>
        <v>Overstock 📦</v>
      </c>
      <c r="T506" s="46" t="n">
        <f aca="false">IFERROR(N506/AVERAGE(M502:M506),0)</f>
        <v>0.273938327390108</v>
      </c>
      <c r="U506" s="47" t="n">
        <v>-629.64</v>
      </c>
      <c r="V506" s="48" t="n">
        <v>0.0783</v>
      </c>
    </row>
    <row r="508" customFormat="false" ht="15.75" hidden="false" customHeight="true" outlineLevel="0" collapsed="false">
      <c r="A508" s="51" t="s">
        <v>265</v>
      </c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</row>
    <row r="509" customFormat="false" ht="12.75" hidden="false" customHeight="true" outlineLevel="0" collapsed="false">
      <c r="A509" s="52" t="s">
        <v>266</v>
      </c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</row>
    <row r="510" customFormat="false" ht="12.75" hidden="false" customHeight="true" outlineLevel="0" collapsed="false">
      <c r="A510" s="53" t="s">
        <v>267</v>
      </c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 customFormat="false" ht="12.75" hidden="false" customHeight="true" outlineLevel="0" collapsed="false">
      <c r="A511" s="54" t="s">
        <v>268</v>
      </c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</row>
    <row r="512" customFormat="false" ht="12.75" hidden="false" customHeight="true" outlineLevel="0" collapsed="false">
      <c r="A512" s="55" t="s">
        <v>269</v>
      </c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</row>
    <row r="513" customFormat="false" ht="12.75" hidden="false" customHeight="true" outlineLevel="0" collapsed="false">
      <c r="A513" s="56" t="s">
        <v>270</v>
      </c>
      <c r="B513" s="56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</row>
    <row r="514" customFormat="false" ht="12.75" hidden="false" customHeight="true" outlineLevel="0" collapsed="false">
      <c r="A514" s="56" t="s">
        <v>271</v>
      </c>
      <c r="B514" s="56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</row>
    <row r="515" customFormat="false" ht="12.75" hidden="false" customHeight="true" outlineLevel="0" collapsed="false">
      <c r="A515" s="57" t="s">
        <v>272</v>
      </c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</row>
  </sheetData>
  <mergeCells count="17">
    <mergeCell ref="A1:V1"/>
    <mergeCell ref="A2:V2"/>
    <mergeCell ref="A3:V3"/>
    <mergeCell ref="A4:V4"/>
    <mergeCell ref="A5:H5"/>
    <mergeCell ref="I5:L5"/>
    <mergeCell ref="M5:P5"/>
    <mergeCell ref="Q5:S5"/>
    <mergeCell ref="T5:V5"/>
    <mergeCell ref="A508:V508"/>
    <mergeCell ref="A509:V509"/>
    <mergeCell ref="A510:V510"/>
    <mergeCell ref="A511:V511"/>
    <mergeCell ref="A512:V512"/>
    <mergeCell ref="A513:V513"/>
    <mergeCell ref="A514:V514"/>
    <mergeCell ref="A515:V5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13"/>
  <sheetViews>
    <sheetView showFormulas="false" showGridLines="fals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7" topLeftCell="A8" activePane="bottomLeft" state="frozen"/>
      <selection pane="topLeft" activeCell="J1" activeCellId="0" sqref="J1"/>
      <selection pane="bottomLeft" activeCell="L9" activeCellId="0" sqref="L9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7"/>
    <col collapsed="false" customWidth="true" hidden="false" outlineLevel="0" max="6" min="6" style="1" width="13"/>
    <col collapsed="false" customWidth="true" hidden="false" outlineLevel="0" max="8" min="7" style="1" width="16"/>
    <col collapsed="false" customWidth="true" hidden="false" outlineLevel="0" max="9" min="9" style="1" width="18"/>
    <col collapsed="false" customWidth="true" hidden="false" outlineLevel="0" max="10" min="10" style="1" width="15"/>
    <col collapsed="false" customWidth="true" hidden="false" outlineLevel="0" max="11" min="11" style="1" width="24"/>
    <col collapsed="false" customWidth="true" hidden="false" outlineLevel="0" max="12" min="12" style="1" width="15"/>
    <col collapsed="false" customWidth="true" hidden="false" outlineLevel="0" max="13" min="13" style="1" width="24"/>
    <col collapsed="false" customWidth="true" hidden="false" outlineLevel="0" max="14" min="14" style="1" width="16"/>
    <col collapsed="false" customWidth="true" hidden="false" outlineLevel="0" max="15" min="15" style="1" width="14"/>
    <col collapsed="false" customWidth="true" hidden="false" outlineLevel="0" max="16" min="16" style="1" width="16"/>
    <col collapsed="false" customWidth="true" hidden="false" outlineLevel="0" max="17" min="17" style="1" width="18"/>
    <col collapsed="false" customWidth="true" hidden="false" outlineLevel="0" max="18" min="18" style="1" width="16"/>
    <col collapsed="false" customWidth="true" hidden="false" outlineLevel="0" max="19" min="19" style="1" width="14"/>
    <col collapsed="false" customWidth="true" hidden="false" outlineLevel="0" max="21" min="20" style="1" width="16"/>
    <col collapsed="false" customWidth="true" hidden="false" outlineLevel="0" max="22" min="22" style="1" width="18"/>
    <col collapsed="false" customWidth="true" hidden="false" outlineLevel="0" max="23" min="23" style="1" width="16"/>
    <col collapsed="false" customWidth="true" hidden="false" outlineLevel="0" max="24" min="24" style="1" width="18"/>
    <col collapsed="false" customWidth="true" hidden="false" outlineLevel="0" max="25" min="25" style="1" width="13"/>
    <col collapsed="false" customWidth="true" hidden="false" outlineLevel="0" max="26" min="26" style="1" width="22"/>
  </cols>
  <sheetData>
    <row r="1" customFormat="false" ht="24" hidden="false" customHeight="true" outlineLevel="0" collapsed="false">
      <c r="A1" s="58" t="s">
        <v>273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customFormat="false" ht="13.5" hidden="false" customHeight="true" outlineLevel="0" collapsed="false">
      <c r="A2" s="59" t="s">
        <v>274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 customFormat="false" ht="13.5" hidden="false" customHeight="true" outlineLevel="0" collapsed="false">
      <c r="A3" s="60" t="s">
        <v>275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customFormat="false" ht="4.5" hidden="false" customHeight="true" outlineLevel="0" collapsed="false"/>
    <row r="5" customFormat="false" ht="27.75" hidden="false" customHeight="true" outlineLevel="0" collapsed="false">
      <c r="A5" s="27" t="s">
        <v>276</v>
      </c>
      <c r="B5" s="27"/>
      <c r="C5" s="27"/>
      <c r="D5" s="27"/>
      <c r="E5" s="27"/>
      <c r="F5" s="61" t="s">
        <v>277</v>
      </c>
      <c r="G5" s="61"/>
      <c r="H5" s="61"/>
      <c r="I5" s="61"/>
      <c r="J5" s="62" t="s">
        <v>278</v>
      </c>
      <c r="K5" s="62"/>
      <c r="L5" s="62"/>
      <c r="M5" s="62"/>
      <c r="N5" s="62"/>
      <c r="O5" s="63" t="s">
        <v>279</v>
      </c>
      <c r="P5" s="63"/>
      <c r="Q5" s="63"/>
      <c r="R5" s="63"/>
      <c r="S5" s="63"/>
      <c r="T5" s="63"/>
      <c r="U5" s="63"/>
      <c r="V5" s="64" t="s">
        <v>280</v>
      </c>
      <c r="W5" s="64"/>
      <c r="X5" s="64"/>
      <c r="Y5" s="64"/>
      <c r="Z5" s="64"/>
    </row>
    <row r="6" customFormat="false" ht="6" hidden="false" customHeight="true" outlineLevel="0" collapsed="false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customFormat="false" ht="45.75" hidden="false" customHeight="true" outlineLevel="0" collapsed="false">
      <c r="A7" s="32" t="s">
        <v>2</v>
      </c>
      <c r="B7" s="32" t="s">
        <v>3</v>
      </c>
      <c r="C7" s="32" t="s">
        <v>4</v>
      </c>
      <c r="D7" s="32" t="s">
        <v>246</v>
      </c>
      <c r="E7" s="32" t="s">
        <v>5</v>
      </c>
      <c r="F7" s="66" t="s">
        <v>281</v>
      </c>
      <c r="G7" s="66" t="s">
        <v>282</v>
      </c>
      <c r="H7" s="66" t="s">
        <v>283</v>
      </c>
      <c r="I7" s="66" t="s">
        <v>284</v>
      </c>
      <c r="J7" s="67" t="s">
        <v>285</v>
      </c>
      <c r="K7" s="67" t="s">
        <v>286</v>
      </c>
      <c r="L7" s="68" t="s">
        <v>287</v>
      </c>
      <c r="M7" s="68" t="s">
        <v>288</v>
      </c>
      <c r="N7" s="68" t="s">
        <v>289</v>
      </c>
      <c r="O7" s="69" t="s">
        <v>290</v>
      </c>
      <c r="P7" s="69" t="s">
        <v>291</v>
      </c>
      <c r="Q7" s="69" t="s">
        <v>292</v>
      </c>
      <c r="R7" s="69" t="s">
        <v>293</v>
      </c>
      <c r="S7" s="70" t="s">
        <v>294</v>
      </c>
      <c r="T7" s="70" t="s">
        <v>295</v>
      </c>
      <c r="U7" s="70" t="s">
        <v>296</v>
      </c>
      <c r="V7" s="71" t="s">
        <v>297</v>
      </c>
      <c r="W7" s="71" t="s">
        <v>298</v>
      </c>
      <c r="X7" s="71" t="s">
        <v>299</v>
      </c>
      <c r="Y7" s="71" t="s">
        <v>300</v>
      </c>
      <c r="Z7" s="71" t="s">
        <v>301</v>
      </c>
      <c r="AA7" s="72" t="s">
        <v>302</v>
      </c>
      <c r="AB7" s="72" t="s">
        <v>303</v>
      </c>
      <c r="AC7" s="72" t="s">
        <v>304</v>
      </c>
      <c r="AD7" s="72" t="s">
        <v>304</v>
      </c>
    </row>
    <row r="8" customFormat="false" ht="15.75" hidden="false" customHeight="true" outlineLevel="0" collapsed="false">
      <c r="A8" s="73" t="n">
        <v>1</v>
      </c>
      <c r="B8" s="73" t="s">
        <v>34</v>
      </c>
      <c r="C8" s="74" t="s">
        <v>35</v>
      </c>
      <c r="D8" s="73" t="s">
        <v>263</v>
      </c>
      <c r="E8" s="73" t="s">
        <v>36</v>
      </c>
      <c r="F8" s="75" t="n">
        <f aca="false">IFERROR(ROUND(AVERAGE('Data Historis 5 Tahun'!I7:I11),0),0)</f>
        <v>37171</v>
      </c>
      <c r="G8" s="75" t="n">
        <f aca="false">IFERROR(ROUND(AVERAGE('Data Historis 5 Tahun'!J7:J11)*1.1959,0),0)</f>
        <v>2587273</v>
      </c>
      <c r="H8" s="75" t="n">
        <f aca="false">IFERROR(ROUND(AVERAGE('Data Historis 5 Tahun'!K7:K11)*1.0533,0),0)</f>
        <v>88716</v>
      </c>
      <c r="I8" s="75" t="n">
        <f aca="false">IFERROR(ROUND(1.65*AVERAGE('Data Historis 5 Tahun'!N7:N11)*SQRT(AVERAGE('Data Historis 5 Tahun'!H7:H11)),0),0)</f>
        <v>94</v>
      </c>
      <c r="J8" s="76" t="n">
        <f aca="false">IFERROR(MAX(1,ROUND(F8/12,0)),1)</f>
        <v>3098</v>
      </c>
      <c r="K8" s="77" t="n">
        <f aca="false">IFERROR(ROUND((F8/J8)*G8+(J8/2)*H8+I8*H8,0),0)</f>
        <v>176803488</v>
      </c>
      <c r="L8" s="78" t="n">
        <f aca="false">IFERROR(ROUND(AVERAGE('Data Historis 5 Tahun'!J7:J11),0),0)</f>
        <v>2163453</v>
      </c>
      <c r="M8" s="79" t="n">
        <f aca="false">IFERROR(ROUND(AVERAGE('Data Historis 5 Tahun'!K7:K11),0),0)</f>
        <v>84227</v>
      </c>
      <c r="N8" s="79" t="n">
        <f aca="false">IFERROR(ROUND(1.65*AVERAGE('Data Historis 5 Tahun'!N7:N11)*SQRT(AVERAGE('Data Historis 5 Tahun'!H7:H11)),0),0)</f>
        <v>94</v>
      </c>
      <c r="O8" s="80" t="n">
        <f aca="false">IFERROR(ROUND(SQRT(2*F8*L8/M8),0),0)</f>
        <v>1382</v>
      </c>
      <c r="P8" s="80" t="n">
        <f aca="false">IFERROR(ROUND((F8/O8)*L8+(O8/2)*M8+N8*M8,0),0)</f>
        <v>124307567</v>
      </c>
      <c r="Q8" s="80" t="n">
        <f aca="false">K8-P8</f>
        <v>52495921</v>
      </c>
      <c r="R8" s="81" t="n">
        <f aca="false">IFERROR(MAX(1,ROUND(O8*0.5,0)),1)</f>
        <v>691</v>
      </c>
      <c r="S8" s="82" t="n">
        <f aca="false">IFERROR(ROUND((F8/R8)*L8,0),0)</f>
        <v>116378743</v>
      </c>
      <c r="T8" s="82" t="n">
        <f aca="false">IFERROR(ROUND((R8/2)*M8+N8*M8,0),0)</f>
        <v>37017767</v>
      </c>
      <c r="U8" s="83" t="n">
        <f aca="false">S8+T8</f>
        <v>153396510</v>
      </c>
      <c r="V8" s="84" t="n">
        <f aca="false">IFERROR(ROUND(O8*1.5,0),1)</f>
        <v>2073</v>
      </c>
      <c r="W8" s="85" t="n">
        <f aca="false">IFERROR(ROUND((F8/V8)*L8,0),0)</f>
        <v>38792914</v>
      </c>
      <c r="X8" s="84" t="n">
        <f aca="false">IFERROR(ROUND((F8/V8)*L8+(V8/2)*M8+N8*M8,0),0)</f>
        <v>134011538</v>
      </c>
      <c r="Y8" s="86" t="n">
        <f aca="false">MIN(K8,P8,U8,X8)</f>
        <v>124307567</v>
      </c>
      <c r="Z8" s="87" t="str">
        <f aca="false">IF(Y8=P8,"✅ EOQ (optimal)",IF(Y8=K8,"Q Obs Lama",IF(Y8=U8,"Q Kecil","Q Besar")))</f>
        <v>✅ EOQ (optimal)</v>
      </c>
      <c r="AA8" s="72" t="n">
        <f aca="false">MAX(0,K8-P8)</f>
        <v>52495921</v>
      </c>
      <c r="AB8" s="72" t="n">
        <f aca="false">IFERROR(AA8/K8,0)</f>
        <v>0.296916772365939</v>
      </c>
      <c r="AC8" s="0" t="str">
        <f aca="false">IF(Q8&gt;0,"Gunakan EOQ — hemat Rp "&amp;TEXT(Q8,"#,##0")&amp;"/thn","Tinjau ulang parameter")</f>
        <v>Gunakan EOQ — hemat Rp 52,495,921/thn</v>
      </c>
      <c r="AD8" s="0" t="str">
        <f aca="false">IF(N8&gt;0,"Gunakan EOQ — hemat Rp "&amp;TEXT(N8,"#,##0")&amp;"/thn","Tinjau ulang parameter S &amp; H")</f>
        <v>Gunakan EOQ — hemat Rp 94/thn</v>
      </c>
    </row>
    <row r="9" customFormat="false" ht="15.75" hidden="false" customHeight="true" outlineLevel="0" collapsed="false">
      <c r="A9" s="88" t="n">
        <v>2</v>
      </c>
      <c r="B9" s="88" t="s">
        <v>37</v>
      </c>
      <c r="C9" s="89" t="s">
        <v>38</v>
      </c>
      <c r="D9" s="88" t="s">
        <v>263</v>
      </c>
      <c r="E9" s="88" t="s">
        <v>36</v>
      </c>
      <c r="F9" s="75" t="n">
        <f aca="false">IFERROR(ROUND(AVERAGE('Data Historis 5 Tahun'!I12:I16),0),0)</f>
        <v>40357</v>
      </c>
      <c r="G9" s="75" t="n">
        <f aca="false">IFERROR(ROUND(AVERAGE('Data Historis 5 Tahun'!J12:J16)*1.1413,0),0)</f>
        <v>12113434</v>
      </c>
      <c r="H9" s="75" t="n">
        <f aca="false">IFERROR(ROUND(AVERAGE('Data Historis 5 Tahun'!K12:K16)*1.079,0),0)</f>
        <v>122276</v>
      </c>
      <c r="I9" s="75" t="n">
        <f aca="false">IFERROR(ROUND(1.65*AVERAGE('Data Historis 5 Tahun'!N12:N16)*SQRT(AVERAGE('Data Historis 5 Tahun'!H12:H16)),0),0)</f>
        <v>265</v>
      </c>
      <c r="J9" s="76" t="n">
        <f aca="false">IFERROR(MAX(1,ROUND(F9/12,0)),1)</f>
        <v>3363</v>
      </c>
      <c r="K9" s="77" t="n">
        <f aca="false">IFERROR(ROUND((F9/J9)*G9+(J9/2)*H9+I9*H9,0),0)</f>
        <v>383375044</v>
      </c>
      <c r="L9" s="78" t="n">
        <f aca="false">IFERROR(ROUND(AVERAGE('Data Historis 5 Tahun'!J12:J16),0),0)</f>
        <v>10613716</v>
      </c>
      <c r="M9" s="79" t="n">
        <f aca="false">IFERROR(ROUND(AVERAGE('Data Historis 5 Tahun'!K12:K16),0),0)</f>
        <v>113324</v>
      </c>
      <c r="N9" s="79" t="n">
        <f aca="false">IFERROR(ROUND(1.65*AVERAGE('Data Historis 5 Tahun'!N12:N16)*SQRT(AVERAGE('Data Historis 5 Tahun'!H12:H16)),0),0)</f>
        <v>265</v>
      </c>
      <c r="O9" s="80" t="n">
        <f aca="false">IFERROR(ROUND(SQRT(2*F9*L9/M9),0),0)</f>
        <v>2749</v>
      </c>
      <c r="P9" s="80" t="n">
        <f aca="false">IFERROR(ROUND((F9/O9)*L9+(O9/2)*M9+N9*M9,0),0)</f>
        <v>341610535</v>
      </c>
      <c r="Q9" s="80" t="n">
        <f aca="false">K9-P9</f>
        <v>41764509</v>
      </c>
      <c r="R9" s="81" t="n">
        <f aca="false">IFERROR(MAX(1,ROUND(O9*0.5,0)),1)</f>
        <v>1375</v>
      </c>
      <c r="S9" s="82" t="n">
        <f aca="false">IFERROR(ROUND((F9/R9)*L9,0),0)</f>
        <v>311518354</v>
      </c>
      <c r="T9" s="82" t="n">
        <f aca="false">IFERROR(ROUND((R9/2)*M9+N9*M9,0),0)</f>
        <v>107941110</v>
      </c>
      <c r="U9" s="83" t="n">
        <f aca="false">S9+T9</f>
        <v>419459464</v>
      </c>
      <c r="V9" s="84" t="n">
        <f aca="false">IFERROR(ROUND(O9*1.5,0),1)</f>
        <v>4124</v>
      </c>
      <c r="W9" s="85" t="n">
        <f aca="false">IFERROR(ROUND((F9/V9)*L9,0),0)</f>
        <v>103864631</v>
      </c>
      <c r="X9" s="84" t="n">
        <f aca="false">IFERROR(ROUND((F9/V9)*L9+(V9/2)*M9+N9*M9,0),0)</f>
        <v>367569579</v>
      </c>
      <c r="Y9" s="86" t="n">
        <f aca="false">MIN(K9,P9,U9,X9)</f>
        <v>341610535</v>
      </c>
      <c r="Z9" s="87" t="str">
        <f aca="false">IF(Y9=P9,"✅ EOQ (optimal)",IF(Y9=K9,"Q Obs Lama",IF(Y9=U9,"Q Kecil","Q Besar")))</f>
        <v>✅ EOQ (optimal)</v>
      </c>
      <c r="AA9" s="72" t="n">
        <f aca="false">MAX(0,K9-P9)</f>
        <v>41764509</v>
      </c>
      <c r="AB9" s="72" t="n">
        <f aca="false">IFERROR(AA9/K9,0)</f>
        <v>0.108939039339243</v>
      </c>
      <c r="AC9" s="0" t="str">
        <f aca="false">IF(Q9&gt;0,"Gunakan EOQ — hemat Rp "&amp;TEXT(Q9,"#,##0")&amp;"/thn","Tinjau ulang parameter")</f>
        <v>Gunakan EOQ — hemat Rp 41,764,509/thn</v>
      </c>
      <c r="AD9" s="0" t="str">
        <f aca="false">IF(N9&gt;0,"Gunakan EOQ — hemat Rp "&amp;TEXT(N9,"#,##0")&amp;"/thn","Tinjau ulang parameter S &amp; H")</f>
        <v>Gunakan EOQ — hemat Rp 265/thn</v>
      </c>
    </row>
    <row r="10" customFormat="false" ht="15.75" hidden="false" customHeight="true" outlineLevel="0" collapsed="false">
      <c r="A10" s="73" t="n">
        <v>3</v>
      </c>
      <c r="B10" s="73" t="s">
        <v>39</v>
      </c>
      <c r="C10" s="74" t="s">
        <v>40</v>
      </c>
      <c r="D10" s="73" t="s">
        <v>263</v>
      </c>
      <c r="E10" s="73" t="s">
        <v>36</v>
      </c>
      <c r="F10" s="75" t="n">
        <f aca="false">IFERROR(ROUND(AVERAGE('Data Historis 5 Tahun'!I17:I21),0),0)</f>
        <v>30640</v>
      </c>
      <c r="G10" s="75" t="n">
        <f aca="false">IFERROR(ROUND(AVERAGE('Data Historis 5 Tahun'!J17:J21)*1.2105,0),0)</f>
        <v>886363</v>
      </c>
      <c r="H10" s="75" t="n">
        <f aca="false">IFERROR(ROUND(AVERAGE('Data Historis 5 Tahun'!K17:K21)*1.138,0),0)</f>
        <v>478808</v>
      </c>
      <c r="I10" s="75" t="n">
        <f aca="false">IFERROR(ROUND(1.65*AVERAGE('Data Historis 5 Tahun'!N17:N21)*SQRT(AVERAGE('Data Historis 5 Tahun'!H17:H21)),0),0)</f>
        <v>100</v>
      </c>
      <c r="J10" s="76" t="n">
        <f aca="false">IFERROR(MAX(1,ROUND(F10/12,0)),1)</f>
        <v>2553</v>
      </c>
      <c r="K10" s="77" t="n">
        <f aca="false">IFERROR(ROUND((F10/J10)*G10+(J10/2)*H10+I10*H10,0),0)</f>
        <v>669716957</v>
      </c>
      <c r="L10" s="78" t="n">
        <f aca="false">IFERROR(ROUND(AVERAGE('Data Historis 5 Tahun'!J17:J21),0),0)</f>
        <v>732229</v>
      </c>
      <c r="M10" s="79" t="n">
        <f aca="false">IFERROR(ROUND(AVERAGE('Data Historis 5 Tahun'!K17:K21),0),0)</f>
        <v>420745</v>
      </c>
      <c r="N10" s="79" t="n">
        <f aca="false">IFERROR(ROUND(1.65*AVERAGE('Data Historis 5 Tahun'!N17:N21)*SQRT(AVERAGE('Data Historis 5 Tahun'!H17:H21)),0),0)</f>
        <v>100</v>
      </c>
      <c r="O10" s="80" t="n">
        <f aca="false">IFERROR(ROUND(SQRT(2*F10*L10/M10),0),0)</f>
        <v>327</v>
      </c>
      <c r="P10" s="80" t="n">
        <f aca="false">IFERROR(ROUND((F10/O10)*L10+(O10/2)*M10+N10*M10,0),0)</f>
        <v>179476389</v>
      </c>
      <c r="Q10" s="80" t="n">
        <f aca="false">K10-P10</f>
        <v>490240568</v>
      </c>
      <c r="R10" s="81" t="n">
        <f aca="false">IFERROR(MAX(1,ROUND(O10*0.5,0)),1)</f>
        <v>164</v>
      </c>
      <c r="S10" s="82" t="n">
        <f aca="false">IFERROR(ROUND((F10/R10)*L10,0),0)</f>
        <v>136801808</v>
      </c>
      <c r="T10" s="82" t="n">
        <f aca="false">IFERROR(ROUND((R10/2)*M10+N10*M10,0),0)</f>
        <v>76575590</v>
      </c>
      <c r="U10" s="83" t="n">
        <f aca="false">S10+T10</f>
        <v>213377398</v>
      </c>
      <c r="V10" s="84" t="n">
        <f aca="false">IFERROR(ROUND(O10*1.5,0),1)</f>
        <v>491</v>
      </c>
      <c r="W10" s="85" t="n">
        <f aca="false">IFERROR(ROUND((F10/V10)*L10,0),0)</f>
        <v>45693476</v>
      </c>
      <c r="X10" s="84" t="n">
        <f aca="false">IFERROR(ROUND((F10/V10)*L10+(V10/2)*M10+N10*M10,0),0)</f>
        <v>191060873</v>
      </c>
      <c r="Y10" s="86" t="n">
        <f aca="false">MIN(K10,P10,U10,X10)</f>
        <v>179476389</v>
      </c>
      <c r="Z10" s="87" t="str">
        <f aca="false">IF(Y10=P10,"✅ EOQ (optimal)",IF(Y10=K10,"Q Obs Lama",IF(Y10=U10,"Q Kecil","Q Besar")))</f>
        <v>✅ EOQ (optimal)</v>
      </c>
      <c r="AA10" s="72" t="n">
        <f aca="false">MAX(0,K10-P10)</f>
        <v>490240568</v>
      </c>
      <c r="AB10" s="72" t="n">
        <f aca="false">IFERROR(AA10/K10,0)</f>
        <v>0.732011580229407</v>
      </c>
      <c r="AC10" s="0" t="str">
        <f aca="false">IF(Q10&gt;0,"Gunakan EOQ — hemat Rp "&amp;TEXT(Q10,"#,##0")&amp;"/thn","Tinjau ulang parameter")</f>
        <v>Gunakan EOQ — hemat Rp 490,240,568/thn</v>
      </c>
      <c r="AD10" s="0" t="str">
        <f aca="false">IF(N10&gt;0,"Gunakan EOQ — hemat Rp "&amp;TEXT(N10,"#,##0")&amp;"/thn","Tinjau ulang parameter S &amp; H")</f>
        <v>Gunakan EOQ — hemat Rp 100/thn</v>
      </c>
    </row>
    <row r="11" customFormat="false" ht="15.75" hidden="false" customHeight="true" outlineLevel="0" collapsed="false">
      <c r="A11" s="88" t="n">
        <v>4</v>
      </c>
      <c r="B11" s="88" t="s">
        <v>41</v>
      </c>
      <c r="C11" s="89" t="s">
        <v>42</v>
      </c>
      <c r="D11" s="88" t="s">
        <v>263</v>
      </c>
      <c r="E11" s="88" t="s">
        <v>36</v>
      </c>
      <c r="F11" s="75" t="n">
        <f aca="false">IFERROR(ROUND(AVERAGE('Data Historis 5 Tahun'!I22:I26),0),0)</f>
        <v>37132</v>
      </c>
      <c r="G11" s="75" t="n">
        <f aca="false">IFERROR(ROUND(AVERAGE('Data Historis 5 Tahun'!J22:J26)*1.2338,0),0)</f>
        <v>2800294</v>
      </c>
      <c r="H11" s="75" t="n">
        <f aca="false">IFERROR(ROUND(AVERAGE('Data Historis 5 Tahun'!K22:K26)*1.0613,0),0)</f>
        <v>171664</v>
      </c>
      <c r="I11" s="75" t="n">
        <f aca="false">IFERROR(ROUND(1.65*AVERAGE('Data Historis 5 Tahun'!N22:N26)*SQRT(AVERAGE('Data Historis 5 Tahun'!H22:H26)),0),0)</f>
        <v>106</v>
      </c>
      <c r="J11" s="76" t="n">
        <f aca="false">IFERROR(MAX(1,ROUND(F11/12,0)),1)</f>
        <v>3094</v>
      </c>
      <c r="K11" s="77" t="n">
        <f aca="false">IFERROR(ROUND((F11/J11)*G11+(J11/2)*H11+I11*H11,0),0)</f>
        <v>317367740</v>
      </c>
      <c r="L11" s="78" t="n">
        <f aca="false">IFERROR(ROUND(AVERAGE('Data Historis 5 Tahun'!J22:J26),0),0)</f>
        <v>2269650</v>
      </c>
      <c r="M11" s="79" t="n">
        <f aca="false">IFERROR(ROUND(AVERAGE('Data Historis 5 Tahun'!K22:K26),0),0)</f>
        <v>161749</v>
      </c>
      <c r="N11" s="79" t="n">
        <f aca="false">IFERROR(ROUND(1.65*AVERAGE('Data Historis 5 Tahun'!N22:N26)*SQRT(AVERAGE('Data Historis 5 Tahun'!H22:H26)),0),0)</f>
        <v>106</v>
      </c>
      <c r="O11" s="80" t="n">
        <f aca="false">IFERROR(ROUND(SQRT(2*F11*L11/M11),0),0)</f>
        <v>1021</v>
      </c>
      <c r="P11" s="80" t="n">
        <f aca="false">IFERROR(ROUND((F11/O11)*L11+(O11/2)*M11+N11*M11,0),0)</f>
        <v>182261494</v>
      </c>
      <c r="Q11" s="80" t="n">
        <f aca="false">K11-P11</f>
        <v>135106246</v>
      </c>
      <c r="R11" s="81" t="n">
        <f aca="false">IFERROR(MAX(1,ROUND(O11*0.5,0)),1)</f>
        <v>511</v>
      </c>
      <c r="S11" s="82" t="n">
        <f aca="false">IFERROR(ROUND((F11/R11)*L11,0),0)</f>
        <v>164924939</v>
      </c>
      <c r="T11" s="82" t="n">
        <f aca="false">IFERROR(ROUND((R11/2)*M11+N11*M11,0),0)</f>
        <v>58472264</v>
      </c>
      <c r="U11" s="83" t="n">
        <f aca="false">S11+T11</f>
        <v>223397203</v>
      </c>
      <c r="V11" s="84" t="n">
        <f aca="false">IFERROR(ROUND(O11*1.5,0),1)</f>
        <v>1532</v>
      </c>
      <c r="W11" s="85" t="n">
        <f aca="false">IFERROR(ROUND((F11/V11)*L11,0),0)</f>
        <v>55010864</v>
      </c>
      <c r="X11" s="84" t="n">
        <f aca="false">IFERROR(ROUND((F11/V11)*L11+(V11/2)*M11+N11*M11,0),0)</f>
        <v>196055992</v>
      </c>
      <c r="Y11" s="86" t="n">
        <f aca="false">MIN(K11,P11,U11,X11)</f>
        <v>182261494</v>
      </c>
      <c r="Z11" s="87" t="str">
        <f aca="false">IF(Y11=P11,"✅ EOQ (optimal)",IF(Y11=K11,"Q Obs Lama",IF(Y11=U11,"Q Kecil","Q Besar")))</f>
        <v>✅ EOQ (optimal)</v>
      </c>
      <c r="AA11" s="72" t="n">
        <f aca="false">MAX(0,K11-P11)</f>
        <v>135106246</v>
      </c>
      <c r="AB11" s="72" t="n">
        <f aca="false">IFERROR(AA11/K11,0)</f>
        <v>0.425708819680286</v>
      </c>
      <c r="AC11" s="0" t="str">
        <f aca="false">IF(Q11&gt;0,"Gunakan EOQ — hemat Rp "&amp;TEXT(Q11,"#,##0")&amp;"/thn","Tinjau ulang parameter")</f>
        <v>Gunakan EOQ — hemat Rp 135,106,246/thn</v>
      </c>
      <c r="AD11" s="0" t="str">
        <f aca="false">IF(N11&gt;0,"Gunakan EOQ — hemat Rp "&amp;TEXT(N11,"#,##0")&amp;"/thn","Tinjau ulang parameter S &amp; H")</f>
        <v>Gunakan EOQ — hemat Rp 106/thn</v>
      </c>
    </row>
    <row r="12" customFormat="false" ht="15.75" hidden="false" customHeight="true" outlineLevel="0" collapsed="false">
      <c r="A12" s="73" t="n">
        <v>5</v>
      </c>
      <c r="B12" s="73" t="s">
        <v>43</v>
      </c>
      <c r="C12" s="74" t="s">
        <v>44</v>
      </c>
      <c r="D12" s="73" t="s">
        <v>263</v>
      </c>
      <c r="E12" s="73" t="s">
        <v>36</v>
      </c>
      <c r="F12" s="75" t="n">
        <f aca="false">IFERROR(ROUND(AVERAGE('Data Historis 5 Tahun'!I27:I31),0),0)</f>
        <v>14367</v>
      </c>
      <c r="G12" s="75" t="n">
        <f aca="false">IFERROR(ROUND(AVERAGE('Data Historis 5 Tahun'!J27:J31)*1.1633,0),0)</f>
        <v>1617871</v>
      </c>
      <c r="H12" s="75" t="n">
        <f aca="false">IFERROR(ROUND(AVERAGE('Data Historis 5 Tahun'!K27:K31)*1.0539,0),0)</f>
        <v>205944</v>
      </c>
      <c r="I12" s="75" t="n">
        <f aca="false">IFERROR(ROUND(1.65*AVERAGE('Data Historis 5 Tahun'!N27:N31)*SQRT(AVERAGE('Data Historis 5 Tahun'!H27:H31)),0),0)</f>
        <v>52</v>
      </c>
      <c r="J12" s="76" t="n">
        <f aca="false">IFERROR(MAX(1,ROUND(F12/12,0)),1)</f>
        <v>1197</v>
      </c>
      <c r="K12" s="77" t="n">
        <f aca="false">IFERROR(ROUND((F12/J12)*G12+(J12/2)*H12+I12*H12,0),0)</f>
        <v>153385079</v>
      </c>
      <c r="L12" s="78" t="n">
        <f aca="false">IFERROR(ROUND(AVERAGE('Data Historis 5 Tahun'!J27:J31),0),0)</f>
        <v>1390760</v>
      </c>
      <c r="M12" s="79" t="n">
        <f aca="false">IFERROR(ROUND(AVERAGE('Data Historis 5 Tahun'!K27:K31),0),0)</f>
        <v>195411</v>
      </c>
      <c r="N12" s="79" t="n">
        <f aca="false">IFERROR(ROUND(1.65*AVERAGE('Data Historis 5 Tahun'!N27:N31)*SQRT(AVERAGE('Data Historis 5 Tahun'!H27:H31)),0),0)</f>
        <v>52</v>
      </c>
      <c r="O12" s="80" t="n">
        <f aca="false">IFERROR(ROUND(SQRT(2*F12*L12/M12),0),0)</f>
        <v>452</v>
      </c>
      <c r="P12" s="80" t="n">
        <f aca="false">IFERROR(ROUND((F12/O12)*L12+(O12/2)*M12+N12*M12,0),0)</f>
        <v>98530118</v>
      </c>
      <c r="Q12" s="80" t="n">
        <f aca="false">K12-P12</f>
        <v>54854961</v>
      </c>
      <c r="R12" s="81" t="n">
        <f aca="false">IFERROR(MAX(1,ROUND(O12*0.5,0)),1)</f>
        <v>226</v>
      </c>
      <c r="S12" s="82" t="n">
        <f aca="false">IFERROR(ROUND((F12/R12)*L12,0),0)</f>
        <v>88411721</v>
      </c>
      <c r="T12" s="82" t="n">
        <f aca="false">IFERROR(ROUND((R12/2)*M12+N12*M12,0),0)</f>
        <v>32242815</v>
      </c>
      <c r="U12" s="83" t="n">
        <f aca="false">S12+T12</f>
        <v>120654536</v>
      </c>
      <c r="V12" s="84" t="n">
        <f aca="false">IFERROR(ROUND(O12*1.5,0),1)</f>
        <v>678</v>
      </c>
      <c r="W12" s="85" t="n">
        <f aca="false">IFERROR(ROUND((F12/V12)*L12,0),0)</f>
        <v>29470574</v>
      </c>
      <c r="X12" s="84" t="n">
        <f aca="false">IFERROR(ROUND((F12/V12)*L12+(V12/2)*M12+N12*M12,0),0)</f>
        <v>105876275</v>
      </c>
      <c r="Y12" s="86" t="n">
        <f aca="false">MIN(K12,P12,U12,X12)</f>
        <v>98530118</v>
      </c>
      <c r="Z12" s="87" t="str">
        <f aca="false">IF(Y12=P12,"✅ EOQ (optimal)",IF(Y12=K12,"Q Obs Lama",IF(Y12=U12,"Q Kecil","Q Besar")))</f>
        <v>✅ EOQ (optimal)</v>
      </c>
      <c r="AA12" s="72" t="n">
        <f aca="false">MAX(0,K12-P12)</f>
        <v>54854961</v>
      </c>
      <c r="AB12" s="72" t="n">
        <f aca="false">IFERROR(AA12/K12,0)</f>
        <v>0.357629055952698</v>
      </c>
      <c r="AC12" s="0" t="str">
        <f aca="false">IF(Q12&gt;0,"Gunakan EOQ — hemat Rp "&amp;TEXT(Q12,"#,##0")&amp;"/thn","Tinjau ulang parameter")</f>
        <v>Gunakan EOQ — hemat Rp 54,854,961/thn</v>
      </c>
      <c r="AD12" s="0" t="str">
        <f aca="false">IF(N12&gt;0,"Gunakan EOQ — hemat Rp "&amp;TEXT(N12,"#,##0")&amp;"/thn","Tinjau ulang parameter S &amp; H")</f>
        <v>Gunakan EOQ — hemat Rp 52/thn</v>
      </c>
    </row>
    <row r="13" customFormat="false" ht="15.75" hidden="false" customHeight="true" outlineLevel="0" collapsed="false">
      <c r="A13" s="88" t="n">
        <v>6</v>
      </c>
      <c r="B13" s="88" t="s">
        <v>45</v>
      </c>
      <c r="C13" s="89" t="s">
        <v>46</v>
      </c>
      <c r="D13" s="88" t="s">
        <v>263</v>
      </c>
      <c r="E13" s="88" t="s">
        <v>36</v>
      </c>
      <c r="F13" s="75" t="n">
        <f aca="false">IFERROR(ROUND(AVERAGE('Data Historis 5 Tahun'!I32:I36),0),0)</f>
        <v>6094</v>
      </c>
      <c r="G13" s="75" t="n">
        <f aca="false">IFERROR(ROUND(AVERAGE('Data Historis 5 Tahun'!J32:J36)*1.1328,0),0)</f>
        <v>2201945</v>
      </c>
      <c r="H13" s="75" t="n">
        <f aca="false">IFERROR(ROUND(AVERAGE('Data Historis 5 Tahun'!K32:K36)*1.1157,0),0)</f>
        <v>337003</v>
      </c>
      <c r="I13" s="75" t="n">
        <f aca="false">IFERROR(ROUND(1.65*AVERAGE('Data Historis 5 Tahun'!N32:N36)*SQRT(AVERAGE('Data Historis 5 Tahun'!H32:H36)),0),0)</f>
        <v>21</v>
      </c>
      <c r="J13" s="76" t="n">
        <f aca="false">IFERROR(MAX(1,ROUND(F13/12,0)),1)</f>
        <v>508</v>
      </c>
      <c r="K13" s="77" t="n">
        <f aca="false">IFERROR(ROUND((F13/J13)*G13+(J13/2)*H13+I13*H13,0),0)</f>
        <v>119090496</v>
      </c>
      <c r="L13" s="78" t="n">
        <f aca="false">IFERROR(ROUND(AVERAGE('Data Historis 5 Tahun'!J32:J36),0),0)</f>
        <v>1943808</v>
      </c>
      <c r="M13" s="79" t="n">
        <f aca="false">IFERROR(ROUND(AVERAGE('Data Historis 5 Tahun'!K32:K36),0),0)</f>
        <v>302055</v>
      </c>
      <c r="N13" s="79" t="n">
        <f aca="false">IFERROR(ROUND(1.65*AVERAGE('Data Historis 5 Tahun'!N32:N36)*SQRT(AVERAGE('Data Historis 5 Tahun'!H32:H36)),0),0)</f>
        <v>21</v>
      </c>
      <c r="O13" s="80" t="n">
        <f aca="false">IFERROR(ROUND(SQRT(2*F13*L13/M13),0),0)</f>
        <v>280</v>
      </c>
      <c r="P13" s="80" t="n">
        <f aca="false">IFERROR(ROUND((F13/O13)*L13+(O13/2)*M13+N13*M13,0),0)</f>
        <v>90936448</v>
      </c>
      <c r="Q13" s="80" t="n">
        <f aca="false">K13-P13</f>
        <v>28154048</v>
      </c>
      <c r="R13" s="81" t="n">
        <f aca="false">IFERROR(MAX(1,ROUND(O13*0.5,0)),1)</f>
        <v>140</v>
      </c>
      <c r="S13" s="82" t="n">
        <f aca="false">IFERROR(ROUND((F13/R13)*L13,0),0)</f>
        <v>84611185</v>
      </c>
      <c r="T13" s="82" t="n">
        <f aca="false">IFERROR(ROUND((R13/2)*M13+N13*M13,0),0)</f>
        <v>27487005</v>
      </c>
      <c r="U13" s="83" t="n">
        <f aca="false">S13+T13</f>
        <v>112098190</v>
      </c>
      <c r="V13" s="84" t="n">
        <f aca="false">IFERROR(ROUND(O13*1.5,0),1)</f>
        <v>420</v>
      </c>
      <c r="W13" s="85" t="n">
        <f aca="false">IFERROR(ROUND((F13/V13)*L13,0),0)</f>
        <v>28203728</v>
      </c>
      <c r="X13" s="84" t="n">
        <f aca="false">IFERROR(ROUND((F13/V13)*L13+(V13/2)*M13+N13*M13,0),0)</f>
        <v>97978433</v>
      </c>
      <c r="Y13" s="86" t="n">
        <f aca="false">MIN(K13,P13,U13,X13)</f>
        <v>90936448</v>
      </c>
      <c r="Z13" s="87" t="str">
        <f aca="false">IF(Y13=P13,"✅ EOQ (optimal)",IF(Y13=K13,"Q Obs Lama",IF(Y13=U13,"Q Kecil","Q Besar")))</f>
        <v>✅ EOQ (optimal)</v>
      </c>
      <c r="AA13" s="72" t="n">
        <f aca="false">MAX(0,K13-P13)</f>
        <v>28154048</v>
      </c>
      <c r="AB13" s="72" t="n">
        <f aca="false">IFERROR(AA13/K13,0)</f>
        <v>0.236408856673164</v>
      </c>
      <c r="AC13" s="0" t="str">
        <f aca="false">IF(Q13&gt;0,"Gunakan EOQ — hemat Rp "&amp;TEXT(Q13,"#,##0")&amp;"/thn","Tinjau ulang parameter")</f>
        <v>Gunakan EOQ — hemat Rp 28,154,048/thn</v>
      </c>
      <c r="AD13" s="0" t="str">
        <f aca="false">IF(N13&gt;0,"Gunakan EOQ — hemat Rp "&amp;TEXT(N13,"#,##0")&amp;"/thn","Tinjau ulang parameter S &amp; H")</f>
        <v>Gunakan EOQ — hemat Rp 21/thn</v>
      </c>
    </row>
    <row r="14" customFormat="false" ht="15.75" hidden="false" customHeight="true" outlineLevel="0" collapsed="false">
      <c r="A14" s="73" t="n">
        <v>7</v>
      </c>
      <c r="B14" s="73" t="s">
        <v>47</v>
      </c>
      <c r="C14" s="74" t="s">
        <v>48</v>
      </c>
      <c r="D14" s="73" t="s">
        <v>263</v>
      </c>
      <c r="E14" s="73" t="s">
        <v>36</v>
      </c>
      <c r="F14" s="75" t="n">
        <f aca="false">IFERROR(ROUND(AVERAGE('Data Historis 5 Tahun'!I37:I41),0),0)</f>
        <v>19196</v>
      </c>
      <c r="G14" s="75" t="n">
        <f aca="false">IFERROR(ROUND(AVERAGE('Data Historis 5 Tahun'!J37:J41)*1.104,0),0)</f>
        <v>8468832</v>
      </c>
      <c r="H14" s="75" t="n">
        <f aca="false">IFERROR(ROUND(AVERAGE('Data Historis 5 Tahun'!K37:K41)*1.0758,0),0)</f>
        <v>246213</v>
      </c>
      <c r="I14" s="75" t="n">
        <f aca="false">IFERROR(ROUND(1.65*AVERAGE('Data Historis 5 Tahun'!N37:N41)*SQRT(AVERAGE('Data Historis 5 Tahun'!H37:H41)),0),0)</f>
        <v>112</v>
      </c>
      <c r="J14" s="76" t="n">
        <f aca="false">IFERROR(MAX(1,ROUND(F14/12,0)),1)</f>
        <v>1600</v>
      </c>
      <c r="K14" s="77" t="n">
        <f aca="false">IFERROR(ROUND((F14/J14)*G14+(J14/2)*H14+I14*H14,0),0)</f>
        <v>326151068</v>
      </c>
      <c r="L14" s="78" t="n">
        <f aca="false">IFERROR(ROUND(AVERAGE('Data Historis 5 Tahun'!J37:J41),0),0)</f>
        <v>7671043</v>
      </c>
      <c r="M14" s="79" t="n">
        <f aca="false">IFERROR(ROUND(AVERAGE('Data Historis 5 Tahun'!K37:K41),0),0)</f>
        <v>228865</v>
      </c>
      <c r="N14" s="79" t="n">
        <f aca="false">IFERROR(ROUND(1.65*AVERAGE('Data Historis 5 Tahun'!N37:N41)*SQRT(AVERAGE('Data Historis 5 Tahun'!H37:H41)),0),0)</f>
        <v>112</v>
      </c>
      <c r="O14" s="80" t="n">
        <f aca="false">IFERROR(ROUND(SQRT(2*F14*L14/M14),0),0)</f>
        <v>1134</v>
      </c>
      <c r="P14" s="80" t="n">
        <f aca="false">IFERROR(ROUND((F14/O14)*L14+(O14/2)*M14+N14*M14,0),0)</f>
        <v>285252370</v>
      </c>
      <c r="Q14" s="80" t="n">
        <f aca="false">K14-P14</f>
        <v>40898698</v>
      </c>
      <c r="R14" s="81" t="n">
        <f aca="false">IFERROR(MAX(1,ROUND(O14*0.5,0)),1)</f>
        <v>567</v>
      </c>
      <c r="S14" s="82" t="n">
        <f aca="false">IFERROR(ROUND((F14/R14)*L14,0),0)</f>
        <v>259706070</v>
      </c>
      <c r="T14" s="82" t="n">
        <f aca="false">IFERROR(ROUND((R14/2)*M14+N14*M14,0),0)</f>
        <v>90516108</v>
      </c>
      <c r="U14" s="83" t="n">
        <f aca="false">S14+T14</f>
        <v>350222178</v>
      </c>
      <c r="V14" s="84" t="n">
        <f aca="false">IFERROR(ROUND(O14*1.5,0),1)</f>
        <v>1701</v>
      </c>
      <c r="W14" s="85" t="n">
        <f aca="false">IFERROR(ROUND((F14/V14)*L14,0),0)</f>
        <v>86568690</v>
      </c>
      <c r="X14" s="84" t="n">
        <f aca="false">IFERROR(ROUND((F14/V14)*L14+(V14/2)*M14+N14*M14,0),0)</f>
        <v>306851252</v>
      </c>
      <c r="Y14" s="86" t="n">
        <f aca="false">MIN(K14,P14,U14,X14)</f>
        <v>285252370</v>
      </c>
      <c r="Z14" s="87" t="str">
        <f aca="false">IF(Y14=P14,"✅ EOQ (optimal)",IF(Y14=K14,"Q Obs Lama",IF(Y14=U14,"Q Kecil","Q Besar")))</f>
        <v>✅ EOQ (optimal)</v>
      </c>
      <c r="AA14" s="72" t="n">
        <f aca="false">MAX(0,K14-P14)</f>
        <v>40898698</v>
      </c>
      <c r="AB14" s="72" t="n">
        <f aca="false">IFERROR(AA14/K14,0)</f>
        <v>0.125398019545961</v>
      </c>
      <c r="AC14" s="0" t="str">
        <f aca="false">IF(Q14&gt;0,"Gunakan EOQ — hemat Rp "&amp;TEXT(Q14,"#,##0")&amp;"/thn","Tinjau ulang parameter")</f>
        <v>Gunakan EOQ — hemat Rp 40,898,698/thn</v>
      </c>
      <c r="AD14" s="0" t="str">
        <f aca="false">IF(N14&gt;0,"Gunakan EOQ — hemat Rp "&amp;TEXT(N14,"#,##0")&amp;"/thn","Tinjau ulang parameter S &amp; H")</f>
        <v>Gunakan EOQ — hemat Rp 112/thn</v>
      </c>
    </row>
    <row r="15" customFormat="false" ht="15.75" hidden="false" customHeight="true" outlineLevel="0" collapsed="false">
      <c r="A15" s="88" t="n">
        <v>8</v>
      </c>
      <c r="B15" s="88" t="s">
        <v>49</v>
      </c>
      <c r="C15" s="89" t="s">
        <v>50</v>
      </c>
      <c r="D15" s="88" t="s">
        <v>263</v>
      </c>
      <c r="E15" s="88" t="s">
        <v>36</v>
      </c>
      <c r="F15" s="75" t="n">
        <f aca="false">IFERROR(ROUND(AVERAGE('Data Historis 5 Tahun'!I42:I46),0),0)</f>
        <v>46897</v>
      </c>
      <c r="G15" s="75" t="n">
        <f aca="false">IFERROR(ROUND(AVERAGE('Data Historis 5 Tahun'!J42:J46)*1.1975,0),0)</f>
        <v>940647</v>
      </c>
      <c r="H15" s="75" t="n">
        <f aca="false">IFERROR(ROUND(AVERAGE('Data Historis 5 Tahun'!K42:K46)*1.1208,0),0)</f>
        <v>158818</v>
      </c>
      <c r="I15" s="75" t="n">
        <f aca="false">IFERROR(ROUND(1.65*AVERAGE('Data Historis 5 Tahun'!N42:N46)*SQRT(AVERAGE('Data Historis 5 Tahun'!H42:H46)),0),0)</f>
        <v>118</v>
      </c>
      <c r="J15" s="76" t="n">
        <f aca="false">IFERROR(MAX(1,ROUND(F15/12,0)),1)</f>
        <v>3908</v>
      </c>
      <c r="K15" s="77" t="n">
        <f aca="false">IFERROR(ROUND((F15/J15)*G15+(J15/2)*H15+I15*H15,0),0)</f>
        <v>340358901</v>
      </c>
      <c r="L15" s="78" t="n">
        <f aca="false">IFERROR(ROUND(AVERAGE('Data Historis 5 Tahun'!J42:J46),0),0)</f>
        <v>785509</v>
      </c>
      <c r="M15" s="79" t="n">
        <f aca="false">IFERROR(ROUND(AVERAGE('Data Historis 5 Tahun'!K42:K46),0),0)</f>
        <v>141701</v>
      </c>
      <c r="N15" s="79" t="n">
        <f aca="false">IFERROR(ROUND(1.65*AVERAGE('Data Historis 5 Tahun'!N42:N46)*SQRT(AVERAGE('Data Historis 5 Tahun'!H42:H46)),0),0)</f>
        <v>118</v>
      </c>
      <c r="O15" s="80" t="n">
        <f aca="false">IFERROR(ROUND(SQRT(2*F15*L15/M15),0),0)</f>
        <v>721</v>
      </c>
      <c r="P15" s="80" t="n">
        <f aca="false">IFERROR(ROUND((F15/O15)*L15+(O15/2)*M15+N15*M15,0),0)</f>
        <v>118896877</v>
      </c>
      <c r="Q15" s="80" t="n">
        <f aca="false">K15-P15</f>
        <v>221462024</v>
      </c>
      <c r="R15" s="81" t="n">
        <f aca="false">IFERROR(MAX(1,ROUND(O15*0.5,0)),1)</f>
        <v>361</v>
      </c>
      <c r="S15" s="82" t="n">
        <f aca="false">IFERROR(ROUND((F15/R15)*L15,0),0)</f>
        <v>102044364</v>
      </c>
      <c r="T15" s="82" t="n">
        <f aca="false">IFERROR(ROUND((R15/2)*M15+N15*M15,0),0)</f>
        <v>42297749</v>
      </c>
      <c r="U15" s="83" t="n">
        <f aca="false">S15+T15</f>
        <v>144342113</v>
      </c>
      <c r="V15" s="84" t="n">
        <f aca="false">IFERROR(ROUND(O15*1.5,0),1)</f>
        <v>1082</v>
      </c>
      <c r="W15" s="85" t="n">
        <f aca="false">IFERROR(ROUND((F15/V15)*L15,0),0)</f>
        <v>34046225</v>
      </c>
      <c r="X15" s="84" t="n">
        <f aca="false">IFERROR(ROUND((F15/V15)*L15+(V15/2)*M15+N15*M15,0),0)</f>
        <v>127427184</v>
      </c>
      <c r="Y15" s="86" t="n">
        <f aca="false">MIN(K15,P15,U15,X15)</f>
        <v>118896877</v>
      </c>
      <c r="Z15" s="87" t="str">
        <f aca="false">IF(Y15=P15,"✅ EOQ (optimal)",IF(Y15=K15,"Q Obs Lama",IF(Y15=U15,"Q Kecil","Q Besar")))</f>
        <v>✅ EOQ (optimal)</v>
      </c>
      <c r="AA15" s="72" t="n">
        <f aca="false">MAX(0,K15-P15)</f>
        <v>221462024</v>
      </c>
      <c r="AB15" s="72" t="n">
        <f aca="false">IFERROR(AA15/K15,0)</f>
        <v>0.650672050442424</v>
      </c>
      <c r="AC15" s="0" t="str">
        <f aca="false">IF(Q15&gt;0,"Gunakan EOQ — hemat Rp "&amp;TEXT(Q15,"#,##0")&amp;"/thn","Tinjau ulang parameter")</f>
        <v>Gunakan EOQ — hemat Rp 221,462,024/thn</v>
      </c>
      <c r="AD15" s="0" t="str">
        <f aca="false">IF(N15&gt;0,"Gunakan EOQ — hemat Rp "&amp;TEXT(N15,"#,##0")&amp;"/thn","Tinjau ulang parameter S &amp; H")</f>
        <v>Gunakan EOQ — hemat Rp 118/thn</v>
      </c>
    </row>
    <row r="16" customFormat="false" ht="15.75" hidden="false" customHeight="true" outlineLevel="0" collapsed="false">
      <c r="A16" s="73" t="n">
        <v>9</v>
      </c>
      <c r="B16" s="73" t="s">
        <v>51</v>
      </c>
      <c r="C16" s="74" t="s">
        <v>52</v>
      </c>
      <c r="D16" s="73" t="s">
        <v>263</v>
      </c>
      <c r="E16" s="73" t="s">
        <v>36</v>
      </c>
      <c r="F16" s="75" t="n">
        <f aca="false">IFERROR(ROUND(AVERAGE('Data Historis 5 Tahun'!I47:I51),0),0)</f>
        <v>44345</v>
      </c>
      <c r="G16" s="75" t="n">
        <f aca="false">IFERROR(ROUND(AVERAGE('Data Historis 5 Tahun'!J47:J51)*1.1331,0),0)</f>
        <v>683309</v>
      </c>
      <c r="H16" s="75" t="n">
        <f aca="false">IFERROR(ROUND(AVERAGE('Data Historis 5 Tahun'!K47:K51)*1.1266,0),0)</f>
        <v>430452</v>
      </c>
      <c r="I16" s="75" t="n">
        <f aca="false">IFERROR(ROUND(1.65*AVERAGE('Data Historis 5 Tahun'!N47:N51)*SQRT(AVERAGE('Data Historis 5 Tahun'!H47:H51)),0),0)</f>
        <v>113</v>
      </c>
      <c r="J16" s="76" t="n">
        <f aca="false">IFERROR(MAX(1,ROUND(F16/12,0)),1)</f>
        <v>3695</v>
      </c>
      <c r="K16" s="77" t="n">
        <f aca="false">IFERROR(ROUND((F16/J16)*G16+(J16/2)*H16+I16*H16,0),0)</f>
        <v>852101779</v>
      </c>
      <c r="L16" s="78" t="n">
        <f aca="false">IFERROR(ROUND(AVERAGE('Data Historis 5 Tahun'!J47:J51),0),0)</f>
        <v>603044</v>
      </c>
      <c r="M16" s="79" t="n">
        <f aca="false">IFERROR(ROUND(AVERAGE('Data Historis 5 Tahun'!K47:K51),0),0)</f>
        <v>382081</v>
      </c>
      <c r="N16" s="79" t="n">
        <f aca="false">IFERROR(ROUND(1.65*AVERAGE('Data Historis 5 Tahun'!N47:N51)*SQRT(AVERAGE('Data Historis 5 Tahun'!H47:H51)),0),0)</f>
        <v>113</v>
      </c>
      <c r="O16" s="80" t="n">
        <f aca="false">IFERROR(ROUND(SQRT(2*F16*L16/M16),0),0)</f>
        <v>374</v>
      </c>
      <c r="P16" s="80" t="n">
        <f aca="false">IFERROR(ROUND((F16/O16)*L16+(O16/2)*M16+N16*M16,0),0)</f>
        <v>186126937</v>
      </c>
      <c r="Q16" s="80" t="n">
        <f aca="false">K16-P16</f>
        <v>665974842</v>
      </c>
      <c r="R16" s="81" t="n">
        <f aca="false">IFERROR(MAX(1,ROUND(O16*0.5,0)),1)</f>
        <v>187</v>
      </c>
      <c r="S16" s="82" t="n">
        <f aca="false">IFERROR(ROUND((F16/R16)*L16,0),0)</f>
        <v>143005274</v>
      </c>
      <c r="T16" s="82" t="n">
        <f aca="false">IFERROR(ROUND((R16/2)*M16+N16*M16,0),0)</f>
        <v>78899727</v>
      </c>
      <c r="U16" s="83" t="n">
        <f aca="false">S16+T16</f>
        <v>221905001</v>
      </c>
      <c r="V16" s="84" t="n">
        <f aca="false">IFERROR(ROUND(O16*1.5,0),1)</f>
        <v>561</v>
      </c>
      <c r="W16" s="85" t="n">
        <f aca="false">IFERROR(ROUND((F16/V16)*L16,0),0)</f>
        <v>47668425</v>
      </c>
      <c r="X16" s="84" t="n">
        <f aca="false">IFERROR(ROUND((F16/V16)*L16+(V16/2)*M16+N16*M16,0),0)</f>
        <v>198017298</v>
      </c>
      <c r="Y16" s="86" t="n">
        <f aca="false">MIN(K16,P16,U16,X16)</f>
        <v>186126937</v>
      </c>
      <c r="Z16" s="87" t="str">
        <f aca="false">IF(Y16=P16,"✅ EOQ (optimal)",IF(Y16=K16,"Q Obs Lama",IF(Y16=U16,"Q Kecil","Q Besar")))</f>
        <v>✅ EOQ (optimal)</v>
      </c>
      <c r="AA16" s="72" t="n">
        <f aca="false">MAX(0,K16-P16)</f>
        <v>665974842</v>
      </c>
      <c r="AB16" s="72" t="n">
        <f aca="false">IFERROR(AA16/K16,0)</f>
        <v>0.781567247496616</v>
      </c>
      <c r="AC16" s="0" t="str">
        <f aca="false">IF(Q16&gt;0,"Gunakan EOQ — hemat Rp "&amp;TEXT(Q16,"#,##0")&amp;"/thn","Tinjau ulang parameter")</f>
        <v>Gunakan EOQ — hemat Rp 665,974,842/thn</v>
      </c>
      <c r="AD16" s="0" t="str">
        <f aca="false">IF(N16&gt;0,"Gunakan EOQ — hemat Rp "&amp;TEXT(N16,"#,##0")&amp;"/thn","Tinjau ulang parameter S &amp; H")</f>
        <v>Gunakan EOQ — hemat Rp 113/thn</v>
      </c>
    </row>
    <row r="17" customFormat="false" ht="15.75" hidden="false" customHeight="true" outlineLevel="0" collapsed="false">
      <c r="A17" s="88" t="n">
        <v>10</v>
      </c>
      <c r="B17" s="88" t="s">
        <v>53</v>
      </c>
      <c r="C17" s="89" t="s">
        <v>54</v>
      </c>
      <c r="D17" s="88" t="s">
        <v>263</v>
      </c>
      <c r="E17" s="88" t="s">
        <v>36</v>
      </c>
      <c r="F17" s="75" t="n">
        <f aca="false">IFERROR(ROUND(AVERAGE('Data Historis 5 Tahun'!I52:I56),0),0)</f>
        <v>36117</v>
      </c>
      <c r="G17" s="75" t="n">
        <f aca="false">IFERROR(ROUND(AVERAGE('Data Historis 5 Tahun'!J52:J56)*1.2214,0),0)</f>
        <v>473944</v>
      </c>
      <c r="H17" s="75" t="n">
        <f aca="false">IFERROR(ROUND(AVERAGE('Data Historis 5 Tahun'!K52:K56)*1.0508,0),0)</f>
        <v>485706</v>
      </c>
      <c r="I17" s="75" t="n">
        <f aca="false">IFERROR(ROUND(1.65*AVERAGE('Data Historis 5 Tahun'!N52:N56)*SQRT(AVERAGE('Data Historis 5 Tahun'!H52:H56)),0),0)</f>
        <v>120</v>
      </c>
      <c r="J17" s="76" t="n">
        <f aca="false">IFERROR(MAX(1,ROUND(F17/12,0)),1)</f>
        <v>3010</v>
      </c>
      <c r="K17" s="77" t="n">
        <f aca="false">IFERROR(ROUND((F17/J17)*G17+(J17/2)*H17+I17*H17,0),0)</f>
        <v>794959106</v>
      </c>
      <c r="L17" s="78" t="n">
        <f aca="false">IFERROR(ROUND(AVERAGE('Data Historis 5 Tahun'!J52:J56),0),0)</f>
        <v>388033</v>
      </c>
      <c r="M17" s="79" t="n">
        <f aca="false">IFERROR(ROUND(AVERAGE('Data Historis 5 Tahun'!K52:K56),0),0)</f>
        <v>462225</v>
      </c>
      <c r="N17" s="79" t="n">
        <f aca="false">IFERROR(ROUND(1.65*AVERAGE('Data Historis 5 Tahun'!N52:N56)*SQRT(AVERAGE('Data Historis 5 Tahun'!H52:H56)),0),0)</f>
        <v>120</v>
      </c>
      <c r="O17" s="80" t="n">
        <f aca="false">IFERROR(ROUND(SQRT(2*F17*L17/M17),0),0)</f>
        <v>246</v>
      </c>
      <c r="P17" s="80" t="n">
        <f aca="false">IFERROR(ROUND((F17/O17)*L17+(O17/2)*M17+N17*M17,0),0)</f>
        <v>169290544</v>
      </c>
      <c r="Q17" s="80" t="n">
        <f aca="false">K17-P17</f>
        <v>625668562</v>
      </c>
      <c r="R17" s="81" t="n">
        <f aca="false">IFERROR(MAX(1,ROUND(O17*0.5,0)),1)</f>
        <v>123</v>
      </c>
      <c r="S17" s="82" t="n">
        <f aca="false">IFERROR(ROUND((F17/R17)*L17,0),0)</f>
        <v>113939739</v>
      </c>
      <c r="T17" s="82" t="n">
        <f aca="false">IFERROR(ROUND((R17/2)*M17+N17*M17,0),0)</f>
        <v>83893838</v>
      </c>
      <c r="U17" s="83" t="n">
        <f aca="false">S17+T17</f>
        <v>197833577</v>
      </c>
      <c r="V17" s="84" t="n">
        <f aca="false">IFERROR(ROUND(O17*1.5,0),1)</f>
        <v>369</v>
      </c>
      <c r="W17" s="85" t="n">
        <f aca="false">IFERROR(ROUND((F17/V17)*L17,0),0)</f>
        <v>37979913</v>
      </c>
      <c r="X17" s="84" t="n">
        <f aca="false">IFERROR(ROUND((F17/V17)*L17+(V17/2)*M17+N17*M17,0),0)</f>
        <v>178727425</v>
      </c>
      <c r="Y17" s="86" t="n">
        <f aca="false">MIN(K17,P17,U17,X17)</f>
        <v>169290544</v>
      </c>
      <c r="Z17" s="87" t="str">
        <f aca="false">IF(Y17=P17,"✅ EOQ (optimal)",IF(Y17=K17,"Q Obs Lama",IF(Y17=U17,"Q Kecil","Q Besar")))</f>
        <v>✅ EOQ (optimal)</v>
      </c>
      <c r="AA17" s="72" t="n">
        <f aca="false">MAX(0,K17-P17)</f>
        <v>625668562</v>
      </c>
      <c r="AB17" s="72" t="n">
        <f aca="false">IFERROR(AA17/K17,0)</f>
        <v>0.787044965304165</v>
      </c>
      <c r="AC17" s="0" t="str">
        <f aca="false">IF(Q17&gt;0,"Gunakan EOQ — hemat Rp "&amp;TEXT(Q17,"#,##0")&amp;"/thn","Tinjau ulang parameter")</f>
        <v>Gunakan EOQ — hemat Rp 625,668,562/thn</v>
      </c>
      <c r="AD17" s="0" t="str">
        <f aca="false">IF(N17&gt;0,"Gunakan EOQ — hemat Rp "&amp;TEXT(N17,"#,##0")&amp;"/thn","Tinjau ulang parameter S &amp; H")</f>
        <v>Gunakan EOQ — hemat Rp 120/thn</v>
      </c>
    </row>
    <row r="18" customFormat="false" ht="15.75" hidden="false" customHeight="true" outlineLevel="0" collapsed="false">
      <c r="A18" s="73" t="n">
        <v>11</v>
      </c>
      <c r="B18" s="73" t="s">
        <v>55</v>
      </c>
      <c r="C18" s="74" t="s">
        <v>56</v>
      </c>
      <c r="D18" s="73" t="s">
        <v>263</v>
      </c>
      <c r="E18" s="73" t="s">
        <v>57</v>
      </c>
      <c r="F18" s="75" t="n">
        <f aca="false">IFERROR(ROUND(AVERAGE('Data Historis 5 Tahun'!I57:I61),0),0)</f>
        <v>9226</v>
      </c>
      <c r="G18" s="75" t="n">
        <f aca="false">IFERROR(ROUND(AVERAGE('Data Historis 5 Tahun'!J57:J61)*1.2209,0),0)</f>
        <v>10190899</v>
      </c>
      <c r="H18" s="75" t="n">
        <f aca="false">IFERROR(ROUND(AVERAGE('Data Historis 5 Tahun'!K57:K61)*1.1408,0),0)</f>
        <v>538738</v>
      </c>
      <c r="I18" s="75" t="n">
        <f aca="false">IFERROR(ROUND(1.65*AVERAGE('Data Historis 5 Tahun'!N57:N61)*SQRT(AVERAGE('Data Historis 5 Tahun'!H57:H61)),0),0)</f>
        <v>59</v>
      </c>
      <c r="J18" s="76" t="n">
        <f aca="false">IFERROR(MAX(1,ROUND(F18/12,0)),1)</f>
        <v>769</v>
      </c>
      <c r="K18" s="77" t="n">
        <f aca="false">IFERROR(ROUND((F18/J18)*G18+(J18/2)*H18+I18*H18,0),0)</f>
        <v>361194587</v>
      </c>
      <c r="L18" s="78" t="n">
        <f aca="false">IFERROR(ROUND(AVERAGE('Data Historis 5 Tahun'!J57:J61),0),0)</f>
        <v>8347038</v>
      </c>
      <c r="M18" s="79" t="n">
        <f aca="false">IFERROR(ROUND(AVERAGE('Data Historis 5 Tahun'!K57:K61),0),0)</f>
        <v>472246</v>
      </c>
      <c r="N18" s="79" t="n">
        <f aca="false">IFERROR(ROUND(1.65*AVERAGE('Data Historis 5 Tahun'!N57:N61)*SQRT(AVERAGE('Data Historis 5 Tahun'!H57:H61)),0),0)</f>
        <v>59</v>
      </c>
      <c r="O18" s="80" t="n">
        <f aca="false">IFERROR(ROUND(SQRT(2*F18*L18/M18),0),0)</f>
        <v>571</v>
      </c>
      <c r="P18" s="80" t="n">
        <f aca="false">IFERROR(ROUND((F18/O18)*L18+(O18/2)*M18+N18*M18,0),0)</f>
        <v>297557000</v>
      </c>
      <c r="Q18" s="80" t="n">
        <f aca="false">K18-P18</f>
        <v>63637587</v>
      </c>
      <c r="R18" s="81" t="n">
        <f aca="false">IFERROR(MAX(1,ROUND(O18*0.5,0)),1)</f>
        <v>286</v>
      </c>
      <c r="S18" s="82" t="n">
        <f aca="false">IFERROR(ROUND((F18/R18)*L18,0),0)</f>
        <v>269264939</v>
      </c>
      <c r="T18" s="82" t="n">
        <f aca="false">IFERROR(ROUND((R18/2)*M18+N18*M18,0),0)</f>
        <v>95393692</v>
      </c>
      <c r="U18" s="83" t="n">
        <f aca="false">S18+T18</f>
        <v>364658631</v>
      </c>
      <c r="V18" s="84" t="n">
        <f aca="false">IFERROR(ROUND(O18*1.5,0),1)</f>
        <v>857</v>
      </c>
      <c r="W18" s="85" t="n">
        <f aca="false">IFERROR(ROUND((F18/V18)*L18,0),0)</f>
        <v>89859711</v>
      </c>
      <c r="X18" s="84" t="n">
        <f aca="false">IFERROR(ROUND((F18/V18)*L18+(V18/2)*M18+N18*M18,0),0)</f>
        <v>320079636</v>
      </c>
      <c r="Y18" s="86" t="n">
        <f aca="false">MIN(K18,P18,U18,X18)</f>
        <v>297557000</v>
      </c>
      <c r="Z18" s="87" t="str">
        <f aca="false">IF(Y18=P18,"✅ EOQ (optimal)",IF(Y18=K18,"Q Obs Lama",IF(Y18=U18,"Q Kecil","Q Besar")))</f>
        <v>✅ EOQ (optimal)</v>
      </c>
      <c r="AA18" s="72" t="n">
        <f aca="false">MAX(0,K18-P18)</f>
        <v>63637587</v>
      </c>
      <c r="AB18" s="72" t="n">
        <f aca="false">IFERROR(AA18/K18,0)</f>
        <v>0.1761864360387</v>
      </c>
      <c r="AC18" s="0" t="str">
        <f aca="false">IF(Q18&gt;0,"Gunakan EOQ — hemat Rp "&amp;TEXT(Q18,"#,##0")&amp;"/thn","Tinjau ulang parameter")</f>
        <v>Gunakan EOQ — hemat Rp 63,637,587/thn</v>
      </c>
      <c r="AD18" s="0" t="str">
        <f aca="false">IF(N18&gt;0,"Gunakan EOQ — hemat Rp "&amp;TEXT(N18,"#,##0")&amp;"/thn","Tinjau ulang parameter S &amp; H")</f>
        <v>Gunakan EOQ — hemat Rp 59/thn</v>
      </c>
    </row>
    <row r="19" customFormat="false" ht="15.75" hidden="false" customHeight="true" outlineLevel="0" collapsed="false">
      <c r="A19" s="88" t="n">
        <v>12</v>
      </c>
      <c r="B19" s="88" t="s">
        <v>58</v>
      </c>
      <c r="C19" s="89" t="s">
        <v>59</v>
      </c>
      <c r="D19" s="88" t="s">
        <v>263</v>
      </c>
      <c r="E19" s="88" t="s">
        <v>36</v>
      </c>
      <c r="F19" s="75" t="n">
        <f aca="false">IFERROR(ROUND(AVERAGE('Data Historis 5 Tahun'!I62:I66),0),0)</f>
        <v>11260</v>
      </c>
      <c r="G19" s="75" t="n">
        <f aca="false">IFERROR(ROUND(AVERAGE('Data Historis 5 Tahun'!J62:J66)*1.151,0),0)</f>
        <v>11631566</v>
      </c>
      <c r="H19" s="75" t="n">
        <f aca="false">IFERROR(ROUND(AVERAGE('Data Historis 5 Tahun'!K62:K66)*1.0702,0),0)</f>
        <v>292354</v>
      </c>
      <c r="I19" s="75" t="n">
        <f aca="false">IFERROR(ROUND(1.65*AVERAGE('Data Historis 5 Tahun'!N62:N66)*SQRT(AVERAGE('Data Historis 5 Tahun'!H62:H66)),0),0)</f>
        <v>61</v>
      </c>
      <c r="J19" s="76" t="n">
        <f aca="false">IFERROR(MAX(1,ROUND(F19/12,0)),1)</f>
        <v>938</v>
      </c>
      <c r="K19" s="77" t="n">
        <f aca="false">IFERROR(ROUND((F19/J19)*G19+(J19/2)*H19+I19*H19,0),0)</f>
        <v>294576014</v>
      </c>
      <c r="L19" s="78" t="n">
        <f aca="false">IFERROR(ROUND(AVERAGE('Data Historis 5 Tahun'!J62:J66),0),0)</f>
        <v>10105618</v>
      </c>
      <c r="M19" s="79" t="n">
        <f aca="false">IFERROR(ROUND(AVERAGE('Data Historis 5 Tahun'!K62:K66),0),0)</f>
        <v>273177</v>
      </c>
      <c r="N19" s="79" t="n">
        <f aca="false">IFERROR(ROUND(1.65*AVERAGE('Data Historis 5 Tahun'!N62:N66)*SQRT(AVERAGE('Data Historis 5 Tahun'!H62:H66)),0),0)</f>
        <v>61</v>
      </c>
      <c r="O19" s="80" t="n">
        <f aca="false">IFERROR(ROUND(SQRT(2*F19*L19/M19),0),0)</f>
        <v>913</v>
      </c>
      <c r="P19" s="80" t="n">
        <f aca="false">IFERROR(ROUND((F19/O19)*L19+(O19/2)*M19+N19*M19,0),0)</f>
        <v>266001363</v>
      </c>
      <c r="Q19" s="80" t="n">
        <f aca="false">K19-P19</f>
        <v>28574651</v>
      </c>
      <c r="R19" s="81" t="n">
        <f aca="false">IFERROR(MAX(1,ROUND(O19*0.5,0)),1)</f>
        <v>457</v>
      </c>
      <c r="S19" s="82" t="n">
        <f aca="false">IFERROR(ROUND((F19/R19)*L19,0),0)</f>
        <v>248991813</v>
      </c>
      <c r="T19" s="82" t="n">
        <f aca="false">IFERROR(ROUND((R19/2)*M19+N19*M19,0),0)</f>
        <v>79084742</v>
      </c>
      <c r="U19" s="83" t="n">
        <f aca="false">S19+T19</f>
        <v>328076555</v>
      </c>
      <c r="V19" s="84" t="n">
        <f aca="false">IFERROR(ROUND(O19*1.5,0),1)</f>
        <v>1370</v>
      </c>
      <c r="W19" s="85" t="n">
        <f aca="false">IFERROR(ROUND((F19/V19)*L19,0),0)</f>
        <v>83057853</v>
      </c>
      <c r="X19" s="84" t="n">
        <f aca="false">IFERROR(ROUND((F19/V19)*L19+(V19/2)*M19+N19*M19,0),0)</f>
        <v>286847895</v>
      </c>
      <c r="Y19" s="86" t="n">
        <f aca="false">MIN(K19,P19,U19,X19)</f>
        <v>266001363</v>
      </c>
      <c r="Z19" s="87" t="str">
        <f aca="false">IF(Y19=P19,"✅ EOQ (optimal)",IF(Y19=K19,"Q Obs Lama",IF(Y19=U19,"Q Kecil","Q Besar")))</f>
        <v>✅ EOQ (optimal)</v>
      </c>
      <c r="AA19" s="72" t="n">
        <f aca="false">MAX(0,K19-P19)</f>
        <v>28574651</v>
      </c>
      <c r="AB19" s="72" t="n">
        <f aca="false">IFERROR(AA19/K19,0)</f>
        <v>0.097002639868703</v>
      </c>
      <c r="AC19" s="0" t="str">
        <f aca="false">IF(Q19&gt;0,"Gunakan EOQ — hemat Rp "&amp;TEXT(Q19,"#,##0")&amp;"/thn","Tinjau ulang parameter")</f>
        <v>Gunakan EOQ — hemat Rp 28,574,651/thn</v>
      </c>
      <c r="AD19" s="0" t="str">
        <f aca="false">IF(N19&gt;0,"Gunakan EOQ — hemat Rp "&amp;TEXT(N19,"#,##0")&amp;"/thn","Tinjau ulang parameter S &amp; H")</f>
        <v>Gunakan EOQ — hemat Rp 61/thn</v>
      </c>
    </row>
    <row r="20" customFormat="false" ht="15.75" hidden="false" customHeight="true" outlineLevel="0" collapsed="false">
      <c r="A20" s="73" t="n">
        <v>13</v>
      </c>
      <c r="B20" s="73" t="s">
        <v>60</v>
      </c>
      <c r="C20" s="74" t="s">
        <v>61</v>
      </c>
      <c r="D20" s="73" t="s">
        <v>264</v>
      </c>
      <c r="E20" s="73" t="s">
        <v>36</v>
      </c>
      <c r="F20" s="75" t="n">
        <f aca="false">IFERROR(ROUND(AVERAGE('Data Historis 5 Tahun'!I67:I71),0),0)</f>
        <v>46649</v>
      </c>
      <c r="G20" s="75" t="n">
        <f aca="false">IFERROR(ROUND(AVERAGE('Data Historis 5 Tahun'!J67:J71)*1.2436,0),0)</f>
        <v>6958349</v>
      </c>
      <c r="H20" s="75" t="n">
        <f aca="false">IFERROR(ROUND(AVERAGE('Data Historis 5 Tahun'!K67:K71)*1.0938,0),0)</f>
        <v>363547</v>
      </c>
      <c r="I20" s="75" t="n">
        <f aca="false">IFERROR(ROUND(1.65*AVERAGE('Data Historis 5 Tahun'!N67:N71)*SQRT(AVERAGE('Data Historis 5 Tahun'!H67:H71)),0),0)</f>
        <v>267</v>
      </c>
      <c r="J20" s="76" t="n">
        <f aca="false">IFERROR(MAX(1,ROUND(F20/12,0)),1)</f>
        <v>3887</v>
      </c>
      <c r="K20" s="77" t="n">
        <f aca="false">IFERROR(ROUND((F20/J20)*G20+(J20/2)*H20+I20*H20,0),0)</f>
        <v>887129782</v>
      </c>
      <c r="L20" s="78" t="n">
        <f aca="false">IFERROR(ROUND(AVERAGE('Data Historis 5 Tahun'!J67:J71),0),0)</f>
        <v>5595327</v>
      </c>
      <c r="M20" s="79" t="n">
        <f aca="false">IFERROR(ROUND(AVERAGE('Data Historis 5 Tahun'!K67:K71),0),0)</f>
        <v>332370</v>
      </c>
      <c r="N20" s="79" t="n">
        <f aca="false">IFERROR(ROUND(1.65*AVERAGE('Data Historis 5 Tahun'!N67:N71)*SQRT(AVERAGE('Data Historis 5 Tahun'!H67:H71)),0),0)</f>
        <v>267</v>
      </c>
      <c r="O20" s="80" t="n">
        <f aca="false">IFERROR(ROUND(SQRT(2*F20*L20/M20),0),0)</f>
        <v>1253</v>
      </c>
      <c r="P20" s="80" t="n">
        <f aca="false">IFERROR(ROUND((F20/O20)*L20+(O20/2)*M20+N20*M20,0),0)</f>
        <v>505285771</v>
      </c>
      <c r="Q20" s="80" t="n">
        <f aca="false">K20-P20</f>
        <v>381844011</v>
      </c>
      <c r="R20" s="81" t="n">
        <f aca="false">IFERROR(MAX(1,ROUND(O20*0.5,0)),1)</f>
        <v>627</v>
      </c>
      <c r="S20" s="82" t="n">
        <f aca="false">IFERROR(ROUND((F20/R20)*L20,0),0)</f>
        <v>416294114</v>
      </c>
      <c r="T20" s="82" t="n">
        <f aca="false">IFERROR(ROUND((R20/2)*M20+N20*M20,0),0)</f>
        <v>192940785</v>
      </c>
      <c r="U20" s="83" t="n">
        <f aca="false">S20+T20</f>
        <v>609234899</v>
      </c>
      <c r="V20" s="84" t="n">
        <f aca="false">IFERROR(ROUND(O20*1.5,0),1)</f>
        <v>1880</v>
      </c>
      <c r="W20" s="85" t="n">
        <f aca="false">IFERROR(ROUND((F20/V20)*L20,0),0)</f>
        <v>138838516</v>
      </c>
      <c r="X20" s="84" t="n">
        <f aca="false">IFERROR(ROUND((F20/V20)*L20+(V20/2)*M20+N20*M20,0),0)</f>
        <v>540009106</v>
      </c>
      <c r="Y20" s="86" t="n">
        <f aca="false">MIN(K20,P20,U20,X20)</f>
        <v>505285771</v>
      </c>
      <c r="Z20" s="87" t="str">
        <f aca="false">IF(Y20=P20,"✅ EOQ (optimal)",IF(Y20=K20,"Q Obs Lama",IF(Y20=U20,"Q Kecil","Q Besar")))</f>
        <v>✅ EOQ (optimal)</v>
      </c>
      <c r="AA20" s="72" t="n">
        <f aca="false">MAX(0,K20-P20)</f>
        <v>381844011</v>
      </c>
      <c r="AB20" s="72" t="n">
        <f aca="false">IFERROR(AA20/K20,0)</f>
        <v>0.430426324025722</v>
      </c>
      <c r="AC20" s="0" t="str">
        <f aca="false">IF(Q20&gt;0,"Gunakan EOQ — hemat Rp "&amp;TEXT(Q20,"#,##0")&amp;"/thn","Tinjau ulang parameter")</f>
        <v>Gunakan EOQ — hemat Rp 381,844,011/thn</v>
      </c>
      <c r="AD20" s="0" t="str">
        <f aca="false">IF(N20&gt;0,"Gunakan EOQ — hemat Rp "&amp;TEXT(N20,"#,##0")&amp;"/thn","Tinjau ulang parameter S &amp; H")</f>
        <v>Gunakan EOQ — hemat Rp 267/thn</v>
      </c>
    </row>
    <row r="21" customFormat="false" ht="15.75" hidden="false" customHeight="true" outlineLevel="0" collapsed="false">
      <c r="A21" s="88" t="n">
        <v>14</v>
      </c>
      <c r="B21" s="88" t="s">
        <v>62</v>
      </c>
      <c r="C21" s="89" t="s">
        <v>63</v>
      </c>
      <c r="D21" s="88" t="s">
        <v>264</v>
      </c>
      <c r="E21" s="88" t="s">
        <v>36</v>
      </c>
      <c r="F21" s="75" t="n">
        <f aca="false">IFERROR(ROUND(AVERAGE('Data Historis 5 Tahun'!I72:I76),0),0)</f>
        <v>35283</v>
      </c>
      <c r="G21" s="75" t="n">
        <f aca="false">IFERROR(ROUND(AVERAGE('Data Historis 5 Tahun'!J72:J76)*1.1139,0),0)</f>
        <v>7617844</v>
      </c>
      <c r="H21" s="75" t="n">
        <f aca="false">IFERROR(ROUND(AVERAGE('Data Historis 5 Tahun'!K72:K76)*1.0626,0),0)</f>
        <v>475108</v>
      </c>
      <c r="I21" s="75" t="n">
        <f aca="false">IFERROR(ROUND(1.65*AVERAGE('Data Historis 5 Tahun'!N72:N76)*SQRT(AVERAGE('Data Historis 5 Tahun'!H72:H76)),0),0)</f>
        <v>190</v>
      </c>
      <c r="J21" s="76" t="n">
        <f aca="false">IFERROR(MAX(1,ROUND(F21/12,0)),1)</f>
        <v>2940</v>
      </c>
      <c r="K21" s="77" t="n">
        <f aca="false">IFERROR(ROUND((F21/J21)*G21+(J21/2)*H21+I21*H21,0),0)</f>
        <v>880101181</v>
      </c>
      <c r="L21" s="78" t="n">
        <f aca="false">IFERROR(ROUND(AVERAGE('Data Historis 5 Tahun'!J72:J76),0),0)</f>
        <v>6838894</v>
      </c>
      <c r="M21" s="79" t="n">
        <f aca="false">IFERROR(ROUND(AVERAGE('Data Historis 5 Tahun'!K72:K76),0),0)</f>
        <v>447118</v>
      </c>
      <c r="N21" s="79" t="n">
        <f aca="false">IFERROR(ROUND(1.65*AVERAGE('Data Historis 5 Tahun'!N72:N76)*SQRT(AVERAGE('Data Historis 5 Tahun'!H72:H76)),0),0)</f>
        <v>190</v>
      </c>
      <c r="O21" s="80" t="n">
        <f aca="false">IFERROR(ROUND(SQRT(2*F21*L21/M21),0),0)</f>
        <v>1039</v>
      </c>
      <c r="P21" s="80" t="n">
        <f aca="false">IFERROR(ROUND((F21/O21)*L21+(O21/2)*M21+N21*M21,0),0)</f>
        <v>549469583</v>
      </c>
      <c r="Q21" s="80" t="n">
        <f aca="false">K21-P21</f>
        <v>330631598</v>
      </c>
      <c r="R21" s="81" t="n">
        <f aca="false">IFERROR(MAX(1,ROUND(O21*0.5,0)),1)</f>
        <v>520</v>
      </c>
      <c r="S21" s="82" t="n">
        <f aca="false">IFERROR(ROUND((F21/R21)*L21,0),0)</f>
        <v>464032110</v>
      </c>
      <c r="T21" s="82" t="n">
        <f aca="false">IFERROR(ROUND((R21/2)*M21+N21*M21,0),0)</f>
        <v>201203100</v>
      </c>
      <c r="U21" s="83" t="n">
        <f aca="false">S21+T21</f>
        <v>665235210</v>
      </c>
      <c r="V21" s="84" t="n">
        <f aca="false">IFERROR(ROUND(O21*1.5,0),1)</f>
        <v>1559</v>
      </c>
      <c r="W21" s="85" t="n">
        <f aca="false">IFERROR(ROUND((F21/V21)*L21,0),0)</f>
        <v>154776586</v>
      </c>
      <c r="X21" s="84" t="n">
        <f aca="false">IFERROR(ROUND((F21/V21)*L21+(V21/2)*M21+N21*M21,0),0)</f>
        <v>588257487</v>
      </c>
      <c r="Y21" s="86" t="n">
        <f aca="false">MIN(K21,P21,U21,X21)</f>
        <v>549469583</v>
      </c>
      <c r="Z21" s="87" t="str">
        <f aca="false">IF(Y21=P21,"✅ EOQ (optimal)",IF(Y21=K21,"Q Obs Lama",IF(Y21=U21,"Q Kecil","Q Besar")))</f>
        <v>✅ EOQ (optimal)</v>
      </c>
      <c r="AA21" s="72" t="n">
        <f aca="false">MAX(0,K21-P21)</f>
        <v>330631598</v>
      </c>
      <c r="AB21" s="72" t="n">
        <f aca="false">IFERROR(AA21/K21,0)</f>
        <v>0.375674530540143</v>
      </c>
      <c r="AC21" s="0" t="str">
        <f aca="false">IF(Q21&gt;0,"Gunakan EOQ — hemat Rp "&amp;TEXT(Q21,"#,##0")&amp;"/thn","Tinjau ulang parameter")</f>
        <v>Gunakan EOQ — hemat Rp 330,631,598/thn</v>
      </c>
      <c r="AD21" s="0" t="str">
        <f aca="false">IF(N21&gt;0,"Gunakan EOQ — hemat Rp "&amp;TEXT(N21,"#,##0")&amp;"/thn","Tinjau ulang parameter S &amp; H")</f>
        <v>Gunakan EOQ — hemat Rp 190/thn</v>
      </c>
    </row>
    <row r="22" customFormat="false" ht="15.75" hidden="false" customHeight="true" outlineLevel="0" collapsed="false">
      <c r="A22" s="73" t="n">
        <v>15</v>
      </c>
      <c r="B22" s="73" t="s">
        <v>64</v>
      </c>
      <c r="C22" s="74" t="s">
        <v>65</v>
      </c>
      <c r="D22" s="73" t="s">
        <v>264</v>
      </c>
      <c r="E22" s="73" t="s">
        <v>36</v>
      </c>
      <c r="F22" s="75" t="n">
        <f aca="false">IFERROR(ROUND(AVERAGE('Data Historis 5 Tahun'!I77:I81),0),0)</f>
        <v>38333</v>
      </c>
      <c r="G22" s="75" t="n">
        <f aca="false">IFERROR(ROUND(AVERAGE('Data Historis 5 Tahun'!J77:J81)*1.2271,0),0)</f>
        <v>436373</v>
      </c>
      <c r="H22" s="75" t="n">
        <f aca="false">IFERROR(ROUND(AVERAGE('Data Historis 5 Tahun'!K77:K81)*1.1285,0),0)</f>
        <v>530786</v>
      </c>
      <c r="I22" s="75" t="n">
        <f aca="false">IFERROR(ROUND(1.65*AVERAGE('Data Historis 5 Tahun'!N77:N81)*SQRT(AVERAGE('Data Historis 5 Tahun'!H77:H81)),0),0)</f>
        <v>117</v>
      </c>
      <c r="J22" s="76" t="n">
        <f aca="false">IFERROR(MAX(1,ROUND(F22/12,0)),1)</f>
        <v>3194</v>
      </c>
      <c r="K22" s="77" t="n">
        <f aca="false">IFERROR(ROUND((F22/J22)*G22+(J22/2)*H22+I22*H22,0),0)</f>
        <v>915004363</v>
      </c>
      <c r="L22" s="78" t="n">
        <f aca="false">IFERROR(ROUND(AVERAGE('Data Historis 5 Tahun'!J77:J81),0),0)</f>
        <v>355613</v>
      </c>
      <c r="M22" s="79" t="n">
        <f aca="false">IFERROR(ROUND(AVERAGE('Data Historis 5 Tahun'!K77:K81),0),0)</f>
        <v>470347</v>
      </c>
      <c r="N22" s="79" t="n">
        <f aca="false">IFERROR(ROUND(1.65*AVERAGE('Data Historis 5 Tahun'!N77:N81)*SQRT(AVERAGE('Data Historis 5 Tahun'!H77:H81)),0),0)</f>
        <v>117</v>
      </c>
      <c r="O22" s="80" t="n">
        <f aca="false">IFERROR(ROUND(SQRT(2*F22*L22/M22),0),0)</f>
        <v>241</v>
      </c>
      <c r="P22" s="80" t="n">
        <f aca="false">IFERROR(ROUND((F22/O22)*L22+(O22/2)*M22+N22*M22,0),0)</f>
        <v>168270538</v>
      </c>
      <c r="Q22" s="80" t="n">
        <f aca="false">K22-P22</f>
        <v>746733825</v>
      </c>
      <c r="R22" s="81" t="n">
        <f aca="false">IFERROR(MAX(1,ROUND(O22*0.5,0)),1)</f>
        <v>121</v>
      </c>
      <c r="S22" s="82" t="n">
        <f aca="false">IFERROR(ROUND((F22/R22)*L22,0),0)</f>
        <v>112658786</v>
      </c>
      <c r="T22" s="82" t="n">
        <f aca="false">IFERROR(ROUND((R22/2)*M22+N22*M22,0),0)</f>
        <v>83486593</v>
      </c>
      <c r="U22" s="83" t="n">
        <f aca="false">S22+T22</f>
        <v>196145379</v>
      </c>
      <c r="V22" s="84" t="n">
        <f aca="false">IFERROR(ROUND(O22*1.5,0),1)</f>
        <v>362</v>
      </c>
      <c r="W22" s="85" t="n">
        <f aca="false">IFERROR(ROUND((F22/V22)*L22,0),0)</f>
        <v>37656666</v>
      </c>
      <c r="X22" s="84" t="n">
        <f aca="false">IFERROR(ROUND((F22/V22)*L22+(V22/2)*M22+N22*M22,0),0)</f>
        <v>177820072</v>
      </c>
      <c r="Y22" s="86" t="n">
        <f aca="false">MIN(K22,P22,U22,X22)</f>
        <v>168270538</v>
      </c>
      <c r="Z22" s="87" t="str">
        <f aca="false">IF(Y22=P22,"✅ EOQ (optimal)",IF(Y22=K22,"Q Obs Lama",IF(Y22=U22,"Q Kecil","Q Besar")))</f>
        <v>✅ EOQ (optimal)</v>
      </c>
      <c r="AA22" s="72" t="n">
        <f aca="false">MAX(0,K22-P22)</f>
        <v>746733825</v>
      </c>
      <c r="AB22" s="72" t="n">
        <f aca="false">IFERROR(AA22/K22,0)</f>
        <v>0.81609864957551</v>
      </c>
      <c r="AC22" s="0" t="str">
        <f aca="false">IF(Q22&gt;0,"Gunakan EOQ — hemat Rp "&amp;TEXT(Q22,"#,##0")&amp;"/thn","Tinjau ulang parameter")</f>
        <v>Gunakan EOQ — hemat Rp 746,733,825/thn</v>
      </c>
      <c r="AD22" s="0" t="str">
        <f aca="false">IF(N22&gt;0,"Gunakan EOQ — hemat Rp "&amp;TEXT(N22,"#,##0")&amp;"/thn","Tinjau ulang parameter S &amp; H")</f>
        <v>Gunakan EOQ — hemat Rp 117/thn</v>
      </c>
    </row>
    <row r="23" customFormat="false" ht="15.75" hidden="false" customHeight="true" outlineLevel="0" collapsed="false">
      <c r="A23" s="88" t="n">
        <v>16</v>
      </c>
      <c r="B23" s="88" t="s">
        <v>66</v>
      </c>
      <c r="C23" s="89" t="s">
        <v>67</v>
      </c>
      <c r="D23" s="88" t="s">
        <v>263</v>
      </c>
      <c r="E23" s="88" t="s">
        <v>36</v>
      </c>
      <c r="F23" s="75" t="n">
        <f aca="false">IFERROR(ROUND(AVERAGE('Data Historis 5 Tahun'!I82:I86),0),0)</f>
        <v>21035</v>
      </c>
      <c r="G23" s="75" t="n">
        <f aca="false">IFERROR(ROUND(AVERAGE('Data Historis 5 Tahun'!J82:J86)*1.2211,0),0)</f>
        <v>1359919</v>
      </c>
      <c r="H23" s="75" t="n">
        <f aca="false">IFERROR(ROUND(AVERAGE('Data Historis 5 Tahun'!K82:K86)*1.1449,0),0)</f>
        <v>244843</v>
      </c>
      <c r="I23" s="75" t="n">
        <f aca="false">IFERROR(ROUND(1.65*AVERAGE('Data Historis 5 Tahun'!N82:N86)*SQRT(AVERAGE('Data Historis 5 Tahun'!H82:H86)),0),0)</f>
        <v>61</v>
      </c>
      <c r="J23" s="76" t="n">
        <f aca="false">IFERROR(MAX(1,ROUND(F23/12,0)),1)</f>
        <v>1753</v>
      </c>
      <c r="K23" s="77" t="n">
        <f aca="false">IFERROR(ROUND((F23/J23)*G23+(J23/2)*H23+I23*H23,0),0)</f>
        <v>245858565</v>
      </c>
      <c r="L23" s="78" t="n">
        <f aca="false">IFERROR(ROUND(AVERAGE('Data Historis 5 Tahun'!J82:J86),0),0)</f>
        <v>1113684</v>
      </c>
      <c r="M23" s="79" t="n">
        <f aca="false">IFERROR(ROUND(AVERAGE('Data Historis 5 Tahun'!K82:K86),0),0)</f>
        <v>213855</v>
      </c>
      <c r="N23" s="79" t="n">
        <f aca="false">IFERROR(ROUND(1.65*AVERAGE('Data Historis 5 Tahun'!N82:N86)*SQRT(AVERAGE('Data Historis 5 Tahun'!H82:H86)),0),0)</f>
        <v>61</v>
      </c>
      <c r="O23" s="80" t="n">
        <f aca="false">IFERROR(ROUND(SQRT(2*F23*L23/M23),0),0)</f>
        <v>468</v>
      </c>
      <c r="P23" s="80" t="n">
        <f aca="false">IFERROR(ROUND((F23/O23)*L23+(O23/2)*M23+N23*M23,0),0)</f>
        <v>113143513</v>
      </c>
      <c r="Q23" s="80" t="n">
        <f aca="false">K23-P23</f>
        <v>132715052</v>
      </c>
      <c r="R23" s="81" t="n">
        <f aca="false">IFERROR(MAX(1,ROUND(O23*0.5,0)),1)</f>
        <v>234</v>
      </c>
      <c r="S23" s="82" t="n">
        <f aca="false">IFERROR(ROUND((F23/R23)*L23,0),0)</f>
        <v>100112577</v>
      </c>
      <c r="T23" s="82" t="n">
        <f aca="false">IFERROR(ROUND((R23/2)*M23+N23*M23,0),0)</f>
        <v>38066190</v>
      </c>
      <c r="U23" s="83" t="n">
        <f aca="false">S23+T23</f>
        <v>138178767</v>
      </c>
      <c r="V23" s="84" t="n">
        <f aca="false">IFERROR(ROUND(O23*1.5,0),1)</f>
        <v>702</v>
      </c>
      <c r="W23" s="85" t="n">
        <f aca="false">IFERROR(ROUND((F23/V23)*L23,0),0)</f>
        <v>33370859</v>
      </c>
      <c r="X23" s="84" t="n">
        <f aca="false">IFERROR(ROUND((F23/V23)*L23+(V23/2)*M23+N23*M23,0),0)</f>
        <v>121479119</v>
      </c>
      <c r="Y23" s="86" t="n">
        <f aca="false">MIN(K23,P23,U23,X23)</f>
        <v>113143513</v>
      </c>
      <c r="Z23" s="87" t="str">
        <f aca="false">IF(Y23=P23,"✅ EOQ (optimal)",IF(Y23=K23,"Q Obs Lama",IF(Y23=U23,"Q Kecil","Q Besar")))</f>
        <v>✅ EOQ (optimal)</v>
      </c>
      <c r="AA23" s="72" t="n">
        <f aca="false">MAX(0,K23-P23)</f>
        <v>132715052</v>
      </c>
      <c r="AB23" s="72" t="n">
        <f aca="false">IFERROR(AA23/K23,0)</f>
        <v>0.539802434786032</v>
      </c>
      <c r="AC23" s="0" t="str">
        <f aca="false">IF(Q23&gt;0,"Gunakan EOQ — hemat Rp "&amp;TEXT(Q23,"#,##0")&amp;"/thn","Tinjau ulang parameter")</f>
        <v>Gunakan EOQ — hemat Rp 132,715,052/thn</v>
      </c>
      <c r="AD23" s="0" t="str">
        <f aca="false">IF(N23&gt;0,"Gunakan EOQ — hemat Rp "&amp;TEXT(N23,"#,##0")&amp;"/thn","Tinjau ulang parameter S &amp; H")</f>
        <v>Gunakan EOQ — hemat Rp 61/thn</v>
      </c>
    </row>
    <row r="24" customFormat="false" ht="15.75" hidden="false" customHeight="true" outlineLevel="0" collapsed="false">
      <c r="A24" s="73" t="n">
        <v>17</v>
      </c>
      <c r="B24" s="73" t="s">
        <v>68</v>
      </c>
      <c r="C24" s="74" t="s">
        <v>69</v>
      </c>
      <c r="D24" s="73" t="s">
        <v>263</v>
      </c>
      <c r="E24" s="73" t="s">
        <v>36</v>
      </c>
      <c r="F24" s="75" t="n">
        <f aca="false">IFERROR(ROUND(AVERAGE('Data Historis 5 Tahun'!I87:I91),0),0)</f>
        <v>8219</v>
      </c>
      <c r="G24" s="75" t="n">
        <f aca="false">IFERROR(ROUND(AVERAGE('Data Historis 5 Tahun'!J87:J91)*1.1804,0),0)</f>
        <v>1725138</v>
      </c>
      <c r="H24" s="75" t="n">
        <f aca="false">IFERROR(ROUND(AVERAGE('Data Historis 5 Tahun'!K87:K91)*1.1765,0),0)</f>
        <v>142817</v>
      </c>
      <c r="I24" s="75" t="n">
        <f aca="false">IFERROR(ROUND(1.65*AVERAGE('Data Historis 5 Tahun'!N87:N91)*SQRT(AVERAGE('Data Historis 5 Tahun'!H87:H91)),0),0)</f>
        <v>21</v>
      </c>
      <c r="J24" s="76" t="n">
        <f aca="false">IFERROR(MAX(1,ROUND(F24/12,0)),1)</f>
        <v>685</v>
      </c>
      <c r="K24" s="77" t="n">
        <f aca="false">IFERROR(ROUND((F24/J24)*G24+(J24/2)*H24+I24*H24,0),0)</f>
        <v>72613117</v>
      </c>
      <c r="L24" s="78" t="n">
        <f aca="false">IFERROR(ROUND(AVERAGE('Data Historis 5 Tahun'!J87:J91),0),0)</f>
        <v>1461486</v>
      </c>
      <c r="M24" s="79" t="n">
        <f aca="false">IFERROR(ROUND(AVERAGE('Data Historis 5 Tahun'!K87:K91),0),0)</f>
        <v>121392</v>
      </c>
      <c r="N24" s="79" t="n">
        <f aca="false">IFERROR(ROUND(1.65*AVERAGE('Data Historis 5 Tahun'!N87:N91)*SQRT(AVERAGE('Data Historis 5 Tahun'!H87:H91)),0),0)</f>
        <v>21</v>
      </c>
      <c r="O24" s="80" t="n">
        <f aca="false">IFERROR(ROUND(SQRT(2*F24*L24/M24),0),0)</f>
        <v>445</v>
      </c>
      <c r="P24" s="80" t="n">
        <f aca="false">IFERROR(ROUND((F24/O24)*L24+(O24/2)*M24+N24*M24,0),0)</f>
        <v>56552106</v>
      </c>
      <c r="Q24" s="80" t="n">
        <f aca="false">K24-P24</f>
        <v>16061011</v>
      </c>
      <c r="R24" s="81" t="n">
        <f aca="false">IFERROR(MAX(1,ROUND(O24*0.5,0)),1)</f>
        <v>223</v>
      </c>
      <c r="S24" s="82" t="n">
        <f aca="false">IFERROR(ROUND((F24/R24)*L24,0),0)</f>
        <v>53865262</v>
      </c>
      <c r="T24" s="82" t="n">
        <f aca="false">IFERROR(ROUND((R24/2)*M24+N24*M24,0),0)</f>
        <v>16084440</v>
      </c>
      <c r="U24" s="83" t="n">
        <f aca="false">S24+T24</f>
        <v>69949702</v>
      </c>
      <c r="V24" s="84" t="n">
        <f aca="false">IFERROR(ROUND(O24*1.5,0),1)</f>
        <v>668</v>
      </c>
      <c r="W24" s="85" t="n">
        <f aca="false">IFERROR(ROUND((F24/V24)*L24,0),0)</f>
        <v>17981966</v>
      </c>
      <c r="X24" s="84" t="n">
        <f aca="false">IFERROR(ROUND((F24/V24)*L24+(V24/2)*M24+N24*M24,0),0)</f>
        <v>61076126</v>
      </c>
      <c r="Y24" s="86" t="n">
        <f aca="false">MIN(K24,P24,U24,X24)</f>
        <v>56552106</v>
      </c>
      <c r="Z24" s="87" t="str">
        <f aca="false">IF(Y24=P24,"✅ EOQ (optimal)",IF(Y24=K24,"Q Obs Lama",IF(Y24=U24,"Q Kecil","Q Besar")))</f>
        <v>✅ EOQ (optimal)</v>
      </c>
      <c r="AA24" s="72" t="n">
        <f aca="false">MAX(0,K24-P24)</f>
        <v>16061011</v>
      </c>
      <c r="AB24" s="72" t="n">
        <f aca="false">IFERROR(AA24/K24,0)</f>
        <v>0.221186084051453</v>
      </c>
      <c r="AC24" s="0" t="str">
        <f aca="false">IF(Q24&gt;0,"Gunakan EOQ — hemat Rp "&amp;TEXT(Q24,"#,##0")&amp;"/thn","Tinjau ulang parameter")</f>
        <v>Gunakan EOQ — hemat Rp 16,061,011/thn</v>
      </c>
      <c r="AD24" s="0" t="str">
        <f aca="false">IF(N24&gt;0,"Gunakan EOQ — hemat Rp "&amp;TEXT(N24,"#,##0")&amp;"/thn","Tinjau ulang parameter S &amp; H")</f>
        <v>Gunakan EOQ — hemat Rp 21/thn</v>
      </c>
    </row>
    <row r="25" customFormat="false" ht="15.75" hidden="false" customHeight="true" outlineLevel="0" collapsed="false">
      <c r="A25" s="88" t="n">
        <v>18</v>
      </c>
      <c r="B25" s="88" t="s">
        <v>70</v>
      </c>
      <c r="C25" s="89" t="s">
        <v>71</v>
      </c>
      <c r="D25" s="88" t="s">
        <v>263</v>
      </c>
      <c r="E25" s="88" t="s">
        <v>36</v>
      </c>
      <c r="F25" s="75" t="n">
        <f aca="false">IFERROR(ROUND(AVERAGE('Data Historis 5 Tahun'!I92:I96),0),0)</f>
        <v>32470</v>
      </c>
      <c r="G25" s="75" t="n">
        <f aca="false">IFERROR(ROUND(AVERAGE('Data Historis 5 Tahun'!J92:J96)*1.1568,0),0)</f>
        <v>7421166</v>
      </c>
      <c r="H25" s="75" t="n">
        <f aca="false">IFERROR(ROUND(AVERAGE('Data Historis 5 Tahun'!K92:K96)*1.1218,0),0)</f>
        <v>225202</v>
      </c>
      <c r="I25" s="75" t="n">
        <f aca="false">IFERROR(ROUND(1.65*AVERAGE('Data Historis 5 Tahun'!N92:N96)*SQRT(AVERAGE('Data Historis 5 Tahun'!H92:H96)),0),0)</f>
        <v>225</v>
      </c>
      <c r="J25" s="76" t="n">
        <f aca="false">IFERROR(MAX(1,ROUND(F25/12,0)),1)</f>
        <v>2706</v>
      </c>
      <c r="K25" s="77" t="n">
        <f aca="false">IFERROR(ROUND((F25/J25)*G25+(J25/2)*H25+I25*H25,0),0)</f>
        <v>444417263</v>
      </c>
      <c r="L25" s="78" t="n">
        <f aca="false">IFERROR(ROUND(AVERAGE('Data Historis 5 Tahun'!J92:J96),0),0)</f>
        <v>6415254</v>
      </c>
      <c r="M25" s="79" t="n">
        <f aca="false">IFERROR(ROUND(AVERAGE('Data Historis 5 Tahun'!K92:K96),0),0)</f>
        <v>200750</v>
      </c>
      <c r="N25" s="79" t="n">
        <f aca="false">IFERROR(ROUND(1.65*AVERAGE('Data Historis 5 Tahun'!N92:N96)*SQRT(AVERAGE('Data Historis 5 Tahun'!H92:H96)),0),0)</f>
        <v>225</v>
      </c>
      <c r="O25" s="80" t="n">
        <f aca="false">IFERROR(ROUND(SQRT(2*F25*L25/M25),0),0)</f>
        <v>1441</v>
      </c>
      <c r="P25" s="80" t="n">
        <f aca="false">IFERROR(ROUND((F25/O25)*L25+(O25/2)*M25+N25*M25,0),0)</f>
        <v>334363807</v>
      </c>
      <c r="Q25" s="80" t="n">
        <f aca="false">K25-P25</f>
        <v>110053456</v>
      </c>
      <c r="R25" s="81" t="n">
        <f aca="false">IFERROR(MAX(1,ROUND(O25*0.5,0)),1)</f>
        <v>721</v>
      </c>
      <c r="S25" s="82" t="n">
        <f aca="false">IFERROR(ROUND((F25/R25)*L25,0),0)</f>
        <v>288908873</v>
      </c>
      <c r="T25" s="82" t="n">
        <f aca="false">IFERROR(ROUND((R25/2)*M25+N25*M25,0),0)</f>
        <v>117539125</v>
      </c>
      <c r="U25" s="83" t="n">
        <f aca="false">S25+T25</f>
        <v>406447998</v>
      </c>
      <c r="V25" s="84" t="n">
        <f aca="false">IFERROR(ROUND(O25*1.5,0),1)</f>
        <v>2162</v>
      </c>
      <c r="W25" s="85" t="n">
        <f aca="false">IFERROR(ROUND((F25/V25)*L25,0),0)</f>
        <v>96347501</v>
      </c>
      <c r="X25" s="84" t="n">
        <f aca="false">IFERROR(ROUND((F25/V25)*L25+(V25/2)*M25+N25*M25,0),0)</f>
        <v>358527001</v>
      </c>
      <c r="Y25" s="86" t="n">
        <f aca="false">MIN(K25,P25,U25,X25)</f>
        <v>334363807</v>
      </c>
      <c r="Z25" s="87" t="str">
        <f aca="false">IF(Y25=P25,"✅ EOQ (optimal)",IF(Y25=K25,"Q Obs Lama",IF(Y25=U25,"Q Kecil","Q Besar")))</f>
        <v>✅ EOQ (optimal)</v>
      </c>
      <c r="AA25" s="72" t="n">
        <f aca="false">MAX(0,K25-P25)</f>
        <v>110053456</v>
      </c>
      <c r="AB25" s="72" t="n">
        <f aca="false">IFERROR(AA25/K25,0)</f>
        <v>0.247635420948983</v>
      </c>
      <c r="AC25" s="0" t="str">
        <f aca="false">IF(Q25&gt;0,"Gunakan EOQ — hemat Rp "&amp;TEXT(Q25,"#,##0")&amp;"/thn","Tinjau ulang parameter")</f>
        <v>Gunakan EOQ — hemat Rp 110,053,456/thn</v>
      </c>
      <c r="AD25" s="0" t="str">
        <f aca="false">IF(N25&gt;0,"Gunakan EOQ — hemat Rp "&amp;TEXT(N25,"#,##0")&amp;"/thn","Tinjau ulang parameter S &amp; H")</f>
        <v>Gunakan EOQ — hemat Rp 225/thn</v>
      </c>
    </row>
    <row r="26" customFormat="false" ht="15.75" hidden="false" customHeight="true" outlineLevel="0" collapsed="false">
      <c r="A26" s="73" t="n">
        <v>19</v>
      </c>
      <c r="B26" s="73" t="s">
        <v>72</v>
      </c>
      <c r="C26" s="74" t="s">
        <v>73</v>
      </c>
      <c r="D26" s="73" t="s">
        <v>264</v>
      </c>
      <c r="E26" s="73" t="s">
        <v>36</v>
      </c>
      <c r="F26" s="75" t="n">
        <f aca="false">IFERROR(ROUND(AVERAGE('Data Historis 5 Tahun'!I97:I101),0),0)</f>
        <v>4583</v>
      </c>
      <c r="G26" s="75" t="n">
        <f aca="false">IFERROR(ROUND(AVERAGE('Data Historis 5 Tahun'!J97:J101)*1.2244,0),0)</f>
        <v>2096164</v>
      </c>
      <c r="H26" s="75" t="n">
        <f aca="false">IFERROR(ROUND(AVERAGE('Data Historis 5 Tahun'!K97:K101)*1.1304,0),0)</f>
        <v>538295</v>
      </c>
      <c r="I26" s="75" t="n">
        <f aca="false">IFERROR(ROUND(1.65*AVERAGE('Data Historis 5 Tahun'!N97:N101)*SQRT(AVERAGE('Data Historis 5 Tahun'!H97:H101)),0),0)</f>
        <v>12</v>
      </c>
      <c r="J26" s="76" t="n">
        <f aca="false">IFERROR(MAX(1,ROUND(F26/12,0)),1)</f>
        <v>382</v>
      </c>
      <c r="K26" s="77" t="n">
        <f aca="false">IFERROR(ROUND((F26/J26)*G26+(J26/2)*H26+I26*H26,0),0)</f>
        <v>134422366</v>
      </c>
      <c r="L26" s="78" t="n">
        <f aca="false">IFERROR(ROUND(AVERAGE('Data Historis 5 Tahun'!J97:J101),0),0)</f>
        <v>1711993</v>
      </c>
      <c r="M26" s="79" t="n">
        <f aca="false">IFERROR(ROUND(AVERAGE('Data Historis 5 Tahun'!K97:K101),0),0)</f>
        <v>476199</v>
      </c>
      <c r="N26" s="79" t="n">
        <f aca="false">IFERROR(ROUND(1.65*AVERAGE('Data Historis 5 Tahun'!N97:N101)*SQRT(AVERAGE('Data Historis 5 Tahun'!H97:H101)),0),0)</f>
        <v>12</v>
      </c>
      <c r="O26" s="80" t="n">
        <f aca="false">IFERROR(ROUND(SQRT(2*F26*L26/M26),0),0)</f>
        <v>182</v>
      </c>
      <c r="P26" s="80" t="n">
        <f aca="false">IFERROR(ROUND((F26/O26)*L26+(O26/2)*M26+N26*M26,0),0)</f>
        <v>92158738</v>
      </c>
      <c r="Q26" s="80" t="n">
        <f aca="false">K26-P26</f>
        <v>42263628</v>
      </c>
      <c r="R26" s="81" t="n">
        <f aca="false">IFERROR(MAX(1,ROUND(O26*0.5,0)),1)</f>
        <v>91</v>
      </c>
      <c r="S26" s="82" t="n">
        <f aca="false">IFERROR(ROUND((F26/R26)*L26,0),0)</f>
        <v>86220483</v>
      </c>
      <c r="T26" s="82" t="n">
        <f aca="false">IFERROR(ROUND((R26/2)*M26+N26*M26,0),0)</f>
        <v>27381443</v>
      </c>
      <c r="U26" s="83" t="n">
        <f aca="false">S26+T26</f>
        <v>113601926</v>
      </c>
      <c r="V26" s="84" t="n">
        <f aca="false">IFERROR(ROUND(O26*1.5,0),1)</f>
        <v>273</v>
      </c>
      <c r="W26" s="85" t="n">
        <f aca="false">IFERROR(ROUND((F26/V26)*L26,0),0)</f>
        <v>28740161</v>
      </c>
      <c r="X26" s="84" t="n">
        <f aca="false">IFERROR(ROUND((F26/V26)*L26+(V26/2)*M26+N26*M26,0),0)</f>
        <v>99455712</v>
      </c>
      <c r="Y26" s="86" t="n">
        <f aca="false">MIN(K26,P26,U26,X26)</f>
        <v>92158738</v>
      </c>
      <c r="Z26" s="87" t="str">
        <f aca="false">IF(Y26=P26,"✅ EOQ (optimal)",IF(Y26=K26,"Q Obs Lama",IF(Y26=U26,"Q Kecil","Q Besar")))</f>
        <v>✅ EOQ (optimal)</v>
      </c>
      <c r="AA26" s="72" t="n">
        <f aca="false">MAX(0,K26-P26)</f>
        <v>42263628</v>
      </c>
      <c r="AB26" s="72" t="n">
        <f aca="false">IFERROR(AA26/K26,0)</f>
        <v>0.31440919586254</v>
      </c>
      <c r="AC26" s="0" t="str">
        <f aca="false">IF(Q26&gt;0,"Gunakan EOQ — hemat Rp "&amp;TEXT(Q26,"#,##0")&amp;"/thn","Tinjau ulang parameter")</f>
        <v>Gunakan EOQ — hemat Rp 42,263,628/thn</v>
      </c>
      <c r="AD26" s="0" t="str">
        <f aca="false">IF(N26&gt;0,"Gunakan EOQ — hemat Rp "&amp;TEXT(N26,"#,##0")&amp;"/thn","Tinjau ulang parameter S &amp; H")</f>
        <v>Gunakan EOQ — hemat Rp 12/thn</v>
      </c>
    </row>
    <row r="27" customFormat="false" ht="15.75" hidden="false" customHeight="true" outlineLevel="0" collapsed="false">
      <c r="A27" s="88" t="n">
        <v>20</v>
      </c>
      <c r="B27" s="88" t="s">
        <v>74</v>
      </c>
      <c r="C27" s="89" t="s">
        <v>75</v>
      </c>
      <c r="D27" s="88" t="s">
        <v>264</v>
      </c>
      <c r="E27" s="88" t="s">
        <v>36</v>
      </c>
      <c r="F27" s="75" t="n">
        <f aca="false">IFERROR(ROUND(AVERAGE('Data Historis 5 Tahun'!I102:I106),0),0)</f>
        <v>2222</v>
      </c>
      <c r="G27" s="75" t="n">
        <f aca="false">IFERROR(ROUND(AVERAGE('Data Historis 5 Tahun'!J102:J106)*1.2293,0),0)</f>
        <v>2741712</v>
      </c>
      <c r="H27" s="75" t="n">
        <f aca="false">IFERROR(ROUND(AVERAGE('Data Historis 5 Tahun'!K102:K106)*1.1251,0),0)</f>
        <v>288103</v>
      </c>
      <c r="I27" s="75" t="n">
        <f aca="false">IFERROR(ROUND(1.65*AVERAGE('Data Historis 5 Tahun'!N102:N106)*SQRT(AVERAGE('Data Historis 5 Tahun'!H102:H106)),0),0)</f>
        <v>7</v>
      </c>
      <c r="J27" s="76" t="n">
        <f aca="false">IFERROR(MAX(1,ROUND(F27/12,0)),1)</f>
        <v>185</v>
      </c>
      <c r="K27" s="77" t="n">
        <f aca="false">IFERROR(ROUND((F27/J27)*G27+(J27/2)*H27+I27*H27,0),0)</f>
        <v>61596433</v>
      </c>
      <c r="L27" s="78" t="n">
        <f aca="false">IFERROR(ROUND(AVERAGE('Data Historis 5 Tahun'!J102:J106),0),0)</f>
        <v>2230304</v>
      </c>
      <c r="M27" s="79" t="n">
        <f aca="false">IFERROR(ROUND(AVERAGE('Data Historis 5 Tahun'!K102:K106),0),0)</f>
        <v>256069</v>
      </c>
      <c r="N27" s="79" t="n">
        <f aca="false">IFERROR(ROUND(1.65*AVERAGE('Data Historis 5 Tahun'!N102:N106)*SQRT(AVERAGE('Data Historis 5 Tahun'!H102:H106)),0),0)</f>
        <v>7</v>
      </c>
      <c r="O27" s="80" t="n">
        <f aca="false">IFERROR(ROUND(SQRT(2*F27*L27/M27),0),0)</f>
        <v>197</v>
      </c>
      <c r="P27" s="80" t="n">
        <f aca="false">IFERROR(ROUND((F27/O27)*L27+(O27/2)*M27+N27*M27,0),0)</f>
        <v>52171297</v>
      </c>
      <c r="Q27" s="80" t="n">
        <f aca="false">K27-P27</f>
        <v>9425136</v>
      </c>
      <c r="R27" s="81" t="n">
        <f aca="false">IFERROR(MAX(1,ROUND(O27*0.5,0)),1)</f>
        <v>99</v>
      </c>
      <c r="S27" s="82" t="n">
        <f aca="false">IFERROR(ROUND((F27/R27)*L27,0),0)</f>
        <v>50057934</v>
      </c>
      <c r="T27" s="82" t="n">
        <f aca="false">IFERROR(ROUND((R27/2)*M27+N27*M27,0),0)</f>
        <v>14467899</v>
      </c>
      <c r="U27" s="83" t="n">
        <f aca="false">S27+T27</f>
        <v>64525833</v>
      </c>
      <c r="V27" s="84" t="n">
        <f aca="false">IFERROR(ROUND(O27*1.5,0),1)</f>
        <v>296</v>
      </c>
      <c r="W27" s="85" t="n">
        <f aca="false">IFERROR(ROUND((F27/V27)*L27,0),0)</f>
        <v>16742350</v>
      </c>
      <c r="X27" s="84" t="n">
        <f aca="false">IFERROR(ROUND((F27/V27)*L27+(V27/2)*M27+N27*M27,0),0)</f>
        <v>56433045</v>
      </c>
      <c r="Y27" s="86" t="n">
        <f aca="false">MIN(K27,P27,U27,X27)</f>
        <v>52171297</v>
      </c>
      <c r="Z27" s="87" t="str">
        <f aca="false">IF(Y27=P27,"✅ EOQ (optimal)",IF(Y27=K27,"Q Obs Lama",IF(Y27=U27,"Q Kecil","Q Besar")))</f>
        <v>✅ EOQ (optimal)</v>
      </c>
      <c r="AA27" s="72" t="n">
        <f aca="false">MAX(0,K27-P27)</f>
        <v>9425136</v>
      </c>
      <c r="AB27" s="72" t="n">
        <f aca="false">IFERROR(AA27/K27,0)</f>
        <v>0.153014314968531</v>
      </c>
      <c r="AC27" s="0" t="str">
        <f aca="false">IF(Q27&gt;0,"Gunakan EOQ — hemat Rp "&amp;TEXT(Q27,"#,##0")&amp;"/thn","Tinjau ulang parameter")</f>
        <v>Gunakan EOQ — hemat Rp 9,425,136/thn</v>
      </c>
      <c r="AD27" s="0" t="str">
        <f aca="false">IF(N27&gt;0,"Gunakan EOQ — hemat Rp "&amp;TEXT(N27,"#,##0")&amp;"/thn","Tinjau ulang parameter S &amp; H")</f>
        <v>Gunakan EOQ — hemat Rp 7/thn</v>
      </c>
    </row>
    <row r="28" customFormat="false" ht="15.75" hidden="false" customHeight="true" outlineLevel="0" collapsed="false">
      <c r="A28" s="73" t="n">
        <v>21</v>
      </c>
      <c r="B28" s="73" t="s">
        <v>76</v>
      </c>
      <c r="C28" s="74" t="s">
        <v>77</v>
      </c>
      <c r="D28" s="73" t="s">
        <v>264</v>
      </c>
      <c r="E28" s="73" t="s">
        <v>36</v>
      </c>
      <c r="F28" s="75" t="n">
        <f aca="false">IFERROR(ROUND(AVERAGE('Data Historis 5 Tahun'!I107:I111),0),0)</f>
        <v>3911</v>
      </c>
      <c r="G28" s="75" t="n">
        <f aca="false">IFERROR(ROUND(AVERAGE('Data Historis 5 Tahun'!J107:J111)*1.2057,0),0)</f>
        <v>12995964</v>
      </c>
      <c r="H28" s="75" t="n">
        <f aca="false">IFERROR(ROUND(AVERAGE('Data Historis 5 Tahun'!K107:K111)*1.056,0),0)</f>
        <v>582711</v>
      </c>
      <c r="I28" s="75" t="n">
        <f aca="false">IFERROR(ROUND(1.65*AVERAGE('Data Historis 5 Tahun'!N107:N111)*SQRT(AVERAGE('Data Historis 5 Tahun'!H107:H111)),0),0)</f>
        <v>18</v>
      </c>
      <c r="J28" s="76" t="n">
        <f aca="false">IFERROR(MAX(1,ROUND(F28/12,0)),1)</f>
        <v>326</v>
      </c>
      <c r="K28" s="77" t="n">
        <f aca="false">IFERROR(ROUND((F28/J28)*G28+(J28/2)*H28+I28*H28,0),0)</f>
        <v>261382394</v>
      </c>
      <c r="L28" s="78" t="n">
        <f aca="false">IFERROR(ROUND(AVERAGE('Data Historis 5 Tahun'!J107:J111),0),0)</f>
        <v>10778771</v>
      </c>
      <c r="M28" s="79" t="n">
        <f aca="false">IFERROR(ROUND(AVERAGE('Data Historis 5 Tahun'!K107:K111),0),0)</f>
        <v>551810</v>
      </c>
      <c r="N28" s="79" t="n">
        <f aca="false">IFERROR(ROUND(1.65*AVERAGE('Data Historis 5 Tahun'!N107:N111)*SQRT(AVERAGE('Data Historis 5 Tahun'!H107:H111)),0),0)</f>
        <v>18</v>
      </c>
      <c r="O28" s="80" t="n">
        <f aca="false">IFERROR(ROUND(SQRT(2*F28*L28/M28),0),0)</f>
        <v>391</v>
      </c>
      <c r="P28" s="80" t="n">
        <f aca="false">IFERROR(ROUND((F28/O28)*L28+(O28/2)*M28+N28*M28,0),0)</f>
        <v>225626712</v>
      </c>
      <c r="Q28" s="80" t="n">
        <f aca="false">K28-P28</f>
        <v>35755682</v>
      </c>
      <c r="R28" s="81" t="n">
        <f aca="false">IFERROR(MAX(1,ROUND(O28*0.5,0)),1)</f>
        <v>196</v>
      </c>
      <c r="S28" s="82" t="n">
        <f aca="false">IFERROR(ROUND((F28/R28)*L28,0),0)</f>
        <v>215080476</v>
      </c>
      <c r="T28" s="82" t="n">
        <f aca="false">IFERROR(ROUND((R28/2)*M28+N28*M28,0),0)</f>
        <v>64009960</v>
      </c>
      <c r="U28" s="83" t="n">
        <f aca="false">S28+T28</f>
        <v>279090436</v>
      </c>
      <c r="V28" s="84" t="n">
        <f aca="false">IFERROR(ROUND(O28*1.5,0),1)</f>
        <v>587</v>
      </c>
      <c r="W28" s="85" t="n">
        <f aca="false">IFERROR(ROUND((F28/V28)*L28,0),0)</f>
        <v>71815628</v>
      </c>
      <c r="X28" s="84" t="n">
        <f aca="false">IFERROR(ROUND((F28/V28)*L28+(V28/2)*M28+N28*M28,0),0)</f>
        <v>243704443</v>
      </c>
      <c r="Y28" s="86" t="n">
        <f aca="false">MIN(K28,P28,U28,X28)</f>
        <v>225626712</v>
      </c>
      <c r="Z28" s="87" t="str">
        <f aca="false">IF(Y28=P28,"✅ EOQ (optimal)",IF(Y28=K28,"Q Obs Lama",IF(Y28=U28,"Q Kecil","Q Besar")))</f>
        <v>✅ EOQ (optimal)</v>
      </c>
      <c r="AA28" s="72" t="n">
        <f aca="false">MAX(0,K28-P28)</f>
        <v>35755682</v>
      </c>
      <c r="AB28" s="72" t="n">
        <f aca="false">IFERROR(AA28/K28,0)</f>
        <v>0.136794531004257</v>
      </c>
      <c r="AC28" s="0" t="str">
        <f aca="false">IF(Q28&gt;0,"Gunakan EOQ — hemat Rp "&amp;TEXT(Q28,"#,##0")&amp;"/thn","Tinjau ulang parameter")</f>
        <v>Gunakan EOQ — hemat Rp 35,755,682/thn</v>
      </c>
      <c r="AD28" s="0" t="str">
        <f aca="false">IF(N28&gt;0,"Gunakan EOQ — hemat Rp "&amp;TEXT(N28,"#,##0")&amp;"/thn","Tinjau ulang parameter S &amp; H")</f>
        <v>Gunakan EOQ — hemat Rp 18/thn</v>
      </c>
    </row>
    <row r="29" customFormat="false" ht="15.75" hidden="false" customHeight="true" outlineLevel="0" collapsed="false">
      <c r="A29" s="88" t="n">
        <v>22</v>
      </c>
      <c r="B29" s="88" t="s">
        <v>78</v>
      </c>
      <c r="C29" s="89" t="s">
        <v>79</v>
      </c>
      <c r="D29" s="88" t="s">
        <v>264</v>
      </c>
      <c r="E29" s="88" t="s">
        <v>36</v>
      </c>
      <c r="F29" s="75" t="n">
        <f aca="false">IFERROR(ROUND(AVERAGE('Data Historis 5 Tahun'!I112:I116),0),0)</f>
        <v>13122</v>
      </c>
      <c r="G29" s="75" t="n">
        <f aca="false">IFERROR(ROUND(AVERAGE('Data Historis 5 Tahun'!J112:J116)*1.1342,0),0)</f>
        <v>2718121</v>
      </c>
      <c r="H29" s="75" t="n">
        <f aca="false">IFERROR(ROUND(AVERAGE('Data Historis 5 Tahun'!K112:K116)*1.0876,0),0)</f>
        <v>594990</v>
      </c>
      <c r="I29" s="75" t="n">
        <f aca="false">IFERROR(ROUND(1.65*AVERAGE('Data Historis 5 Tahun'!N112:N116)*SQRT(AVERAGE('Data Historis 5 Tahun'!H112:H116)),0),0)</f>
        <v>33</v>
      </c>
      <c r="J29" s="76" t="n">
        <f aca="false">IFERROR(MAX(1,ROUND(F29/12,0)),1)</f>
        <v>1094</v>
      </c>
      <c r="K29" s="77" t="n">
        <f aca="false">IFERROR(ROUND((F29/J29)*G29+(J29/2)*H29+I29*H29,0),0)</f>
        <v>377696745</v>
      </c>
      <c r="L29" s="78" t="n">
        <f aca="false">IFERROR(ROUND(AVERAGE('Data Historis 5 Tahun'!J112:J116),0),0)</f>
        <v>2396509</v>
      </c>
      <c r="M29" s="79" t="n">
        <f aca="false">IFERROR(ROUND(AVERAGE('Data Historis 5 Tahun'!K112:K116),0),0)</f>
        <v>547067</v>
      </c>
      <c r="N29" s="79" t="n">
        <f aca="false">IFERROR(ROUND(1.65*AVERAGE('Data Historis 5 Tahun'!N112:N116)*SQRT(AVERAGE('Data Historis 5 Tahun'!H112:H116)),0),0)</f>
        <v>33</v>
      </c>
      <c r="O29" s="80" t="n">
        <f aca="false">IFERROR(ROUND(SQRT(2*F29*L29/M29),0),0)</f>
        <v>339</v>
      </c>
      <c r="P29" s="80" t="n">
        <f aca="false">IFERROR(ROUND((F29/O29)*L29+(O29/2)*M29+N29*M29,0),0)</f>
        <v>203545053</v>
      </c>
      <c r="Q29" s="80" t="n">
        <f aca="false">K29-P29</f>
        <v>174151692</v>
      </c>
      <c r="R29" s="81" t="n">
        <f aca="false">IFERROR(MAX(1,ROUND(O29*0.5,0)),1)</f>
        <v>170</v>
      </c>
      <c r="S29" s="82" t="n">
        <f aca="false">IFERROR(ROUND((F29/R29)*L29,0),0)</f>
        <v>184982301</v>
      </c>
      <c r="T29" s="82" t="n">
        <f aca="false">IFERROR(ROUND((R29/2)*M29+N29*M29,0),0)</f>
        <v>64553906</v>
      </c>
      <c r="U29" s="83" t="n">
        <f aca="false">S29+T29</f>
        <v>249536207</v>
      </c>
      <c r="V29" s="84" t="n">
        <f aca="false">IFERROR(ROUND(O29*1.5,0),1)</f>
        <v>509</v>
      </c>
      <c r="W29" s="85" t="n">
        <f aca="false">IFERROR(ROUND((F29/V29)*L29,0),0)</f>
        <v>61781908</v>
      </c>
      <c r="X29" s="84" t="n">
        <f aca="false">IFERROR(ROUND((F29/V29)*L29+(V29/2)*M29+N29*M29,0),0)</f>
        <v>219063670</v>
      </c>
      <c r="Y29" s="86" t="n">
        <f aca="false">MIN(K29,P29,U29,X29)</f>
        <v>203545053</v>
      </c>
      <c r="Z29" s="87" t="str">
        <f aca="false">IF(Y29=P29,"✅ EOQ (optimal)",IF(Y29=K29,"Q Obs Lama",IF(Y29=U29,"Q Kecil","Q Besar")))</f>
        <v>✅ EOQ (optimal)</v>
      </c>
      <c r="AA29" s="72" t="n">
        <f aca="false">MAX(0,K29-P29)</f>
        <v>174151692</v>
      </c>
      <c r="AB29" s="72" t="n">
        <f aca="false">IFERROR(AA29/K29,0)</f>
        <v>0.461088675784061</v>
      </c>
      <c r="AC29" s="0" t="str">
        <f aca="false">IF(Q29&gt;0,"Gunakan EOQ — hemat Rp "&amp;TEXT(Q29,"#,##0")&amp;"/thn","Tinjau ulang parameter")</f>
        <v>Gunakan EOQ — hemat Rp 174,151,692/thn</v>
      </c>
      <c r="AD29" s="0" t="str">
        <f aca="false">IF(N29&gt;0,"Gunakan EOQ — hemat Rp "&amp;TEXT(N29,"#,##0")&amp;"/thn","Tinjau ulang parameter S &amp; H")</f>
        <v>Gunakan EOQ — hemat Rp 33/thn</v>
      </c>
    </row>
    <row r="30" customFormat="false" ht="15.75" hidden="false" customHeight="true" outlineLevel="0" collapsed="false">
      <c r="A30" s="73" t="n">
        <v>23</v>
      </c>
      <c r="B30" s="73" t="s">
        <v>80</v>
      </c>
      <c r="C30" s="74" t="s">
        <v>81</v>
      </c>
      <c r="D30" s="73" t="s">
        <v>264</v>
      </c>
      <c r="E30" s="73" t="s">
        <v>36</v>
      </c>
      <c r="F30" s="75" t="n">
        <f aca="false">IFERROR(ROUND(AVERAGE('Data Historis 5 Tahun'!I117:I121),0),0)</f>
        <v>49265</v>
      </c>
      <c r="G30" s="75" t="n">
        <f aca="false">IFERROR(ROUND(AVERAGE('Data Historis 5 Tahun'!J117:J121)*1.112,0),0)</f>
        <v>558583</v>
      </c>
      <c r="H30" s="75" t="n">
        <f aca="false">IFERROR(ROUND(AVERAGE('Data Historis 5 Tahun'!K117:K121)*1.0803,0),0)</f>
        <v>588190</v>
      </c>
      <c r="I30" s="75" t="n">
        <f aca="false">IFERROR(ROUND(1.65*AVERAGE('Data Historis 5 Tahun'!N117:N121)*SQRT(AVERAGE('Data Historis 5 Tahun'!H117:H121)),0),0)</f>
        <v>152</v>
      </c>
      <c r="J30" s="76" t="n">
        <f aca="false">IFERROR(MAX(1,ROUND(F30/12,0)),1)</f>
        <v>4105</v>
      </c>
      <c r="K30" s="77" t="n">
        <f aca="false">IFERROR(ROUND((F30/J30)*G30+(J30/2)*H30+I30*H30,0),0)</f>
        <v>1303368531</v>
      </c>
      <c r="L30" s="78" t="n">
        <f aca="false">IFERROR(ROUND(AVERAGE('Data Historis 5 Tahun'!J117:J121),0),0)</f>
        <v>502323</v>
      </c>
      <c r="M30" s="79" t="n">
        <f aca="false">IFERROR(ROUND(AVERAGE('Data Historis 5 Tahun'!K117:K121),0),0)</f>
        <v>544469</v>
      </c>
      <c r="N30" s="79" t="n">
        <f aca="false">IFERROR(ROUND(1.65*AVERAGE('Data Historis 5 Tahun'!N117:N121)*SQRT(AVERAGE('Data Historis 5 Tahun'!H117:H121)),0),0)</f>
        <v>152</v>
      </c>
      <c r="O30" s="80" t="n">
        <f aca="false">IFERROR(ROUND(SQRT(2*F30*L30/M30),0),0)</f>
        <v>302</v>
      </c>
      <c r="P30" s="80" t="n">
        <f aca="false">IFERROR(ROUND((F30/O30)*L30+(O30/2)*M30+N30*M30,0),0)</f>
        <v>246917626</v>
      </c>
      <c r="Q30" s="80" t="n">
        <f aca="false">K30-P30</f>
        <v>1056450905</v>
      </c>
      <c r="R30" s="81" t="n">
        <f aca="false">IFERROR(MAX(1,ROUND(O30*0.5,0)),1)</f>
        <v>151</v>
      </c>
      <c r="S30" s="82" t="n">
        <f aca="false">IFERROR(ROUND((F30/R30)*L30,0),0)</f>
        <v>163887037</v>
      </c>
      <c r="T30" s="82" t="n">
        <f aca="false">IFERROR(ROUND((R30/2)*M30+N30*M30,0),0)</f>
        <v>123866698</v>
      </c>
      <c r="U30" s="83" t="n">
        <f aca="false">S30+T30</f>
        <v>287753735</v>
      </c>
      <c r="V30" s="84" t="n">
        <f aca="false">IFERROR(ROUND(O30*1.5,0),1)</f>
        <v>453</v>
      </c>
      <c r="W30" s="85" t="n">
        <f aca="false">IFERROR(ROUND((F30/V30)*L30,0),0)</f>
        <v>54629012</v>
      </c>
      <c r="X30" s="84" t="n">
        <f aca="false">IFERROR(ROUND((F30/V30)*L30+(V30/2)*M30+N30*M30,0),0)</f>
        <v>260710529</v>
      </c>
      <c r="Y30" s="86" t="n">
        <f aca="false">MIN(K30,P30,U30,X30)</f>
        <v>246917626</v>
      </c>
      <c r="Z30" s="87" t="str">
        <f aca="false">IF(Y30=P30,"✅ EOQ (optimal)",IF(Y30=K30,"Q Obs Lama",IF(Y30=U30,"Q Kecil","Q Besar")))</f>
        <v>✅ EOQ (optimal)</v>
      </c>
      <c r="AA30" s="72" t="n">
        <f aca="false">MAX(0,K30-P30)</f>
        <v>1056450905</v>
      </c>
      <c r="AB30" s="72" t="n">
        <f aca="false">IFERROR(AA30/K30,0)</f>
        <v>0.810554252210958</v>
      </c>
      <c r="AC30" s="0" t="str">
        <f aca="false">IF(Q30&gt;0,"Gunakan EOQ — hemat Rp "&amp;TEXT(Q30,"#,##0")&amp;"/thn","Tinjau ulang parameter")</f>
        <v>Gunakan EOQ — hemat Rp 1,056,450,905/thn</v>
      </c>
      <c r="AD30" s="0" t="str">
        <f aca="false">IF(N30&gt;0,"Gunakan EOQ — hemat Rp "&amp;TEXT(N30,"#,##0")&amp;"/thn","Tinjau ulang parameter S &amp; H")</f>
        <v>Gunakan EOQ — hemat Rp 152/thn</v>
      </c>
    </row>
    <row r="31" customFormat="false" ht="15.75" hidden="false" customHeight="true" outlineLevel="0" collapsed="false">
      <c r="A31" s="88" t="n">
        <v>24</v>
      </c>
      <c r="B31" s="88" t="s">
        <v>82</v>
      </c>
      <c r="C31" s="89" t="s">
        <v>83</v>
      </c>
      <c r="D31" s="88" t="s">
        <v>264</v>
      </c>
      <c r="E31" s="88" t="s">
        <v>36</v>
      </c>
      <c r="F31" s="75" t="n">
        <f aca="false">IFERROR(ROUND(AVERAGE('Data Historis 5 Tahun'!I122:I126),0),0)</f>
        <v>30675</v>
      </c>
      <c r="G31" s="75" t="n">
        <f aca="false">IFERROR(ROUND(AVERAGE('Data Historis 5 Tahun'!J122:J126)*1.1152,0),0)</f>
        <v>12673633</v>
      </c>
      <c r="H31" s="75" t="n">
        <f aca="false">IFERROR(ROUND(AVERAGE('Data Historis 5 Tahun'!K122:K126)*1.0861,0),0)</f>
        <v>287656</v>
      </c>
      <c r="I31" s="75" t="n">
        <f aca="false">IFERROR(ROUND(1.65*AVERAGE('Data Historis 5 Tahun'!N122:N126)*SQRT(AVERAGE('Data Historis 5 Tahun'!H122:H126)),0),0)</f>
        <v>204</v>
      </c>
      <c r="J31" s="76" t="n">
        <f aca="false">IFERROR(MAX(1,ROUND(F31/12,0)),1)</f>
        <v>2556</v>
      </c>
      <c r="K31" s="77" t="n">
        <f aca="false">IFERROR(ROUND((F31/J31)*G31+(J31/2)*H31+I31*H31,0),0)</f>
        <v>578404663</v>
      </c>
      <c r="L31" s="78" t="n">
        <f aca="false">IFERROR(ROUND(AVERAGE('Data Historis 5 Tahun'!J122:J126),0),0)</f>
        <v>11364448</v>
      </c>
      <c r="M31" s="79" t="n">
        <f aca="false">IFERROR(ROUND(AVERAGE('Data Historis 5 Tahun'!K122:K126),0),0)</f>
        <v>264853</v>
      </c>
      <c r="N31" s="79" t="n">
        <f aca="false">IFERROR(ROUND(1.65*AVERAGE('Data Historis 5 Tahun'!N122:N126)*SQRT(AVERAGE('Data Historis 5 Tahun'!H122:H126)),0),0)</f>
        <v>204</v>
      </c>
      <c r="O31" s="80" t="n">
        <f aca="false">IFERROR(ROUND(SQRT(2*F31*L31/M31),0),0)</f>
        <v>1622</v>
      </c>
      <c r="P31" s="80" t="n">
        <f aca="false">IFERROR(ROUND((F31/O31)*L31+(O31/2)*M31+N31*M31,0),0)</f>
        <v>483748386</v>
      </c>
      <c r="Q31" s="80" t="n">
        <f aca="false">K31-P31</f>
        <v>94656277</v>
      </c>
      <c r="R31" s="81" t="n">
        <f aca="false">IFERROR(MAX(1,ROUND(O31*0.5,0)),1)</f>
        <v>811</v>
      </c>
      <c r="S31" s="82" t="n">
        <f aca="false">IFERROR(ROUND((F31/R31)*L31,0),0)</f>
        <v>429845182</v>
      </c>
      <c r="T31" s="82" t="n">
        <f aca="false">IFERROR(ROUND((R31/2)*M31+N31*M31,0),0)</f>
        <v>161427904</v>
      </c>
      <c r="U31" s="83" t="n">
        <f aca="false">S31+T31</f>
        <v>591273086</v>
      </c>
      <c r="V31" s="84" t="n">
        <f aca="false">IFERROR(ROUND(O31*1.5,0),1)</f>
        <v>2433</v>
      </c>
      <c r="W31" s="85" t="n">
        <f aca="false">IFERROR(ROUND((F31/V31)*L31,0),0)</f>
        <v>143281727</v>
      </c>
      <c r="X31" s="84" t="n">
        <f aca="false">IFERROR(ROUND((F31/V31)*L31+(V31/2)*M31+N31*M31,0),0)</f>
        <v>519505414</v>
      </c>
      <c r="Y31" s="86" t="n">
        <f aca="false">MIN(K31,P31,U31,X31)</f>
        <v>483748386</v>
      </c>
      <c r="Z31" s="87" t="str">
        <f aca="false">IF(Y31=P31,"✅ EOQ (optimal)",IF(Y31=K31,"Q Obs Lama",IF(Y31=U31,"Q Kecil","Q Besar")))</f>
        <v>✅ EOQ (optimal)</v>
      </c>
      <c r="AA31" s="72" t="n">
        <f aca="false">MAX(0,K31-P31)</f>
        <v>94656277</v>
      </c>
      <c r="AB31" s="72" t="n">
        <f aca="false">IFERROR(AA31/K31,0)</f>
        <v>0.163650611855458</v>
      </c>
      <c r="AC31" s="0" t="str">
        <f aca="false">IF(Q31&gt;0,"Gunakan EOQ — hemat Rp "&amp;TEXT(Q31,"#,##0")&amp;"/thn","Tinjau ulang parameter")</f>
        <v>Gunakan EOQ — hemat Rp 94,656,277/thn</v>
      </c>
      <c r="AD31" s="0" t="str">
        <f aca="false">IF(N31&gt;0,"Gunakan EOQ — hemat Rp "&amp;TEXT(N31,"#,##0")&amp;"/thn","Tinjau ulang parameter S &amp; H")</f>
        <v>Gunakan EOQ — hemat Rp 204/thn</v>
      </c>
    </row>
    <row r="32" customFormat="false" ht="15.75" hidden="false" customHeight="true" outlineLevel="0" collapsed="false">
      <c r="A32" s="73" t="n">
        <v>25</v>
      </c>
      <c r="B32" s="73" t="s">
        <v>84</v>
      </c>
      <c r="C32" s="74" t="s">
        <v>85</v>
      </c>
      <c r="D32" s="73" t="s">
        <v>264</v>
      </c>
      <c r="E32" s="73" t="s">
        <v>36</v>
      </c>
      <c r="F32" s="75" t="n">
        <f aca="false">IFERROR(ROUND(AVERAGE('Data Historis 5 Tahun'!I127:I131),0),0)</f>
        <v>11249</v>
      </c>
      <c r="G32" s="75" t="n">
        <f aca="false">IFERROR(ROUND(AVERAGE('Data Historis 5 Tahun'!J127:J131)*1.1954,0),0)</f>
        <v>8420959</v>
      </c>
      <c r="H32" s="75" t="n">
        <f aca="false">IFERROR(ROUND(AVERAGE('Data Historis 5 Tahun'!K127:K131)*1.0974,0),0)</f>
        <v>567198</v>
      </c>
      <c r="I32" s="75" t="n">
        <f aca="false">IFERROR(ROUND(1.65*AVERAGE('Data Historis 5 Tahun'!N127:N131)*SQRT(AVERAGE('Data Historis 5 Tahun'!H127:H131)),0),0)</f>
        <v>65</v>
      </c>
      <c r="J32" s="76" t="n">
        <f aca="false">IFERROR(MAX(1,ROUND(F32/12,0)),1)</f>
        <v>937</v>
      </c>
      <c r="K32" s="77" t="n">
        <f aca="false">IFERROR(ROUND((F32/J32)*G32+(J32/2)*H32+I32*H32,0),0)</f>
        <v>403696577</v>
      </c>
      <c r="L32" s="78" t="n">
        <f aca="false">IFERROR(ROUND(AVERAGE('Data Historis 5 Tahun'!J127:J131),0),0)</f>
        <v>7044469</v>
      </c>
      <c r="M32" s="79" t="n">
        <f aca="false">IFERROR(ROUND(AVERAGE('Data Historis 5 Tahun'!K127:K131),0),0)</f>
        <v>516857</v>
      </c>
      <c r="N32" s="79" t="n">
        <f aca="false">IFERROR(ROUND(1.65*AVERAGE('Data Historis 5 Tahun'!N127:N131)*SQRT(AVERAGE('Data Historis 5 Tahun'!H127:H131)),0),0)</f>
        <v>65</v>
      </c>
      <c r="O32" s="80" t="n">
        <f aca="false">IFERROR(ROUND(SQRT(2*F32*L32/M32),0),0)</f>
        <v>554</v>
      </c>
      <c r="P32" s="80" t="n">
        <f aca="false">IFERROR(ROUND((F32/O32)*L32+(O32/2)*M32+N32*M32,0),0)</f>
        <v>319803419</v>
      </c>
      <c r="Q32" s="80" t="n">
        <f aca="false">K32-P32</f>
        <v>83893158</v>
      </c>
      <c r="R32" s="81" t="n">
        <f aca="false">IFERROR(MAX(1,ROUND(O32*0.5,0)),1)</f>
        <v>277</v>
      </c>
      <c r="S32" s="82" t="n">
        <f aca="false">IFERROR(ROUND((F32/R32)*L32,0),0)</f>
        <v>286076649</v>
      </c>
      <c r="T32" s="82" t="n">
        <f aca="false">IFERROR(ROUND((R32/2)*M32+N32*M32,0),0)</f>
        <v>105180400</v>
      </c>
      <c r="U32" s="83" t="n">
        <f aca="false">S32+T32</f>
        <v>391257049</v>
      </c>
      <c r="V32" s="84" t="n">
        <f aca="false">IFERROR(ROUND(O32*1.5,0),1)</f>
        <v>831</v>
      </c>
      <c r="W32" s="85" t="n">
        <f aca="false">IFERROR(ROUND((F32/V32)*L32,0),0)</f>
        <v>95358883</v>
      </c>
      <c r="X32" s="84" t="n">
        <f aca="false">IFERROR(ROUND((F32/V32)*L32+(V32/2)*M32+N32*M32,0),0)</f>
        <v>343708672</v>
      </c>
      <c r="Y32" s="86" t="n">
        <f aca="false">MIN(K32,P32,U32,X32)</f>
        <v>319803419</v>
      </c>
      <c r="Z32" s="87" t="str">
        <f aca="false">IF(Y32=P32,"✅ EOQ (optimal)",IF(Y32=K32,"Q Obs Lama",IF(Y32=U32,"Q Kecil","Q Besar")))</f>
        <v>✅ EOQ (optimal)</v>
      </c>
      <c r="AA32" s="72" t="n">
        <f aca="false">MAX(0,K32-P32)</f>
        <v>83893158</v>
      </c>
      <c r="AB32" s="72" t="n">
        <f aca="false">IFERROR(AA32/K32,0)</f>
        <v>0.207812408575364</v>
      </c>
      <c r="AC32" s="0" t="str">
        <f aca="false">IF(Q32&gt;0,"Gunakan EOQ — hemat Rp "&amp;TEXT(Q32,"#,##0")&amp;"/thn","Tinjau ulang parameter")</f>
        <v>Gunakan EOQ — hemat Rp 83,893,158/thn</v>
      </c>
      <c r="AD32" s="0" t="str">
        <f aca="false">IF(N32&gt;0,"Gunakan EOQ — hemat Rp "&amp;TEXT(N32,"#,##0")&amp;"/thn","Tinjau ulang parameter S &amp; H")</f>
        <v>Gunakan EOQ — hemat Rp 65/thn</v>
      </c>
    </row>
    <row r="33" customFormat="false" ht="15.75" hidden="false" customHeight="true" outlineLevel="0" collapsed="false">
      <c r="A33" s="88" t="n">
        <v>26</v>
      </c>
      <c r="B33" s="88" t="s">
        <v>86</v>
      </c>
      <c r="C33" s="89" t="s">
        <v>87</v>
      </c>
      <c r="D33" s="88" t="s">
        <v>263</v>
      </c>
      <c r="E33" s="88" t="s">
        <v>36</v>
      </c>
      <c r="F33" s="75" t="n">
        <f aca="false">IFERROR(ROUND(AVERAGE('Data Historis 5 Tahun'!I132:I136),0),0)</f>
        <v>50413</v>
      </c>
      <c r="G33" s="75" t="n">
        <f aca="false">IFERROR(ROUND(AVERAGE('Data Historis 5 Tahun'!J132:J136)*1.1555,0),0)</f>
        <v>7511959</v>
      </c>
      <c r="H33" s="75" t="n">
        <f aca="false">IFERROR(ROUND(AVERAGE('Data Historis 5 Tahun'!K132:K136)*1.0772,0),0)</f>
        <v>634890</v>
      </c>
      <c r="I33" s="75" t="n">
        <f aca="false">IFERROR(ROUND(1.65*AVERAGE('Data Historis 5 Tahun'!N132:N136)*SQRT(AVERAGE('Data Historis 5 Tahun'!H132:H136)),0),0)</f>
        <v>320</v>
      </c>
      <c r="J33" s="76" t="n">
        <f aca="false">IFERROR(MAX(1,ROUND(F33/12,0)),1)</f>
        <v>4201</v>
      </c>
      <c r="K33" s="77" t="n">
        <f aca="false">IFERROR(ROUND((F33/J33)*G33+(J33/2)*H33+I33*H33,0),0)</f>
        <v>1626896541</v>
      </c>
      <c r="L33" s="78" t="n">
        <f aca="false">IFERROR(ROUND(AVERAGE('Data Historis 5 Tahun'!J132:J136),0),0)</f>
        <v>6501046</v>
      </c>
      <c r="M33" s="79" t="n">
        <f aca="false">IFERROR(ROUND(AVERAGE('Data Historis 5 Tahun'!K132:K136),0),0)</f>
        <v>589389</v>
      </c>
      <c r="N33" s="79" t="n">
        <f aca="false">IFERROR(ROUND(1.65*AVERAGE('Data Historis 5 Tahun'!N132:N136)*SQRT(AVERAGE('Data Historis 5 Tahun'!H132:H136)),0),0)</f>
        <v>320</v>
      </c>
      <c r="O33" s="80" t="n">
        <f aca="false">IFERROR(ROUND(SQRT(2*F33*L33/M33),0),0)</f>
        <v>1055</v>
      </c>
      <c r="P33" s="80" t="n">
        <f aca="false">IFERROR(ROUND((F33/O33)*L33+(O33/2)*M33+N33*M33,0),0)</f>
        <v>810158582</v>
      </c>
      <c r="Q33" s="80" t="n">
        <f aca="false">K33-P33</f>
        <v>816737959</v>
      </c>
      <c r="R33" s="81" t="n">
        <f aca="false">IFERROR(MAX(1,ROUND(O33*0.5,0)),1)</f>
        <v>528</v>
      </c>
      <c r="S33" s="82" t="n">
        <f aca="false">IFERROR(ROUND((F33/R33)*L33,0),0)</f>
        <v>620714455</v>
      </c>
      <c r="T33" s="82" t="n">
        <f aca="false">IFERROR(ROUND((R33/2)*M33+N33*M33,0),0)</f>
        <v>344203176</v>
      </c>
      <c r="U33" s="83" t="n">
        <f aca="false">S33+T33</f>
        <v>964917631</v>
      </c>
      <c r="V33" s="84" t="n">
        <f aca="false">IFERROR(ROUND(O33*1.5,0),1)</f>
        <v>1583</v>
      </c>
      <c r="W33" s="85" t="n">
        <f aca="false">IFERROR(ROUND((F33/V33)*L33,0),0)</f>
        <v>207035522</v>
      </c>
      <c r="X33" s="84" t="n">
        <f aca="false">IFERROR(ROUND((F33/V33)*L33+(V33/2)*M33+N33*M33,0),0)</f>
        <v>862141396</v>
      </c>
      <c r="Y33" s="86" t="n">
        <f aca="false">MIN(K33,P33,U33,X33)</f>
        <v>810158582</v>
      </c>
      <c r="Z33" s="87" t="str">
        <f aca="false">IF(Y33=P33,"✅ EOQ (optimal)",IF(Y33=K33,"Q Obs Lama",IF(Y33=U33,"Q Kecil","Q Besar")))</f>
        <v>✅ EOQ (optimal)</v>
      </c>
      <c r="AA33" s="72" t="n">
        <f aca="false">MAX(0,K33-P33)</f>
        <v>816737959</v>
      </c>
      <c r="AB33" s="72" t="n">
        <f aca="false">IFERROR(AA33/K33,0)</f>
        <v>0.502022063737365</v>
      </c>
      <c r="AC33" s="0" t="str">
        <f aca="false">IF(Q33&gt;0,"Gunakan EOQ — hemat Rp "&amp;TEXT(Q33,"#,##0")&amp;"/thn","Tinjau ulang parameter")</f>
        <v>Gunakan EOQ — hemat Rp 816,737,959/thn</v>
      </c>
      <c r="AD33" s="0" t="str">
        <f aca="false">IF(N33&gt;0,"Gunakan EOQ — hemat Rp "&amp;TEXT(N33,"#,##0")&amp;"/thn","Tinjau ulang parameter S &amp; H")</f>
        <v>Gunakan EOQ — hemat Rp 320/thn</v>
      </c>
    </row>
    <row r="34" customFormat="false" ht="15.75" hidden="false" customHeight="true" outlineLevel="0" collapsed="false">
      <c r="A34" s="73" t="n">
        <v>27</v>
      </c>
      <c r="B34" s="73" t="s">
        <v>88</v>
      </c>
      <c r="C34" s="74" t="s">
        <v>89</v>
      </c>
      <c r="D34" s="73" t="s">
        <v>264</v>
      </c>
      <c r="E34" s="73" t="s">
        <v>36</v>
      </c>
      <c r="F34" s="75" t="n">
        <f aca="false">IFERROR(ROUND(AVERAGE('Data Historis 5 Tahun'!I137:I141),0),0)</f>
        <v>43228</v>
      </c>
      <c r="G34" s="75" t="n">
        <f aca="false">IFERROR(ROUND(AVERAGE('Data Historis 5 Tahun'!J137:J141)*1.14,0),0)</f>
        <v>2703657</v>
      </c>
      <c r="H34" s="75" t="n">
        <f aca="false">IFERROR(ROUND(AVERAGE('Data Historis 5 Tahun'!K137:K141)*1.1718,0),0)</f>
        <v>227841</v>
      </c>
      <c r="I34" s="75" t="n">
        <f aca="false">IFERROR(ROUND(1.65*AVERAGE('Data Historis 5 Tahun'!N137:N141)*SQRT(AVERAGE('Data Historis 5 Tahun'!H137:H141)),0),0)</f>
        <v>128</v>
      </c>
      <c r="J34" s="76" t="n">
        <f aca="false">IFERROR(MAX(1,ROUND(F34/12,0)),1)</f>
        <v>3602</v>
      </c>
      <c r="K34" s="77" t="n">
        <f aca="false">IFERROR(ROUND((F34/J34)*G34+(J34/2)*H34+I34*H34,0),0)</f>
        <v>471952175</v>
      </c>
      <c r="L34" s="78" t="n">
        <f aca="false">IFERROR(ROUND(AVERAGE('Data Historis 5 Tahun'!J137:J141),0),0)</f>
        <v>2371629</v>
      </c>
      <c r="M34" s="79" t="n">
        <f aca="false">IFERROR(ROUND(AVERAGE('Data Historis 5 Tahun'!K137:K141),0),0)</f>
        <v>194437</v>
      </c>
      <c r="N34" s="79" t="n">
        <f aca="false">IFERROR(ROUND(1.65*AVERAGE('Data Historis 5 Tahun'!N137:N141)*SQRT(AVERAGE('Data Historis 5 Tahun'!H137:H141)),0),0)</f>
        <v>128</v>
      </c>
      <c r="O34" s="80" t="n">
        <f aca="false">IFERROR(ROUND(SQRT(2*F34*L34/M34),0),0)</f>
        <v>1027</v>
      </c>
      <c r="P34" s="80" t="n">
        <f aca="false">IFERROR(ROUND((F34/O34)*L34+(O34/2)*M34+N34*M34,0),0)</f>
        <v>224556826</v>
      </c>
      <c r="Q34" s="80" t="n">
        <f aca="false">K34-P34</f>
        <v>247395349</v>
      </c>
      <c r="R34" s="81" t="n">
        <f aca="false">IFERROR(MAX(1,ROUND(O34*0.5,0)),1)</f>
        <v>514</v>
      </c>
      <c r="S34" s="82" t="n">
        <f aca="false">IFERROR(ROUND((F34/R34)*L34,0),0)</f>
        <v>199456767</v>
      </c>
      <c r="T34" s="82" t="n">
        <f aca="false">IFERROR(ROUND((R34/2)*M34+N34*M34,0),0)</f>
        <v>74858245</v>
      </c>
      <c r="U34" s="83" t="n">
        <f aca="false">S34+T34</f>
        <v>274315012</v>
      </c>
      <c r="V34" s="84" t="n">
        <f aca="false">IFERROR(ROUND(O34*1.5,0),1)</f>
        <v>1541</v>
      </c>
      <c r="W34" s="85" t="n">
        <f aca="false">IFERROR(ROUND((F34/V34)*L34,0),0)</f>
        <v>66528734</v>
      </c>
      <c r="X34" s="84" t="n">
        <f aca="false">IFERROR(ROUND((F34/V34)*L34+(V34/2)*M34+N34*M34,0),0)</f>
        <v>241230378</v>
      </c>
      <c r="Y34" s="86" t="n">
        <f aca="false">MIN(K34,P34,U34,X34)</f>
        <v>224556826</v>
      </c>
      <c r="Z34" s="87" t="str">
        <f aca="false">IF(Y34=P34,"✅ EOQ (optimal)",IF(Y34=K34,"Q Obs Lama",IF(Y34=U34,"Q Kecil","Q Besar")))</f>
        <v>✅ EOQ (optimal)</v>
      </c>
      <c r="AA34" s="72" t="n">
        <f aca="false">MAX(0,K34-P34)</f>
        <v>247395349</v>
      </c>
      <c r="AB34" s="72" t="n">
        <f aca="false">IFERROR(AA34/K34,0)</f>
        <v>0.524195802254752</v>
      </c>
      <c r="AC34" s="0" t="str">
        <f aca="false">IF(Q34&gt;0,"Gunakan EOQ — hemat Rp "&amp;TEXT(Q34,"#,##0")&amp;"/thn","Tinjau ulang parameter")</f>
        <v>Gunakan EOQ — hemat Rp 247,395,349/thn</v>
      </c>
      <c r="AD34" s="0" t="str">
        <f aca="false">IF(N34&gt;0,"Gunakan EOQ — hemat Rp "&amp;TEXT(N34,"#,##0")&amp;"/thn","Tinjau ulang parameter S &amp; H")</f>
        <v>Gunakan EOQ — hemat Rp 128/thn</v>
      </c>
    </row>
    <row r="35" customFormat="false" ht="15.75" hidden="false" customHeight="true" outlineLevel="0" collapsed="false">
      <c r="A35" s="88" t="n">
        <v>28</v>
      </c>
      <c r="B35" s="88" t="s">
        <v>90</v>
      </c>
      <c r="C35" s="89" t="s">
        <v>91</v>
      </c>
      <c r="D35" s="88" t="s">
        <v>263</v>
      </c>
      <c r="E35" s="88" t="s">
        <v>36</v>
      </c>
      <c r="F35" s="75" t="n">
        <f aca="false">IFERROR(ROUND(AVERAGE('Data Historis 5 Tahun'!I142:I146),0),0)</f>
        <v>18984</v>
      </c>
      <c r="G35" s="75" t="n">
        <f aca="false">IFERROR(ROUND(AVERAGE('Data Historis 5 Tahun'!J142:J146)*1.1972,0),0)</f>
        <v>935953</v>
      </c>
      <c r="H35" s="75" t="n">
        <f aca="false">IFERROR(ROUND(AVERAGE('Data Historis 5 Tahun'!K142:K146)*1.1292,0),0)</f>
        <v>298216</v>
      </c>
      <c r="I35" s="75" t="n">
        <f aca="false">IFERROR(ROUND(1.65*AVERAGE('Data Historis 5 Tahun'!N142:N146)*SQRT(AVERAGE('Data Historis 5 Tahun'!H142:H146)),0),0)</f>
        <v>60</v>
      </c>
      <c r="J35" s="76" t="n">
        <f aca="false">IFERROR(MAX(1,ROUND(F35/12,0)),1)</f>
        <v>1582</v>
      </c>
      <c r="K35" s="77" t="n">
        <f aca="false">IFERROR(ROUND((F35/J35)*G35+(J35/2)*H35+I35*H35,0),0)</f>
        <v>265013252</v>
      </c>
      <c r="L35" s="78" t="n">
        <f aca="false">IFERROR(ROUND(AVERAGE('Data Historis 5 Tahun'!J142:J146),0),0)</f>
        <v>781785</v>
      </c>
      <c r="M35" s="79" t="n">
        <f aca="false">IFERROR(ROUND(AVERAGE('Data Historis 5 Tahun'!K142:K146),0),0)</f>
        <v>264095</v>
      </c>
      <c r="N35" s="79" t="n">
        <f aca="false">IFERROR(ROUND(1.65*AVERAGE('Data Historis 5 Tahun'!N142:N146)*SQRT(AVERAGE('Data Historis 5 Tahun'!H142:H146)),0),0)</f>
        <v>60</v>
      </c>
      <c r="O35" s="80" t="n">
        <f aca="false">IFERROR(ROUND(SQRT(2*F35*L35/M35),0),0)</f>
        <v>335</v>
      </c>
      <c r="P35" s="80" t="n">
        <f aca="false">IFERROR(ROUND((F35/O35)*L35+(O35/2)*M35+N35*M35,0),0)</f>
        <v>104384318</v>
      </c>
      <c r="Q35" s="80" t="n">
        <f aca="false">K35-P35</f>
        <v>160628934</v>
      </c>
      <c r="R35" s="81" t="n">
        <f aca="false">IFERROR(MAX(1,ROUND(O35*0.5,0)),1)</f>
        <v>168</v>
      </c>
      <c r="S35" s="82" t="n">
        <f aca="false">IFERROR(ROUND((F35/R35)*L35,0),0)</f>
        <v>88341705</v>
      </c>
      <c r="T35" s="82" t="n">
        <f aca="false">IFERROR(ROUND((R35/2)*M35+N35*M35,0),0)</f>
        <v>38029680</v>
      </c>
      <c r="U35" s="83" t="n">
        <f aca="false">S35+T35</f>
        <v>126371385</v>
      </c>
      <c r="V35" s="84" t="n">
        <f aca="false">IFERROR(ROUND(O35*1.5,0),1)</f>
        <v>503</v>
      </c>
      <c r="W35" s="85" t="n">
        <f aca="false">IFERROR(ROUND((F35/V35)*L35,0),0)</f>
        <v>29505778</v>
      </c>
      <c r="X35" s="84" t="n">
        <f aca="false">IFERROR(ROUND((F35/V35)*L35+(V35/2)*M35+N35*M35,0),0)</f>
        <v>111771371</v>
      </c>
      <c r="Y35" s="86" t="n">
        <f aca="false">MIN(K35,P35,U35,X35)</f>
        <v>104384318</v>
      </c>
      <c r="Z35" s="87" t="str">
        <f aca="false">IF(Y35=P35,"✅ EOQ (optimal)",IF(Y35=K35,"Q Obs Lama",IF(Y35=U35,"Q Kecil","Q Besar")))</f>
        <v>✅ EOQ (optimal)</v>
      </c>
      <c r="AA35" s="72" t="n">
        <f aca="false">MAX(0,K35-P35)</f>
        <v>160628934</v>
      </c>
      <c r="AB35" s="72" t="n">
        <f aca="false">IFERROR(AA35/K35,0)</f>
        <v>0.606116610349735</v>
      </c>
      <c r="AC35" s="0" t="str">
        <f aca="false">IF(Q35&gt;0,"Gunakan EOQ — hemat Rp "&amp;TEXT(Q35,"#,##0")&amp;"/thn","Tinjau ulang parameter")</f>
        <v>Gunakan EOQ — hemat Rp 160,628,934/thn</v>
      </c>
      <c r="AD35" s="0" t="str">
        <f aca="false">IF(N35&gt;0,"Gunakan EOQ — hemat Rp "&amp;TEXT(N35,"#,##0")&amp;"/thn","Tinjau ulang parameter S &amp; H")</f>
        <v>Gunakan EOQ — hemat Rp 60/thn</v>
      </c>
    </row>
    <row r="36" customFormat="false" ht="15.75" hidden="false" customHeight="true" outlineLevel="0" collapsed="false">
      <c r="A36" s="73" t="n">
        <v>29</v>
      </c>
      <c r="B36" s="73" t="s">
        <v>92</v>
      </c>
      <c r="C36" s="74" t="s">
        <v>93</v>
      </c>
      <c r="D36" s="73" t="s">
        <v>264</v>
      </c>
      <c r="E36" s="73" t="s">
        <v>36</v>
      </c>
      <c r="F36" s="75" t="n">
        <f aca="false">IFERROR(ROUND(AVERAGE('Data Historis 5 Tahun'!I147:I151),0),0)</f>
        <v>16011</v>
      </c>
      <c r="G36" s="75" t="n">
        <f aca="false">IFERROR(ROUND(AVERAGE('Data Historis 5 Tahun'!J147:J151)*1.1257,0),0)</f>
        <v>9948364</v>
      </c>
      <c r="H36" s="75" t="n">
        <f aca="false">IFERROR(ROUND(AVERAGE('Data Historis 5 Tahun'!K147:K151)*1.1448,0),0)</f>
        <v>280826</v>
      </c>
      <c r="I36" s="75" t="n">
        <f aca="false">IFERROR(ROUND(1.65*AVERAGE('Data Historis 5 Tahun'!N147:N151)*SQRT(AVERAGE('Data Historis 5 Tahun'!H147:H151)),0),0)</f>
        <v>91</v>
      </c>
      <c r="J36" s="76" t="n">
        <f aca="false">IFERROR(MAX(1,ROUND(F36/12,0)),1)</f>
        <v>1334</v>
      </c>
      <c r="K36" s="77" t="n">
        <f aca="false">IFERROR(ROUND((F36/J36)*G36+(J36/2)*H36+I36*H36,0),0)</f>
        <v>332268849</v>
      </c>
      <c r="L36" s="78" t="n">
        <f aca="false">IFERROR(ROUND(AVERAGE('Data Historis 5 Tahun'!J147:J151),0),0)</f>
        <v>8837491</v>
      </c>
      <c r="M36" s="79" t="n">
        <f aca="false">IFERROR(ROUND(AVERAGE('Data Historis 5 Tahun'!K147:K151),0),0)</f>
        <v>245306</v>
      </c>
      <c r="N36" s="79" t="n">
        <f aca="false">IFERROR(ROUND(1.65*AVERAGE('Data Historis 5 Tahun'!N147:N151)*SQRT(AVERAGE('Data Historis 5 Tahun'!H147:H151)),0),0)</f>
        <v>91</v>
      </c>
      <c r="O36" s="80" t="n">
        <f aca="false">IFERROR(ROUND(SQRT(2*F36*L36/M36),0),0)</f>
        <v>1074</v>
      </c>
      <c r="P36" s="80" t="n">
        <f aca="false">IFERROR(ROUND((F36/O36)*L36+(O36/2)*M36+N36*M36,0),0)</f>
        <v>285799904</v>
      </c>
      <c r="Q36" s="80" t="n">
        <f aca="false">K36-P36</f>
        <v>46468945</v>
      </c>
      <c r="R36" s="81" t="n">
        <f aca="false">IFERROR(MAX(1,ROUND(O36*0.5,0)),1)</f>
        <v>537</v>
      </c>
      <c r="S36" s="82" t="n">
        <f aca="false">IFERROR(ROUND((F36/R36)*L36,0),0)</f>
        <v>263495472</v>
      </c>
      <c r="T36" s="82" t="n">
        <f aca="false">IFERROR(ROUND((R36/2)*M36+N36*M36,0),0)</f>
        <v>88187507</v>
      </c>
      <c r="U36" s="83" t="n">
        <f aca="false">S36+T36</f>
        <v>351682979</v>
      </c>
      <c r="V36" s="84" t="n">
        <f aca="false">IFERROR(ROUND(O36*1.5,0),1)</f>
        <v>1611</v>
      </c>
      <c r="W36" s="85" t="n">
        <f aca="false">IFERROR(ROUND((F36/V36)*L36,0),0)</f>
        <v>87831824</v>
      </c>
      <c r="X36" s="84" t="n">
        <f aca="false">IFERROR(ROUND((F36/V36)*L36+(V36/2)*M36+N36*M36,0),0)</f>
        <v>307748653</v>
      </c>
      <c r="Y36" s="86" t="n">
        <f aca="false">MIN(K36,P36,U36,X36)</f>
        <v>285799904</v>
      </c>
      <c r="Z36" s="87" t="str">
        <f aca="false">IF(Y36=P36,"✅ EOQ (optimal)",IF(Y36=K36,"Q Obs Lama",IF(Y36=U36,"Q Kecil","Q Besar")))</f>
        <v>✅ EOQ (optimal)</v>
      </c>
      <c r="AA36" s="72" t="n">
        <f aca="false">MAX(0,K36-P36)</f>
        <v>46468945</v>
      </c>
      <c r="AB36" s="72" t="n">
        <f aca="false">IFERROR(AA36/K36,0)</f>
        <v>0.139853450420807</v>
      </c>
      <c r="AC36" s="0" t="str">
        <f aca="false">IF(Q36&gt;0,"Gunakan EOQ — hemat Rp "&amp;TEXT(Q36,"#,##0")&amp;"/thn","Tinjau ulang parameter")</f>
        <v>Gunakan EOQ — hemat Rp 46,468,945/thn</v>
      </c>
      <c r="AD36" s="0" t="str">
        <f aca="false">IF(N36&gt;0,"Gunakan EOQ — hemat Rp "&amp;TEXT(N36,"#,##0")&amp;"/thn","Tinjau ulang parameter S &amp; H")</f>
        <v>Gunakan EOQ — hemat Rp 91/thn</v>
      </c>
    </row>
    <row r="37" customFormat="false" ht="15.75" hidden="false" customHeight="true" outlineLevel="0" collapsed="false">
      <c r="A37" s="88" t="n">
        <v>30</v>
      </c>
      <c r="B37" s="88" t="s">
        <v>94</v>
      </c>
      <c r="C37" s="89" t="s">
        <v>95</v>
      </c>
      <c r="D37" s="88" t="s">
        <v>263</v>
      </c>
      <c r="E37" s="88" t="s">
        <v>36</v>
      </c>
      <c r="F37" s="75" t="n">
        <f aca="false">IFERROR(ROUND(AVERAGE('Data Historis 5 Tahun'!I152:I156),0),0)</f>
        <v>14744</v>
      </c>
      <c r="G37" s="75" t="n">
        <f aca="false">IFERROR(ROUND(AVERAGE('Data Historis 5 Tahun'!J152:J156)*1.1245,0),0)</f>
        <v>843153</v>
      </c>
      <c r="H37" s="75" t="n">
        <f aca="false">IFERROR(ROUND(AVERAGE('Data Historis 5 Tahun'!K152:K156)*1.0993,0),0)</f>
        <v>342853</v>
      </c>
      <c r="I37" s="75" t="n">
        <f aca="false">IFERROR(ROUND(1.65*AVERAGE('Data Historis 5 Tahun'!N152:N156)*SQRT(AVERAGE('Data Historis 5 Tahun'!H152:H156)),0),0)</f>
        <v>31</v>
      </c>
      <c r="J37" s="76" t="n">
        <f aca="false">IFERROR(MAX(1,ROUND(F37/12,0)),1)</f>
        <v>1229</v>
      </c>
      <c r="K37" s="77" t="n">
        <f aca="false">IFERROR(ROUND((F37/J37)*G37+(J37/2)*H37+I37*H37,0),0)</f>
        <v>231426703</v>
      </c>
      <c r="L37" s="78" t="n">
        <f aca="false">IFERROR(ROUND(AVERAGE('Data Historis 5 Tahun'!J152:J156),0),0)</f>
        <v>749803</v>
      </c>
      <c r="M37" s="79" t="n">
        <f aca="false">IFERROR(ROUND(AVERAGE('Data Historis 5 Tahun'!K152:K156),0),0)</f>
        <v>311883</v>
      </c>
      <c r="N37" s="79" t="n">
        <f aca="false">IFERROR(ROUND(1.65*AVERAGE('Data Historis 5 Tahun'!N152:N156)*SQRT(AVERAGE('Data Historis 5 Tahun'!H152:H156)),0),0)</f>
        <v>31</v>
      </c>
      <c r="O37" s="80" t="n">
        <f aca="false">IFERROR(ROUND(SQRT(2*F37*L37/M37),0),0)</f>
        <v>266</v>
      </c>
      <c r="P37" s="80" t="n">
        <f aca="false">IFERROR(ROUND((F37/O37)*L37+(O37/2)*M37+N37*M37,0),0)</f>
        <v>92709321</v>
      </c>
      <c r="Q37" s="80" t="n">
        <f aca="false">K37-P37</f>
        <v>138717382</v>
      </c>
      <c r="R37" s="81" t="n">
        <f aca="false">IFERROR(MAX(1,ROUND(O37*0.5,0)),1)</f>
        <v>133</v>
      </c>
      <c r="S37" s="82" t="n">
        <f aca="false">IFERROR(ROUND((F37/R37)*L37,0),0)</f>
        <v>83121018</v>
      </c>
      <c r="T37" s="82" t="n">
        <f aca="false">IFERROR(ROUND((R37/2)*M37+N37*M37,0),0)</f>
        <v>30408593</v>
      </c>
      <c r="U37" s="83" t="n">
        <f aca="false">S37+T37</f>
        <v>113529611</v>
      </c>
      <c r="V37" s="84" t="n">
        <f aca="false">IFERROR(ROUND(O37*1.5,0),1)</f>
        <v>399</v>
      </c>
      <c r="W37" s="85" t="n">
        <f aca="false">IFERROR(ROUND((F37/V37)*L37,0),0)</f>
        <v>27707006</v>
      </c>
      <c r="X37" s="84" t="n">
        <f aca="false">IFERROR(ROUND((F37/V37)*L37+(V37/2)*M37+N37*M37,0),0)</f>
        <v>99596038</v>
      </c>
      <c r="Y37" s="86" t="n">
        <f aca="false">MIN(K37,P37,U37,X37)</f>
        <v>92709321</v>
      </c>
      <c r="Z37" s="87" t="str">
        <f aca="false">IF(Y37=P37,"✅ EOQ (optimal)",IF(Y37=K37,"Q Obs Lama",IF(Y37=U37,"Q Kecil","Q Besar")))</f>
        <v>✅ EOQ (optimal)</v>
      </c>
      <c r="AA37" s="72" t="n">
        <f aca="false">MAX(0,K37-P37)</f>
        <v>138717382</v>
      </c>
      <c r="AB37" s="72" t="n">
        <f aca="false">IFERROR(AA37/K37,0)</f>
        <v>0.599400934299271</v>
      </c>
      <c r="AC37" s="0" t="str">
        <f aca="false">IF(Q37&gt;0,"Gunakan EOQ — hemat Rp "&amp;TEXT(Q37,"#,##0")&amp;"/thn","Tinjau ulang parameter")</f>
        <v>Gunakan EOQ — hemat Rp 138,717,382/thn</v>
      </c>
      <c r="AD37" s="0" t="str">
        <f aca="false">IF(N37&gt;0,"Gunakan EOQ — hemat Rp "&amp;TEXT(N37,"#,##0")&amp;"/thn","Tinjau ulang parameter S &amp; H")</f>
        <v>Gunakan EOQ — hemat Rp 31/thn</v>
      </c>
    </row>
    <row r="38" customFormat="false" ht="15.75" hidden="false" customHeight="true" outlineLevel="0" collapsed="false">
      <c r="A38" s="73" t="n">
        <v>31</v>
      </c>
      <c r="B38" s="73" t="s">
        <v>96</v>
      </c>
      <c r="C38" s="74" t="s">
        <v>97</v>
      </c>
      <c r="D38" s="73" t="s">
        <v>263</v>
      </c>
      <c r="E38" s="73" t="s">
        <v>36</v>
      </c>
      <c r="F38" s="75" t="n">
        <f aca="false">IFERROR(ROUND(AVERAGE('Data Historis 5 Tahun'!I157:I161),0),0)</f>
        <v>44261</v>
      </c>
      <c r="G38" s="75" t="n">
        <f aca="false">IFERROR(ROUND(AVERAGE('Data Historis 5 Tahun'!J157:J161)*1.2484,0),0)</f>
        <v>6433758</v>
      </c>
      <c r="H38" s="75" t="n">
        <f aca="false">IFERROR(ROUND(AVERAGE('Data Historis 5 Tahun'!K157:K161)*1.1332,0),0)</f>
        <v>290079</v>
      </c>
      <c r="I38" s="75" t="n">
        <f aca="false">IFERROR(ROUND(1.65*AVERAGE('Data Historis 5 Tahun'!N157:N161)*SQRT(AVERAGE('Data Historis 5 Tahun'!H157:H161)),0),0)</f>
        <v>251</v>
      </c>
      <c r="J38" s="76" t="n">
        <f aca="false">IFERROR(MAX(1,ROUND(F38/12,0)),1)</f>
        <v>3688</v>
      </c>
      <c r="K38" s="77" t="n">
        <f aca="false">IFERROR(ROUND((F38/J38)*G38+(J38/2)*H38+I38*H38,0),0)</f>
        <v>684929324</v>
      </c>
      <c r="L38" s="78" t="n">
        <f aca="false">IFERROR(ROUND(AVERAGE('Data Historis 5 Tahun'!J157:J161),0),0)</f>
        <v>5153603</v>
      </c>
      <c r="M38" s="79" t="n">
        <f aca="false">IFERROR(ROUND(AVERAGE('Data Historis 5 Tahun'!K157:K161),0),0)</f>
        <v>255982</v>
      </c>
      <c r="N38" s="79" t="n">
        <f aca="false">IFERROR(ROUND(1.65*AVERAGE('Data Historis 5 Tahun'!N157:N161)*SQRT(AVERAGE('Data Historis 5 Tahun'!H157:H161)),0),0)</f>
        <v>251</v>
      </c>
      <c r="O38" s="80" t="n">
        <f aca="false">IFERROR(ROUND(SQRT(2*F38*L38/M38),0),0)</f>
        <v>1335</v>
      </c>
      <c r="P38" s="80" t="n">
        <f aca="false">IFERROR(ROUND((F38/O38)*L38+(O38/2)*M38+N38*M38,0),0)</f>
        <v>405983604</v>
      </c>
      <c r="Q38" s="80" t="n">
        <f aca="false">K38-P38</f>
        <v>278945720</v>
      </c>
      <c r="R38" s="81" t="n">
        <f aca="false">IFERROR(MAX(1,ROUND(O38*0.5,0)),1)</f>
        <v>668</v>
      </c>
      <c r="S38" s="82" t="n">
        <f aca="false">IFERROR(ROUND((F38/R38)*L38,0),0)</f>
        <v>341472489</v>
      </c>
      <c r="T38" s="82" t="n">
        <f aca="false">IFERROR(ROUND((R38/2)*M38+N38*M38,0),0)</f>
        <v>149749470</v>
      </c>
      <c r="U38" s="83" t="n">
        <f aca="false">S38+T38</f>
        <v>491221959</v>
      </c>
      <c r="V38" s="84" t="n">
        <f aca="false">IFERROR(ROUND(O38*1.5,0),1)</f>
        <v>2003</v>
      </c>
      <c r="W38" s="85" t="n">
        <f aca="false">IFERROR(ROUND((F38/V38)*L38,0),0)</f>
        <v>113880990</v>
      </c>
      <c r="X38" s="84" t="n">
        <f aca="false">IFERROR(ROUND((F38/V38)*L38+(V38/2)*M38+N38*M38,0),0)</f>
        <v>434498445</v>
      </c>
      <c r="Y38" s="86" t="n">
        <f aca="false">MIN(K38,P38,U38,X38)</f>
        <v>405983604</v>
      </c>
      <c r="Z38" s="87" t="str">
        <f aca="false">IF(Y38=P38,"✅ EOQ (optimal)",IF(Y38=K38,"Q Obs Lama",IF(Y38=U38,"Q Kecil","Q Besar")))</f>
        <v>✅ EOQ (optimal)</v>
      </c>
      <c r="AA38" s="72" t="n">
        <f aca="false">MAX(0,K38-P38)</f>
        <v>278945720</v>
      </c>
      <c r="AB38" s="72" t="n">
        <f aca="false">IFERROR(AA38/K38,0)</f>
        <v>0.40726204912786</v>
      </c>
      <c r="AC38" s="0" t="str">
        <f aca="false">IF(Q38&gt;0,"Gunakan EOQ — hemat Rp "&amp;TEXT(Q38,"#,##0")&amp;"/thn","Tinjau ulang parameter")</f>
        <v>Gunakan EOQ — hemat Rp 278,945,720/thn</v>
      </c>
      <c r="AD38" s="0" t="str">
        <f aca="false">IF(N38&gt;0,"Gunakan EOQ — hemat Rp "&amp;TEXT(N38,"#,##0")&amp;"/thn","Tinjau ulang parameter S &amp; H")</f>
        <v>Gunakan EOQ — hemat Rp 251/thn</v>
      </c>
    </row>
    <row r="39" customFormat="false" ht="15.75" hidden="false" customHeight="true" outlineLevel="0" collapsed="false">
      <c r="A39" s="88" t="n">
        <v>32</v>
      </c>
      <c r="B39" s="88" t="s">
        <v>98</v>
      </c>
      <c r="C39" s="89" t="s">
        <v>99</v>
      </c>
      <c r="D39" s="88" t="s">
        <v>264</v>
      </c>
      <c r="E39" s="88" t="s">
        <v>36</v>
      </c>
      <c r="F39" s="75" t="n">
        <f aca="false">IFERROR(ROUND(AVERAGE('Data Historis 5 Tahun'!I162:I166),0),0)</f>
        <v>15186</v>
      </c>
      <c r="G39" s="75" t="n">
        <f aca="false">IFERROR(ROUND(AVERAGE('Data Historis 5 Tahun'!J162:J166)*1.1835,0),0)</f>
        <v>7587725</v>
      </c>
      <c r="H39" s="75" t="n">
        <f aca="false">IFERROR(ROUND(AVERAGE('Data Historis 5 Tahun'!K162:K166)*1.139,0),0)</f>
        <v>480980</v>
      </c>
      <c r="I39" s="75" t="n">
        <f aca="false">IFERROR(ROUND(1.65*AVERAGE('Data Historis 5 Tahun'!N162:N166)*SQRT(AVERAGE('Data Historis 5 Tahun'!H162:H166)),0),0)</f>
        <v>103</v>
      </c>
      <c r="J39" s="76" t="n">
        <f aca="false">IFERROR(MAX(1,ROUND(F39/12,0)),1)</f>
        <v>1266</v>
      </c>
      <c r="K39" s="77" t="n">
        <f aca="false">IFERROR(ROUND((F39/J39)*G39+(J39/2)*H39+I39*H39,0),0)</f>
        <v>445018019</v>
      </c>
      <c r="L39" s="78" t="n">
        <f aca="false">IFERROR(ROUND(AVERAGE('Data Historis 5 Tahun'!J162:J166),0),0)</f>
        <v>6411259</v>
      </c>
      <c r="M39" s="79" t="n">
        <f aca="false">IFERROR(ROUND(AVERAGE('Data Historis 5 Tahun'!K162:K166),0),0)</f>
        <v>422283</v>
      </c>
      <c r="N39" s="79" t="n">
        <f aca="false">IFERROR(ROUND(1.65*AVERAGE('Data Historis 5 Tahun'!N162:N166)*SQRT(AVERAGE('Data Historis 5 Tahun'!H162:H166)),0),0)</f>
        <v>103</v>
      </c>
      <c r="O39" s="80" t="n">
        <f aca="false">IFERROR(ROUND(SQRT(2*F39*L39/M39),0),0)</f>
        <v>679</v>
      </c>
      <c r="P39" s="80" t="n">
        <f aca="false">IFERROR(ROUND((F39/O39)*L39+(O39/2)*M39+N39*M39,0),0)</f>
        <v>330249593</v>
      </c>
      <c r="Q39" s="80" t="n">
        <f aca="false">K39-P39</f>
        <v>114768426</v>
      </c>
      <c r="R39" s="81" t="n">
        <f aca="false">IFERROR(MAX(1,ROUND(O39*0.5,0)),1)</f>
        <v>340</v>
      </c>
      <c r="S39" s="82" t="n">
        <f aca="false">IFERROR(ROUND((F39/R39)*L39,0),0)</f>
        <v>286356998</v>
      </c>
      <c r="T39" s="82" t="n">
        <f aca="false">IFERROR(ROUND((R39/2)*M39+N39*M39,0),0)</f>
        <v>115283259</v>
      </c>
      <c r="U39" s="83" t="n">
        <f aca="false">S39+T39</f>
        <v>401640257</v>
      </c>
      <c r="V39" s="84" t="n">
        <f aca="false">IFERROR(ROUND(O39*1.5,0),1)</f>
        <v>1019</v>
      </c>
      <c r="W39" s="85" t="n">
        <f aca="false">IFERROR(ROUND((F39/V39)*L39,0),0)</f>
        <v>95546005</v>
      </c>
      <c r="X39" s="84" t="n">
        <f aca="false">IFERROR(ROUND((F39/V39)*L39+(V39/2)*M39+N39*M39,0),0)</f>
        <v>354194343</v>
      </c>
      <c r="Y39" s="86" t="n">
        <f aca="false">MIN(K39,P39,U39,X39)</f>
        <v>330249593</v>
      </c>
      <c r="Z39" s="87" t="str">
        <f aca="false">IF(Y39=P39,"✅ EOQ (optimal)",IF(Y39=K39,"Q Obs Lama",IF(Y39=U39,"Q Kecil","Q Besar")))</f>
        <v>✅ EOQ (optimal)</v>
      </c>
      <c r="AA39" s="72" t="n">
        <f aca="false">MAX(0,K39-P39)</f>
        <v>114768426</v>
      </c>
      <c r="AB39" s="72" t="n">
        <f aca="false">IFERROR(AA39/K39,0)</f>
        <v>0.257896132515929</v>
      </c>
      <c r="AC39" s="0" t="str">
        <f aca="false">IF(Q39&gt;0,"Gunakan EOQ — hemat Rp "&amp;TEXT(Q39,"#,##0")&amp;"/thn","Tinjau ulang parameter")</f>
        <v>Gunakan EOQ — hemat Rp 114,768,426/thn</v>
      </c>
      <c r="AD39" s="0" t="str">
        <f aca="false">IF(N39&gt;0,"Gunakan EOQ — hemat Rp "&amp;TEXT(N39,"#,##0")&amp;"/thn","Tinjau ulang parameter S &amp; H")</f>
        <v>Gunakan EOQ — hemat Rp 103/thn</v>
      </c>
    </row>
    <row r="40" customFormat="false" ht="15.75" hidden="false" customHeight="true" outlineLevel="0" collapsed="false">
      <c r="A40" s="73" t="n">
        <v>33</v>
      </c>
      <c r="B40" s="73" t="s">
        <v>100</v>
      </c>
      <c r="C40" s="74" t="s">
        <v>101</v>
      </c>
      <c r="D40" s="73" t="s">
        <v>264</v>
      </c>
      <c r="E40" s="73" t="s">
        <v>36</v>
      </c>
      <c r="F40" s="75" t="n">
        <f aca="false">IFERROR(ROUND(AVERAGE('Data Historis 5 Tahun'!I167:I171),0),0)</f>
        <v>16471</v>
      </c>
      <c r="G40" s="75" t="n">
        <f aca="false">IFERROR(ROUND(AVERAGE('Data Historis 5 Tahun'!J167:J171)*1.2264,0),0)</f>
        <v>2530049</v>
      </c>
      <c r="H40" s="75" t="n">
        <f aca="false">IFERROR(ROUND(AVERAGE('Data Historis 5 Tahun'!K167:K171)*1.1509,0),0)</f>
        <v>349618</v>
      </c>
      <c r="I40" s="75" t="n">
        <f aca="false">IFERROR(ROUND(1.65*AVERAGE('Data Historis 5 Tahun'!N167:N171)*SQRT(AVERAGE('Data Historis 5 Tahun'!H167:H171)),0),0)</f>
        <v>40</v>
      </c>
      <c r="J40" s="76" t="n">
        <f aca="false">IFERROR(MAX(1,ROUND(F40/12,0)),1)</f>
        <v>1373</v>
      </c>
      <c r="K40" s="77" t="n">
        <f aca="false">IFERROR(ROUND((F40/J40)*G40+(J40/2)*H40+I40*H40,0),0)</f>
        <v>284348851</v>
      </c>
      <c r="L40" s="78" t="n">
        <f aca="false">IFERROR(ROUND(AVERAGE('Data Historis 5 Tahun'!J167:J171),0),0)</f>
        <v>2062989</v>
      </c>
      <c r="M40" s="79" t="n">
        <f aca="false">IFERROR(ROUND(AVERAGE('Data Historis 5 Tahun'!K167:K171),0),0)</f>
        <v>303778</v>
      </c>
      <c r="N40" s="79" t="n">
        <f aca="false">IFERROR(ROUND(1.65*AVERAGE('Data Historis 5 Tahun'!N167:N171)*SQRT(AVERAGE('Data Historis 5 Tahun'!H167:H171)),0),0)</f>
        <v>40</v>
      </c>
      <c r="O40" s="80" t="n">
        <f aca="false">IFERROR(ROUND(SQRT(2*F40*L40/M40),0),0)</f>
        <v>473</v>
      </c>
      <c r="P40" s="80" t="n">
        <f aca="false">IFERROR(ROUND((F40/O40)*L40+(O40/2)*M40+N40*M40,0),0)</f>
        <v>155832866</v>
      </c>
      <c r="Q40" s="80" t="n">
        <f aca="false">K40-P40</f>
        <v>128515985</v>
      </c>
      <c r="R40" s="81" t="n">
        <f aca="false">IFERROR(MAX(1,ROUND(O40*0.5,0)),1)</f>
        <v>237</v>
      </c>
      <c r="S40" s="82" t="n">
        <f aca="false">IFERROR(ROUND((F40/R40)*L40,0),0)</f>
        <v>143373383</v>
      </c>
      <c r="T40" s="82" t="n">
        <f aca="false">IFERROR(ROUND((R40/2)*M40+N40*M40,0),0)</f>
        <v>48148813</v>
      </c>
      <c r="U40" s="83" t="n">
        <f aca="false">S40+T40</f>
        <v>191522196</v>
      </c>
      <c r="V40" s="84" t="n">
        <f aca="false">IFERROR(ROUND(O40*1.5,0),1)</f>
        <v>710</v>
      </c>
      <c r="W40" s="85" t="n">
        <f aca="false">IFERROR(ROUND((F40/V40)*L40,0),0)</f>
        <v>47858439</v>
      </c>
      <c r="X40" s="84" t="n">
        <f aca="false">IFERROR(ROUND((F40/V40)*L40+(V40/2)*M40+N40*M40,0),0)</f>
        <v>167850749</v>
      </c>
      <c r="Y40" s="86" t="n">
        <f aca="false">MIN(K40,P40,U40,X40)</f>
        <v>155832866</v>
      </c>
      <c r="Z40" s="87" t="str">
        <f aca="false">IF(Y40=P40,"✅ EOQ (optimal)",IF(Y40=K40,"Q Obs Lama",IF(Y40=U40,"Q Kecil","Q Besar")))</f>
        <v>✅ EOQ (optimal)</v>
      </c>
      <c r="AA40" s="72" t="n">
        <f aca="false">MAX(0,K40-P40)</f>
        <v>128515985</v>
      </c>
      <c r="AB40" s="72" t="n">
        <f aca="false">IFERROR(AA40/K40,0)</f>
        <v>0.451965902264187</v>
      </c>
      <c r="AC40" s="0" t="str">
        <f aca="false">IF(Q40&gt;0,"Gunakan EOQ — hemat Rp "&amp;TEXT(Q40,"#,##0")&amp;"/thn","Tinjau ulang parameter")</f>
        <v>Gunakan EOQ — hemat Rp 128,515,985/thn</v>
      </c>
      <c r="AD40" s="0" t="str">
        <f aca="false">IF(N40&gt;0,"Gunakan EOQ — hemat Rp "&amp;TEXT(N40,"#,##0")&amp;"/thn","Tinjau ulang parameter S &amp; H")</f>
        <v>Gunakan EOQ — hemat Rp 40/thn</v>
      </c>
    </row>
    <row r="41" customFormat="false" ht="15.75" hidden="false" customHeight="true" outlineLevel="0" collapsed="false">
      <c r="A41" s="88" t="n">
        <v>34</v>
      </c>
      <c r="B41" s="88" t="s">
        <v>102</v>
      </c>
      <c r="C41" s="89" t="s">
        <v>103</v>
      </c>
      <c r="D41" s="88" t="s">
        <v>263</v>
      </c>
      <c r="E41" s="88" t="s">
        <v>36</v>
      </c>
      <c r="F41" s="75" t="n">
        <f aca="false">IFERROR(ROUND(AVERAGE('Data Historis 5 Tahun'!I172:I176),0),0)</f>
        <v>41752</v>
      </c>
      <c r="G41" s="75" t="n">
        <f aca="false">IFERROR(ROUND(AVERAGE('Data Historis 5 Tahun'!J172:J176)*1.1344,0),0)</f>
        <v>1615555</v>
      </c>
      <c r="H41" s="75" t="n">
        <f aca="false">IFERROR(ROUND(AVERAGE('Data Historis 5 Tahun'!K172:K176)*1.0542,0),0)</f>
        <v>264883</v>
      </c>
      <c r="I41" s="75" t="n">
        <f aca="false">IFERROR(ROUND(1.65*AVERAGE('Data Historis 5 Tahun'!N172:N176)*SQRT(AVERAGE('Data Historis 5 Tahun'!H172:H176)),0),0)</f>
        <v>123</v>
      </c>
      <c r="J41" s="76" t="n">
        <f aca="false">IFERROR(MAX(1,ROUND(F41/12,0)),1)</f>
        <v>3479</v>
      </c>
      <c r="K41" s="77" t="n">
        <f aca="false">IFERROR(ROUND((F41/J41)*G41+(J41/2)*H41+I41*H41,0),0)</f>
        <v>512733105</v>
      </c>
      <c r="L41" s="78" t="n">
        <f aca="false">IFERROR(ROUND(AVERAGE('Data Historis 5 Tahun'!J172:J176),0),0)</f>
        <v>1424150</v>
      </c>
      <c r="M41" s="79" t="n">
        <f aca="false">IFERROR(ROUND(AVERAGE('Data Historis 5 Tahun'!K172:K176),0),0)</f>
        <v>251264</v>
      </c>
      <c r="N41" s="79" t="n">
        <f aca="false">IFERROR(ROUND(1.65*AVERAGE('Data Historis 5 Tahun'!N172:N176)*SQRT(AVERAGE('Data Historis 5 Tahun'!H172:H176)),0),0)</f>
        <v>123</v>
      </c>
      <c r="O41" s="80" t="n">
        <f aca="false">IFERROR(ROUND(SQRT(2*F41*L41/M41),0),0)</f>
        <v>688</v>
      </c>
      <c r="P41" s="80" t="n">
        <f aca="false">IFERROR(ROUND((F41/O41)*L41+(O41/2)*M41+N41*M41,0),0)</f>
        <v>203766321</v>
      </c>
      <c r="Q41" s="80" t="n">
        <f aca="false">K41-P41</f>
        <v>308966784</v>
      </c>
      <c r="R41" s="81" t="n">
        <f aca="false">IFERROR(MAX(1,ROUND(O41*0.5,0)),1)</f>
        <v>344</v>
      </c>
      <c r="S41" s="82" t="n">
        <f aca="false">IFERROR(ROUND((F41/R41)*L41,0),0)</f>
        <v>172852066</v>
      </c>
      <c r="T41" s="82" t="n">
        <f aca="false">IFERROR(ROUND((R41/2)*M41+N41*M41,0),0)</f>
        <v>74122880</v>
      </c>
      <c r="U41" s="83" t="n">
        <f aca="false">S41+T41</f>
        <v>246974946</v>
      </c>
      <c r="V41" s="84" t="n">
        <f aca="false">IFERROR(ROUND(O41*1.5,0),1)</f>
        <v>1032</v>
      </c>
      <c r="W41" s="85" t="n">
        <f aca="false">IFERROR(ROUND((F41/V41)*L41,0),0)</f>
        <v>57617355</v>
      </c>
      <c r="X41" s="84" t="n">
        <f aca="false">IFERROR(ROUND((F41/V41)*L41+(V41/2)*M41+N41*M41,0),0)</f>
        <v>218175051</v>
      </c>
      <c r="Y41" s="86" t="n">
        <f aca="false">MIN(K41,P41,U41,X41)</f>
        <v>203766321</v>
      </c>
      <c r="Z41" s="87" t="str">
        <f aca="false">IF(Y41=P41,"✅ EOQ (optimal)",IF(Y41=K41,"Q Obs Lama",IF(Y41=U41,"Q Kecil","Q Besar")))</f>
        <v>✅ EOQ (optimal)</v>
      </c>
      <c r="AA41" s="72" t="n">
        <f aca="false">MAX(0,K41-P41)</f>
        <v>308966784</v>
      </c>
      <c r="AB41" s="72" t="n">
        <f aca="false">IFERROR(AA41/K41,0)</f>
        <v>0.602587937051578</v>
      </c>
      <c r="AC41" s="0" t="str">
        <f aca="false">IF(Q41&gt;0,"Gunakan EOQ — hemat Rp "&amp;TEXT(Q41,"#,##0")&amp;"/thn","Tinjau ulang parameter")</f>
        <v>Gunakan EOQ — hemat Rp 308,966,784/thn</v>
      </c>
      <c r="AD41" s="0" t="str">
        <f aca="false">IF(N41&gt;0,"Gunakan EOQ — hemat Rp "&amp;TEXT(N41,"#,##0")&amp;"/thn","Tinjau ulang parameter S &amp; H")</f>
        <v>Gunakan EOQ — hemat Rp 123/thn</v>
      </c>
    </row>
    <row r="42" customFormat="false" ht="15.75" hidden="false" customHeight="true" outlineLevel="0" collapsed="false">
      <c r="A42" s="73" t="n">
        <v>35</v>
      </c>
      <c r="B42" s="73" t="s">
        <v>104</v>
      </c>
      <c r="C42" s="74" t="s">
        <v>105</v>
      </c>
      <c r="D42" s="73" t="s">
        <v>263</v>
      </c>
      <c r="E42" s="73" t="s">
        <v>57</v>
      </c>
      <c r="F42" s="75" t="n">
        <f aca="false">IFERROR(ROUND(AVERAGE('Data Historis 5 Tahun'!I177:I181),0),0)</f>
        <v>5110</v>
      </c>
      <c r="G42" s="75" t="n">
        <f aca="false">IFERROR(ROUND(AVERAGE('Data Historis 5 Tahun'!J177:J181)*1.1473,0),0)</f>
        <v>1178967</v>
      </c>
      <c r="H42" s="75" t="n">
        <f aca="false">IFERROR(ROUND(AVERAGE('Data Historis 5 Tahun'!K177:K181)*1.0848,0),0)</f>
        <v>172458</v>
      </c>
      <c r="I42" s="75" t="n">
        <f aca="false">IFERROR(ROUND(1.65*AVERAGE('Data Historis 5 Tahun'!N177:N181)*SQRT(AVERAGE('Data Historis 5 Tahun'!H177:H181)),0),0)</f>
        <v>16</v>
      </c>
      <c r="J42" s="76" t="n">
        <f aca="false">IFERROR(MAX(1,ROUND(F42/12,0)),1)</f>
        <v>426</v>
      </c>
      <c r="K42" s="77" t="n">
        <f aca="false">IFERROR(ROUND((F42/J42)*G42+(J42/2)*H42+I42*H42,0),0)</f>
        <v>53634951</v>
      </c>
      <c r="L42" s="78" t="n">
        <f aca="false">IFERROR(ROUND(AVERAGE('Data Historis 5 Tahun'!J177:J181),0),0)</f>
        <v>1027601</v>
      </c>
      <c r="M42" s="79" t="n">
        <f aca="false">IFERROR(ROUND(AVERAGE('Data Historis 5 Tahun'!K177:K181),0),0)</f>
        <v>158977</v>
      </c>
      <c r="N42" s="79" t="n">
        <f aca="false">IFERROR(ROUND(1.65*AVERAGE('Data Historis 5 Tahun'!N177:N181)*SQRT(AVERAGE('Data Historis 5 Tahun'!H177:H181)),0),0)</f>
        <v>16</v>
      </c>
      <c r="O42" s="80" t="n">
        <f aca="false">IFERROR(ROUND(SQRT(2*F42*L42/M42),0),0)</f>
        <v>257</v>
      </c>
      <c r="P42" s="80" t="n">
        <f aca="false">IFERROR(ROUND((F42/O42)*L42+(O42/2)*M42+N42*M42,0),0)</f>
        <v>43404243</v>
      </c>
      <c r="Q42" s="80" t="n">
        <f aca="false">K42-P42</f>
        <v>10230708</v>
      </c>
      <c r="R42" s="81" t="n">
        <f aca="false">IFERROR(MAX(1,ROUND(O42*0.5,0)),1)</f>
        <v>129</v>
      </c>
      <c r="S42" s="82" t="n">
        <f aca="false">IFERROR(ROUND((F42/R42)*L42,0),0)</f>
        <v>40705745</v>
      </c>
      <c r="T42" s="82" t="n">
        <f aca="false">IFERROR(ROUND((R42/2)*M42+N42*M42,0),0)</f>
        <v>12797649</v>
      </c>
      <c r="U42" s="83" t="n">
        <f aca="false">S42+T42</f>
        <v>53503394</v>
      </c>
      <c r="V42" s="84" t="n">
        <f aca="false">IFERROR(ROUND(O42*1.5,0),1)</f>
        <v>386</v>
      </c>
      <c r="W42" s="85" t="n">
        <f aca="false">IFERROR(ROUND((F42/V42)*L42,0),0)</f>
        <v>13603733</v>
      </c>
      <c r="X42" s="84" t="n">
        <f aca="false">IFERROR(ROUND((F42/V42)*L42+(V42/2)*M42+N42*M42,0),0)</f>
        <v>46829926</v>
      </c>
      <c r="Y42" s="86" t="n">
        <f aca="false">MIN(K42,P42,U42,X42)</f>
        <v>43404243</v>
      </c>
      <c r="Z42" s="87" t="str">
        <f aca="false">IF(Y42=P42,"✅ EOQ (optimal)",IF(Y42=K42,"Q Obs Lama",IF(Y42=U42,"Q Kecil","Q Besar")))</f>
        <v>✅ EOQ (optimal)</v>
      </c>
      <c r="AA42" s="72" t="n">
        <f aca="false">MAX(0,K42-P42)</f>
        <v>10230708</v>
      </c>
      <c r="AB42" s="72" t="n">
        <f aca="false">IFERROR(AA42/K42,0)</f>
        <v>0.190747037319005</v>
      </c>
      <c r="AC42" s="0" t="str">
        <f aca="false">IF(Q42&gt;0,"Gunakan EOQ — hemat Rp "&amp;TEXT(Q42,"#,##0")&amp;"/thn","Tinjau ulang parameter")</f>
        <v>Gunakan EOQ — hemat Rp 10,230,708/thn</v>
      </c>
      <c r="AD42" s="0" t="str">
        <f aca="false">IF(N42&gt;0,"Gunakan EOQ — hemat Rp "&amp;TEXT(N42,"#,##0")&amp;"/thn","Tinjau ulang parameter S &amp; H")</f>
        <v>Gunakan EOQ — hemat Rp 16/thn</v>
      </c>
    </row>
    <row r="43" customFormat="false" ht="15.75" hidden="false" customHeight="true" outlineLevel="0" collapsed="false">
      <c r="A43" s="88" t="n">
        <v>36</v>
      </c>
      <c r="B43" s="88" t="s">
        <v>106</v>
      </c>
      <c r="C43" s="89" t="s">
        <v>107</v>
      </c>
      <c r="D43" s="88" t="s">
        <v>263</v>
      </c>
      <c r="E43" s="88" t="s">
        <v>36</v>
      </c>
      <c r="F43" s="75" t="n">
        <f aca="false">IFERROR(ROUND(AVERAGE('Data Historis 5 Tahun'!I182:I186),0),0)</f>
        <v>11769</v>
      </c>
      <c r="G43" s="75" t="n">
        <f aca="false">IFERROR(ROUND(AVERAGE('Data Historis 5 Tahun'!J182:J186)*1.1316,0),0)</f>
        <v>9573748</v>
      </c>
      <c r="H43" s="75" t="n">
        <f aca="false">IFERROR(ROUND(AVERAGE('Data Historis 5 Tahun'!K182:K186)*1.1726,0),0)</f>
        <v>481365</v>
      </c>
      <c r="I43" s="75" t="n">
        <f aca="false">IFERROR(ROUND(1.65*AVERAGE('Data Historis 5 Tahun'!N182:N186)*SQRT(AVERAGE('Data Historis 5 Tahun'!H182:H186)),0),0)</f>
        <v>70</v>
      </c>
      <c r="J43" s="76" t="n">
        <f aca="false">IFERROR(MAX(1,ROUND(F43/12,0)),1)</f>
        <v>981</v>
      </c>
      <c r="K43" s="77" t="n">
        <f aca="false">IFERROR(ROUND((F43/J43)*G43+(J43/2)*H43+I43*H43,0),0)</f>
        <v>384660781</v>
      </c>
      <c r="L43" s="78" t="n">
        <f aca="false">IFERROR(ROUND(AVERAGE('Data Historis 5 Tahun'!J182:J186),0),0)</f>
        <v>8460364</v>
      </c>
      <c r="M43" s="79" t="n">
        <f aca="false">IFERROR(ROUND(AVERAGE('Data Historis 5 Tahun'!K182:K186),0),0)</f>
        <v>410511</v>
      </c>
      <c r="N43" s="79" t="n">
        <f aca="false">IFERROR(ROUND(1.65*AVERAGE('Data Historis 5 Tahun'!N182:N186)*SQRT(AVERAGE('Data Historis 5 Tahun'!H182:H186)),0),0)</f>
        <v>70</v>
      </c>
      <c r="O43" s="80" t="n">
        <f aca="false">IFERROR(ROUND(SQRT(2*F43*L43/M43),0),0)</f>
        <v>696</v>
      </c>
      <c r="P43" s="80" t="n">
        <f aca="false">IFERROR(ROUND((F43/O43)*L43+(O43/2)*M43+N43*M43,0),0)</f>
        <v>314653977</v>
      </c>
      <c r="Q43" s="80" t="n">
        <f aca="false">K43-P43</f>
        <v>70006804</v>
      </c>
      <c r="R43" s="81" t="n">
        <f aca="false">IFERROR(MAX(1,ROUND(O43*0.5,0)),1)</f>
        <v>348</v>
      </c>
      <c r="S43" s="82" t="n">
        <f aca="false">IFERROR(ROUND((F43/R43)*L43,0),0)</f>
        <v>286120758</v>
      </c>
      <c r="T43" s="82" t="n">
        <f aca="false">IFERROR(ROUND((R43/2)*M43+N43*M43,0),0)</f>
        <v>100164684</v>
      </c>
      <c r="U43" s="83" t="n">
        <f aca="false">S43+T43</f>
        <v>386285442</v>
      </c>
      <c r="V43" s="84" t="n">
        <f aca="false">IFERROR(ROUND(O43*1.5,0),1)</f>
        <v>1044</v>
      </c>
      <c r="W43" s="85" t="n">
        <f aca="false">IFERROR(ROUND((F43/V43)*L43,0),0)</f>
        <v>95373586</v>
      </c>
      <c r="X43" s="84" t="n">
        <f aca="false">IFERROR(ROUND((F43/V43)*L43+(V43/2)*M43+N43*M43,0),0)</f>
        <v>338396098</v>
      </c>
      <c r="Y43" s="86" t="n">
        <f aca="false">MIN(K43,P43,U43,X43)</f>
        <v>314653977</v>
      </c>
      <c r="Z43" s="87" t="str">
        <f aca="false">IF(Y43=P43,"✅ EOQ (optimal)",IF(Y43=K43,"Q Obs Lama",IF(Y43=U43,"Q Kecil","Q Besar")))</f>
        <v>✅ EOQ (optimal)</v>
      </c>
      <c r="AA43" s="72" t="n">
        <f aca="false">MAX(0,K43-P43)</f>
        <v>70006804</v>
      </c>
      <c r="AB43" s="72" t="n">
        <f aca="false">IFERROR(AA43/K43,0)</f>
        <v>0.181996209278221</v>
      </c>
      <c r="AC43" s="0" t="str">
        <f aca="false">IF(Q43&gt;0,"Gunakan EOQ — hemat Rp "&amp;TEXT(Q43,"#,##0")&amp;"/thn","Tinjau ulang parameter")</f>
        <v>Gunakan EOQ — hemat Rp 70,006,804/thn</v>
      </c>
      <c r="AD43" s="0" t="str">
        <f aca="false">IF(N43&gt;0,"Gunakan EOQ — hemat Rp "&amp;TEXT(N43,"#,##0")&amp;"/thn","Tinjau ulang parameter S &amp; H")</f>
        <v>Gunakan EOQ — hemat Rp 70/thn</v>
      </c>
    </row>
    <row r="44" customFormat="false" ht="15.75" hidden="false" customHeight="true" outlineLevel="0" collapsed="false">
      <c r="A44" s="73" t="n">
        <v>37</v>
      </c>
      <c r="B44" s="73" t="s">
        <v>108</v>
      </c>
      <c r="C44" s="74" t="s">
        <v>109</v>
      </c>
      <c r="D44" s="73" t="s">
        <v>263</v>
      </c>
      <c r="E44" s="73" t="s">
        <v>36</v>
      </c>
      <c r="F44" s="75" t="n">
        <f aca="false">IFERROR(ROUND(AVERAGE('Data Historis 5 Tahun'!I187:I191),0),0)</f>
        <v>29184</v>
      </c>
      <c r="G44" s="75" t="n">
        <f aca="false">IFERROR(ROUND(AVERAGE('Data Historis 5 Tahun'!J187:J191)*1.2315,0),0)</f>
        <v>3089424</v>
      </c>
      <c r="H44" s="75" t="n">
        <f aca="false">IFERROR(ROUND(AVERAGE('Data Historis 5 Tahun'!K187:K191)*1.0909,0),0)</f>
        <v>222046</v>
      </c>
      <c r="I44" s="75" t="n">
        <f aca="false">IFERROR(ROUND(1.65*AVERAGE('Data Historis 5 Tahun'!N187:N191)*SQRT(AVERAGE('Data Historis 5 Tahun'!H187:H191)),0),0)</f>
        <v>76</v>
      </c>
      <c r="J44" s="76" t="n">
        <f aca="false">IFERROR(MAX(1,ROUND(F44/12,0)),1)</f>
        <v>2432</v>
      </c>
      <c r="K44" s="77" t="n">
        <f aca="false">IFERROR(ROUND((F44/J44)*G44+(J44/2)*H44+I44*H44,0),0)</f>
        <v>323956520</v>
      </c>
      <c r="L44" s="78" t="n">
        <f aca="false">IFERROR(ROUND(AVERAGE('Data Historis 5 Tahun'!J187:J191),0),0)</f>
        <v>2508668</v>
      </c>
      <c r="M44" s="79" t="n">
        <f aca="false">IFERROR(ROUND(AVERAGE('Data Historis 5 Tahun'!K187:K191),0),0)</f>
        <v>203544</v>
      </c>
      <c r="N44" s="79" t="n">
        <f aca="false">IFERROR(ROUND(1.65*AVERAGE('Data Historis 5 Tahun'!N187:N191)*SQRT(AVERAGE('Data Historis 5 Tahun'!H187:H191)),0),0)</f>
        <v>76</v>
      </c>
      <c r="O44" s="80" t="n">
        <f aca="false">IFERROR(ROUND(SQRT(2*F44*L44/M44),0),0)</f>
        <v>848</v>
      </c>
      <c r="P44" s="80" t="n">
        <f aca="false">IFERROR(ROUND((F44/O44)*L44+(O44/2)*M44+N44*M44,0),0)</f>
        <v>188108046</v>
      </c>
      <c r="Q44" s="80" t="n">
        <f aca="false">K44-P44</f>
        <v>135848474</v>
      </c>
      <c r="R44" s="81" t="n">
        <f aca="false">IFERROR(MAX(1,ROUND(O44*0.5,0)),1)</f>
        <v>424</v>
      </c>
      <c r="S44" s="82" t="n">
        <f aca="false">IFERROR(ROUND((F44/R44)*L44,0),0)</f>
        <v>172672092</v>
      </c>
      <c r="T44" s="82" t="n">
        <f aca="false">IFERROR(ROUND((R44/2)*M44+N44*M44,0),0)</f>
        <v>58620672</v>
      </c>
      <c r="U44" s="83" t="n">
        <f aca="false">S44+T44</f>
        <v>231292764</v>
      </c>
      <c r="V44" s="84" t="n">
        <f aca="false">IFERROR(ROUND(O44*1.5,0),1)</f>
        <v>1272</v>
      </c>
      <c r="W44" s="85" t="n">
        <f aca="false">IFERROR(ROUND((F44/V44)*L44,0),0)</f>
        <v>57557364</v>
      </c>
      <c r="X44" s="84" t="n">
        <f aca="false">IFERROR(ROUND((F44/V44)*L44+(V44/2)*M44+N44*M44,0),0)</f>
        <v>202480692</v>
      </c>
      <c r="Y44" s="86" t="n">
        <f aca="false">MIN(K44,P44,U44,X44)</f>
        <v>188108046</v>
      </c>
      <c r="Z44" s="87" t="str">
        <f aca="false">IF(Y44=P44,"✅ EOQ (optimal)",IF(Y44=K44,"Q Obs Lama",IF(Y44=U44,"Q Kecil","Q Besar")))</f>
        <v>✅ EOQ (optimal)</v>
      </c>
      <c r="AA44" s="72" t="n">
        <f aca="false">MAX(0,K44-P44)</f>
        <v>135848474</v>
      </c>
      <c r="AB44" s="72" t="n">
        <f aca="false">IFERROR(AA44/K44,0)</f>
        <v>0.419341688199392</v>
      </c>
      <c r="AC44" s="0" t="str">
        <f aca="false">IF(Q44&gt;0,"Gunakan EOQ — hemat Rp "&amp;TEXT(Q44,"#,##0")&amp;"/thn","Tinjau ulang parameter")</f>
        <v>Gunakan EOQ — hemat Rp 135,848,474/thn</v>
      </c>
      <c r="AD44" s="0" t="str">
        <f aca="false">IF(N44&gt;0,"Gunakan EOQ — hemat Rp "&amp;TEXT(N44,"#,##0")&amp;"/thn","Tinjau ulang parameter S &amp; H")</f>
        <v>Gunakan EOQ — hemat Rp 76/thn</v>
      </c>
    </row>
    <row r="45" customFormat="false" ht="15.75" hidden="false" customHeight="true" outlineLevel="0" collapsed="false">
      <c r="A45" s="88" t="n">
        <v>38</v>
      </c>
      <c r="B45" s="88" t="s">
        <v>110</v>
      </c>
      <c r="C45" s="89" t="s">
        <v>111</v>
      </c>
      <c r="D45" s="88" t="s">
        <v>263</v>
      </c>
      <c r="E45" s="88" t="s">
        <v>36</v>
      </c>
      <c r="F45" s="75" t="n">
        <f aca="false">IFERROR(ROUND(AVERAGE('Data Historis 5 Tahun'!I192:I196),0),0)</f>
        <v>51398</v>
      </c>
      <c r="G45" s="75" t="n">
        <f aca="false">IFERROR(ROUND(AVERAGE('Data Historis 5 Tahun'!J192:J196)*1.1983,0),0)</f>
        <v>6988828</v>
      </c>
      <c r="H45" s="75" t="n">
        <f aca="false">IFERROR(ROUND(AVERAGE('Data Historis 5 Tahun'!K192:K196)*1.1014,0),0)</f>
        <v>383506</v>
      </c>
      <c r="I45" s="75" t="n">
        <f aca="false">IFERROR(ROUND(1.65*AVERAGE('Data Historis 5 Tahun'!N192:N196)*SQRT(AVERAGE('Data Historis 5 Tahun'!H192:H196)),0),0)</f>
        <v>267</v>
      </c>
      <c r="J45" s="76" t="n">
        <f aca="false">IFERROR(MAX(1,ROUND(F45/12,0)),1)</f>
        <v>4283</v>
      </c>
      <c r="K45" s="77" t="n">
        <f aca="false">IFERROR(ROUND((F45/J45)*G45+(J45/2)*H45+I45*H45,0),0)</f>
        <v>1007543401</v>
      </c>
      <c r="L45" s="78" t="n">
        <f aca="false">IFERROR(ROUND(AVERAGE('Data Historis 5 Tahun'!J192:J196),0),0)</f>
        <v>5832286</v>
      </c>
      <c r="M45" s="79" t="n">
        <f aca="false">IFERROR(ROUND(AVERAGE('Data Historis 5 Tahun'!K192:K196),0),0)</f>
        <v>348199</v>
      </c>
      <c r="N45" s="79" t="n">
        <f aca="false">IFERROR(ROUND(1.65*AVERAGE('Data Historis 5 Tahun'!N192:N196)*SQRT(AVERAGE('Data Historis 5 Tahun'!H192:H196)),0),0)</f>
        <v>267</v>
      </c>
      <c r="O45" s="80" t="n">
        <f aca="false">IFERROR(ROUND(SQRT(2*F45*L45/M45),0),0)</f>
        <v>1312</v>
      </c>
      <c r="P45" s="80" t="n">
        <f aca="false">IFERROR(ROUND((F45/O45)*L45+(O45/2)*M45+N45*M45,0),0)</f>
        <v>549869259</v>
      </c>
      <c r="Q45" s="80" t="n">
        <f aca="false">K45-P45</f>
        <v>457674142</v>
      </c>
      <c r="R45" s="81" t="n">
        <f aca="false">IFERROR(MAX(1,ROUND(O45*0.5,0)),1)</f>
        <v>656</v>
      </c>
      <c r="S45" s="82" t="n">
        <f aca="false">IFERROR(ROUND((F45/R45)*L45,0),0)</f>
        <v>456963164</v>
      </c>
      <c r="T45" s="82" t="n">
        <f aca="false">IFERROR(ROUND((R45/2)*M45+N45*M45,0),0)</f>
        <v>207178405</v>
      </c>
      <c r="U45" s="83" t="n">
        <f aca="false">S45+T45</f>
        <v>664141569</v>
      </c>
      <c r="V45" s="84" t="n">
        <f aca="false">IFERROR(ROUND(O45*1.5,0),1)</f>
        <v>1968</v>
      </c>
      <c r="W45" s="85" t="n">
        <f aca="false">IFERROR(ROUND((F45/V45)*L45,0),0)</f>
        <v>152321055</v>
      </c>
      <c r="X45" s="84" t="n">
        <f aca="false">IFERROR(ROUND((F45/V45)*L45+(V45/2)*M45+N45*M45,0),0)</f>
        <v>587918004</v>
      </c>
      <c r="Y45" s="86" t="n">
        <f aca="false">MIN(K45,P45,U45,X45)</f>
        <v>549869259</v>
      </c>
      <c r="Z45" s="87" t="str">
        <f aca="false">IF(Y45=P45,"✅ EOQ (optimal)",IF(Y45=K45,"Q Obs Lama",IF(Y45=U45,"Q Kecil","Q Besar")))</f>
        <v>✅ EOQ (optimal)</v>
      </c>
      <c r="AA45" s="72" t="n">
        <f aca="false">MAX(0,K45-P45)</f>
        <v>457674142</v>
      </c>
      <c r="AB45" s="72" t="n">
        <f aca="false">IFERROR(AA45/K45,0)</f>
        <v>0.454247570423023</v>
      </c>
      <c r="AC45" s="0" t="str">
        <f aca="false">IF(Q45&gt;0,"Gunakan EOQ — hemat Rp "&amp;TEXT(Q45,"#,##0")&amp;"/thn","Tinjau ulang parameter")</f>
        <v>Gunakan EOQ — hemat Rp 457,674,142/thn</v>
      </c>
      <c r="AD45" s="0" t="str">
        <f aca="false">IF(N45&gt;0,"Gunakan EOQ — hemat Rp "&amp;TEXT(N45,"#,##0")&amp;"/thn","Tinjau ulang parameter S &amp; H")</f>
        <v>Gunakan EOQ — hemat Rp 267/thn</v>
      </c>
    </row>
    <row r="46" customFormat="false" ht="15.75" hidden="false" customHeight="true" outlineLevel="0" collapsed="false">
      <c r="A46" s="73" t="n">
        <v>39</v>
      </c>
      <c r="B46" s="73" t="s">
        <v>112</v>
      </c>
      <c r="C46" s="74" t="s">
        <v>113</v>
      </c>
      <c r="D46" s="73" t="s">
        <v>263</v>
      </c>
      <c r="E46" s="73" t="s">
        <v>36</v>
      </c>
      <c r="F46" s="75" t="n">
        <f aca="false">IFERROR(ROUND(AVERAGE('Data Historis 5 Tahun'!I197:I201),0),0)</f>
        <v>25139</v>
      </c>
      <c r="G46" s="75" t="n">
        <f aca="false">IFERROR(ROUND(AVERAGE('Data Historis 5 Tahun'!J197:J201)*1.2372,0),0)</f>
        <v>11919187</v>
      </c>
      <c r="H46" s="75" t="n">
        <f aca="false">IFERROR(ROUND(AVERAGE('Data Historis 5 Tahun'!K197:K201)*1.1097,0),0)</f>
        <v>162889</v>
      </c>
      <c r="I46" s="75" t="n">
        <f aca="false">IFERROR(ROUND(1.65*AVERAGE('Data Historis 5 Tahun'!N197:N201)*SQRT(AVERAGE('Data Historis 5 Tahun'!H197:H201)),0),0)</f>
        <v>128</v>
      </c>
      <c r="J46" s="76" t="n">
        <f aca="false">IFERROR(MAX(1,ROUND(F46/12,0)),1)</f>
        <v>2095</v>
      </c>
      <c r="K46" s="77" t="n">
        <f aca="false">IFERROR(ROUND((F46/J46)*G46+(J46/2)*H46+I46*H46,0),0)</f>
        <v>334500574</v>
      </c>
      <c r="L46" s="78" t="n">
        <f aca="false">IFERROR(ROUND(AVERAGE('Data Historis 5 Tahun'!J197:J201),0),0)</f>
        <v>9634002</v>
      </c>
      <c r="M46" s="79" t="n">
        <f aca="false">IFERROR(ROUND(AVERAGE('Data Historis 5 Tahun'!K197:K201),0),0)</f>
        <v>146787</v>
      </c>
      <c r="N46" s="79" t="n">
        <f aca="false">IFERROR(ROUND(1.65*AVERAGE('Data Historis 5 Tahun'!N197:N201)*SQRT(AVERAGE('Data Historis 5 Tahun'!H197:H201)),0),0)</f>
        <v>128</v>
      </c>
      <c r="O46" s="80" t="n">
        <f aca="false">IFERROR(ROUND(SQRT(2*F46*L46/M46),0),0)</f>
        <v>1817</v>
      </c>
      <c r="P46" s="80" t="n">
        <f aca="false">IFERROR(ROUND((F46/O46)*L46+(O46/2)*M46+N46*M46,0),0)</f>
        <v>285435411</v>
      </c>
      <c r="Q46" s="80" t="n">
        <f aca="false">K46-P46</f>
        <v>49065163</v>
      </c>
      <c r="R46" s="81" t="n">
        <f aca="false">IFERROR(MAX(1,ROUND(O46*0.5,0)),1)</f>
        <v>909</v>
      </c>
      <c r="S46" s="82" t="n">
        <f aca="false">IFERROR(ROUND((F46/R46)*L46,0),0)</f>
        <v>266434737</v>
      </c>
      <c r="T46" s="82" t="n">
        <f aca="false">IFERROR(ROUND((R46/2)*M46+N46*M46,0),0)</f>
        <v>85503428</v>
      </c>
      <c r="U46" s="83" t="n">
        <f aca="false">S46+T46</f>
        <v>351938165</v>
      </c>
      <c r="V46" s="84" t="n">
        <f aca="false">IFERROR(ROUND(O46*1.5,0),1)</f>
        <v>2726</v>
      </c>
      <c r="W46" s="85" t="n">
        <f aca="false">IFERROR(ROUND((F46/V46)*L46,0),0)</f>
        <v>88844159</v>
      </c>
      <c r="X46" s="84" t="n">
        <f aca="false">IFERROR(ROUND((F46/V46)*L46+(V46/2)*M46+N46*M46,0),0)</f>
        <v>307703576</v>
      </c>
      <c r="Y46" s="86" t="n">
        <f aca="false">MIN(K46,P46,U46,X46)</f>
        <v>285435411</v>
      </c>
      <c r="Z46" s="87" t="str">
        <f aca="false">IF(Y46=P46,"✅ EOQ (optimal)",IF(Y46=K46,"Q Obs Lama",IF(Y46=U46,"Q Kecil","Q Besar")))</f>
        <v>✅ EOQ (optimal)</v>
      </c>
      <c r="AA46" s="72" t="n">
        <f aca="false">MAX(0,K46-P46)</f>
        <v>49065163</v>
      </c>
      <c r="AB46" s="72" t="n">
        <f aca="false">IFERROR(AA46/K46,0)</f>
        <v>0.146681849939068</v>
      </c>
      <c r="AC46" s="0" t="str">
        <f aca="false">IF(Q46&gt;0,"Gunakan EOQ — hemat Rp "&amp;TEXT(Q46,"#,##0")&amp;"/thn","Tinjau ulang parameter")</f>
        <v>Gunakan EOQ — hemat Rp 49,065,163/thn</v>
      </c>
      <c r="AD46" s="0" t="str">
        <f aca="false">IF(N46&gt;0,"Gunakan EOQ — hemat Rp "&amp;TEXT(N46,"#,##0")&amp;"/thn","Tinjau ulang parameter S &amp; H")</f>
        <v>Gunakan EOQ — hemat Rp 128/thn</v>
      </c>
    </row>
    <row r="47" customFormat="false" ht="15.75" hidden="false" customHeight="true" outlineLevel="0" collapsed="false">
      <c r="A47" s="88" t="n">
        <v>40</v>
      </c>
      <c r="B47" s="88" t="s">
        <v>114</v>
      </c>
      <c r="C47" s="89" t="s">
        <v>115</v>
      </c>
      <c r="D47" s="88" t="s">
        <v>263</v>
      </c>
      <c r="E47" s="88" t="s">
        <v>36</v>
      </c>
      <c r="F47" s="75" t="n">
        <f aca="false">IFERROR(ROUND(AVERAGE('Data Historis 5 Tahun'!I202:I206),0),0)</f>
        <v>51676</v>
      </c>
      <c r="G47" s="75" t="n">
        <f aca="false">IFERROR(ROUND(AVERAGE('Data Historis 5 Tahun'!J202:J206)*1.1397,0),0)</f>
        <v>7013034</v>
      </c>
      <c r="H47" s="75" t="n">
        <f aca="false">IFERROR(ROUND(AVERAGE('Data Historis 5 Tahun'!K202:K206)*1.0821,0),0)</f>
        <v>339060</v>
      </c>
      <c r="I47" s="75" t="n">
        <f aca="false">IFERROR(ROUND(1.65*AVERAGE('Data Historis 5 Tahun'!N202:N206)*SQRT(AVERAGE('Data Historis 5 Tahun'!H202:H206)),0),0)</f>
        <v>324</v>
      </c>
      <c r="J47" s="76" t="n">
        <f aca="false">IFERROR(MAX(1,ROUND(F47/12,0)),1)</f>
        <v>4306</v>
      </c>
      <c r="K47" s="77" t="n">
        <f aca="false">IFERROR(ROUND((F47/J47)*G47+(J47/2)*H47+I47*H47,0),0)</f>
        <v>924014543</v>
      </c>
      <c r="L47" s="78" t="n">
        <f aca="false">IFERROR(ROUND(AVERAGE('Data Historis 5 Tahun'!J202:J206),0),0)</f>
        <v>6153404</v>
      </c>
      <c r="M47" s="79" t="n">
        <f aca="false">IFERROR(ROUND(AVERAGE('Data Historis 5 Tahun'!K202:K206),0),0)</f>
        <v>313335</v>
      </c>
      <c r="N47" s="79" t="n">
        <f aca="false">IFERROR(ROUND(1.65*AVERAGE('Data Historis 5 Tahun'!N202:N206)*SQRT(AVERAGE('Data Historis 5 Tahun'!H202:H206)),0),0)</f>
        <v>324</v>
      </c>
      <c r="O47" s="80" t="n">
        <f aca="false">IFERROR(ROUND(SQRT(2*F47*L47/M47),0),0)</f>
        <v>1425</v>
      </c>
      <c r="P47" s="80" t="n">
        <f aca="false">IFERROR(ROUND((F47/O47)*L47+(O47/2)*M47+N47*M47,0),0)</f>
        <v>547917907</v>
      </c>
      <c r="Q47" s="80" t="n">
        <f aca="false">K47-P47</f>
        <v>376096636</v>
      </c>
      <c r="R47" s="81" t="n">
        <f aca="false">IFERROR(MAX(1,ROUND(O47*0.5,0)),1)</f>
        <v>713</v>
      </c>
      <c r="S47" s="82" t="n">
        <f aca="false">IFERROR(ROUND((F47/R47)*L47,0),0)</f>
        <v>445979390</v>
      </c>
      <c r="T47" s="82" t="n">
        <f aca="false">IFERROR(ROUND((R47/2)*M47+N47*M47,0),0)</f>
        <v>213224468</v>
      </c>
      <c r="U47" s="83" t="n">
        <f aca="false">S47+T47</f>
        <v>659203858</v>
      </c>
      <c r="V47" s="84" t="n">
        <f aca="false">IFERROR(ROUND(O47*1.5,0),1)</f>
        <v>2138</v>
      </c>
      <c r="W47" s="85" t="n">
        <f aca="false">IFERROR(ROUND((F47/V47)*L47,0),0)</f>
        <v>148729329</v>
      </c>
      <c r="X47" s="84" t="n">
        <f aca="false">IFERROR(ROUND((F47/V47)*L47+(V47/2)*M47+N47*M47,0),0)</f>
        <v>585204984</v>
      </c>
      <c r="Y47" s="86" t="n">
        <f aca="false">MIN(K47,P47,U47,X47)</f>
        <v>547917907</v>
      </c>
      <c r="Z47" s="87" t="str">
        <f aca="false">IF(Y47=P47,"✅ EOQ (optimal)",IF(Y47=K47,"Q Obs Lama",IF(Y47=U47,"Q Kecil","Q Besar")))</f>
        <v>✅ EOQ (optimal)</v>
      </c>
      <c r="AA47" s="72" t="n">
        <f aca="false">MAX(0,K47-P47)</f>
        <v>376096636</v>
      </c>
      <c r="AB47" s="72" t="n">
        <f aca="false">IFERROR(AA47/K47,0)</f>
        <v>0.407024585109804</v>
      </c>
      <c r="AC47" s="0" t="str">
        <f aca="false">IF(Q47&gt;0,"Gunakan EOQ — hemat Rp "&amp;TEXT(Q47,"#,##0")&amp;"/thn","Tinjau ulang parameter")</f>
        <v>Gunakan EOQ — hemat Rp 376,096,636/thn</v>
      </c>
      <c r="AD47" s="0" t="str">
        <f aca="false">IF(N47&gt;0,"Gunakan EOQ — hemat Rp "&amp;TEXT(N47,"#,##0")&amp;"/thn","Tinjau ulang parameter S &amp; H")</f>
        <v>Gunakan EOQ — hemat Rp 324/thn</v>
      </c>
    </row>
    <row r="48" customFormat="false" ht="15.75" hidden="false" customHeight="true" outlineLevel="0" collapsed="false">
      <c r="A48" s="73" t="n">
        <v>41</v>
      </c>
      <c r="B48" s="73" t="s">
        <v>116</v>
      </c>
      <c r="C48" s="74" t="s">
        <v>117</v>
      </c>
      <c r="D48" s="73" t="s">
        <v>263</v>
      </c>
      <c r="E48" s="73" t="s">
        <v>36</v>
      </c>
      <c r="F48" s="75" t="n">
        <f aca="false">IFERROR(ROUND(AVERAGE('Data Historis 5 Tahun'!I207:I211),0),0)</f>
        <v>43366</v>
      </c>
      <c r="G48" s="75" t="n">
        <f aca="false">IFERROR(ROUND(AVERAGE('Data Historis 5 Tahun'!J207:J211)*1.1842,0),0)</f>
        <v>2146381</v>
      </c>
      <c r="H48" s="75" t="n">
        <f aca="false">IFERROR(ROUND(AVERAGE('Data Historis 5 Tahun'!K207:K211)*1.0842,0),0)</f>
        <v>528675</v>
      </c>
      <c r="I48" s="75" t="n">
        <f aca="false">IFERROR(ROUND(1.65*AVERAGE('Data Historis 5 Tahun'!N207:N211)*SQRT(AVERAGE('Data Historis 5 Tahun'!H207:H211)),0),0)</f>
        <v>150</v>
      </c>
      <c r="J48" s="76" t="n">
        <f aca="false">IFERROR(MAX(1,ROUND(F48/12,0)),1)</f>
        <v>3614</v>
      </c>
      <c r="K48" s="77" t="n">
        <f aca="false">IFERROR(ROUND((F48/J48)*G48+(J48/2)*H48+I48*H48,0),0)</f>
        <v>1060372359</v>
      </c>
      <c r="L48" s="78" t="n">
        <f aca="false">IFERROR(ROUND(AVERAGE('Data Historis 5 Tahun'!J207:J211),0),0)</f>
        <v>1812516</v>
      </c>
      <c r="M48" s="79" t="n">
        <f aca="false">IFERROR(ROUND(AVERAGE('Data Historis 5 Tahun'!K207:K211),0),0)</f>
        <v>487618</v>
      </c>
      <c r="N48" s="79" t="n">
        <f aca="false">IFERROR(ROUND(1.65*AVERAGE('Data Historis 5 Tahun'!N207:N211)*SQRT(AVERAGE('Data Historis 5 Tahun'!H207:H211)),0),0)</f>
        <v>150</v>
      </c>
      <c r="O48" s="80" t="n">
        <f aca="false">IFERROR(ROUND(SQRT(2*F48*L48/M48),0),0)</f>
        <v>568</v>
      </c>
      <c r="P48" s="80" t="n">
        <f aca="false">IFERROR(ROUND((F48/O48)*L48+(O48/2)*M48+N48*M48,0),0)</f>
        <v>350009256</v>
      </c>
      <c r="Q48" s="80" t="n">
        <f aca="false">K48-P48</f>
        <v>710363103</v>
      </c>
      <c r="R48" s="81" t="n">
        <f aca="false">IFERROR(MAX(1,ROUND(O48*0.5,0)),1)</f>
        <v>284</v>
      </c>
      <c r="S48" s="82" t="n">
        <f aca="false">IFERROR(ROUND((F48/R48)*L48,0),0)</f>
        <v>276766088</v>
      </c>
      <c r="T48" s="82" t="n">
        <f aca="false">IFERROR(ROUND((R48/2)*M48+N48*M48,0),0)</f>
        <v>142384456</v>
      </c>
      <c r="U48" s="83" t="n">
        <f aca="false">S48+T48</f>
        <v>419150544</v>
      </c>
      <c r="V48" s="84" t="n">
        <f aca="false">IFERROR(ROUND(O48*1.5,0),1)</f>
        <v>852</v>
      </c>
      <c r="W48" s="85" t="n">
        <f aca="false">IFERROR(ROUND((F48/V48)*L48,0),0)</f>
        <v>92255363</v>
      </c>
      <c r="X48" s="84" t="n">
        <f aca="false">IFERROR(ROUND((F48/V48)*L48+(V48/2)*M48+N48*M48,0),0)</f>
        <v>373123331</v>
      </c>
      <c r="Y48" s="86" t="n">
        <f aca="false">MIN(K48,P48,U48,X48)</f>
        <v>350009256</v>
      </c>
      <c r="Z48" s="87" t="str">
        <f aca="false">IF(Y48=P48,"✅ EOQ (optimal)",IF(Y48=K48,"Q Obs Lama",IF(Y48=U48,"Q Kecil","Q Besar")))</f>
        <v>✅ EOQ (optimal)</v>
      </c>
      <c r="AA48" s="72" t="n">
        <f aca="false">MAX(0,K48-P48)</f>
        <v>710363103</v>
      </c>
      <c r="AB48" s="72" t="n">
        <f aca="false">IFERROR(AA48/K48,0)</f>
        <v>0.669918540379456</v>
      </c>
      <c r="AC48" s="0" t="str">
        <f aca="false">IF(Q48&gt;0,"Gunakan EOQ — hemat Rp "&amp;TEXT(Q48,"#,##0")&amp;"/thn","Tinjau ulang parameter")</f>
        <v>Gunakan EOQ — hemat Rp 710,363,103/thn</v>
      </c>
      <c r="AD48" s="0" t="str">
        <f aca="false">IF(N48&gt;0,"Gunakan EOQ — hemat Rp "&amp;TEXT(N48,"#,##0")&amp;"/thn","Tinjau ulang parameter S &amp; H")</f>
        <v>Gunakan EOQ — hemat Rp 150/thn</v>
      </c>
    </row>
    <row r="49" customFormat="false" ht="15.75" hidden="false" customHeight="true" outlineLevel="0" collapsed="false">
      <c r="A49" s="88" t="n">
        <v>42</v>
      </c>
      <c r="B49" s="88" t="s">
        <v>118</v>
      </c>
      <c r="C49" s="89" t="s">
        <v>119</v>
      </c>
      <c r="D49" s="88" t="s">
        <v>264</v>
      </c>
      <c r="E49" s="88" t="s">
        <v>36</v>
      </c>
      <c r="F49" s="75" t="n">
        <f aca="false">IFERROR(ROUND(AVERAGE('Data Historis 5 Tahun'!I212:I216),0),0)</f>
        <v>27779</v>
      </c>
      <c r="G49" s="75" t="n">
        <f aca="false">IFERROR(ROUND(AVERAGE('Data Historis 5 Tahun'!J212:J216)*1.1877,0),0)</f>
        <v>13828030</v>
      </c>
      <c r="H49" s="75" t="n">
        <f aca="false">IFERROR(ROUND(AVERAGE('Data Historis 5 Tahun'!K212:K216)*1.1667,0),0)</f>
        <v>267952</v>
      </c>
      <c r="I49" s="75" t="n">
        <f aca="false">IFERROR(ROUND(1.65*AVERAGE('Data Historis 5 Tahun'!N212:N216)*SQRT(AVERAGE('Data Historis 5 Tahun'!H212:H216)),0),0)</f>
        <v>168</v>
      </c>
      <c r="J49" s="76" t="n">
        <f aca="false">IFERROR(MAX(1,ROUND(F49/12,0)),1)</f>
        <v>2315</v>
      </c>
      <c r="K49" s="77" t="n">
        <f aca="false">IFERROR(ROUND((F49/J49)*G49+(J49/2)*H49+I49*H49,0),0)</f>
        <v>521100763</v>
      </c>
      <c r="L49" s="78" t="n">
        <f aca="false">IFERROR(ROUND(AVERAGE('Data Historis 5 Tahun'!J212:J216),0),0)</f>
        <v>11642696</v>
      </c>
      <c r="M49" s="79" t="n">
        <f aca="false">IFERROR(ROUND(AVERAGE('Data Historis 5 Tahun'!K212:K216),0),0)</f>
        <v>229667</v>
      </c>
      <c r="N49" s="79" t="n">
        <f aca="false">IFERROR(ROUND(1.65*AVERAGE('Data Historis 5 Tahun'!N212:N216)*SQRT(AVERAGE('Data Historis 5 Tahun'!H212:H216)),0),0)</f>
        <v>168</v>
      </c>
      <c r="O49" s="80" t="n">
        <f aca="false">IFERROR(ROUND(SQRT(2*F49*L49/M49),0),0)</f>
        <v>1678</v>
      </c>
      <c r="P49" s="80" t="n">
        <f aca="false">IFERROR(ROUND((F49/O49)*L49+(O49/2)*M49+N49*M49,0),0)</f>
        <v>424017489</v>
      </c>
      <c r="Q49" s="80" t="n">
        <f aca="false">K49-P49</f>
        <v>97083274</v>
      </c>
      <c r="R49" s="81" t="n">
        <f aca="false">IFERROR(MAX(1,ROUND(O49*0.5,0)),1)</f>
        <v>839</v>
      </c>
      <c r="S49" s="82" t="n">
        <f aca="false">IFERROR(ROUND((F49/R49)*L49,0),0)</f>
        <v>385485640</v>
      </c>
      <c r="T49" s="82" t="n">
        <f aca="false">IFERROR(ROUND((R49/2)*M49+N49*M49,0),0)</f>
        <v>134929363</v>
      </c>
      <c r="U49" s="83" t="n">
        <f aca="false">S49+T49</f>
        <v>520415003</v>
      </c>
      <c r="V49" s="84" t="n">
        <f aca="false">IFERROR(ROUND(O49*1.5,0),1)</f>
        <v>2517</v>
      </c>
      <c r="W49" s="85" t="n">
        <f aca="false">IFERROR(ROUND((F49/V49)*L49,0),0)</f>
        <v>128495213</v>
      </c>
      <c r="X49" s="84" t="n">
        <f aca="false">IFERROR(ROUND((F49/V49)*L49+(V49/2)*M49+N49*M49,0),0)</f>
        <v>456115189</v>
      </c>
      <c r="Y49" s="86" t="n">
        <f aca="false">MIN(K49,P49,U49,X49)</f>
        <v>424017489</v>
      </c>
      <c r="Z49" s="87" t="str">
        <f aca="false">IF(Y49=P49,"✅ EOQ (optimal)",IF(Y49=K49,"Q Obs Lama",IF(Y49=U49,"Q Kecil","Q Besar")))</f>
        <v>✅ EOQ (optimal)</v>
      </c>
      <c r="AA49" s="72" t="n">
        <f aca="false">MAX(0,K49-P49)</f>
        <v>97083274</v>
      </c>
      <c r="AB49" s="72" t="n">
        <f aca="false">IFERROR(AA49/K49,0)</f>
        <v>0.186304225388363</v>
      </c>
      <c r="AC49" s="0" t="str">
        <f aca="false">IF(Q49&gt;0,"Gunakan EOQ — hemat Rp "&amp;TEXT(Q49,"#,##0")&amp;"/thn","Tinjau ulang parameter")</f>
        <v>Gunakan EOQ — hemat Rp 97,083,274/thn</v>
      </c>
      <c r="AD49" s="0" t="str">
        <f aca="false">IF(N49&gt;0,"Gunakan EOQ — hemat Rp "&amp;TEXT(N49,"#,##0")&amp;"/thn","Tinjau ulang parameter S &amp; H")</f>
        <v>Gunakan EOQ — hemat Rp 168/thn</v>
      </c>
    </row>
    <row r="50" customFormat="false" ht="15.75" hidden="false" customHeight="true" outlineLevel="0" collapsed="false">
      <c r="A50" s="73" t="n">
        <v>43</v>
      </c>
      <c r="B50" s="73" t="s">
        <v>120</v>
      </c>
      <c r="C50" s="74" t="s">
        <v>121</v>
      </c>
      <c r="D50" s="73" t="s">
        <v>264</v>
      </c>
      <c r="E50" s="73" t="s">
        <v>36</v>
      </c>
      <c r="F50" s="75" t="n">
        <f aca="false">IFERROR(ROUND(AVERAGE('Data Historis 5 Tahun'!I217:I221),0),0)</f>
        <v>53386</v>
      </c>
      <c r="G50" s="75" t="n">
        <f aca="false">IFERROR(ROUND(AVERAGE('Data Historis 5 Tahun'!J217:J221)*1.1599,0),0)</f>
        <v>7531582</v>
      </c>
      <c r="H50" s="75" t="n">
        <f aca="false">IFERROR(ROUND(AVERAGE('Data Historis 5 Tahun'!K217:K221)*1.0785,0),0)</f>
        <v>561176</v>
      </c>
      <c r="I50" s="75" t="n">
        <f aca="false">IFERROR(ROUND(1.65*AVERAGE('Data Historis 5 Tahun'!N217:N221)*SQRT(AVERAGE('Data Historis 5 Tahun'!H217:H221)),0),0)</f>
        <v>360</v>
      </c>
      <c r="J50" s="76" t="n">
        <f aca="false">IFERROR(MAX(1,ROUND(F50/12,0)),1)</f>
        <v>4449</v>
      </c>
      <c r="K50" s="77" t="n">
        <f aca="false">IFERROR(ROUND((F50/J50)*G50+(J50/2)*H50+I50*H50,0),0)</f>
        <v>1540734970</v>
      </c>
      <c r="L50" s="78" t="n">
        <f aca="false">IFERROR(ROUND(AVERAGE('Data Historis 5 Tahun'!J217:J221),0),0)</f>
        <v>6493303</v>
      </c>
      <c r="M50" s="79" t="n">
        <f aca="false">IFERROR(ROUND(AVERAGE('Data Historis 5 Tahun'!K217:K221),0),0)</f>
        <v>520330</v>
      </c>
      <c r="N50" s="79" t="n">
        <f aca="false">IFERROR(ROUND(1.65*AVERAGE('Data Historis 5 Tahun'!N217:N221)*SQRT(AVERAGE('Data Historis 5 Tahun'!H217:H221)),0),0)</f>
        <v>360</v>
      </c>
      <c r="O50" s="80" t="n">
        <f aca="false">IFERROR(ROUND(SQRT(2*F50*L50/M50),0),0)</f>
        <v>1154</v>
      </c>
      <c r="P50" s="80" t="n">
        <f aca="false">IFERROR(ROUND((F50/O50)*L50+(O50/2)*M50+N50*M50,0),0)</f>
        <v>787940435</v>
      </c>
      <c r="Q50" s="80" t="n">
        <f aca="false">K50-P50</f>
        <v>752794535</v>
      </c>
      <c r="R50" s="81" t="n">
        <f aca="false">IFERROR(MAX(1,ROUND(O50*0.5,0)),1)</f>
        <v>577</v>
      </c>
      <c r="S50" s="82" t="n">
        <f aca="false">IFERROR(ROUND((F50/R50)*L50,0),0)</f>
        <v>600782451</v>
      </c>
      <c r="T50" s="82" t="n">
        <f aca="false">IFERROR(ROUND((R50/2)*M50+N50*M50,0),0)</f>
        <v>337434005</v>
      </c>
      <c r="U50" s="83" t="n">
        <f aca="false">S50+T50</f>
        <v>938216456</v>
      </c>
      <c r="V50" s="84" t="n">
        <f aca="false">IFERROR(ROUND(O50*1.5,0),1)</f>
        <v>1731</v>
      </c>
      <c r="W50" s="85" t="n">
        <f aca="false">IFERROR(ROUND((F50/V50)*L50,0),0)</f>
        <v>200260817</v>
      </c>
      <c r="X50" s="84" t="n">
        <f aca="false">IFERROR(ROUND((F50/V50)*L50+(V50/2)*M50+N50*M50,0),0)</f>
        <v>837925232</v>
      </c>
      <c r="Y50" s="86" t="n">
        <f aca="false">MIN(K50,P50,U50,X50)</f>
        <v>787940435</v>
      </c>
      <c r="Z50" s="87" t="str">
        <f aca="false">IF(Y50=P50,"✅ EOQ (optimal)",IF(Y50=K50,"Q Obs Lama",IF(Y50=U50,"Q Kecil","Q Besar")))</f>
        <v>✅ EOQ (optimal)</v>
      </c>
      <c r="AA50" s="72" t="n">
        <f aca="false">MAX(0,K50-P50)</f>
        <v>752794535</v>
      </c>
      <c r="AB50" s="72" t="n">
        <f aca="false">IFERROR(AA50/K50,0)</f>
        <v>0.488594436848539</v>
      </c>
      <c r="AC50" s="0" t="str">
        <f aca="false">IF(Q50&gt;0,"Gunakan EOQ — hemat Rp "&amp;TEXT(Q50,"#,##0")&amp;"/thn","Tinjau ulang parameter")</f>
        <v>Gunakan EOQ — hemat Rp 752,794,535/thn</v>
      </c>
      <c r="AD50" s="0" t="str">
        <f aca="false">IF(N50&gt;0,"Gunakan EOQ — hemat Rp "&amp;TEXT(N50,"#,##0")&amp;"/thn","Tinjau ulang parameter S &amp; H")</f>
        <v>Gunakan EOQ — hemat Rp 360/thn</v>
      </c>
    </row>
    <row r="51" customFormat="false" ht="15.75" hidden="false" customHeight="true" outlineLevel="0" collapsed="false">
      <c r="A51" s="88" t="n">
        <v>44</v>
      </c>
      <c r="B51" s="88" t="s">
        <v>122</v>
      </c>
      <c r="C51" s="89" t="s">
        <v>123</v>
      </c>
      <c r="D51" s="88" t="s">
        <v>264</v>
      </c>
      <c r="E51" s="88" t="s">
        <v>36</v>
      </c>
      <c r="F51" s="75" t="n">
        <f aca="false">IFERROR(ROUND(AVERAGE('Data Historis 5 Tahun'!I222:I226),0),0)</f>
        <v>13878</v>
      </c>
      <c r="G51" s="75" t="n">
        <f aca="false">IFERROR(ROUND(AVERAGE('Data Historis 5 Tahun'!J222:J226)*1.2496,0),0)</f>
        <v>1992180</v>
      </c>
      <c r="H51" s="75" t="n">
        <f aca="false">IFERROR(ROUND(AVERAGE('Data Historis 5 Tahun'!K222:K226)*1.1162,0),0)</f>
        <v>675320</v>
      </c>
      <c r="I51" s="75" t="n">
        <f aca="false">IFERROR(ROUND(1.65*AVERAGE('Data Historis 5 Tahun'!N222:N226)*SQRT(AVERAGE('Data Historis 5 Tahun'!H222:H226)),0),0)</f>
        <v>45</v>
      </c>
      <c r="J51" s="76" t="n">
        <f aca="false">IFERROR(MAX(1,ROUND(F51/12,0)),1)</f>
        <v>1157</v>
      </c>
      <c r="K51" s="77" t="n">
        <f aca="false">IFERROR(ROUND((F51/J51)*G51+(J51/2)*H51+I51*H51,0),0)</f>
        <v>444957849</v>
      </c>
      <c r="L51" s="78" t="n">
        <f aca="false">IFERROR(ROUND(AVERAGE('Data Historis 5 Tahun'!J222:J226),0),0)</f>
        <v>1594254</v>
      </c>
      <c r="M51" s="79" t="n">
        <f aca="false">IFERROR(ROUND(AVERAGE('Data Historis 5 Tahun'!K222:K226),0),0)</f>
        <v>605017</v>
      </c>
      <c r="N51" s="79" t="n">
        <f aca="false">IFERROR(ROUND(1.65*AVERAGE('Data Historis 5 Tahun'!N222:N226)*SQRT(AVERAGE('Data Historis 5 Tahun'!H222:H226)),0),0)</f>
        <v>45</v>
      </c>
      <c r="O51" s="80" t="n">
        <f aca="false">IFERROR(ROUND(SQRT(2*F51*L51/M51),0),0)</f>
        <v>270</v>
      </c>
      <c r="P51" s="80" t="n">
        <f aca="false">IFERROR(ROUND((F51/O51)*L51+(O51/2)*M51+N51*M51,0),0)</f>
        <v>190847716</v>
      </c>
      <c r="Q51" s="80" t="n">
        <f aca="false">K51-P51</f>
        <v>254110133</v>
      </c>
      <c r="R51" s="81" t="n">
        <f aca="false">IFERROR(MAX(1,ROUND(O51*0.5,0)),1)</f>
        <v>135</v>
      </c>
      <c r="S51" s="82" t="n">
        <f aca="false">IFERROR(ROUND((F51/R51)*L51,0),0)</f>
        <v>163889311</v>
      </c>
      <c r="T51" s="82" t="n">
        <f aca="false">IFERROR(ROUND((R51/2)*M51+N51*M51,0),0)</f>
        <v>68064413</v>
      </c>
      <c r="U51" s="83" t="n">
        <f aca="false">S51+T51</f>
        <v>231953724</v>
      </c>
      <c r="V51" s="84" t="n">
        <f aca="false">IFERROR(ROUND(O51*1.5,0),1)</f>
        <v>405</v>
      </c>
      <c r="W51" s="85" t="n">
        <f aca="false">IFERROR(ROUND((F51/V51)*L51,0),0)</f>
        <v>54629770</v>
      </c>
      <c r="X51" s="84" t="n">
        <f aca="false">IFERROR(ROUND((F51/V51)*L51+(V51/2)*M51+N51*M51,0),0)</f>
        <v>204371478</v>
      </c>
      <c r="Y51" s="86" t="n">
        <f aca="false">MIN(K51,P51,U51,X51)</f>
        <v>190847716</v>
      </c>
      <c r="Z51" s="87" t="str">
        <f aca="false">IF(Y51=P51,"✅ EOQ (optimal)",IF(Y51=K51,"Q Obs Lama",IF(Y51=U51,"Q Kecil","Q Besar")))</f>
        <v>✅ EOQ (optimal)</v>
      </c>
      <c r="AA51" s="72" t="n">
        <f aca="false">MAX(0,K51-P51)</f>
        <v>254110133</v>
      </c>
      <c r="AB51" s="72" t="n">
        <f aca="false">IFERROR(AA51/K51,0)</f>
        <v>0.571088100976504</v>
      </c>
      <c r="AC51" s="0" t="str">
        <f aca="false">IF(Q51&gt;0,"Gunakan EOQ — hemat Rp "&amp;TEXT(Q51,"#,##0")&amp;"/thn","Tinjau ulang parameter")</f>
        <v>Gunakan EOQ — hemat Rp 254,110,133/thn</v>
      </c>
      <c r="AD51" s="0" t="str">
        <f aca="false">IF(N51&gt;0,"Gunakan EOQ — hemat Rp "&amp;TEXT(N51,"#,##0")&amp;"/thn","Tinjau ulang parameter S &amp; H")</f>
        <v>Gunakan EOQ — hemat Rp 45/thn</v>
      </c>
    </row>
    <row r="52" customFormat="false" ht="15.75" hidden="false" customHeight="true" outlineLevel="0" collapsed="false">
      <c r="A52" s="73" t="n">
        <v>45</v>
      </c>
      <c r="B52" s="73" t="s">
        <v>124</v>
      </c>
      <c r="C52" s="74" t="s">
        <v>125</v>
      </c>
      <c r="D52" s="73" t="s">
        <v>264</v>
      </c>
      <c r="E52" s="73" t="s">
        <v>36</v>
      </c>
      <c r="F52" s="75" t="n">
        <f aca="false">IFERROR(ROUND(AVERAGE('Data Historis 5 Tahun'!I227:I231),0),0)</f>
        <v>28740</v>
      </c>
      <c r="G52" s="75" t="n">
        <f aca="false">IFERROR(ROUND(AVERAGE('Data Historis 5 Tahun'!J227:J231)*1.1136,0),0)</f>
        <v>1572416</v>
      </c>
      <c r="H52" s="75" t="n">
        <f aca="false">IFERROR(ROUND(AVERAGE('Data Historis 5 Tahun'!K227:K231)*1.0561,0),0)</f>
        <v>347651</v>
      </c>
      <c r="I52" s="75" t="n">
        <f aca="false">IFERROR(ROUND(1.65*AVERAGE('Data Historis 5 Tahun'!N227:N231)*SQRT(AVERAGE('Data Historis 5 Tahun'!H227:H231)),0),0)</f>
        <v>84</v>
      </c>
      <c r="J52" s="76" t="n">
        <f aca="false">IFERROR(MAX(1,ROUND(F52/12,0)),1)</f>
        <v>2395</v>
      </c>
      <c r="K52" s="77" t="n">
        <f aca="false">IFERROR(ROUND((F52/J52)*G52+(J52/2)*H52+I52*H52,0),0)</f>
        <v>464383749</v>
      </c>
      <c r="L52" s="78" t="n">
        <f aca="false">IFERROR(ROUND(AVERAGE('Data Historis 5 Tahun'!J227:J231),0),0)</f>
        <v>1412012</v>
      </c>
      <c r="M52" s="79" t="n">
        <f aca="false">IFERROR(ROUND(AVERAGE('Data Historis 5 Tahun'!K227:K231),0),0)</f>
        <v>329184</v>
      </c>
      <c r="N52" s="79" t="n">
        <f aca="false">IFERROR(ROUND(1.65*AVERAGE('Data Historis 5 Tahun'!N227:N231)*SQRT(AVERAGE('Data Historis 5 Tahun'!H227:H231)),0),0)</f>
        <v>84</v>
      </c>
      <c r="O52" s="80" t="n">
        <f aca="false">IFERROR(ROUND(SQRT(2*F52*L52/M52),0),0)</f>
        <v>497</v>
      </c>
      <c r="P52" s="80" t="n">
        <f aca="false">IFERROR(ROUND((F52/O52)*L52+(O52/2)*M52+N52*M52,0),0)</f>
        <v>191106044</v>
      </c>
      <c r="Q52" s="80" t="n">
        <f aca="false">K52-P52</f>
        <v>273277705</v>
      </c>
      <c r="R52" s="81" t="n">
        <f aca="false">IFERROR(MAX(1,ROUND(O52*0.5,0)),1)</f>
        <v>249</v>
      </c>
      <c r="S52" s="82" t="n">
        <f aca="false">IFERROR(ROUND((F52/R52)*L52,0),0)</f>
        <v>162976807</v>
      </c>
      <c r="T52" s="82" t="n">
        <f aca="false">IFERROR(ROUND((R52/2)*M52+N52*M52,0),0)</f>
        <v>68634864</v>
      </c>
      <c r="U52" s="83" t="n">
        <f aca="false">S52+T52</f>
        <v>231611671</v>
      </c>
      <c r="V52" s="84" t="n">
        <f aca="false">IFERROR(ROUND(O52*1.5,0),1)</f>
        <v>746</v>
      </c>
      <c r="W52" s="85" t="n">
        <f aca="false">IFERROR(ROUND((F52/V52)*L52,0),0)</f>
        <v>54398425</v>
      </c>
      <c r="X52" s="84" t="n">
        <f aca="false">IFERROR(ROUND((F52/V52)*L52+(V52/2)*M52+N52*M52,0),0)</f>
        <v>204835513</v>
      </c>
      <c r="Y52" s="86" t="n">
        <f aca="false">MIN(K52,P52,U52,X52)</f>
        <v>191106044</v>
      </c>
      <c r="Z52" s="87" t="str">
        <f aca="false">IF(Y52=P52,"✅ EOQ (optimal)",IF(Y52=K52,"Q Obs Lama",IF(Y52=U52,"Q Kecil","Q Besar")))</f>
        <v>✅ EOQ (optimal)</v>
      </c>
      <c r="AA52" s="72" t="n">
        <f aca="false">MAX(0,K52-P52)</f>
        <v>273277705</v>
      </c>
      <c r="AB52" s="72" t="n">
        <f aca="false">IFERROR(AA52/K52,0)</f>
        <v>0.588473876591233</v>
      </c>
      <c r="AC52" s="0" t="str">
        <f aca="false">IF(Q52&gt;0,"Gunakan EOQ — hemat Rp "&amp;TEXT(Q52,"#,##0")&amp;"/thn","Tinjau ulang parameter")</f>
        <v>Gunakan EOQ — hemat Rp 273,277,705/thn</v>
      </c>
      <c r="AD52" s="0" t="str">
        <f aca="false">IF(N52&gt;0,"Gunakan EOQ — hemat Rp "&amp;TEXT(N52,"#,##0")&amp;"/thn","Tinjau ulang parameter S &amp; H")</f>
        <v>Gunakan EOQ — hemat Rp 84/thn</v>
      </c>
    </row>
    <row r="53" customFormat="false" ht="15.75" hidden="false" customHeight="true" outlineLevel="0" collapsed="false">
      <c r="A53" s="88" t="n">
        <v>46</v>
      </c>
      <c r="B53" s="88" t="s">
        <v>126</v>
      </c>
      <c r="C53" s="89" t="s">
        <v>127</v>
      </c>
      <c r="D53" s="88" t="s">
        <v>264</v>
      </c>
      <c r="E53" s="88" t="s">
        <v>36</v>
      </c>
      <c r="F53" s="75" t="n">
        <f aca="false">IFERROR(ROUND(AVERAGE('Data Historis 5 Tahun'!I232:I236),0),0)</f>
        <v>27962</v>
      </c>
      <c r="G53" s="75" t="n">
        <f aca="false">IFERROR(ROUND(AVERAGE('Data Historis 5 Tahun'!J232:J236)*1.1164,0),0)</f>
        <v>358174</v>
      </c>
      <c r="H53" s="75" t="n">
        <f aca="false">IFERROR(ROUND(AVERAGE('Data Historis 5 Tahun'!K232:K236)*1.1316,0),0)</f>
        <v>296746</v>
      </c>
      <c r="I53" s="75" t="n">
        <f aca="false">IFERROR(ROUND(1.65*AVERAGE('Data Historis 5 Tahun'!N232:N236)*SQRT(AVERAGE('Data Historis 5 Tahun'!H232:H236)),0),0)</f>
        <v>97</v>
      </c>
      <c r="J53" s="76" t="n">
        <f aca="false">IFERROR(MAX(1,ROUND(F53/12,0)),1)</f>
        <v>2330</v>
      </c>
      <c r="K53" s="77" t="n">
        <f aca="false">IFERROR(ROUND((F53/J53)*G53+(J53/2)*H53+I53*H53,0),0)</f>
        <v>378791847</v>
      </c>
      <c r="L53" s="78" t="n">
        <f aca="false">IFERROR(ROUND(AVERAGE('Data Historis 5 Tahun'!J232:J236),0),0)</f>
        <v>320829</v>
      </c>
      <c r="M53" s="79" t="n">
        <f aca="false">IFERROR(ROUND(AVERAGE('Data Historis 5 Tahun'!K232:K236),0),0)</f>
        <v>262236</v>
      </c>
      <c r="N53" s="79" t="n">
        <f aca="false">IFERROR(ROUND(1.65*AVERAGE('Data Historis 5 Tahun'!N232:N236)*SQRT(AVERAGE('Data Historis 5 Tahun'!H232:H236)),0),0)</f>
        <v>97</v>
      </c>
      <c r="O53" s="80" t="n">
        <f aca="false">IFERROR(ROUND(SQRT(2*F53*L53/M53),0),0)</f>
        <v>262</v>
      </c>
      <c r="P53" s="80" t="n">
        <f aca="false">IFERROR(ROUND((F53/O53)*L53+(O53/2)*M53+N53*M53,0),0)</f>
        <v>94030344</v>
      </c>
      <c r="Q53" s="80" t="n">
        <f aca="false">K53-P53</f>
        <v>284761503</v>
      </c>
      <c r="R53" s="81" t="n">
        <f aca="false">IFERROR(MAX(1,ROUND(O53*0.5,0)),1)</f>
        <v>131</v>
      </c>
      <c r="S53" s="82" t="n">
        <f aca="false">IFERROR(ROUND((F53/R53)*L53,0),0)</f>
        <v>68481073</v>
      </c>
      <c r="T53" s="82" t="n">
        <f aca="false">IFERROR(ROUND((R53/2)*M53+N53*M53,0),0)</f>
        <v>42613350</v>
      </c>
      <c r="U53" s="83" t="n">
        <f aca="false">S53+T53</f>
        <v>111094423</v>
      </c>
      <c r="V53" s="84" t="n">
        <f aca="false">IFERROR(ROUND(O53*1.5,0),1)</f>
        <v>393</v>
      </c>
      <c r="W53" s="85" t="n">
        <f aca="false">IFERROR(ROUND((F53/V53)*L53,0),0)</f>
        <v>22827024</v>
      </c>
      <c r="X53" s="84" t="n">
        <f aca="false">IFERROR(ROUND((F53/V53)*L53+(V53/2)*M53+N53*M53,0),0)</f>
        <v>99793290</v>
      </c>
      <c r="Y53" s="86" t="n">
        <f aca="false">MIN(K53,P53,U53,X53)</f>
        <v>94030344</v>
      </c>
      <c r="Z53" s="87" t="str">
        <f aca="false">IF(Y53=P53,"✅ EOQ (optimal)",IF(Y53=K53,"Q Obs Lama",IF(Y53=U53,"Q Kecil","Q Besar")))</f>
        <v>✅ EOQ (optimal)</v>
      </c>
      <c r="AA53" s="72" t="n">
        <f aca="false">MAX(0,K53-P53)</f>
        <v>284761503</v>
      </c>
      <c r="AB53" s="72" t="n">
        <f aca="false">IFERROR(AA53/K53,0)</f>
        <v>0.751762492395989</v>
      </c>
      <c r="AC53" s="0" t="str">
        <f aca="false">IF(Q53&gt;0,"Gunakan EOQ — hemat Rp "&amp;TEXT(Q53,"#,##0")&amp;"/thn","Tinjau ulang parameter")</f>
        <v>Gunakan EOQ — hemat Rp 284,761,503/thn</v>
      </c>
      <c r="AD53" s="0" t="str">
        <f aca="false">IF(N53&gt;0,"Gunakan EOQ — hemat Rp "&amp;TEXT(N53,"#,##0")&amp;"/thn","Tinjau ulang parameter S &amp; H")</f>
        <v>Gunakan EOQ — hemat Rp 97/thn</v>
      </c>
    </row>
    <row r="54" customFormat="false" ht="15.75" hidden="false" customHeight="true" outlineLevel="0" collapsed="false">
      <c r="A54" s="73" t="n">
        <v>47</v>
      </c>
      <c r="B54" s="73" t="s">
        <v>128</v>
      </c>
      <c r="C54" s="74" t="s">
        <v>129</v>
      </c>
      <c r="D54" s="73" t="s">
        <v>264</v>
      </c>
      <c r="E54" s="73" t="s">
        <v>36</v>
      </c>
      <c r="F54" s="75" t="n">
        <f aca="false">IFERROR(ROUND(AVERAGE('Data Historis 5 Tahun'!I237:I241),0),0)</f>
        <v>43533</v>
      </c>
      <c r="G54" s="75" t="n">
        <f aca="false">IFERROR(ROUND(AVERAGE('Data Historis 5 Tahun'!J237:J241)*1.2188,0),0)</f>
        <v>8294274</v>
      </c>
      <c r="H54" s="75" t="n">
        <f aca="false">IFERROR(ROUND(AVERAGE('Data Historis 5 Tahun'!K237:K241)*1.1049,0),0)</f>
        <v>310327</v>
      </c>
      <c r="I54" s="75" t="n">
        <f aca="false">IFERROR(ROUND(1.65*AVERAGE('Data Historis 5 Tahun'!N237:N241)*SQRT(AVERAGE('Data Historis 5 Tahun'!H237:H241)),0),0)</f>
        <v>279</v>
      </c>
      <c r="J54" s="76" t="n">
        <f aca="false">IFERROR(MAX(1,ROUND(F54/12,0)),1)</f>
        <v>3628</v>
      </c>
      <c r="K54" s="77" t="n">
        <f aca="false">IFERROR(ROUND((F54/J54)*G54+(J54/2)*H54+I54*H54,0),0)</f>
        <v>749038840</v>
      </c>
      <c r="L54" s="78" t="n">
        <f aca="false">IFERROR(ROUND(AVERAGE('Data Historis 5 Tahun'!J237:J241),0),0)</f>
        <v>6805279</v>
      </c>
      <c r="M54" s="79" t="n">
        <f aca="false">IFERROR(ROUND(AVERAGE('Data Historis 5 Tahun'!K237:K241),0),0)</f>
        <v>280864</v>
      </c>
      <c r="N54" s="79" t="n">
        <f aca="false">IFERROR(ROUND(1.65*AVERAGE('Data Historis 5 Tahun'!N237:N241)*SQRT(AVERAGE('Data Historis 5 Tahun'!H237:H241)),0),0)</f>
        <v>279</v>
      </c>
      <c r="O54" s="80" t="n">
        <f aca="false">IFERROR(ROUND(SQRT(2*F54*L54/M54),0),0)</f>
        <v>1452</v>
      </c>
      <c r="P54" s="80" t="n">
        <f aca="false">IFERROR(ROUND((F54/O54)*L54+(O54/2)*M54+N54*M54,0),0)</f>
        <v>486300146</v>
      </c>
      <c r="Q54" s="80" t="n">
        <f aca="false">K54-P54</f>
        <v>262738694</v>
      </c>
      <c r="R54" s="81" t="n">
        <f aca="false">IFERROR(MAX(1,ROUND(O54*0.5,0)),1)</f>
        <v>726</v>
      </c>
      <c r="S54" s="82" t="n">
        <f aca="false">IFERROR(ROUND((F54/R54)*L54,0),0)</f>
        <v>408063651</v>
      </c>
      <c r="T54" s="82" t="n">
        <f aca="false">IFERROR(ROUND((R54/2)*M54+N54*M54,0),0)</f>
        <v>180314688</v>
      </c>
      <c r="U54" s="83" t="n">
        <f aca="false">S54+T54</f>
        <v>588378339</v>
      </c>
      <c r="V54" s="84" t="n">
        <f aca="false">IFERROR(ROUND(O54*1.5,0),1)</f>
        <v>2178</v>
      </c>
      <c r="W54" s="85" t="n">
        <f aca="false">IFERROR(ROUND((F54/V54)*L54,0),0)</f>
        <v>136021217</v>
      </c>
      <c r="X54" s="84" t="n">
        <f aca="false">IFERROR(ROUND((F54/V54)*L54+(V54/2)*M54+N54*M54,0),0)</f>
        <v>520243169</v>
      </c>
      <c r="Y54" s="86" t="n">
        <f aca="false">MIN(K54,P54,U54,X54)</f>
        <v>486300146</v>
      </c>
      <c r="Z54" s="87" t="str">
        <f aca="false">IF(Y54=P54,"✅ EOQ (optimal)",IF(Y54=K54,"Q Obs Lama",IF(Y54=U54,"Q Kecil","Q Besar")))</f>
        <v>✅ EOQ (optimal)</v>
      </c>
      <c r="AA54" s="72" t="n">
        <f aca="false">MAX(0,K54-P54)</f>
        <v>262738694</v>
      </c>
      <c r="AB54" s="72" t="n">
        <f aca="false">IFERROR(AA54/K54,0)</f>
        <v>0.350767783950963</v>
      </c>
      <c r="AC54" s="0" t="str">
        <f aca="false">IF(Q54&gt;0,"Gunakan EOQ — hemat Rp "&amp;TEXT(Q54,"#,##0")&amp;"/thn","Tinjau ulang parameter")</f>
        <v>Gunakan EOQ — hemat Rp 262,738,694/thn</v>
      </c>
      <c r="AD54" s="0" t="str">
        <f aca="false">IF(N54&gt;0,"Gunakan EOQ — hemat Rp "&amp;TEXT(N54,"#,##0")&amp;"/thn","Tinjau ulang parameter S &amp; H")</f>
        <v>Gunakan EOQ — hemat Rp 279/thn</v>
      </c>
    </row>
    <row r="55" customFormat="false" ht="15.75" hidden="false" customHeight="true" outlineLevel="0" collapsed="false">
      <c r="A55" s="88" t="n">
        <v>48</v>
      </c>
      <c r="B55" s="88" t="s">
        <v>130</v>
      </c>
      <c r="C55" s="89" t="s">
        <v>131</v>
      </c>
      <c r="D55" s="88" t="s">
        <v>263</v>
      </c>
      <c r="E55" s="88" t="s">
        <v>57</v>
      </c>
      <c r="F55" s="75" t="n">
        <f aca="false">IFERROR(ROUND(AVERAGE('Data Historis 5 Tahun'!I242:I246),0),0)</f>
        <v>25806</v>
      </c>
      <c r="G55" s="75" t="n">
        <f aca="false">IFERROR(ROUND(AVERAGE('Data Historis 5 Tahun'!J242:J246)*1.1095,0),0)</f>
        <v>1113422</v>
      </c>
      <c r="H55" s="75" t="n">
        <f aca="false">IFERROR(ROUND(AVERAGE('Data Historis 5 Tahun'!K242:K246)*1.0996,0),0)</f>
        <v>493099</v>
      </c>
      <c r="I55" s="75" t="n">
        <f aca="false">IFERROR(ROUND(1.65*AVERAGE('Data Historis 5 Tahun'!N242:N246)*SQRT(AVERAGE('Data Historis 5 Tahun'!H242:H246)),0),0)</f>
        <v>89</v>
      </c>
      <c r="J55" s="76" t="n">
        <f aca="false">IFERROR(MAX(1,ROUND(F55/12,0)),1)</f>
        <v>2151</v>
      </c>
      <c r="K55" s="77" t="n">
        <f aca="false">IFERROR(ROUND((F55/J55)*G55+(J55/2)*H55+I55*H55,0),0)</f>
        <v>587571744</v>
      </c>
      <c r="L55" s="78" t="n">
        <f aca="false">IFERROR(ROUND(AVERAGE('Data Historis 5 Tahun'!J242:J246),0),0)</f>
        <v>1003535</v>
      </c>
      <c r="M55" s="79" t="n">
        <f aca="false">IFERROR(ROUND(AVERAGE('Data Historis 5 Tahun'!K242:K246),0),0)</f>
        <v>448435</v>
      </c>
      <c r="N55" s="79" t="n">
        <f aca="false">IFERROR(ROUND(1.65*AVERAGE('Data Historis 5 Tahun'!N242:N246)*SQRT(AVERAGE('Data Historis 5 Tahun'!H242:H246)),0),0)</f>
        <v>89</v>
      </c>
      <c r="O55" s="80" t="n">
        <f aca="false">IFERROR(ROUND(SQRT(2*F55*L55/M55),0),0)</f>
        <v>340</v>
      </c>
      <c r="P55" s="80" t="n">
        <f aca="false">IFERROR(ROUND((F55/O55)*L55+(O55/2)*M55+N55*M55,0),0)</f>
        <v>192312972</v>
      </c>
      <c r="Q55" s="80" t="n">
        <f aca="false">K55-P55</f>
        <v>395258772</v>
      </c>
      <c r="R55" s="81" t="n">
        <f aca="false">IFERROR(MAX(1,ROUND(O55*0.5,0)),1)</f>
        <v>170</v>
      </c>
      <c r="S55" s="82" t="n">
        <f aca="false">IFERROR(ROUND((F55/R55)*L55,0),0)</f>
        <v>152336613</v>
      </c>
      <c r="T55" s="82" t="n">
        <f aca="false">IFERROR(ROUND((R55/2)*M55+N55*M55,0),0)</f>
        <v>78027690</v>
      </c>
      <c r="U55" s="83" t="n">
        <f aca="false">S55+T55</f>
        <v>230364303</v>
      </c>
      <c r="V55" s="84" t="n">
        <f aca="false">IFERROR(ROUND(O55*1.5,0),1)</f>
        <v>510</v>
      </c>
      <c r="W55" s="85" t="n">
        <f aca="false">IFERROR(ROUND((F55/V55)*L55,0),0)</f>
        <v>50778871</v>
      </c>
      <c r="X55" s="84" t="n">
        <f aca="false">IFERROR(ROUND((F55/V55)*L55+(V55/2)*M55+N55*M55,0),0)</f>
        <v>205040511</v>
      </c>
      <c r="Y55" s="86" t="n">
        <f aca="false">MIN(K55,P55,U55,X55)</f>
        <v>192312972</v>
      </c>
      <c r="Z55" s="87" t="str">
        <f aca="false">IF(Y55=P55,"✅ EOQ (optimal)",IF(Y55=K55,"Q Obs Lama",IF(Y55=U55,"Q Kecil","Q Besar")))</f>
        <v>✅ EOQ (optimal)</v>
      </c>
      <c r="AA55" s="72" t="n">
        <f aca="false">MAX(0,K55-P55)</f>
        <v>395258772</v>
      </c>
      <c r="AB55" s="72" t="n">
        <f aca="false">IFERROR(AA55/K55,0)</f>
        <v>0.672698740258007</v>
      </c>
      <c r="AC55" s="0" t="str">
        <f aca="false">IF(Q55&gt;0,"Gunakan EOQ — hemat Rp "&amp;TEXT(Q55,"#,##0")&amp;"/thn","Tinjau ulang parameter")</f>
        <v>Gunakan EOQ — hemat Rp 395,258,772/thn</v>
      </c>
      <c r="AD55" s="0" t="str">
        <f aca="false">IF(N55&gt;0,"Gunakan EOQ — hemat Rp "&amp;TEXT(N55,"#,##0")&amp;"/thn","Tinjau ulang parameter S &amp; H")</f>
        <v>Gunakan EOQ — hemat Rp 89/thn</v>
      </c>
    </row>
    <row r="56" customFormat="false" ht="15.75" hidden="false" customHeight="true" outlineLevel="0" collapsed="false">
      <c r="A56" s="73" t="n">
        <v>49</v>
      </c>
      <c r="B56" s="73" t="s">
        <v>132</v>
      </c>
      <c r="C56" s="74" t="s">
        <v>133</v>
      </c>
      <c r="D56" s="73" t="s">
        <v>263</v>
      </c>
      <c r="E56" s="73" t="s">
        <v>57</v>
      </c>
      <c r="F56" s="75" t="n">
        <f aca="false">IFERROR(ROUND(AVERAGE('Data Historis 5 Tahun'!I247:I251),0),0)</f>
        <v>13937</v>
      </c>
      <c r="G56" s="75" t="n">
        <f aca="false">IFERROR(ROUND(AVERAGE('Data Historis 5 Tahun'!J247:J251)*1.2494,0),0)</f>
        <v>11229592</v>
      </c>
      <c r="H56" s="75" t="n">
        <f aca="false">IFERROR(ROUND(AVERAGE('Data Historis 5 Tahun'!K247:K251)*1.1188,0),0)</f>
        <v>422874</v>
      </c>
      <c r="I56" s="75" t="n">
        <f aca="false">IFERROR(ROUND(1.65*AVERAGE('Data Historis 5 Tahun'!N247:N251)*SQRT(AVERAGE('Data Historis 5 Tahun'!H247:H251)),0),0)</f>
        <v>83</v>
      </c>
      <c r="J56" s="76" t="n">
        <f aca="false">IFERROR(MAX(1,ROUND(F56/12,0)),1)</f>
        <v>1161</v>
      </c>
      <c r="K56" s="77" t="n">
        <f aca="false">IFERROR(ROUND((F56/J56)*G56+(J56/2)*H56+I56*H56,0),0)</f>
        <v>415380365</v>
      </c>
      <c r="L56" s="78" t="n">
        <f aca="false">IFERROR(ROUND(AVERAGE('Data Historis 5 Tahun'!J247:J251),0),0)</f>
        <v>8987988</v>
      </c>
      <c r="M56" s="79" t="n">
        <f aca="false">IFERROR(ROUND(AVERAGE('Data Historis 5 Tahun'!K247:K251),0),0)</f>
        <v>377971</v>
      </c>
      <c r="N56" s="79" t="n">
        <f aca="false">IFERROR(ROUND(1.65*AVERAGE('Data Historis 5 Tahun'!N247:N251)*SQRT(AVERAGE('Data Historis 5 Tahun'!H247:H251)),0),0)</f>
        <v>83</v>
      </c>
      <c r="O56" s="80" t="n">
        <f aca="false">IFERROR(ROUND(SQRT(2*F56*L56/M56),0),0)</f>
        <v>814</v>
      </c>
      <c r="P56" s="80" t="n">
        <f aca="false">IFERROR(ROUND((F56/O56)*L56+(O56/2)*M56+N56*M56,0),0)</f>
        <v>339094720</v>
      </c>
      <c r="Q56" s="80" t="n">
        <f aca="false">K56-P56</f>
        <v>76285645</v>
      </c>
      <c r="R56" s="81" t="n">
        <f aca="false">IFERROR(MAX(1,ROUND(O56*0.5,0)),1)</f>
        <v>407</v>
      </c>
      <c r="S56" s="82" t="n">
        <f aca="false">IFERROR(ROUND((F56/R56)*L56,0),0)</f>
        <v>307777859</v>
      </c>
      <c r="T56" s="82" t="n">
        <f aca="false">IFERROR(ROUND((R56/2)*M56+N56*M56,0),0)</f>
        <v>108288692</v>
      </c>
      <c r="U56" s="83" t="n">
        <f aca="false">S56+T56</f>
        <v>416066551</v>
      </c>
      <c r="V56" s="84" t="n">
        <f aca="false">IFERROR(ROUND(O56*1.5,0),1)</f>
        <v>1221</v>
      </c>
      <c r="W56" s="85" t="n">
        <f aca="false">IFERROR(ROUND((F56/V56)*L56,0),0)</f>
        <v>102592620</v>
      </c>
      <c r="X56" s="84" t="n">
        <f aca="false">IFERROR(ROUND((F56/V56)*L56+(V56/2)*M56+N56*M56,0),0)</f>
        <v>364715508</v>
      </c>
      <c r="Y56" s="86" t="n">
        <f aca="false">MIN(K56,P56,U56,X56)</f>
        <v>339094720</v>
      </c>
      <c r="Z56" s="87" t="str">
        <f aca="false">IF(Y56=P56,"✅ EOQ (optimal)",IF(Y56=K56,"Q Obs Lama",IF(Y56=U56,"Q Kecil","Q Besar")))</f>
        <v>✅ EOQ (optimal)</v>
      </c>
      <c r="AA56" s="72" t="n">
        <f aca="false">MAX(0,K56-P56)</f>
        <v>76285645</v>
      </c>
      <c r="AB56" s="72" t="n">
        <f aca="false">IFERROR(AA56/K56,0)</f>
        <v>0.183652506059115</v>
      </c>
      <c r="AC56" s="0" t="str">
        <f aca="false">IF(Q56&gt;0,"Gunakan EOQ — hemat Rp "&amp;TEXT(Q56,"#,##0")&amp;"/thn","Tinjau ulang parameter")</f>
        <v>Gunakan EOQ — hemat Rp 76,285,645/thn</v>
      </c>
      <c r="AD56" s="0" t="str">
        <f aca="false">IF(N56&gt;0,"Gunakan EOQ — hemat Rp "&amp;TEXT(N56,"#,##0")&amp;"/thn","Tinjau ulang parameter S &amp; H")</f>
        <v>Gunakan EOQ — hemat Rp 83/thn</v>
      </c>
    </row>
    <row r="57" customFormat="false" ht="15.75" hidden="false" customHeight="true" outlineLevel="0" collapsed="false">
      <c r="A57" s="88" t="n">
        <v>50</v>
      </c>
      <c r="B57" s="88" t="s">
        <v>134</v>
      </c>
      <c r="C57" s="89" t="s">
        <v>135</v>
      </c>
      <c r="D57" s="88" t="s">
        <v>263</v>
      </c>
      <c r="E57" s="88" t="s">
        <v>57</v>
      </c>
      <c r="F57" s="75" t="n">
        <f aca="false">IFERROR(ROUND(AVERAGE('Data Historis 5 Tahun'!I252:I256),0),0)</f>
        <v>1029</v>
      </c>
      <c r="G57" s="75" t="n">
        <f aca="false">IFERROR(ROUND(AVERAGE('Data Historis 5 Tahun'!J252:J256)*1.2457,0),0)</f>
        <v>7500065</v>
      </c>
      <c r="H57" s="75" t="n">
        <f aca="false">IFERROR(ROUND(AVERAGE('Data Historis 5 Tahun'!K252:K256)*1.1619,0),0)</f>
        <v>607442</v>
      </c>
      <c r="I57" s="75" t="n">
        <f aca="false">IFERROR(ROUND(1.65*AVERAGE('Data Historis 5 Tahun'!N252:N256)*SQRT(AVERAGE('Data Historis 5 Tahun'!H252:H256)),0),0)</f>
        <v>7</v>
      </c>
      <c r="J57" s="76" t="n">
        <f aca="false">IFERROR(MAX(1,ROUND(F57/12,0)),1)</f>
        <v>86</v>
      </c>
      <c r="K57" s="77" t="n">
        <f aca="false">IFERROR(ROUND((F57/J57)*G57+(J57/2)*H57+I57*H57,0),0)</f>
        <v>120111250</v>
      </c>
      <c r="L57" s="78" t="n">
        <f aca="false">IFERROR(ROUND(AVERAGE('Data Historis 5 Tahun'!J252:J256),0),0)</f>
        <v>6020764</v>
      </c>
      <c r="M57" s="79" t="n">
        <f aca="false">IFERROR(ROUND(AVERAGE('Data Historis 5 Tahun'!K252:K256),0),0)</f>
        <v>522801</v>
      </c>
      <c r="N57" s="79" t="n">
        <f aca="false">IFERROR(ROUND(1.65*AVERAGE('Data Historis 5 Tahun'!N252:N256)*SQRT(AVERAGE('Data Historis 5 Tahun'!H252:H256)),0),0)</f>
        <v>7</v>
      </c>
      <c r="O57" s="80" t="n">
        <f aca="false">IFERROR(ROUND(SQRT(2*F57*L57/M57),0),0)</f>
        <v>154</v>
      </c>
      <c r="P57" s="80" t="n">
        <f aca="false">IFERROR(ROUND((F57/O57)*L57+(O57/2)*M57+N57*M57,0),0)</f>
        <v>84144934</v>
      </c>
      <c r="Q57" s="80" t="n">
        <f aca="false">K57-P57</f>
        <v>35966316</v>
      </c>
      <c r="R57" s="81" t="n">
        <f aca="false">IFERROR(MAX(1,ROUND(O57*0.5,0)),1)</f>
        <v>77</v>
      </c>
      <c r="S57" s="82" t="n">
        <f aca="false">IFERROR(ROUND((F57/R57)*L57,0),0)</f>
        <v>80459301</v>
      </c>
      <c r="T57" s="82" t="n">
        <f aca="false">IFERROR(ROUND((R57/2)*M57+N57*M57,0),0)</f>
        <v>23787446</v>
      </c>
      <c r="U57" s="83" t="n">
        <f aca="false">S57+T57</f>
        <v>104246747</v>
      </c>
      <c r="V57" s="84" t="n">
        <f aca="false">IFERROR(ROUND(O57*1.5,0),1)</f>
        <v>231</v>
      </c>
      <c r="W57" s="85" t="n">
        <f aca="false">IFERROR(ROUND((F57/V57)*L57,0),0)</f>
        <v>26819767</v>
      </c>
      <c r="X57" s="84" t="n">
        <f aca="false">IFERROR(ROUND((F57/V57)*L57+(V57/2)*M57+N57*M57,0),0)</f>
        <v>90862889</v>
      </c>
      <c r="Y57" s="86" t="n">
        <f aca="false">MIN(K57,P57,U57,X57)</f>
        <v>84144934</v>
      </c>
      <c r="Z57" s="87" t="str">
        <f aca="false">IF(Y57=P57,"✅ EOQ (optimal)",IF(Y57=K57,"Q Obs Lama",IF(Y57=U57,"Q Kecil","Q Besar")))</f>
        <v>✅ EOQ (optimal)</v>
      </c>
      <c r="AA57" s="72" t="n">
        <f aca="false">MAX(0,K57-P57)</f>
        <v>35966316</v>
      </c>
      <c r="AB57" s="72" t="n">
        <f aca="false">IFERROR(AA57/K57,0)</f>
        <v>0.299441692597488</v>
      </c>
      <c r="AC57" s="0" t="str">
        <f aca="false">IF(Q57&gt;0,"Gunakan EOQ — hemat Rp "&amp;TEXT(Q57,"#,##0")&amp;"/thn","Tinjau ulang parameter")</f>
        <v>Gunakan EOQ — hemat Rp 35,966,316/thn</v>
      </c>
      <c r="AD57" s="0" t="str">
        <f aca="false">IF(N57&gt;0,"Gunakan EOQ — hemat Rp "&amp;TEXT(N57,"#,##0")&amp;"/thn","Tinjau ulang parameter S &amp; H")</f>
        <v>Gunakan EOQ — hemat Rp 7/thn</v>
      </c>
    </row>
    <row r="58" customFormat="false" ht="15.75" hidden="false" customHeight="true" outlineLevel="0" collapsed="false">
      <c r="A58" s="73" t="n">
        <v>51</v>
      </c>
      <c r="B58" s="73" t="s">
        <v>136</v>
      </c>
      <c r="C58" s="74" t="s">
        <v>137</v>
      </c>
      <c r="D58" s="73" t="s">
        <v>264</v>
      </c>
      <c r="E58" s="73" t="s">
        <v>36</v>
      </c>
      <c r="F58" s="75" t="n">
        <f aca="false">IFERROR(ROUND(AVERAGE('Data Historis 5 Tahun'!I257:I261),0),0)</f>
        <v>12458</v>
      </c>
      <c r="G58" s="75" t="n">
        <f aca="false">IFERROR(ROUND(AVERAGE('Data Historis 5 Tahun'!J257:J261)*1.1017,0),0)</f>
        <v>2237646</v>
      </c>
      <c r="H58" s="75" t="n">
        <f aca="false">IFERROR(ROUND(AVERAGE('Data Historis 5 Tahun'!K257:K261)*1.1437,0),0)</f>
        <v>189433</v>
      </c>
      <c r="I58" s="75" t="n">
        <f aca="false">IFERROR(ROUND(1.65*AVERAGE('Data Historis 5 Tahun'!N257:N261)*SQRT(AVERAGE('Data Historis 5 Tahun'!H257:H261)),0),0)</f>
        <v>32</v>
      </c>
      <c r="J58" s="76" t="n">
        <f aca="false">IFERROR(MAX(1,ROUND(F58/12,0)),1)</f>
        <v>1038</v>
      </c>
      <c r="K58" s="77" t="n">
        <f aca="false">IFERROR(ROUND((F58/J58)*G58+(J58/2)*H58+I58*H58,0),0)</f>
        <v>131233646</v>
      </c>
      <c r="L58" s="78" t="n">
        <f aca="false">IFERROR(ROUND(AVERAGE('Data Historis 5 Tahun'!J257:J261),0),0)</f>
        <v>2031084</v>
      </c>
      <c r="M58" s="79" t="n">
        <f aca="false">IFERROR(ROUND(AVERAGE('Data Historis 5 Tahun'!K257:K261),0),0)</f>
        <v>165632</v>
      </c>
      <c r="N58" s="79" t="n">
        <f aca="false">IFERROR(ROUND(1.65*AVERAGE('Data Historis 5 Tahun'!N257:N261)*SQRT(AVERAGE('Data Historis 5 Tahun'!H257:H261)),0),0)</f>
        <v>32</v>
      </c>
      <c r="O58" s="80" t="n">
        <f aca="false">IFERROR(ROUND(SQRT(2*F58*L58/M58),0),0)</f>
        <v>553</v>
      </c>
      <c r="P58" s="80" t="n">
        <f aca="false">IFERROR(ROUND((F58/O58)*L58+(O58/2)*M58+N58*M58,0),0)</f>
        <v>96853791</v>
      </c>
      <c r="Q58" s="80" t="n">
        <f aca="false">K58-P58</f>
        <v>34379855</v>
      </c>
      <c r="R58" s="81" t="n">
        <f aca="false">IFERROR(MAX(1,ROUND(O58*0.5,0)),1)</f>
        <v>277</v>
      </c>
      <c r="S58" s="82" t="n">
        <f aca="false">IFERROR(ROUND((F58/R58)*L58,0),0)</f>
        <v>91347453</v>
      </c>
      <c r="T58" s="82" t="n">
        <f aca="false">IFERROR(ROUND((R58/2)*M58+N58*M58,0),0)</f>
        <v>28240256</v>
      </c>
      <c r="U58" s="83" t="n">
        <f aca="false">S58+T58</f>
        <v>119587709</v>
      </c>
      <c r="V58" s="84" t="n">
        <f aca="false">IFERROR(ROUND(O58*1.5,0),1)</f>
        <v>830</v>
      </c>
      <c r="W58" s="85" t="n">
        <f aca="false">IFERROR(ROUND((F58/V58)*L58,0),0)</f>
        <v>30485837</v>
      </c>
      <c r="X58" s="84" t="n">
        <f aca="false">IFERROR(ROUND((F58/V58)*L58+(V58/2)*M58+N58*M58,0),0)</f>
        <v>104523341</v>
      </c>
      <c r="Y58" s="86" t="n">
        <f aca="false">MIN(K58,P58,U58,X58)</f>
        <v>96853791</v>
      </c>
      <c r="Z58" s="87" t="str">
        <f aca="false">IF(Y58=P58,"✅ EOQ (optimal)",IF(Y58=K58,"Q Obs Lama",IF(Y58=U58,"Q Kecil","Q Besar")))</f>
        <v>✅ EOQ (optimal)</v>
      </c>
      <c r="AA58" s="72" t="n">
        <f aca="false">MAX(0,K58-P58)</f>
        <v>34379855</v>
      </c>
      <c r="AB58" s="72" t="n">
        <f aca="false">IFERROR(AA58/K58,0)</f>
        <v>0.261974394889555</v>
      </c>
      <c r="AC58" s="0" t="str">
        <f aca="false">IF(Q58&gt;0,"Gunakan EOQ — hemat Rp "&amp;TEXT(Q58,"#,##0")&amp;"/thn","Tinjau ulang parameter")</f>
        <v>Gunakan EOQ — hemat Rp 34,379,855/thn</v>
      </c>
      <c r="AD58" s="0" t="str">
        <f aca="false">IF(N58&gt;0,"Gunakan EOQ — hemat Rp "&amp;TEXT(N58,"#,##0")&amp;"/thn","Tinjau ulang parameter S &amp; H")</f>
        <v>Gunakan EOQ — hemat Rp 32/thn</v>
      </c>
    </row>
    <row r="59" customFormat="false" ht="15.75" hidden="false" customHeight="true" outlineLevel="0" collapsed="false">
      <c r="A59" s="88" t="n">
        <v>52</v>
      </c>
      <c r="B59" s="88" t="s">
        <v>138</v>
      </c>
      <c r="C59" s="89" t="s">
        <v>139</v>
      </c>
      <c r="D59" s="88" t="s">
        <v>263</v>
      </c>
      <c r="E59" s="88" t="s">
        <v>36</v>
      </c>
      <c r="F59" s="75" t="n">
        <f aca="false">IFERROR(ROUND(AVERAGE('Data Historis 5 Tahun'!I262:I266),0),0)</f>
        <v>30465</v>
      </c>
      <c r="G59" s="75" t="n">
        <f aca="false">IFERROR(ROUND(AVERAGE('Data Historis 5 Tahun'!J262:J266)*1.2023,0),0)</f>
        <v>1684546</v>
      </c>
      <c r="H59" s="75" t="n">
        <f aca="false">IFERROR(ROUND(AVERAGE('Data Historis 5 Tahun'!K262:K266)*1.1198,0),0)</f>
        <v>356711</v>
      </c>
      <c r="I59" s="75" t="n">
        <f aca="false">IFERROR(ROUND(1.65*AVERAGE('Data Historis 5 Tahun'!N262:N266)*SQRT(AVERAGE('Data Historis 5 Tahun'!H262:H266)),0),0)</f>
        <v>83</v>
      </c>
      <c r="J59" s="76" t="n">
        <f aca="false">IFERROR(MAX(1,ROUND(F59/12,0)),1)</f>
        <v>2539</v>
      </c>
      <c r="K59" s="77" t="n">
        <f aca="false">IFERROR(ROUND((F59/J59)*G59+(J59/2)*H59+I59*H59,0),0)</f>
        <v>502664189</v>
      </c>
      <c r="L59" s="78" t="n">
        <f aca="false">IFERROR(ROUND(AVERAGE('Data Historis 5 Tahun'!J262:J266),0),0)</f>
        <v>1401103</v>
      </c>
      <c r="M59" s="79" t="n">
        <f aca="false">IFERROR(ROUND(AVERAGE('Data Historis 5 Tahun'!K262:K266),0),0)</f>
        <v>318549</v>
      </c>
      <c r="N59" s="79" t="n">
        <f aca="false">IFERROR(ROUND(1.65*AVERAGE('Data Historis 5 Tahun'!N262:N266)*SQRT(AVERAGE('Data Historis 5 Tahun'!H262:H266)),0),0)</f>
        <v>83</v>
      </c>
      <c r="O59" s="80" t="n">
        <f aca="false">IFERROR(ROUND(SQRT(2*F59*L59/M59),0),0)</f>
        <v>518</v>
      </c>
      <c r="P59" s="80" t="n">
        <f aca="false">IFERROR(ROUND((F59/O59)*L59+(O59/2)*M59+N59*M59,0),0)</f>
        <v>191346466</v>
      </c>
      <c r="Q59" s="80" t="n">
        <f aca="false">K59-P59</f>
        <v>311317723</v>
      </c>
      <c r="R59" s="81" t="n">
        <f aca="false">IFERROR(MAX(1,ROUND(O59*0.5,0)),1)</f>
        <v>259</v>
      </c>
      <c r="S59" s="82" t="n">
        <f aca="false">IFERROR(ROUND((F59/R59)*L59,0),0)</f>
        <v>164805417</v>
      </c>
      <c r="T59" s="82" t="n">
        <f aca="false">IFERROR(ROUND((R59/2)*M59+N59*M59,0),0)</f>
        <v>67691663</v>
      </c>
      <c r="U59" s="83" t="n">
        <f aca="false">S59+T59</f>
        <v>232497080</v>
      </c>
      <c r="V59" s="84" t="n">
        <f aca="false">IFERROR(ROUND(O59*1.5,0),1)</f>
        <v>777</v>
      </c>
      <c r="W59" s="85" t="n">
        <f aca="false">IFERROR(ROUND((F59/V59)*L59,0),0)</f>
        <v>54935139</v>
      </c>
      <c r="X59" s="84" t="n">
        <f aca="false">IFERROR(ROUND((F59/V59)*L59+(V59/2)*M59+N59*M59,0),0)</f>
        <v>205130992</v>
      </c>
      <c r="Y59" s="86" t="n">
        <f aca="false">MIN(K59,P59,U59,X59)</f>
        <v>191346466</v>
      </c>
      <c r="Z59" s="87" t="str">
        <f aca="false">IF(Y59=P59,"✅ EOQ (optimal)",IF(Y59=K59,"Q Obs Lama",IF(Y59=U59,"Q Kecil","Q Besar")))</f>
        <v>✅ EOQ (optimal)</v>
      </c>
      <c r="AA59" s="72" t="n">
        <f aca="false">MAX(0,K59-P59)</f>
        <v>311317723</v>
      </c>
      <c r="AB59" s="72" t="n">
        <f aca="false">IFERROR(AA59/K59,0)</f>
        <v>0.619335392917756</v>
      </c>
      <c r="AC59" s="0" t="str">
        <f aca="false">IF(Q59&gt;0,"Gunakan EOQ — hemat Rp "&amp;TEXT(Q59,"#,##0")&amp;"/thn","Tinjau ulang parameter")</f>
        <v>Gunakan EOQ — hemat Rp 311,317,723/thn</v>
      </c>
      <c r="AD59" s="0" t="str">
        <f aca="false">IF(N59&gt;0,"Gunakan EOQ — hemat Rp "&amp;TEXT(N59,"#,##0")&amp;"/thn","Tinjau ulang parameter S &amp; H")</f>
        <v>Gunakan EOQ — hemat Rp 83/thn</v>
      </c>
    </row>
    <row r="60" customFormat="false" ht="15.75" hidden="false" customHeight="true" outlineLevel="0" collapsed="false">
      <c r="A60" s="73" t="n">
        <v>53</v>
      </c>
      <c r="B60" s="73" t="s">
        <v>140</v>
      </c>
      <c r="C60" s="74" t="s">
        <v>141</v>
      </c>
      <c r="D60" s="73" t="s">
        <v>264</v>
      </c>
      <c r="E60" s="73" t="s">
        <v>36</v>
      </c>
      <c r="F60" s="75" t="n">
        <f aca="false">IFERROR(ROUND(AVERAGE('Data Historis 5 Tahun'!I267:I271),0),0)</f>
        <v>36252</v>
      </c>
      <c r="G60" s="75" t="n">
        <f aca="false">IFERROR(ROUND(AVERAGE('Data Historis 5 Tahun'!J267:J271)*1.14,0),0)</f>
        <v>8493430</v>
      </c>
      <c r="H60" s="75" t="n">
        <f aca="false">IFERROR(ROUND(AVERAGE('Data Historis 5 Tahun'!K267:K271)*1.1333,0),0)</f>
        <v>98917</v>
      </c>
      <c r="I60" s="75" t="n">
        <f aca="false">IFERROR(ROUND(1.65*AVERAGE('Data Historis 5 Tahun'!N267:N271)*SQRT(AVERAGE('Data Historis 5 Tahun'!H267:H271)),0),0)</f>
        <v>225</v>
      </c>
      <c r="J60" s="76" t="n">
        <f aca="false">IFERROR(MAX(1,ROUND(F60/12,0)),1)</f>
        <v>3021</v>
      </c>
      <c r="K60" s="77" t="n">
        <f aca="false">IFERROR(ROUND((F60/J60)*G60+(J60/2)*H60+I60*H60,0),0)</f>
        <v>273591614</v>
      </c>
      <c r="L60" s="78" t="n">
        <f aca="false">IFERROR(ROUND(AVERAGE('Data Historis 5 Tahun'!J267:J271),0),0)</f>
        <v>7450377</v>
      </c>
      <c r="M60" s="79" t="n">
        <f aca="false">IFERROR(ROUND(AVERAGE('Data Historis 5 Tahun'!K267:K271),0),0)</f>
        <v>87282</v>
      </c>
      <c r="N60" s="79" t="n">
        <f aca="false">IFERROR(ROUND(1.65*AVERAGE('Data Historis 5 Tahun'!N267:N271)*SQRT(AVERAGE('Data Historis 5 Tahun'!H267:H271)),0),0)</f>
        <v>225</v>
      </c>
      <c r="O60" s="80" t="n">
        <f aca="false">IFERROR(ROUND(SQRT(2*F60*L60/M60),0),0)</f>
        <v>2488</v>
      </c>
      <c r="P60" s="80" t="n">
        <f aca="false">IFERROR(ROUND((F60/O60)*L60+(O60/2)*M60+N60*M60,0),0)</f>
        <v>236774761</v>
      </c>
      <c r="Q60" s="80" t="n">
        <f aca="false">K60-P60</f>
        <v>36816853</v>
      </c>
      <c r="R60" s="81" t="n">
        <f aca="false">IFERROR(MAX(1,ROUND(O60*0.5,0)),1)</f>
        <v>1244</v>
      </c>
      <c r="S60" s="82" t="n">
        <f aca="false">IFERROR(ROUND((F60/R60)*L60,0),0)</f>
        <v>217115006</v>
      </c>
      <c r="T60" s="82" t="n">
        <f aca="false">IFERROR(ROUND((R60/2)*M60+N60*M60,0),0)</f>
        <v>73927854</v>
      </c>
      <c r="U60" s="83" t="n">
        <f aca="false">S60+T60</f>
        <v>291042860</v>
      </c>
      <c r="V60" s="84" t="n">
        <f aca="false">IFERROR(ROUND(O60*1.5,0),1)</f>
        <v>3732</v>
      </c>
      <c r="W60" s="85" t="n">
        <f aca="false">IFERROR(ROUND((F60/V60)*L60,0),0)</f>
        <v>72371669</v>
      </c>
      <c r="X60" s="84" t="n">
        <f aca="false">IFERROR(ROUND((F60/V60)*L60+(V60/2)*M60+N60*M60,0),0)</f>
        <v>254878331</v>
      </c>
      <c r="Y60" s="86" t="n">
        <f aca="false">MIN(K60,P60,U60,X60)</f>
        <v>236774761</v>
      </c>
      <c r="Z60" s="87" t="str">
        <f aca="false">IF(Y60=P60,"✅ EOQ (optimal)",IF(Y60=K60,"Q Obs Lama",IF(Y60=U60,"Q Kecil","Q Besar")))</f>
        <v>✅ EOQ (optimal)</v>
      </c>
      <c r="AA60" s="72" t="n">
        <f aca="false">MAX(0,K60-P60)</f>
        <v>36816853</v>
      </c>
      <c r="AB60" s="72" t="n">
        <f aca="false">IFERROR(AA60/K60,0)</f>
        <v>0.13456864580652</v>
      </c>
      <c r="AC60" s="0" t="str">
        <f aca="false">IF(Q60&gt;0,"Gunakan EOQ — hemat Rp "&amp;TEXT(Q60,"#,##0")&amp;"/thn","Tinjau ulang parameter")</f>
        <v>Gunakan EOQ — hemat Rp 36,816,853/thn</v>
      </c>
      <c r="AD60" s="0" t="str">
        <f aca="false">IF(N60&gt;0,"Gunakan EOQ — hemat Rp "&amp;TEXT(N60,"#,##0")&amp;"/thn","Tinjau ulang parameter S &amp; H")</f>
        <v>Gunakan EOQ — hemat Rp 225/thn</v>
      </c>
    </row>
    <row r="61" customFormat="false" ht="15.75" hidden="false" customHeight="true" outlineLevel="0" collapsed="false">
      <c r="A61" s="88" t="n">
        <v>54</v>
      </c>
      <c r="B61" s="88" t="s">
        <v>142</v>
      </c>
      <c r="C61" s="89" t="s">
        <v>143</v>
      </c>
      <c r="D61" s="88" t="s">
        <v>264</v>
      </c>
      <c r="E61" s="88" t="s">
        <v>36</v>
      </c>
      <c r="F61" s="75" t="n">
        <f aca="false">IFERROR(ROUND(AVERAGE('Data Historis 5 Tahun'!I272:I276),0),0)</f>
        <v>12356</v>
      </c>
      <c r="G61" s="75" t="n">
        <f aca="false">IFERROR(ROUND(AVERAGE('Data Historis 5 Tahun'!J272:J276)*1.1167,0),0)</f>
        <v>12031179</v>
      </c>
      <c r="H61" s="75" t="n">
        <f aca="false">IFERROR(ROUND(AVERAGE('Data Historis 5 Tahun'!K272:K276)*1.1065,0),0)</f>
        <v>590445</v>
      </c>
      <c r="I61" s="75" t="n">
        <f aca="false">IFERROR(ROUND(1.65*AVERAGE('Data Historis 5 Tahun'!N272:N276)*SQRT(AVERAGE('Data Historis 5 Tahun'!H272:H276)),0),0)</f>
        <v>75</v>
      </c>
      <c r="J61" s="76" t="n">
        <f aca="false">IFERROR(MAX(1,ROUND(F61/12,0)),1)</f>
        <v>1030</v>
      </c>
      <c r="K61" s="77" t="n">
        <f aca="false">IFERROR(ROUND((F61/J61)*G61+(J61/2)*H61+I61*H61,0),0)</f>
        <v>492689975</v>
      </c>
      <c r="L61" s="78" t="n">
        <f aca="false">IFERROR(ROUND(AVERAGE('Data Historis 5 Tahun'!J272:J276),0),0)</f>
        <v>10773868</v>
      </c>
      <c r="M61" s="79" t="n">
        <f aca="false">IFERROR(ROUND(AVERAGE('Data Historis 5 Tahun'!K272:K276),0),0)</f>
        <v>533615</v>
      </c>
      <c r="N61" s="79" t="n">
        <f aca="false">IFERROR(ROUND(1.65*AVERAGE('Data Historis 5 Tahun'!N272:N276)*SQRT(AVERAGE('Data Historis 5 Tahun'!H272:H276)),0),0)</f>
        <v>75</v>
      </c>
      <c r="O61" s="80" t="n">
        <f aca="false">IFERROR(ROUND(SQRT(2*F61*L61/M61),0),0)</f>
        <v>706</v>
      </c>
      <c r="P61" s="80" t="n">
        <f aca="false">IFERROR(ROUND((F61/O61)*L61+(O61/2)*M61+N61*M61,0),0)</f>
        <v>416945170</v>
      </c>
      <c r="Q61" s="80" t="n">
        <f aca="false">K61-P61</f>
        <v>75744805</v>
      </c>
      <c r="R61" s="81" t="n">
        <f aca="false">IFERROR(MAX(1,ROUND(O61*0.5,0)),1)</f>
        <v>353</v>
      </c>
      <c r="S61" s="82" t="n">
        <f aca="false">IFERROR(ROUND((F61/R61)*L61,0),0)</f>
        <v>377115901</v>
      </c>
      <c r="T61" s="82" t="n">
        <f aca="false">IFERROR(ROUND((R61/2)*M61+N61*M61,0),0)</f>
        <v>134204173</v>
      </c>
      <c r="U61" s="83" t="n">
        <f aca="false">S61+T61</f>
        <v>511320074</v>
      </c>
      <c r="V61" s="84" t="n">
        <f aca="false">IFERROR(ROUND(O61*1.5,0),1)</f>
        <v>1059</v>
      </c>
      <c r="W61" s="85" t="n">
        <f aca="false">IFERROR(ROUND((F61/V61)*L61,0),0)</f>
        <v>125705300</v>
      </c>
      <c r="X61" s="84" t="n">
        <f aca="false">IFERROR(ROUND((F61/V61)*L61+(V61/2)*M61+N61*M61,0),0)</f>
        <v>448275568</v>
      </c>
      <c r="Y61" s="86" t="n">
        <f aca="false">MIN(K61,P61,U61,X61)</f>
        <v>416945170</v>
      </c>
      <c r="Z61" s="87" t="str">
        <f aca="false">IF(Y61=P61,"✅ EOQ (optimal)",IF(Y61=K61,"Q Obs Lama",IF(Y61=U61,"Q Kecil","Q Besar")))</f>
        <v>✅ EOQ (optimal)</v>
      </c>
      <c r="AA61" s="72" t="n">
        <f aca="false">MAX(0,K61-P61)</f>
        <v>75744805</v>
      </c>
      <c r="AB61" s="72" t="n">
        <f aca="false">IFERROR(AA61/K61,0)</f>
        <v>0.153737256375066</v>
      </c>
      <c r="AC61" s="0" t="str">
        <f aca="false">IF(Q61&gt;0,"Gunakan EOQ — hemat Rp "&amp;TEXT(Q61,"#,##0")&amp;"/thn","Tinjau ulang parameter")</f>
        <v>Gunakan EOQ — hemat Rp 75,744,805/thn</v>
      </c>
      <c r="AD61" s="0" t="str">
        <f aca="false">IF(N61&gt;0,"Gunakan EOQ — hemat Rp "&amp;TEXT(N61,"#,##0")&amp;"/thn","Tinjau ulang parameter S &amp; H")</f>
        <v>Gunakan EOQ — hemat Rp 75/thn</v>
      </c>
    </row>
    <row r="62" customFormat="false" ht="15.75" hidden="false" customHeight="true" outlineLevel="0" collapsed="false">
      <c r="A62" s="73" t="n">
        <v>55</v>
      </c>
      <c r="B62" s="73" t="s">
        <v>144</v>
      </c>
      <c r="C62" s="74" t="s">
        <v>145</v>
      </c>
      <c r="D62" s="73" t="s">
        <v>264</v>
      </c>
      <c r="E62" s="73" t="s">
        <v>36</v>
      </c>
      <c r="F62" s="75" t="n">
        <f aca="false">IFERROR(ROUND(AVERAGE('Data Historis 5 Tahun'!I277:I281),0),0)</f>
        <v>53382</v>
      </c>
      <c r="G62" s="75" t="n">
        <f aca="false">IFERROR(ROUND(AVERAGE('Data Historis 5 Tahun'!J277:J281)*1.1681,0),0)</f>
        <v>10799608</v>
      </c>
      <c r="H62" s="75" t="n">
        <f aca="false">IFERROR(ROUND(AVERAGE('Data Historis 5 Tahun'!K277:K281)*1.174,0),0)</f>
        <v>266279</v>
      </c>
      <c r="I62" s="75" t="n">
        <f aca="false">IFERROR(ROUND(1.65*AVERAGE('Data Historis 5 Tahun'!N277:N281)*SQRT(AVERAGE('Data Historis 5 Tahun'!H277:H281)),0),0)</f>
        <v>288</v>
      </c>
      <c r="J62" s="76" t="n">
        <f aca="false">IFERROR(MAX(1,ROUND(F62/12,0)),1)</f>
        <v>4449</v>
      </c>
      <c r="K62" s="77" t="n">
        <f aca="false">IFERROR(ROUND((F62/J62)*G62+(J62/2)*H62+I62*H62,0),0)</f>
        <v>798606719</v>
      </c>
      <c r="L62" s="78" t="n">
        <f aca="false">IFERROR(ROUND(AVERAGE('Data Historis 5 Tahun'!J277:J281),0),0)</f>
        <v>9245448</v>
      </c>
      <c r="M62" s="79" t="n">
        <f aca="false">IFERROR(ROUND(AVERAGE('Data Historis 5 Tahun'!K277:K281),0),0)</f>
        <v>226813</v>
      </c>
      <c r="N62" s="79" t="n">
        <f aca="false">IFERROR(ROUND(1.65*AVERAGE('Data Historis 5 Tahun'!N277:N281)*SQRT(AVERAGE('Data Historis 5 Tahun'!H277:H281)),0),0)</f>
        <v>288</v>
      </c>
      <c r="O62" s="80" t="n">
        <f aca="false">IFERROR(ROUND(SQRT(2*F62*L62/M62),0),0)</f>
        <v>2086</v>
      </c>
      <c r="P62" s="80" t="n">
        <f aca="false">IFERROR(ROUND((F62/O62)*L62+(O62/2)*M62+N62*M62,0),0)</f>
        <v>538484702</v>
      </c>
      <c r="Q62" s="80" t="n">
        <f aca="false">K62-P62</f>
        <v>260122017</v>
      </c>
      <c r="R62" s="81" t="n">
        <f aca="false">IFERROR(MAX(1,ROUND(O62*0.5,0)),1)</f>
        <v>1043</v>
      </c>
      <c r="S62" s="82" t="n">
        <f aca="false">IFERROR(ROUND((F62/R62)*L62,0),0)</f>
        <v>473193198</v>
      </c>
      <c r="T62" s="82" t="n">
        <f aca="false">IFERROR(ROUND((R62/2)*M62+N62*M62,0),0)</f>
        <v>183605124</v>
      </c>
      <c r="U62" s="83" t="n">
        <f aca="false">S62+T62</f>
        <v>656798322</v>
      </c>
      <c r="V62" s="84" t="n">
        <f aca="false">IFERROR(ROUND(O62*1.5,0),1)</f>
        <v>3129</v>
      </c>
      <c r="W62" s="85" t="n">
        <f aca="false">IFERROR(ROUND((F62/V62)*L62,0),0)</f>
        <v>157731066</v>
      </c>
      <c r="X62" s="84" t="n">
        <f aca="false">IFERROR(ROUND((F62/V62)*L62+(V62/2)*M62+N62*M62,0),0)</f>
        <v>577902148</v>
      </c>
      <c r="Y62" s="86" t="n">
        <f aca="false">MIN(K62,P62,U62,X62)</f>
        <v>538484702</v>
      </c>
      <c r="Z62" s="87" t="str">
        <f aca="false">IF(Y62=P62,"✅ EOQ (optimal)",IF(Y62=K62,"Q Obs Lama",IF(Y62=U62,"Q Kecil","Q Besar")))</f>
        <v>✅ EOQ (optimal)</v>
      </c>
      <c r="AA62" s="72" t="n">
        <f aca="false">MAX(0,K62-P62)</f>
        <v>260122017</v>
      </c>
      <c r="AB62" s="72" t="n">
        <f aca="false">IFERROR(AA62/K62,0)</f>
        <v>0.325719795252562</v>
      </c>
      <c r="AC62" s="0" t="str">
        <f aca="false">IF(Q62&gt;0,"Gunakan EOQ — hemat Rp "&amp;TEXT(Q62,"#,##0")&amp;"/thn","Tinjau ulang parameter")</f>
        <v>Gunakan EOQ — hemat Rp 260,122,017/thn</v>
      </c>
      <c r="AD62" s="0" t="str">
        <f aca="false">IF(N62&gt;0,"Gunakan EOQ — hemat Rp "&amp;TEXT(N62,"#,##0")&amp;"/thn","Tinjau ulang parameter S &amp; H")</f>
        <v>Gunakan EOQ — hemat Rp 288/thn</v>
      </c>
    </row>
    <row r="63" customFormat="false" ht="15.75" hidden="false" customHeight="true" outlineLevel="0" collapsed="false">
      <c r="A63" s="88" t="n">
        <v>56</v>
      </c>
      <c r="B63" s="88" t="s">
        <v>146</v>
      </c>
      <c r="C63" s="89" t="s">
        <v>147</v>
      </c>
      <c r="D63" s="88" t="s">
        <v>263</v>
      </c>
      <c r="E63" s="88" t="s">
        <v>36</v>
      </c>
      <c r="F63" s="75" t="n">
        <f aca="false">IFERROR(ROUND(AVERAGE('Data Historis 5 Tahun'!I282:I286),0),0)</f>
        <v>29931</v>
      </c>
      <c r="G63" s="75" t="n">
        <f aca="false">IFERROR(ROUND(AVERAGE('Data Historis 5 Tahun'!J282:J286)*1.2314,0),0)</f>
        <v>2312066</v>
      </c>
      <c r="H63" s="75" t="n">
        <f aca="false">IFERROR(ROUND(AVERAGE('Data Historis 5 Tahun'!K282:K286)*1.0842,0),0)</f>
        <v>553343</v>
      </c>
      <c r="I63" s="75" t="n">
        <f aca="false">IFERROR(ROUND(1.65*AVERAGE('Data Historis 5 Tahun'!N282:N286)*SQRT(AVERAGE('Data Historis 5 Tahun'!H282:H286)),0),0)</f>
        <v>94</v>
      </c>
      <c r="J63" s="76" t="n">
        <f aca="false">IFERROR(MAX(1,ROUND(F63/12,0)),1)</f>
        <v>2494</v>
      </c>
      <c r="K63" s="77" t="n">
        <f aca="false">IFERROR(ROUND((F63/J63)*G63+(J63/2)*H63+I63*H63,0),0)</f>
        <v>769780536</v>
      </c>
      <c r="L63" s="78" t="n">
        <f aca="false">IFERROR(ROUND(AVERAGE('Data Historis 5 Tahun'!J282:J286),0),0)</f>
        <v>1877591</v>
      </c>
      <c r="M63" s="79" t="n">
        <f aca="false">IFERROR(ROUND(AVERAGE('Data Historis 5 Tahun'!K282:K286),0),0)</f>
        <v>510369</v>
      </c>
      <c r="N63" s="79" t="n">
        <f aca="false">IFERROR(ROUND(1.65*AVERAGE('Data Historis 5 Tahun'!N282:N286)*SQRT(AVERAGE('Data Historis 5 Tahun'!H282:H286)),0),0)</f>
        <v>94</v>
      </c>
      <c r="O63" s="80" t="n">
        <f aca="false">IFERROR(ROUND(SQRT(2*F63*L63/M63),0),0)</f>
        <v>469</v>
      </c>
      <c r="P63" s="80" t="n">
        <f aca="false">IFERROR(ROUND((F63/O63)*L63+(O63/2)*M63+N63*M63,0),0)</f>
        <v>287481752</v>
      </c>
      <c r="Q63" s="80" t="n">
        <f aca="false">K63-P63</f>
        <v>482298784</v>
      </c>
      <c r="R63" s="81" t="n">
        <f aca="false">IFERROR(MAX(1,ROUND(O63*0.5,0)),1)</f>
        <v>235</v>
      </c>
      <c r="S63" s="82" t="n">
        <f aca="false">IFERROR(ROUND((F63/R63)*L63,0),0)</f>
        <v>239141175</v>
      </c>
      <c r="T63" s="82" t="n">
        <f aca="false">IFERROR(ROUND((R63/2)*M63+N63*M63,0),0)</f>
        <v>107943044</v>
      </c>
      <c r="U63" s="83" t="n">
        <f aca="false">S63+T63</f>
        <v>347084219</v>
      </c>
      <c r="V63" s="84" t="n">
        <f aca="false">IFERROR(ROUND(O63*1.5,0),1)</f>
        <v>704</v>
      </c>
      <c r="W63" s="85" t="n">
        <f aca="false">IFERROR(ROUND((F63/V63)*L63,0),0)</f>
        <v>79826955</v>
      </c>
      <c r="X63" s="84" t="n">
        <f aca="false">IFERROR(ROUND((F63/V63)*L63+(V63/2)*M63+N63*M63,0),0)</f>
        <v>307451529</v>
      </c>
      <c r="Y63" s="86" t="n">
        <f aca="false">MIN(K63,P63,U63,X63)</f>
        <v>287481752</v>
      </c>
      <c r="Z63" s="87" t="str">
        <f aca="false">IF(Y63=P63,"✅ EOQ (optimal)",IF(Y63=K63,"Q Obs Lama",IF(Y63=U63,"Q Kecil","Q Besar")))</f>
        <v>✅ EOQ (optimal)</v>
      </c>
      <c r="AA63" s="72" t="n">
        <f aca="false">MAX(0,K63-P63)</f>
        <v>482298784</v>
      </c>
      <c r="AB63" s="72" t="n">
        <f aca="false">IFERROR(AA63/K63,0)</f>
        <v>0.6265406326148</v>
      </c>
      <c r="AC63" s="0" t="str">
        <f aca="false">IF(Q63&gt;0,"Gunakan EOQ — hemat Rp "&amp;TEXT(Q63,"#,##0")&amp;"/thn","Tinjau ulang parameter")</f>
        <v>Gunakan EOQ — hemat Rp 482,298,784/thn</v>
      </c>
      <c r="AD63" s="0" t="str">
        <f aca="false">IF(N63&gt;0,"Gunakan EOQ — hemat Rp "&amp;TEXT(N63,"#,##0")&amp;"/thn","Tinjau ulang parameter S &amp; H")</f>
        <v>Gunakan EOQ — hemat Rp 94/thn</v>
      </c>
    </row>
    <row r="64" customFormat="false" ht="15.75" hidden="false" customHeight="true" outlineLevel="0" collapsed="false">
      <c r="A64" s="73" t="n">
        <v>57</v>
      </c>
      <c r="B64" s="73" t="s">
        <v>148</v>
      </c>
      <c r="C64" s="74" t="s">
        <v>149</v>
      </c>
      <c r="D64" s="73" t="s">
        <v>263</v>
      </c>
      <c r="E64" s="73" t="s">
        <v>36</v>
      </c>
      <c r="F64" s="75" t="n">
        <f aca="false">IFERROR(ROUND(AVERAGE('Data Historis 5 Tahun'!I287:I291),0),0)</f>
        <v>27011</v>
      </c>
      <c r="G64" s="75" t="n">
        <f aca="false">IFERROR(ROUND(AVERAGE('Data Historis 5 Tahun'!J287:J291)*1.1751,0),0)</f>
        <v>3004877</v>
      </c>
      <c r="H64" s="75" t="n">
        <f aca="false">IFERROR(ROUND(AVERAGE('Data Historis 5 Tahun'!K287:K291)*1.0732,0),0)</f>
        <v>574313</v>
      </c>
      <c r="I64" s="75" t="n">
        <f aca="false">IFERROR(ROUND(1.65*AVERAGE('Data Historis 5 Tahun'!N287:N291)*SQRT(AVERAGE('Data Historis 5 Tahun'!H287:H291)),0),0)</f>
        <v>99</v>
      </c>
      <c r="J64" s="76" t="n">
        <f aca="false">IFERROR(MAX(1,ROUND(F64/12,0)),1)</f>
        <v>2251</v>
      </c>
      <c r="K64" s="77" t="n">
        <f aca="false">IFERROR(ROUND((F64/J64)*G64+(J64/2)*H64+I64*H64,0),0)</f>
        <v>739303458</v>
      </c>
      <c r="L64" s="78" t="n">
        <f aca="false">IFERROR(ROUND(AVERAGE('Data Historis 5 Tahun'!J287:J291),0),0)</f>
        <v>2557124</v>
      </c>
      <c r="M64" s="79" t="n">
        <f aca="false">IFERROR(ROUND(AVERAGE('Data Historis 5 Tahun'!K287:K291),0),0)</f>
        <v>535141</v>
      </c>
      <c r="N64" s="79" t="n">
        <f aca="false">IFERROR(ROUND(1.65*AVERAGE('Data Historis 5 Tahun'!N287:N291)*SQRT(AVERAGE('Data Historis 5 Tahun'!H287:H291)),0),0)</f>
        <v>99</v>
      </c>
      <c r="O64" s="80" t="n">
        <f aca="false">IFERROR(ROUND(SQRT(2*F64*L64/M64),0),0)</f>
        <v>508</v>
      </c>
      <c r="P64" s="80" t="n">
        <f aca="false">IFERROR(ROUND((F64/O64)*L64+(O64/2)*M64+N64*M64,0),0)</f>
        <v>324870278</v>
      </c>
      <c r="Q64" s="80" t="n">
        <f aca="false">K64-P64</f>
        <v>414433180</v>
      </c>
      <c r="R64" s="81" t="n">
        <f aca="false">IFERROR(MAX(1,ROUND(O64*0.5,0)),1)</f>
        <v>254</v>
      </c>
      <c r="S64" s="82" t="n">
        <f aca="false">IFERROR(ROUND((F64/R64)*L64,0),0)</f>
        <v>271931009</v>
      </c>
      <c r="T64" s="82" t="n">
        <f aca="false">IFERROR(ROUND((R64/2)*M64+N64*M64,0),0)</f>
        <v>120941866</v>
      </c>
      <c r="U64" s="83" t="n">
        <f aca="false">S64+T64</f>
        <v>392872875</v>
      </c>
      <c r="V64" s="84" t="n">
        <f aca="false">IFERROR(ROUND(O64*1.5,0),1)</f>
        <v>762</v>
      </c>
      <c r="W64" s="85" t="n">
        <f aca="false">IFERROR(ROUND((F64/V64)*L64,0),0)</f>
        <v>90643670</v>
      </c>
      <c r="X64" s="84" t="n">
        <f aca="false">IFERROR(ROUND((F64/V64)*L64+(V64/2)*M64+N64*M64,0),0)</f>
        <v>347511350</v>
      </c>
      <c r="Y64" s="86" t="n">
        <f aca="false">MIN(K64,P64,U64,X64)</f>
        <v>324870278</v>
      </c>
      <c r="Z64" s="87" t="str">
        <f aca="false">IF(Y64=P64,"✅ EOQ (optimal)",IF(Y64=K64,"Q Obs Lama",IF(Y64=U64,"Q Kecil","Q Besar")))</f>
        <v>✅ EOQ (optimal)</v>
      </c>
      <c r="AA64" s="72" t="n">
        <f aca="false">MAX(0,K64-P64)</f>
        <v>414433180</v>
      </c>
      <c r="AB64" s="72" t="n">
        <f aca="false">IFERROR(AA64/K64,0)</f>
        <v>0.560572489571664</v>
      </c>
      <c r="AC64" s="0" t="str">
        <f aca="false">IF(Q64&gt;0,"Gunakan EOQ — hemat Rp "&amp;TEXT(Q64,"#,##0")&amp;"/thn","Tinjau ulang parameter")</f>
        <v>Gunakan EOQ — hemat Rp 414,433,180/thn</v>
      </c>
      <c r="AD64" s="0" t="str">
        <f aca="false">IF(N64&gt;0,"Gunakan EOQ — hemat Rp "&amp;TEXT(N64,"#,##0")&amp;"/thn","Tinjau ulang parameter S &amp; H")</f>
        <v>Gunakan EOQ — hemat Rp 99/thn</v>
      </c>
    </row>
    <row r="65" customFormat="false" ht="15.75" hidden="false" customHeight="true" outlineLevel="0" collapsed="false">
      <c r="A65" s="88" t="n">
        <v>58</v>
      </c>
      <c r="B65" s="88" t="s">
        <v>150</v>
      </c>
      <c r="C65" s="89" t="s">
        <v>151</v>
      </c>
      <c r="D65" s="88" t="s">
        <v>263</v>
      </c>
      <c r="E65" s="88" t="s">
        <v>36</v>
      </c>
      <c r="F65" s="75" t="n">
        <f aca="false">IFERROR(ROUND(AVERAGE('Data Historis 5 Tahun'!I292:I296),0),0)</f>
        <v>48063</v>
      </c>
      <c r="G65" s="75" t="n">
        <f aca="false">IFERROR(ROUND(AVERAGE('Data Historis 5 Tahun'!J292:J296)*1.2369,0),0)</f>
        <v>812162</v>
      </c>
      <c r="H65" s="75" t="n">
        <f aca="false">IFERROR(ROUND(AVERAGE('Data Historis 5 Tahun'!K292:K296)*1.1632,0),0)</f>
        <v>673356</v>
      </c>
      <c r="I65" s="75" t="n">
        <f aca="false">IFERROR(ROUND(1.65*AVERAGE('Data Historis 5 Tahun'!N292:N296)*SQRT(AVERAGE('Data Historis 5 Tahun'!H292:H296)),0),0)</f>
        <v>128</v>
      </c>
      <c r="J65" s="76" t="n">
        <f aca="false">IFERROR(MAX(1,ROUND(F65/12,0)),1)</f>
        <v>4005</v>
      </c>
      <c r="K65" s="77" t="n">
        <f aca="false">IFERROR(ROUND((F65/J65)*G65+(J65/2)*H65+I65*H65,0),0)</f>
        <v>1444331510</v>
      </c>
      <c r="L65" s="78" t="n">
        <f aca="false">IFERROR(ROUND(AVERAGE('Data Historis 5 Tahun'!J292:J296),0),0)</f>
        <v>656611</v>
      </c>
      <c r="M65" s="79" t="n">
        <f aca="false">IFERROR(ROUND(AVERAGE('Data Historis 5 Tahun'!K292:K296),0),0)</f>
        <v>578882</v>
      </c>
      <c r="N65" s="79" t="n">
        <f aca="false">IFERROR(ROUND(1.65*AVERAGE('Data Historis 5 Tahun'!N292:N296)*SQRT(AVERAGE('Data Historis 5 Tahun'!H292:H296)),0),0)</f>
        <v>128</v>
      </c>
      <c r="O65" s="80" t="n">
        <f aca="false">IFERROR(ROUND(SQRT(2*F65*L65/M65),0),0)</f>
        <v>330</v>
      </c>
      <c r="P65" s="80" t="n">
        <f aca="false">IFERROR(ROUND((F65/O65)*L65+(O65/2)*M65+N65*M65,0),0)</f>
        <v>265244834</v>
      </c>
      <c r="Q65" s="80" t="n">
        <f aca="false">K65-P65</f>
        <v>1179086676</v>
      </c>
      <c r="R65" s="81" t="n">
        <f aca="false">IFERROR(MAX(1,ROUND(O65*0.5,0)),1)</f>
        <v>165</v>
      </c>
      <c r="S65" s="82" t="n">
        <f aca="false">IFERROR(ROUND((F65/R65)*L65,0),0)</f>
        <v>191264815</v>
      </c>
      <c r="T65" s="82" t="n">
        <f aca="false">IFERROR(ROUND((R65/2)*M65+N65*M65,0),0)</f>
        <v>121854661</v>
      </c>
      <c r="U65" s="83" t="n">
        <f aca="false">S65+T65</f>
        <v>313119476</v>
      </c>
      <c r="V65" s="84" t="n">
        <f aca="false">IFERROR(ROUND(O65*1.5,0),1)</f>
        <v>495</v>
      </c>
      <c r="W65" s="85" t="n">
        <f aca="false">IFERROR(ROUND((F65/V65)*L65,0),0)</f>
        <v>63754938</v>
      </c>
      <c r="X65" s="84" t="n">
        <f aca="false">IFERROR(ROUND((F65/V65)*L65+(V65/2)*M65+N65*M65,0),0)</f>
        <v>281125129</v>
      </c>
      <c r="Y65" s="86" t="n">
        <f aca="false">MIN(K65,P65,U65,X65)</f>
        <v>265244834</v>
      </c>
      <c r="Z65" s="87" t="str">
        <f aca="false">IF(Y65=P65,"✅ EOQ (optimal)",IF(Y65=K65,"Q Obs Lama",IF(Y65=U65,"Q Kecil","Q Besar")))</f>
        <v>✅ EOQ (optimal)</v>
      </c>
      <c r="AA65" s="72" t="n">
        <f aca="false">MAX(0,K65-P65)</f>
        <v>1179086676</v>
      </c>
      <c r="AB65" s="72" t="n">
        <f aca="false">IFERROR(AA65/K65,0)</f>
        <v>0.816354602690902</v>
      </c>
      <c r="AC65" s="0" t="str">
        <f aca="false">IF(Q65&gt;0,"Gunakan EOQ — hemat Rp "&amp;TEXT(Q65,"#,##0")&amp;"/thn","Tinjau ulang parameter")</f>
        <v>Gunakan EOQ — hemat Rp 1,179,086,676/thn</v>
      </c>
      <c r="AD65" s="0" t="str">
        <f aca="false">IF(N65&gt;0,"Gunakan EOQ — hemat Rp "&amp;TEXT(N65,"#,##0")&amp;"/thn","Tinjau ulang parameter S &amp; H")</f>
        <v>Gunakan EOQ — hemat Rp 128/thn</v>
      </c>
    </row>
    <row r="66" customFormat="false" ht="15.75" hidden="false" customHeight="true" outlineLevel="0" collapsed="false">
      <c r="A66" s="73" t="n">
        <v>59</v>
      </c>
      <c r="B66" s="73" t="s">
        <v>152</v>
      </c>
      <c r="C66" s="74" t="s">
        <v>153</v>
      </c>
      <c r="D66" s="73" t="s">
        <v>263</v>
      </c>
      <c r="E66" s="73" t="s">
        <v>36</v>
      </c>
      <c r="F66" s="75" t="n">
        <f aca="false">IFERROR(ROUND(AVERAGE('Data Historis 5 Tahun'!I297:I301),0),0)</f>
        <v>34729</v>
      </c>
      <c r="G66" s="75" t="n">
        <f aca="false">IFERROR(ROUND(AVERAGE('Data Historis 5 Tahun'!J297:J301)*1.1448,0),0)</f>
        <v>12857026</v>
      </c>
      <c r="H66" s="75" t="n">
        <f aca="false">IFERROR(ROUND(AVERAGE('Data Historis 5 Tahun'!K297:K301)*1.1331,0),0)</f>
        <v>285082</v>
      </c>
      <c r="I66" s="75" t="n">
        <f aca="false">IFERROR(ROUND(1.65*AVERAGE('Data Historis 5 Tahun'!N297:N301)*SQRT(AVERAGE('Data Historis 5 Tahun'!H297:H301)),0),0)</f>
        <v>200</v>
      </c>
      <c r="J66" s="76" t="n">
        <f aca="false">IFERROR(MAX(1,ROUND(F66/12,0)),1)</f>
        <v>2894</v>
      </c>
      <c r="K66" s="77" t="n">
        <f aca="false">IFERROR(ROUND((F66/J66)*G66+(J66/2)*H66+I66*H66,0),0)</f>
        <v>623818809</v>
      </c>
      <c r="L66" s="78" t="n">
        <f aca="false">IFERROR(ROUND(AVERAGE('Data Historis 5 Tahun'!J297:J301),0),0)</f>
        <v>11230805</v>
      </c>
      <c r="M66" s="79" t="n">
        <f aca="false">IFERROR(ROUND(AVERAGE('Data Historis 5 Tahun'!K297:K301),0),0)</f>
        <v>251595</v>
      </c>
      <c r="N66" s="79" t="n">
        <f aca="false">IFERROR(ROUND(1.65*AVERAGE('Data Historis 5 Tahun'!N297:N301)*SQRT(AVERAGE('Data Historis 5 Tahun'!H297:H301)),0),0)</f>
        <v>200</v>
      </c>
      <c r="O66" s="80" t="n">
        <f aca="false">IFERROR(ROUND(SQRT(2*F66*L66/M66),0),0)</f>
        <v>1761</v>
      </c>
      <c r="P66" s="80" t="n">
        <f aca="false">IFERROR(ROUND((F66/O66)*L66+(O66/2)*M66+N66*M66,0),0)</f>
        <v>493333137</v>
      </c>
      <c r="Q66" s="80" t="n">
        <f aca="false">K66-P66</f>
        <v>130485672</v>
      </c>
      <c r="R66" s="81" t="n">
        <f aca="false">IFERROR(MAX(1,ROUND(O66*0.5,0)),1)</f>
        <v>881</v>
      </c>
      <c r="S66" s="82" t="n">
        <f aca="false">IFERROR(ROUND((F66/R66)*L66,0),0)</f>
        <v>442718078</v>
      </c>
      <c r="T66" s="82" t="n">
        <f aca="false">IFERROR(ROUND((R66/2)*M66+N66*M66,0),0)</f>
        <v>161146598</v>
      </c>
      <c r="U66" s="83" t="n">
        <f aca="false">S66+T66</f>
        <v>603864676</v>
      </c>
      <c r="V66" s="84" t="n">
        <f aca="false">IFERROR(ROUND(O66*1.5,0),1)</f>
        <v>2642</v>
      </c>
      <c r="W66" s="85" t="n">
        <f aca="false">IFERROR(ROUND((F66/V66)*L66,0),0)</f>
        <v>147628549</v>
      </c>
      <c r="X66" s="84" t="n">
        <f aca="false">IFERROR(ROUND((F66/V66)*L66+(V66/2)*M66+N66*M66,0),0)</f>
        <v>530304544</v>
      </c>
      <c r="Y66" s="86" t="n">
        <f aca="false">MIN(K66,P66,U66,X66)</f>
        <v>493333137</v>
      </c>
      <c r="Z66" s="87" t="str">
        <f aca="false">IF(Y66=P66,"✅ EOQ (optimal)",IF(Y66=K66,"Q Obs Lama",IF(Y66=U66,"Q Kecil","Q Besar")))</f>
        <v>✅ EOQ (optimal)</v>
      </c>
      <c r="AA66" s="72" t="n">
        <f aca="false">MAX(0,K66-P66)</f>
        <v>130485672</v>
      </c>
      <c r="AB66" s="72" t="n">
        <f aca="false">IFERROR(AA66/K66,0)</f>
        <v>0.209172391273633</v>
      </c>
      <c r="AC66" s="0" t="str">
        <f aca="false">IF(Q66&gt;0,"Gunakan EOQ — hemat Rp "&amp;TEXT(Q66,"#,##0")&amp;"/thn","Tinjau ulang parameter")</f>
        <v>Gunakan EOQ — hemat Rp 130,485,672/thn</v>
      </c>
      <c r="AD66" s="0" t="str">
        <f aca="false">IF(N66&gt;0,"Gunakan EOQ — hemat Rp "&amp;TEXT(N66,"#,##0")&amp;"/thn","Tinjau ulang parameter S &amp; H")</f>
        <v>Gunakan EOQ — hemat Rp 200/thn</v>
      </c>
    </row>
    <row r="67" customFormat="false" ht="15.75" hidden="false" customHeight="true" outlineLevel="0" collapsed="false">
      <c r="A67" s="88" t="n">
        <v>60</v>
      </c>
      <c r="B67" s="88" t="s">
        <v>154</v>
      </c>
      <c r="C67" s="89" t="s">
        <v>155</v>
      </c>
      <c r="D67" s="88" t="s">
        <v>264</v>
      </c>
      <c r="E67" s="88" t="s">
        <v>36</v>
      </c>
      <c r="F67" s="75" t="n">
        <f aca="false">IFERROR(ROUND(AVERAGE('Data Historis 5 Tahun'!I302:I306),0),0)</f>
        <v>50671</v>
      </c>
      <c r="G67" s="75" t="n">
        <f aca="false">IFERROR(ROUND(AVERAGE('Data Historis 5 Tahun'!J302:J306)*1.1913,0),0)</f>
        <v>1495326</v>
      </c>
      <c r="H67" s="75" t="n">
        <f aca="false">IFERROR(ROUND(AVERAGE('Data Historis 5 Tahun'!K302:K306)*1.0699,0),0)</f>
        <v>244160</v>
      </c>
      <c r="I67" s="75" t="n">
        <f aca="false">IFERROR(ROUND(1.65*AVERAGE('Data Historis 5 Tahun'!N302:N306)*SQRT(AVERAGE('Data Historis 5 Tahun'!H302:H306)),0),0)</f>
        <v>157</v>
      </c>
      <c r="J67" s="76" t="n">
        <f aca="false">IFERROR(MAX(1,ROUND(F67/12,0)),1)</f>
        <v>4223</v>
      </c>
      <c r="K67" s="77" t="n">
        <f aca="false">IFERROR(ROUND((F67/J67)*G67+(J67/2)*H67+I67*H67,0),0)</f>
        <v>571819102</v>
      </c>
      <c r="L67" s="78" t="n">
        <f aca="false">IFERROR(ROUND(AVERAGE('Data Historis 5 Tahun'!J302:J306),0),0)</f>
        <v>1255205</v>
      </c>
      <c r="M67" s="79" t="n">
        <f aca="false">IFERROR(ROUND(AVERAGE('Data Historis 5 Tahun'!K302:K306),0),0)</f>
        <v>228208</v>
      </c>
      <c r="N67" s="79" t="n">
        <f aca="false">IFERROR(ROUND(1.65*AVERAGE('Data Historis 5 Tahun'!N302:N306)*SQRT(AVERAGE('Data Historis 5 Tahun'!H302:H306)),0),0)</f>
        <v>157</v>
      </c>
      <c r="O67" s="80" t="n">
        <f aca="false">IFERROR(ROUND(SQRT(2*F67*L67/M67),0),0)</f>
        <v>747</v>
      </c>
      <c r="P67" s="80" t="n">
        <f aca="false">IFERROR(ROUND((F67/O67)*L67+(O67/2)*M67+N67*M67,0),0)</f>
        <v>206208243</v>
      </c>
      <c r="Q67" s="80" t="n">
        <f aca="false">K67-P67</f>
        <v>365610859</v>
      </c>
      <c r="R67" s="81" t="n">
        <f aca="false">IFERROR(MAX(1,ROUND(O67*0.5,0)),1)</f>
        <v>374</v>
      </c>
      <c r="S67" s="82" t="n">
        <f aca="false">IFERROR(ROUND((F67/R67)*L67,0),0)</f>
        <v>170060141</v>
      </c>
      <c r="T67" s="82" t="n">
        <f aca="false">IFERROR(ROUND((R67/2)*M67+N67*M67,0),0)</f>
        <v>78503552</v>
      </c>
      <c r="U67" s="83" t="n">
        <f aca="false">S67+T67</f>
        <v>248563693</v>
      </c>
      <c r="V67" s="84" t="n">
        <f aca="false">IFERROR(ROUND(O67*1.5,0),1)</f>
        <v>1121</v>
      </c>
      <c r="W67" s="85" t="n">
        <f aca="false">IFERROR(ROUND((F67/V67)*L67,0),0)</f>
        <v>56737281</v>
      </c>
      <c r="X67" s="84" t="n">
        <f aca="false">IFERROR(ROUND((F67/V67)*L67+(V67/2)*M67+N67*M67,0),0)</f>
        <v>220476521</v>
      </c>
      <c r="Y67" s="86" t="n">
        <f aca="false">MIN(K67,P67,U67,X67)</f>
        <v>206208243</v>
      </c>
      <c r="Z67" s="87" t="str">
        <f aca="false">IF(Y67=P67,"✅ EOQ (optimal)",IF(Y67=K67,"Q Obs Lama",IF(Y67=U67,"Q Kecil","Q Besar")))</f>
        <v>✅ EOQ (optimal)</v>
      </c>
      <c r="AA67" s="72" t="n">
        <f aca="false">MAX(0,K67-P67)</f>
        <v>365610859</v>
      </c>
      <c r="AB67" s="72" t="n">
        <f aca="false">IFERROR(AA67/K67,0)</f>
        <v>0.639382031347389</v>
      </c>
      <c r="AC67" s="0" t="str">
        <f aca="false">IF(Q67&gt;0,"Gunakan EOQ — hemat Rp "&amp;TEXT(Q67,"#,##0")&amp;"/thn","Tinjau ulang parameter")</f>
        <v>Gunakan EOQ — hemat Rp 365,610,859/thn</v>
      </c>
      <c r="AD67" s="0" t="str">
        <f aca="false">IF(N67&gt;0,"Gunakan EOQ — hemat Rp "&amp;TEXT(N67,"#,##0")&amp;"/thn","Tinjau ulang parameter S &amp; H")</f>
        <v>Gunakan EOQ — hemat Rp 157/thn</v>
      </c>
    </row>
    <row r="68" customFormat="false" ht="15.75" hidden="false" customHeight="true" outlineLevel="0" collapsed="false">
      <c r="A68" s="73" t="n">
        <v>61</v>
      </c>
      <c r="B68" s="73" t="s">
        <v>156</v>
      </c>
      <c r="C68" s="74" t="s">
        <v>157</v>
      </c>
      <c r="D68" s="73" t="s">
        <v>264</v>
      </c>
      <c r="E68" s="73" t="s">
        <v>36</v>
      </c>
      <c r="F68" s="75" t="n">
        <f aca="false">IFERROR(ROUND(AVERAGE('Data Historis 5 Tahun'!I307:I311),0),0)</f>
        <v>1031</v>
      </c>
      <c r="G68" s="75" t="n">
        <f aca="false">IFERROR(ROUND(AVERAGE('Data Historis 5 Tahun'!J307:J311)*1.2144,0),0)</f>
        <v>8373511</v>
      </c>
      <c r="H68" s="75" t="n">
        <f aca="false">IFERROR(ROUND(AVERAGE('Data Historis 5 Tahun'!K307:K311)*1.1201,0),0)</f>
        <v>638901</v>
      </c>
      <c r="I68" s="75" t="n">
        <f aca="false">IFERROR(ROUND(1.65*AVERAGE('Data Historis 5 Tahun'!N307:N311)*SQRT(AVERAGE('Data Historis 5 Tahun'!H307:H311)),0),0)</f>
        <v>6</v>
      </c>
      <c r="J68" s="76" t="n">
        <f aca="false">IFERROR(MAX(1,ROUND(F68/12,0)),1)</f>
        <v>86</v>
      </c>
      <c r="K68" s="77" t="n">
        <f aca="false">IFERROR(ROUND((F68/J68)*G68+(J68/2)*H68+I68*H68,0),0)</f>
        <v>131690915</v>
      </c>
      <c r="L68" s="78" t="n">
        <f aca="false">IFERROR(ROUND(AVERAGE('Data Historis 5 Tahun'!J307:J311),0),0)</f>
        <v>6895184</v>
      </c>
      <c r="M68" s="79" t="n">
        <f aca="false">IFERROR(ROUND(AVERAGE('Data Historis 5 Tahun'!K307:K311),0),0)</f>
        <v>570396</v>
      </c>
      <c r="N68" s="79" t="n">
        <f aca="false">IFERROR(ROUND(1.65*AVERAGE('Data Historis 5 Tahun'!N307:N311)*SQRT(AVERAGE('Data Historis 5 Tahun'!H307:H311)),0),0)</f>
        <v>6</v>
      </c>
      <c r="O68" s="80" t="n">
        <f aca="false">IFERROR(ROUND(SQRT(2*F68*L68/M68),0),0)</f>
        <v>158</v>
      </c>
      <c r="P68" s="80" t="n">
        <f aca="false">IFERROR(ROUND((F68/O68)*L68+(O68/2)*M68+N68*M68,0),0)</f>
        <v>93476918</v>
      </c>
      <c r="Q68" s="80" t="n">
        <f aca="false">K68-P68</f>
        <v>38213997</v>
      </c>
      <c r="R68" s="81" t="n">
        <f aca="false">IFERROR(MAX(1,ROUND(O68*0.5,0)),1)</f>
        <v>79</v>
      </c>
      <c r="S68" s="82" t="n">
        <f aca="false">IFERROR(ROUND((F68/R68)*L68,0),0)</f>
        <v>89986515</v>
      </c>
      <c r="T68" s="82" t="n">
        <f aca="false">IFERROR(ROUND((R68/2)*M68+N68*M68,0),0)</f>
        <v>25953018</v>
      </c>
      <c r="U68" s="83" t="n">
        <f aca="false">S68+T68</f>
        <v>115939533</v>
      </c>
      <c r="V68" s="84" t="n">
        <f aca="false">IFERROR(ROUND(O68*1.5,0),1)</f>
        <v>237</v>
      </c>
      <c r="W68" s="85" t="n">
        <f aca="false">IFERROR(ROUND((F68/V68)*L68,0),0)</f>
        <v>29995505</v>
      </c>
      <c r="X68" s="84" t="n">
        <f aca="false">IFERROR(ROUND((F68/V68)*L68+(V68/2)*M68+N68*M68,0),0)</f>
        <v>101009807</v>
      </c>
      <c r="Y68" s="86" t="n">
        <f aca="false">MIN(K68,P68,U68,X68)</f>
        <v>93476918</v>
      </c>
      <c r="Z68" s="87" t="str">
        <f aca="false">IF(Y68=P68,"✅ EOQ (optimal)",IF(Y68=K68,"Q Obs Lama",IF(Y68=U68,"Q Kecil","Q Besar")))</f>
        <v>✅ EOQ (optimal)</v>
      </c>
      <c r="AA68" s="72" t="n">
        <f aca="false">MAX(0,K68-P68)</f>
        <v>38213997</v>
      </c>
      <c r="AB68" s="72" t="n">
        <f aca="false">IFERROR(AA68/K68,0)</f>
        <v>0.290179447838144</v>
      </c>
      <c r="AC68" s="0" t="str">
        <f aca="false">IF(Q68&gt;0,"Gunakan EOQ — hemat Rp "&amp;TEXT(Q68,"#,##0")&amp;"/thn","Tinjau ulang parameter")</f>
        <v>Gunakan EOQ — hemat Rp 38,213,997/thn</v>
      </c>
      <c r="AD68" s="0" t="str">
        <f aca="false">IF(N68&gt;0,"Gunakan EOQ — hemat Rp "&amp;TEXT(N68,"#,##0")&amp;"/thn","Tinjau ulang parameter S &amp; H")</f>
        <v>Gunakan EOQ — hemat Rp 6/thn</v>
      </c>
    </row>
    <row r="69" customFormat="false" ht="15.75" hidden="false" customHeight="true" outlineLevel="0" collapsed="false">
      <c r="A69" s="88" t="n">
        <v>62</v>
      </c>
      <c r="B69" s="88" t="s">
        <v>158</v>
      </c>
      <c r="C69" s="89" t="s">
        <v>159</v>
      </c>
      <c r="D69" s="88" t="s">
        <v>263</v>
      </c>
      <c r="E69" s="88" t="s">
        <v>57</v>
      </c>
      <c r="F69" s="75" t="n">
        <f aca="false">IFERROR(ROUND(AVERAGE('Data Historis 5 Tahun'!I312:I316),0),0)</f>
        <v>34655</v>
      </c>
      <c r="G69" s="75" t="n">
        <f aca="false">IFERROR(ROUND(AVERAGE('Data Historis 5 Tahun'!J312:J316)*1.2168,0),0)</f>
        <v>2804718</v>
      </c>
      <c r="H69" s="75" t="n">
        <f aca="false">IFERROR(ROUND(AVERAGE('Data Historis 5 Tahun'!K312:K316)*1.1189,0),0)</f>
        <v>622385</v>
      </c>
      <c r="I69" s="75" t="n">
        <f aca="false">IFERROR(ROUND(1.65*AVERAGE('Data Historis 5 Tahun'!N312:N316)*SQRT(AVERAGE('Data Historis 5 Tahun'!H312:H316)),0),0)</f>
        <v>101</v>
      </c>
      <c r="J69" s="76" t="n">
        <f aca="false">IFERROR(MAX(1,ROUND(F69/12,0)),1)</f>
        <v>2888</v>
      </c>
      <c r="K69" s="77" t="n">
        <f aca="false">IFERROR(ROUND((F69/J69)*G69+(J69/2)*H69+I69*H69,0),0)</f>
        <v>995240470</v>
      </c>
      <c r="L69" s="78" t="n">
        <f aca="false">IFERROR(ROUND(AVERAGE('Data Historis 5 Tahun'!J312:J316),0),0)</f>
        <v>2304995</v>
      </c>
      <c r="M69" s="79" t="n">
        <f aca="false">IFERROR(ROUND(AVERAGE('Data Historis 5 Tahun'!K312:K316),0),0)</f>
        <v>556247</v>
      </c>
      <c r="N69" s="79" t="n">
        <f aca="false">IFERROR(ROUND(1.65*AVERAGE('Data Historis 5 Tahun'!N312:N316)*SQRT(AVERAGE('Data Historis 5 Tahun'!H312:H316)),0),0)</f>
        <v>101</v>
      </c>
      <c r="O69" s="80" t="n">
        <f aca="false">IFERROR(ROUND(SQRT(2*F69*L69/M69),0),0)</f>
        <v>536</v>
      </c>
      <c r="P69" s="80" t="n">
        <f aca="false">IFERROR(ROUND((F69/O69)*L69+(O69/2)*M69+N69*M69,0),0)</f>
        <v>354284251</v>
      </c>
      <c r="Q69" s="80" t="n">
        <f aca="false">K69-P69</f>
        <v>640956219</v>
      </c>
      <c r="R69" s="81" t="n">
        <f aca="false">IFERROR(MAX(1,ROUND(O69*0.5,0)),1)</f>
        <v>268</v>
      </c>
      <c r="S69" s="82" t="n">
        <f aca="false">IFERROR(ROUND((F69/R69)*L69,0),0)</f>
        <v>298058215</v>
      </c>
      <c r="T69" s="82" t="n">
        <f aca="false">IFERROR(ROUND((R69/2)*M69+N69*M69,0),0)</f>
        <v>130718045</v>
      </c>
      <c r="U69" s="83" t="n">
        <f aca="false">S69+T69</f>
        <v>428776260</v>
      </c>
      <c r="V69" s="84" t="n">
        <f aca="false">IFERROR(ROUND(O69*1.5,0),1)</f>
        <v>804</v>
      </c>
      <c r="W69" s="85" t="n">
        <f aca="false">IFERROR(ROUND((F69/V69)*L69,0),0)</f>
        <v>99352738</v>
      </c>
      <c r="X69" s="84" t="n">
        <f aca="false">IFERROR(ROUND((F69/V69)*L69+(V69/2)*M69+N69*M69,0),0)</f>
        <v>379144979</v>
      </c>
      <c r="Y69" s="86" t="n">
        <f aca="false">MIN(K69,P69,U69,X69)</f>
        <v>354284251</v>
      </c>
      <c r="Z69" s="87" t="str">
        <f aca="false">IF(Y69=P69,"✅ EOQ (optimal)",IF(Y69=K69,"Q Obs Lama",IF(Y69=U69,"Q Kecil","Q Besar")))</f>
        <v>✅ EOQ (optimal)</v>
      </c>
      <c r="AA69" s="72" t="n">
        <f aca="false">MAX(0,K69-P69)</f>
        <v>640956219</v>
      </c>
      <c r="AB69" s="72" t="n">
        <f aca="false">IFERROR(AA69/K69,0)</f>
        <v>0.644021458452147</v>
      </c>
      <c r="AC69" s="0" t="str">
        <f aca="false">IF(Q69&gt;0,"Gunakan EOQ — hemat Rp "&amp;TEXT(Q69,"#,##0")&amp;"/thn","Tinjau ulang parameter")</f>
        <v>Gunakan EOQ — hemat Rp 640,956,219/thn</v>
      </c>
      <c r="AD69" s="0" t="str">
        <f aca="false">IF(N69&gt;0,"Gunakan EOQ — hemat Rp "&amp;TEXT(N69,"#,##0")&amp;"/thn","Tinjau ulang parameter S &amp; H")</f>
        <v>Gunakan EOQ — hemat Rp 101/thn</v>
      </c>
    </row>
    <row r="70" customFormat="false" ht="15.75" hidden="false" customHeight="true" outlineLevel="0" collapsed="false">
      <c r="A70" s="73" t="n">
        <v>63</v>
      </c>
      <c r="B70" s="73" t="s">
        <v>160</v>
      </c>
      <c r="C70" s="74" t="s">
        <v>161</v>
      </c>
      <c r="D70" s="73" t="s">
        <v>263</v>
      </c>
      <c r="E70" s="73" t="s">
        <v>57</v>
      </c>
      <c r="F70" s="75" t="n">
        <f aca="false">IFERROR(ROUND(AVERAGE('Data Historis 5 Tahun'!I317:I321),0),0)</f>
        <v>56205</v>
      </c>
      <c r="G70" s="75" t="n">
        <f aca="false">IFERROR(ROUND(AVERAGE('Data Historis 5 Tahun'!J317:J321)*1.1001,0),0)</f>
        <v>363955</v>
      </c>
      <c r="H70" s="75" t="n">
        <f aca="false">IFERROR(ROUND(AVERAGE('Data Historis 5 Tahun'!K317:K321)*1.0921,0),0)</f>
        <v>553280</v>
      </c>
      <c r="I70" s="75" t="n">
        <f aca="false">IFERROR(ROUND(1.65*AVERAGE('Data Historis 5 Tahun'!N317:N321)*SQRT(AVERAGE('Data Historis 5 Tahun'!H317:H321)),0),0)</f>
        <v>142</v>
      </c>
      <c r="J70" s="76" t="n">
        <f aca="false">IFERROR(MAX(1,ROUND(F70/12,0)),1)</f>
        <v>4684</v>
      </c>
      <c r="K70" s="77" t="n">
        <f aca="false">IFERROR(ROUND((F70/J70)*G70+(J70/2)*H70+I70*H70,0),0)</f>
        <v>1378714747</v>
      </c>
      <c r="L70" s="78" t="n">
        <f aca="false">IFERROR(ROUND(AVERAGE('Data Historis 5 Tahun'!J317:J321),0),0)</f>
        <v>330838</v>
      </c>
      <c r="M70" s="79" t="n">
        <f aca="false">IFERROR(ROUND(AVERAGE('Data Historis 5 Tahun'!K317:K321),0),0)</f>
        <v>506620</v>
      </c>
      <c r="N70" s="79" t="n">
        <f aca="false">IFERROR(ROUND(1.65*AVERAGE('Data Historis 5 Tahun'!N317:N321)*SQRT(AVERAGE('Data Historis 5 Tahun'!H317:H321)),0),0)</f>
        <v>142</v>
      </c>
      <c r="O70" s="80" t="n">
        <f aca="false">IFERROR(ROUND(SQRT(2*F70*L70/M70),0),0)</f>
        <v>271</v>
      </c>
      <c r="P70" s="80" t="n">
        <f aca="false">IFERROR(ROUND((F70/O70)*L70+(O70/2)*M70+N70*M70,0),0)</f>
        <v>209202363</v>
      </c>
      <c r="Q70" s="80" t="n">
        <f aca="false">K70-P70</f>
        <v>1169512384</v>
      </c>
      <c r="R70" s="81" t="n">
        <f aca="false">IFERROR(MAX(1,ROUND(O70*0.5,0)),1)</f>
        <v>136</v>
      </c>
      <c r="S70" s="82" t="n">
        <f aca="false">IFERROR(ROUND((F70/R70)*L70,0),0)</f>
        <v>136726101</v>
      </c>
      <c r="T70" s="82" t="n">
        <f aca="false">IFERROR(ROUND((R70/2)*M70+N70*M70,0),0)</f>
        <v>106390200</v>
      </c>
      <c r="U70" s="83" t="n">
        <f aca="false">S70+T70</f>
        <v>243116301</v>
      </c>
      <c r="V70" s="84" t="n">
        <f aca="false">IFERROR(ROUND(O70*1.5,0),1)</f>
        <v>407</v>
      </c>
      <c r="W70" s="85" t="n">
        <f aca="false">IFERROR(ROUND((F70/V70)*L70,0),0)</f>
        <v>45687346</v>
      </c>
      <c r="X70" s="84" t="n">
        <f aca="false">IFERROR(ROUND((F70/V70)*L70+(V70/2)*M70+N70*M70,0),0)</f>
        <v>220724556</v>
      </c>
      <c r="Y70" s="86" t="n">
        <f aca="false">MIN(K70,P70,U70,X70)</f>
        <v>209202363</v>
      </c>
      <c r="Z70" s="87" t="str">
        <f aca="false">IF(Y70=P70,"✅ EOQ (optimal)",IF(Y70=K70,"Q Obs Lama",IF(Y70=U70,"Q Kecil","Q Besar")))</f>
        <v>✅ EOQ (optimal)</v>
      </c>
      <c r="AA70" s="72" t="n">
        <f aca="false">MAX(0,K70-P70)</f>
        <v>1169512384</v>
      </c>
      <c r="AB70" s="72" t="n">
        <f aca="false">IFERROR(AA70/K70,0)</f>
        <v>0.848262765408717</v>
      </c>
      <c r="AC70" s="0" t="str">
        <f aca="false">IF(Q70&gt;0,"Gunakan EOQ — hemat Rp "&amp;TEXT(Q70,"#,##0")&amp;"/thn","Tinjau ulang parameter")</f>
        <v>Gunakan EOQ — hemat Rp 1,169,512,384/thn</v>
      </c>
      <c r="AD70" s="0" t="str">
        <f aca="false">IF(N70&gt;0,"Gunakan EOQ — hemat Rp "&amp;TEXT(N70,"#,##0")&amp;"/thn","Tinjau ulang parameter S &amp; H")</f>
        <v>Gunakan EOQ — hemat Rp 142/thn</v>
      </c>
    </row>
    <row r="71" customFormat="false" ht="15.75" hidden="false" customHeight="true" outlineLevel="0" collapsed="false">
      <c r="A71" s="88" t="n">
        <v>64</v>
      </c>
      <c r="B71" s="88" t="s">
        <v>162</v>
      </c>
      <c r="C71" s="89" t="s">
        <v>163</v>
      </c>
      <c r="D71" s="88" t="s">
        <v>264</v>
      </c>
      <c r="E71" s="88" t="s">
        <v>57</v>
      </c>
      <c r="F71" s="75" t="n">
        <f aca="false">IFERROR(ROUND(AVERAGE('Data Historis 5 Tahun'!I322:I326),0),0)</f>
        <v>51407</v>
      </c>
      <c r="G71" s="75" t="n">
        <f aca="false">IFERROR(ROUND(AVERAGE('Data Historis 5 Tahun'!J322:J326)*1.1029,0),0)</f>
        <v>538483</v>
      </c>
      <c r="H71" s="75" t="n">
        <f aca="false">IFERROR(ROUND(AVERAGE('Data Historis 5 Tahun'!K322:K326)*1.1708,0),0)</f>
        <v>288129</v>
      </c>
      <c r="I71" s="75" t="n">
        <f aca="false">IFERROR(ROUND(1.65*AVERAGE('Data Historis 5 Tahun'!N322:N326)*SQRT(AVERAGE('Data Historis 5 Tahun'!H322:H326)),0),0)</f>
        <v>114</v>
      </c>
      <c r="J71" s="76" t="n">
        <f aca="false">IFERROR(MAX(1,ROUND(F71/12,0)),1)</f>
        <v>4284</v>
      </c>
      <c r="K71" s="77" t="n">
        <f aca="false">IFERROR(ROUND((F71/J71)*G71+(J71/2)*H71+I71*H71,0),0)</f>
        <v>656480694</v>
      </c>
      <c r="L71" s="78" t="n">
        <f aca="false">IFERROR(ROUND(AVERAGE('Data Historis 5 Tahun'!J322:J326),0),0)</f>
        <v>488243</v>
      </c>
      <c r="M71" s="79" t="n">
        <f aca="false">IFERROR(ROUND(AVERAGE('Data Historis 5 Tahun'!K322:K326),0),0)</f>
        <v>246096</v>
      </c>
      <c r="N71" s="79" t="n">
        <f aca="false">IFERROR(ROUND(1.65*AVERAGE('Data Historis 5 Tahun'!N322:N326)*SQRT(AVERAGE('Data Historis 5 Tahun'!H322:H326)),0),0)</f>
        <v>114</v>
      </c>
      <c r="O71" s="80" t="n">
        <f aca="false">IFERROR(ROUND(SQRT(2*F71*L71/M71),0),0)</f>
        <v>452</v>
      </c>
      <c r="P71" s="80" t="n">
        <f aca="false">IFERROR(ROUND((F71/O71)*L71+(O71/2)*M71+N71*M71,0),0)</f>
        <v>139201640</v>
      </c>
      <c r="Q71" s="80" t="n">
        <f aca="false">K71-P71</f>
        <v>517279054</v>
      </c>
      <c r="R71" s="81" t="n">
        <f aca="false">IFERROR(MAX(1,ROUND(O71*0.5,0)),1)</f>
        <v>226</v>
      </c>
      <c r="S71" s="82" t="n">
        <f aca="false">IFERROR(ROUND((F71/R71)*L71,0),0)</f>
        <v>111058000</v>
      </c>
      <c r="T71" s="82" t="n">
        <f aca="false">IFERROR(ROUND((R71/2)*M71+N71*M71,0),0)</f>
        <v>55863792</v>
      </c>
      <c r="U71" s="83" t="n">
        <f aca="false">S71+T71</f>
        <v>166921792</v>
      </c>
      <c r="V71" s="84" t="n">
        <f aca="false">IFERROR(ROUND(O71*1.5,0),1)</f>
        <v>678</v>
      </c>
      <c r="W71" s="85" t="n">
        <f aca="false">IFERROR(ROUND((F71/V71)*L71,0),0)</f>
        <v>37019333</v>
      </c>
      <c r="X71" s="84" t="n">
        <f aca="false">IFERROR(ROUND((F71/V71)*L71+(V71/2)*M71+N71*M71,0),0)</f>
        <v>148500821</v>
      </c>
      <c r="Y71" s="86" t="n">
        <f aca="false">MIN(K71,P71,U71,X71)</f>
        <v>139201640</v>
      </c>
      <c r="Z71" s="87" t="str">
        <f aca="false">IF(Y71=P71,"✅ EOQ (optimal)",IF(Y71=K71,"Q Obs Lama",IF(Y71=U71,"Q Kecil","Q Besar")))</f>
        <v>✅ EOQ (optimal)</v>
      </c>
      <c r="AA71" s="72" t="n">
        <f aca="false">MAX(0,K71-P71)</f>
        <v>517279054</v>
      </c>
      <c r="AB71" s="72" t="n">
        <f aca="false">IFERROR(AA71/K71,0)</f>
        <v>0.787957755235983</v>
      </c>
      <c r="AC71" s="0" t="str">
        <f aca="false">IF(Q71&gt;0,"Gunakan EOQ — hemat Rp "&amp;TEXT(Q71,"#,##0")&amp;"/thn","Tinjau ulang parameter")</f>
        <v>Gunakan EOQ — hemat Rp 517,279,054/thn</v>
      </c>
      <c r="AD71" s="0" t="str">
        <f aca="false">IF(N71&gt;0,"Gunakan EOQ — hemat Rp "&amp;TEXT(N71,"#,##0")&amp;"/thn","Tinjau ulang parameter S &amp; H")</f>
        <v>Gunakan EOQ — hemat Rp 114/thn</v>
      </c>
    </row>
    <row r="72" customFormat="false" ht="15.75" hidden="false" customHeight="true" outlineLevel="0" collapsed="false">
      <c r="A72" s="73" t="n">
        <v>65</v>
      </c>
      <c r="B72" s="73" t="s">
        <v>164</v>
      </c>
      <c r="C72" s="74" t="s">
        <v>165</v>
      </c>
      <c r="D72" s="73" t="s">
        <v>264</v>
      </c>
      <c r="E72" s="73" t="s">
        <v>57</v>
      </c>
      <c r="F72" s="75" t="n">
        <f aca="false">IFERROR(ROUND(AVERAGE('Data Historis 5 Tahun'!I327:I331),0),0)</f>
        <v>26064</v>
      </c>
      <c r="G72" s="75" t="n">
        <f aca="false">IFERROR(ROUND(AVERAGE('Data Historis 5 Tahun'!J327:J331)*1.2318,0),0)</f>
        <v>1476152</v>
      </c>
      <c r="H72" s="75" t="n">
        <f aca="false">IFERROR(ROUND(AVERAGE('Data Historis 5 Tahun'!K327:K331)*1.1581,0),0)</f>
        <v>171674</v>
      </c>
      <c r="I72" s="75" t="n">
        <f aca="false">IFERROR(ROUND(1.65*AVERAGE('Data Historis 5 Tahun'!N327:N331)*SQRT(AVERAGE('Data Historis 5 Tahun'!H327:H331)),0),0)</f>
        <v>77</v>
      </c>
      <c r="J72" s="76" t="n">
        <f aca="false">IFERROR(MAX(1,ROUND(F72/12,0)),1)</f>
        <v>2172</v>
      </c>
      <c r="K72" s="77" t="n">
        <f aca="false">IFERROR(ROUND((F72/J72)*G72+(J72/2)*H72+I72*H72,0),0)</f>
        <v>217370686</v>
      </c>
      <c r="L72" s="78" t="n">
        <f aca="false">IFERROR(ROUND(AVERAGE('Data Historis 5 Tahun'!J327:J331),0),0)</f>
        <v>1198370</v>
      </c>
      <c r="M72" s="79" t="n">
        <f aca="false">IFERROR(ROUND(AVERAGE('Data Historis 5 Tahun'!K327:K331),0),0)</f>
        <v>148238</v>
      </c>
      <c r="N72" s="79" t="n">
        <f aca="false">IFERROR(ROUND(1.65*AVERAGE('Data Historis 5 Tahun'!N327:N331)*SQRT(AVERAGE('Data Historis 5 Tahun'!H327:H331)),0),0)</f>
        <v>77</v>
      </c>
      <c r="O72" s="80" t="n">
        <f aca="false">IFERROR(ROUND(SQRT(2*F72*L72/M72),0),0)</f>
        <v>649</v>
      </c>
      <c r="P72" s="80" t="n">
        <f aca="false">IFERROR(ROUND((F72/O72)*L72+(O72/2)*M72+N72*M72,0),0)</f>
        <v>107644392</v>
      </c>
      <c r="Q72" s="80" t="n">
        <f aca="false">K72-P72</f>
        <v>109726294</v>
      </c>
      <c r="R72" s="81" t="n">
        <f aca="false">IFERROR(MAX(1,ROUND(O72*0.5,0)),1)</f>
        <v>325</v>
      </c>
      <c r="S72" s="82" t="n">
        <f aca="false">IFERROR(ROUND((F72/R72)*L72,0),0)</f>
        <v>96105587</v>
      </c>
      <c r="T72" s="82" t="n">
        <f aca="false">IFERROR(ROUND((R72/2)*M72+N72*M72,0),0)</f>
        <v>35503001</v>
      </c>
      <c r="U72" s="83" t="n">
        <f aca="false">S72+T72</f>
        <v>131608588</v>
      </c>
      <c r="V72" s="84" t="n">
        <f aca="false">IFERROR(ROUND(O72*1.5,0),1)</f>
        <v>974</v>
      </c>
      <c r="W72" s="85" t="n">
        <f aca="false">IFERROR(ROUND((F72/V72)*L72,0),0)</f>
        <v>32068086</v>
      </c>
      <c r="X72" s="84" t="n">
        <f aca="false">IFERROR(ROUND((F72/V72)*L72+(V72/2)*M72+N72*M72,0),0)</f>
        <v>115674318</v>
      </c>
      <c r="Y72" s="86" t="n">
        <f aca="false">MIN(K72,P72,U72,X72)</f>
        <v>107644392</v>
      </c>
      <c r="Z72" s="87" t="str">
        <f aca="false">IF(Y72=P72,"✅ EOQ (optimal)",IF(Y72=K72,"Q Obs Lama",IF(Y72=U72,"Q Kecil","Q Besar")))</f>
        <v>✅ EOQ (optimal)</v>
      </c>
      <c r="AA72" s="72" t="n">
        <f aca="false">MAX(0,K72-P72)</f>
        <v>109726294</v>
      </c>
      <c r="AB72" s="72" t="n">
        <f aca="false">IFERROR(AA72/K72,0)</f>
        <v>0.504788828793594</v>
      </c>
      <c r="AC72" s="0" t="str">
        <f aca="false">IF(Q72&gt;0,"Gunakan EOQ — hemat Rp "&amp;TEXT(Q72,"#,##0")&amp;"/thn","Tinjau ulang parameter")</f>
        <v>Gunakan EOQ — hemat Rp 109,726,294/thn</v>
      </c>
      <c r="AD72" s="0" t="str">
        <f aca="false">IF(N72&gt;0,"Gunakan EOQ — hemat Rp "&amp;TEXT(N72,"#,##0")&amp;"/thn","Tinjau ulang parameter S &amp; H")</f>
        <v>Gunakan EOQ — hemat Rp 77/thn</v>
      </c>
    </row>
    <row r="73" customFormat="false" ht="15.75" hidden="false" customHeight="true" outlineLevel="0" collapsed="false">
      <c r="A73" s="88" t="n">
        <v>66</v>
      </c>
      <c r="B73" s="88" t="s">
        <v>166</v>
      </c>
      <c r="C73" s="89" t="s">
        <v>167</v>
      </c>
      <c r="D73" s="88" t="s">
        <v>264</v>
      </c>
      <c r="E73" s="88" t="s">
        <v>57</v>
      </c>
      <c r="F73" s="75" t="n">
        <f aca="false">IFERROR(ROUND(AVERAGE('Data Historis 5 Tahun'!I332:I336),0),0)</f>
        <v>31513</v>
      </c>
      <c r="G73" s="75" t="n">
        <f aca="false">IFERROR(ROUND(AVERAGE('Data Historis 5 Tahun'!J332:J336)*1.1461,0),0)</f>
        <v>11456237</v>
      </c>
      <c r="H73" s="75" t="n">
        <f aca="false">IFERROR(ROUND(AVERAGE('Data Historis 5 Tahun'!K332:K336)*1.0575,0),0)</f>
        <v>174130</v>
      </c>
      <c r="I73" s="75" t="n">
        <f aca="false">IFERROR(ROUND(1.65*AVERAGE('Data Historis 5 Tahun'!N332:N336)*SQRT(AVERAGE('Data Historis 5 Tahun'!H332:H336)),0),0)</f>
        <v>184</v>
      </c>
      <c r="J73" s="76" t="n">
        <f aca="false">IFERROR(MAX(1,ROUND(F73/12,0)),1)</f>
        <v>2626</v>
      </c>
      <c r="K73" s="77" t="n">
        <f aca="false">IFERROR(ROUND((F73/J73)*G73+(J73/2)*H73+I73*H73,0),0)</f>
        <v>398151817</v>
      </c>
      <c r="L73" s="78" t="n">
        <f aca="false">IFERROR(ROUND(AVERAGE('Data Historis 5 Tahun'!J332:J336),0),0)</f>
        <v>9995844</v>
      </c>
      <c r="M73" s="79" t="n">
        <f aca="false">IFERROR(ROUND(AVERAGE('Data Historis 5 Tahun'!K332:K336),0),0)</f>
        <v>164662</v>
      </c>
      <c r="N73" s="79" t="n">
        <f aca="false">IFERROR(ROUND(1.65*AVERAGE('Data Historis 5 Tahun'!N332:N336)*SQRT(AVERAGE('Data Historis 5 Tahun'!H332:H336)),0),0)</f>
        <v>184</v>
      </c>
      <c r="O73" s="80" t="n">
        <f aca="false">IFERROR(ROUND(SQRT(2*F73*L73/M73),0),0)</f>
        <v>1956</v>
      </c>
      <c r="P73" s="80" t="n">
        <f aca="false">IFERROR(ROUND((F73/O73)*L73+(O73/2)*M73+N73*M73,0),0)</f>
        <v>352379694</v>
      </c>
      <c r="Q73" s="80" t="n">
        <f aca="false">K73-P73</f>
        <v>45772123</v>
      </c>
      <c r="R73" s="81" t="n">
        <f aca="false">IFERROR(MAX(1,ROUND(O73*0.5,0)),1)</f>
        <v>978</v>
      </c>
      <c r="S73" s="82" t="n">
        <f aca="false">IFERROR(ROUND((F73/R73)*L73,0),0)</f>
        <v>322084900</v>
      </c>
      <c r="T73" s="82" t="n">
        <f aca="false">IFERROR(ROUND((R73/2)*M73+N73*M73,0),0)</f>
        <v>110817526</v>
      </c>
      <c r="U73" s="83" t="n">
        <f aca="false">S73+T73</f>
        <v>432902426</v>
      </c>
      <c r="V73" s="84" t="n">
        <f aca="false">IFERROR(ROUND(O73*1.5,0),1)</f>
        <v>2934</v>
      </c>
      <c r="W73" s="85" t="n">
        <f aca="false">IFERROR(ROUND((F73/V73)*L73,0),0)</f>
        <v>107361633</v>
      </c>
      <c r="X73" s="84" t="n">
        <f aca="false">IFERROR(ROUND((F73/V73)*L73+(V73/2)*M73+N73*M73,0),0)</f>
        <v>379218595</v>
      </c>
      <c r="Y73" s="86" t="n">
        <f aca="false">MIN(K73,P73,U73,X73)</f>
        <v>352379694</v>
      </c>
      <c r="Z73" s="87" t="str">
        <f aca="false">IF(Y73=P73,"✅ EOQ (optimal)",IF(Y73=K73,"Q Obs Lama",IF(Y73=U73,"Q Kecil","Q Besar")))</f>
        <v>✅ EOQ (optimal)</v>
      </c>
      <c r="AA73" s="72" t="n">
        <f aca="false">MAX(0,K73-P73)</f>
        <v>45772123</v>
      </c>
      <c r="AB73" s="72" t="n">
        <f aca="false">IFERROR(AA73/K73,0)</f>
        <v>0.114961482142376</v>
      </c>
      <c r="AC73" s="0" t="str">
        <f aca="false">IF(Q73&gt;0,"Gunakan EOQ — hemat Rp "&amp;TEXT(Q73,"#,##0")&amp;"/thn","Tinjau ulang parameter")</f>
        <v>Gunakan EOQ — hemat Rp 45,772,123/thn</v>
      </c>
      <c r="AD73" s="0" t="str">
        <f aca="false">IF(N73&gt;0,"Gunakan EOQ — hemat Rp "&amp;TEXT(N73,"#,##0")&amp;"/thn","Tinjau ulang parameter S &amp; H")</f>
        <v>Gunakan EOQ — hemat Rp 184/thn</v>
      </c>
    </row>
    <row r="74" customFormat="false" ht="15.75" hidden="false" customHeight="true" outlineLevel="0" collapsed="false">
      <c r="A74" s="73" t="n">
        <v>67</v>
      </c>
      <c r="B74" s="73" t="s">
        <v>168</v>
      </c>
      <c r="C74" s="74" t="s">
        <v>169</v>
      </c>
      <c r="D74" s="73" t="s">
        <v>263</v>
      </c>
      <c r="E74" s="73" t="s">
        <v>57</v>
      </c>
      <c r="F74" s="75" t="n">
        <f aca="false">IFERROR(ROUND(AVERAGE('Data Historis 5 Tahun'!I337:I341),0),0)</f>
        <v>26854</v>
      </c>
      <c r="G74" s="75" t="n">
        <f aca="false">IFERROR(ROUND(AVERAGE('Data Historis 5 Tahun'!J337:J341)*1.2317,0),0)</f>
        <v>6224149</v>
      </c>
      <c r="H74" s="75" t="n">
        <f aca="false">IFERROR(ROUND(AVERAGE('Data Historis 5 Tahun'!K337:K341)*1.1731,0),0)</f>
        <v>282345</v>
      </c>
      <c r="I74" s="75" t="n">
        <f aca="false">IFERROR(ROUND(1.65*AVERAGE('Data Historis 5 Tahun'!N337:N341)*SQRT(AVERAGE('Data Historis 5 Tahun'!H337:H341)),0),0)</f>
        <v>153</v>
      </c>
      <c r="J74" s="76" t="n">
        <f aca="false">IFERROR(MAX(1,ROUND(F74/12,0)),1)</f>
        <v>2238</v>
      </c>
      <c r="K74" s="77" t="n">
        <f aca="false">IFERROR(ROUND((F74/J74)*G74+(J74/2)*H74+I74*H74,0),0)</f>
        <v>433827066</v>
      </c>
      <c r="L74" s="78" t="n">
        <f aca="false">IFERROR(ROUND(AVERAGE('Data Historis 5 Tahun'!J337:J341),0),0)</f>
        <v>5053299</v>
      </c>
      <c r="M74" s="79" t="n">
        <f aca="false">IFERROR(ROUND(AVERAGE('Data Historis 5 Tahun'!K337:K341),0),0)</f>
        <v>240683</v>
      </c>
      <c r="N74" s="79" t="n">
        <f aca="false">IFERROR(ROUND(1.65*AVERAGE('Data Historis 5 Tahun'!N337:N341)*SQRT(AVERAGE('Data Historis 5 Tahun'!H337:H341)),0),0)</f>
        <v>153</v>
      </c>
      <c r="O74" s="80" t="n">
        <f aca="false">IFERROR(ROUND(SQRT(2*F74*L74/M74),0),0)</f>
        <v>1062</v>
      </c>
      <c r="P74" s="80" t="n">
        <f aca="false">IFERROR(ROUND((F74/O74)*L74+(O74/2)*M74+N74*M74,0),0)</f>
        <v>292406166</v>
      </c>
      <c r="Q74" s="80" t="n">
        <f aca="false">K74-P74</f>
        <v>141420900</v>
      </c>
      <c r="R74" s="81" t="n">
        <f aca="false">IFERROR(MAX(1,ROUND(O74*0.5,0)),1)</f>
        <v>531</v>
      </c>
      <c r="S74" s="82" t="n">
        <f aca="false">IFERROR(ROUND((F74/R74)*L74,0),0)</f>
        <v>255557987</v>
      </c>
      <c r="T74" s="82" t="n">
        <f aca="false">IFERROR(ROUND((R74/2)*M74+N74*M74,0),0)</f>
        <v>100725836</v>
      </c>
      <c r="U74" s="83" t="n">
        <f aca="false">S74+T74</f>
        <v>356283823</v>
      </c>
      <c r="V74" s="84" t="n">
        <f aca="false">IFERROR(ROUND(O74*1.5,0),1)</f>
        <v>1593</v>
      </c>
      <c r="W74" s="85" t="n">
        <f aca="false">IFERROR(ROUND((F74/V74)*L74,0),0)</f>
        <v>85185996</v>
      </c>
      <c r="X74" s="84" t="n">
        <f aca="false">IFERROR(ROUND((F74/V74)*L74+(V74/2)*M74+N74*M74,0),0)</f>
        <v>313714504</v>
      </c>
      <c r="Y74" s="86" t="n">
        <f aca="false">MIN(K74,P74,U74,X74)</f>
        <v>292406166</v>
      </c>
      <c r="Z74" s="87" t="str">
        <f aca="false">IF(Y74=P74,"✅ EOQ (optimal)",IF(Y74=K74,"Q Obs Lama",IF(Y74=U74,"Q Kecil","Q Besar")))</f>
        <v>✅ EOQ (optimal)</v>
      </c>
      <c r="AA74" s="72" t="n">
        <f aca="false">MAX(0,K74-P74)</f>
        <v>141420900</v>
      </c>
      <c r="AB74" s="72" t="n">
        <f aca="false">IFERROR(AA74/K74,0)</f>
        <v>0.325984501852174</v>
      </c>
      <c r="AC74" s="0" t="str">
        <f aca="false">IF(Q74&gt;0,"Gunakan EOQ — hemat Rp "&amp;TEXT(Q74,"#,##0")&amp;"/thn","Tinjau ulang parameter")</f>
        <v>Gunakan EOQ — hemat Rp 141,420,900/thn</v>
      </c>
      <c r="AD74" s="0" t="str">
        <f aca="false">IF(N74&gt;0,"Gunakan EOQ — hemat Rp "&amp;TEXT(N74,"#,##0")&amp;"/thn","Tinjau ulang parameter S &amp; H")</f>
        <v>Gunakan EOQ — hemat Rp 153/thn</v>
      </c>
    </row>
    <row r="75" customFormat="false" ht="15.75" hidden="false" customHeight="true" outlineLevel="0" collapsed="false">
      <c r="A75" s="88" t="n">
        <v>68</v>
      </c>
      <c r="B75" s="88" t="s">
        <v>170</v>
      </c>
      <c r="C75" s="89" t="s">
        <v>171</v>
      </c>
      <c r="D75" s="88" t="s">
        <v>264</v>
      </c>
      <c r="E75" s="88" t="s">
        <v>57</v>
      </c>
      <c r="F75" s="75" t="n">
        <f aca="false">IFERROR(ROUND(AVERAGE('Data Historis 5 Tahun'!I342:I346),0),0)</f>
        <v>42874</v>
      </c>
      <c r="G75" s="75" t="n">
        <f aca="false">IFERROR(ROUND(AVERAGE('Data Historis 5 Tahun'!J342:J346)*1.1128,0),0)</f>
        <v>550292</v>
      </c>
      <c r="H75" s="75" t="n">
        <f aca="false">IFERROR(ROUND(AVERAGE('Data Historis 5 Tahun'!K342:K346)*1.1132,0),0)</f>
        <v>100946</v>
      </c>
      <c r="I75" s="75" t="n">
        <f aca="false">IFERROR(ROUND(1.65*AVERAGE('Data Historis 5 Tahun'!N342:N346)*SQRT(AVERAGE('Data Historis 5 Tahun'!H342:H346)),0),0)</f>
        <v>132</v>
      </c>
      <c r="J75" s="76" t="n">
        <f aca="false">IFERROR(MAX(1,ROUND(F75/12,0)),1)</f>
        <v>3573</v>
      </c>
      <c r="K75" s="77" t="n">
        <f aca="false">IFERROR(ROUND((F75/J75)*G75+(J75/2)*H75+I75*H75,0),0)</f>
        <v>200268097</v>
      </c>
      <c r="L75" s="78" t="n">
        <f aca="false">IFERROR(ROUND(AVERAGE('Data Historis 5 Tahun'!J342:J346),0),0)</f>
        <v>494511</v>
      </c>
      <c r="M75" s="79" t="n">
        <f aca="false">IFERROR(ROUND(AVERAGE('Data Historis 5 Tahun'!K342:K346),0),0)</f>
        <v>90681</v>
      </c>
      <c r="N75" s="79" t="n">
        <f aca="false">IFERROR(ROUND(1.65*AVERAGE('Data Historis 5 Tahun'!N342:N346)*SQRT(AVERAGE('Data Historis 5 Tahun'!H342:H346)),0),0)</f>
        <v>132</v>
      </c>
      <c r="O75" s="80" t="n">
        <f aca="false">IFERROR(ROUND(SQRT(2*F75*L75/M75),0),0)</f>
        <v>684</v>
      </c>
      <c r="P75" s="80" t="n">
        <f aca="false">IFERROR(ROUND((F75/O75)*L75+(O75/2)*M75+N75*M75,0),0)</f>
        <v>73979380</v>
      </c>
      <c r="Q75" s="80" t="n">
        <f aca="false">K75-P75</f>
        <v>126288717</v>
      </c>
      <c r="R75" s="81" t="n">
        <f aca="false">IFERROR(MAX(1,ROUND(O75*0.5,0)),1)</f>
        <v>342</v>
      </c>
      <c r="S75" s="82" t="n">
        <f aca="false">IFERROR(ROUND((F75/R75)*L75,0),0)</f>
        <v>61993171</v>
      </c>
      <c r="T75" s="82" t="n">
        <f aca="false">IFERROR(ROUND((R75/2)*M75+N75*M75,0),0)</f>
        <v>27476343</v>
      </c>
      <c r="U75" s="83" t="n">
        <f aca="false">S75+T75</f>
        <v>89469514</v>
      </c>
      <c r="V75" s="84" t="n">
        <f aca="false">IFERROR(ROUND(O75*1.5,0),1)</f>
        <v>1026</v>
      </c>
      <c r="W75" s="85" t="n">
        <f aca="false">IFERROR(ROUND((F75/V75)*L75,0),0)</f>
        <v>20664390</v>
      </c>
      <c r="X75" s="84" t="n">
        <f aca="false">IFERROR(ROUND((F75/V75)*L75+(V75/2)*M75+N75*M75,0),0)</f>
        <v>79153635</v>
      </c>
      <c r="Y75" s="86" t="n">
        <f aca="false">MIN(K75,P75,U75,X75)</f>
        <v>73979380</v>
      </c>
      <c r="Z75" s="87" t="str">
        <f aca="false">IF(Y75=P75,"✅ EOQ (optimal)",IF(Y75=K75,"Q Obs Lama",IF(Y75=U75,"Q Kecil","Q Besar")))</f>
        <v>✅ EOQ (optimal)</v>
      </c>
      <c r="AA75" s="72" t="n">
        <f aca="false">MAX(0,K75-P75)</f>
        <v>126288717</v>
      </c>
      <c r="AB75" s="72" t="n">
        <f aca="false">IFERROR(AA75/K75,0)</f>
        <v>0.630598277468028</v>
      </c>
      <c r="AC75" s="0" t="str">
        <f aca="false">IF(Q75&gt;0,"Gunakan EOQ — hemat Rp "&amp;TEXT(Q75,"#,##0")&amp;"/thn","Tinjau ulang parameter")</f>
        <v>Gunakan EOQ — hemat Rp 126,288,717/thn</v>
      </c>
      <c r="AD75" s="0" t="str">
        <f aca="false">IF(N75&gt;0,"Gunakan EOQ — hemat Rp "&amp;TEXT(N75,"#,##0")&amp;"/thn","Tinjau ulang parameter S &amp; H")</f>
        <v>Gunakan EOQ — hemat Rp 132/thn</v>
      </c>
    </row>
    <row r="76" customFormat="false" ht="15.75" hidden="false" customHeight="true" outlineLevel="0" collapsed="false">
      <c r="A76" s="73" t="n">
        <v>69</v>
      </c>
      <c r="B76" s="73" t="s">
        <v>172</v>
      </c>
      <c r="C76" s="74" t="s">
        <v>173</v>
      </c>
      <c r="D76" s="73" t="s">
        <v>263</v>
      </c>
      <c r="E76" s="73" t="s">
        <v>36</v>
      </c>
      <c r="F76" s="75" t="n">
        <f aca="false">IFERROR(ROUND(AVERAGE('Data Historis 5 Tahun'!I347:I351),0),0)</f>
        <v>40017</v>
      </c>
      <c r="G76" s="75" t="n">
        <f aca="false">IFERROR(ROUND(AVERAGE('Data Historis 5 Tahun'!J347:J351)*1.1104,0),0)</f>
        <v>2196923</v>
      </c>
      <c r="H76" s="75" t="n">
        <f aca="false">IFERROR(ROUND(AVERAGE('Data Historis 5 Tahun'!K347:K351)*1.1489,0),0)</f>
        <v>272493</v>
      </c>
      <c r="I76" s="75" t="n">
        <f aca="false">IFERROR(ROUND(1.65*AVERAGE('Data Historis 5 Tahun'!N347:N351)*SQRT(AVERAGE('Data Historis 5 Tahun'!H347:H351)),0),0)</f>
        <v>93</v>
      </c>
      <c r="J76" s="76" t="n">
        <f aca="false">IFERROR(MAX(1,ROUND(F76/12,0)),1)</f>
        <v>3335</v>
      </c>
      <c r="K76" s="77" t="n">
        <f aca="false">IFERROR(ROUND((F76/J76)*G76+(J76/2)*H76+I76*H76,0),0)</f>
        <v>506085026</v>
      </c>
      <c r="L76" s="78" t="n">
        <f aca="false">IFERROR(ROUND(AVERAGE('Data Historis 5 Tahun'!J347:J351),0),0)</f>
        <v>1978497</v>
      </c>
      <c r="M76" s="79" t="n">
        <f aca="false">IFERROR(ROUND(AVERAGE('Data Historis 5 Tahun'!K347:K351),0),0)</f>
        <v>237177</v>
      </c>
      <c r="N76" s="79" t="n">
        <f aca="false">IFERROR(ROUND(1.65*AVERAGE('Data Historis 5 Tahun'!N347:N351)*SQRT(AVERAGE('Data Historis 5 Tahun'!H347:H351)),0),0)</f>
        <v>93</v>
      </c>
      <c r="O76" s="80" t="n">
        <f aca="false">IFERROR(ROUND(SQRT(2*F76*L76/M76),0),0)</f>
        <v>817</v>
      </c>
      <c r="P76" s="80" t="n">
        <f aca="false">IFERROR(ROUND((F76/O76)*L76+(O76/2)*M76+N76*M76,0),0)</f>
        <v>215851872</v>
      </c>
      <c r="Q76" s="80" t="n">
        <f aca="false">K76-P76</f>
        <v>290233154</v>
      </c>
      <c r="R76" s="81" t="n">
        <f aca="false">IFERROR(MAX(1,ROUND(O76*0.5,0)),1)</f>
        <v>409</v>
      </c>
      <c r="S76" s="82" t="n">
        <f aca="false">IFERROR(ROUND((F76/R76)*L76,0),0)</f>
        <v>193578275</v>
      </c>
      <c r="T76" s="82" t="n">
        <f aca="false">IFERROR(ROUND((R76/2)*M76+N76*M76,0),0)</f>
        <v>70560158</v>
      </c>
      <c r="U76" s="83" t="n">
        <f aca="false">S76+T76</f>
        <v>264138433</v>
      </c>
      <c r="V76" s="84" t="n">
        <f aca="false">IFERROR(ROUND(O76*1.5,0),1)</f>
        <v>1226</v>
      </c>
      <c r="W76" s="85" t="n">
        <f aca="false">IFERROR(ROUND((F76/V76)*L76,0),0)</f>
        <v>64578723</v>
      </c>
      <c r="X76" s="84" t="n">
        <f aca="false">IFERROR(ROUND((F76/V76)*L76+(V76/2)*M76+N76*M76,0),0)</f>
        <v>232025685</v>
      </c>
      <c r="Y76" s="86" t="n">
        <f aca="false">MIN(K76,P76,U76,X76)</f>
        <v>215851872</v>
      </c>
      <c r="Z76" s="87" t="str">
        <f aca="false">IF(Y76=P76,"✅ EOQ (optimal)",IF(Y76=K76,"Q Obs Lama",IF(Y76=U76,"Q Kecil","Q Besar")))</f>
        <v>✅ EOQ (optimal)</v>
      </c>
      <c r="AA76" s="72" t="n">
        <f aca="false">MAX(0,K76-P76)</f>
        <v>290233154</v>
      </c>
      <c r="AB76" s="72" t="n">
        <f aca="false">IFERROR(AA76/K76,0)</f>
        <v>0.573486942093402</v>
      </c>
      <c r="AC76" s="0" t="str">
        <f aca="false">IF(Q76&gt;0,"Gunakan EOQ — hemat Rp "&amp;TEXT(Q76,"#,##0")&amp;"/thn","Tinjau ulang parameter")</f>
        <v>Gunakan EOQ — hemat Rp 290,233,154/thn</v>
      </c>
      <c r="AD76" s="0" t="str">
        <f aca="false">IF(N76&gt;0,"Gunakan EOQ — hemat Rp "&amp;TEXT(N76,"#,##0")&amp;"/thn","Tinjau ulang parameter S &amp; H")</f>
        <v>Gunakan EOQ — hemat Rp 93/thn</v>
      </c>
    </row>
    <row r="77" customFormat="false" ht="15.75" hidden="false" customHeight="true" outlineLevel="0" collapsed="false">
      <c r="A77" s="88" t="n">
        <v>70</v>
      </c>
      <c r="B77" s="88" t="s">
        <v>174</v>
      </c>
      <c r="C77" s="89" t="s">
        <v>175</v>
      </c>
      <c r="D77" s="88" t="s">
        <v>263</v>
      </c>
      <c r="E77" s="88" t="s">
        <v>36</v>
      </c>
      <c r="F77" s="75" t="n">
        <f aca="false">IFERROR(ROUND(AVERAGE('Data Historis 5 Tahun'!I352:I356),0),0)</f>
        <v>39139</v>
      </c>
      <c r="G77" s="75" t="n">
        <f aca="false">IFERROR(ROUND(AVERAGE('Data Historis 5 Tahun'!J352:J356)*1.2149,0),0)</f>
        <v>960133</v>
      </c>
      <c r="H77" s="75" t="n">
        <f aca="false">IFERROR(ROUND(AVERAGE('Data Historis 5 Tahun'!K352:K356)*1.0667,0),0)</f>
        <v>439905</v>
      </c>
      <c r="I77" s="75" t="n">
        <f aca="false">IFERROR(ROUND(1.65*AVERAGE('Data Historis 5 Tahun'!N352:N356)*SQRT(AVERAGE('Data Historis 5 Tahun'!H352:H356)),0),0)</f>
        <v>138</v>
      </c>
      <c r="J77" s="76" t="n">
        <f aca="false">IFERROR(MAX(1,ROUND(F77/12,0)),1)</f>
        <v>3262</v>
      </c>
      <c r="K77" s="77" t="n">
        <f aca="false">IFERROR(ROUND((F77/J77)*G77+(J77/2)*H77+I77*H77,0),0)</f>
        <v>789712069</v>
      </c>
      <c r="L77" s="78" t="n">
        <f aca="false">IFERROR(ROUND(AVERAGE('Data Historis 5 Tahun'!J352:J356),0),0)</f>
        <v>790298</v>
      </c>
      <c r="M77" s="79" t="n">
        <f aca="false">IFERROR(ROUND(AVERAGE('Data Historis 5 Tahun'!K352:K356),0),0)</f>
        <v>412398</v>
      </c>
      <c r="N77" s="79" t="n">
        <f aca="false">IFERROR(ROUND(1.65*AVERAGE('Data Historis 5 Tahun'!N352:N356)*SQRT(AVERAGE('Data Historis 5 Tahun'!H352:H356)),0),0)</f>
        <v>138</v>
      </c>
      <c r="O77" s="80" t="n">
        <f aca="false">IFERROR(ROUND(SQRT(2*F77*L77/M77),0),0)</f>
        <v>387</v>
      </c>
      <c r="P77" s="80" t="n">
        <f aca="false">IFERROR(ROUND((F77/O77)*L77+(O77/2)*M77+N77*M77,0),0)</f>
        <v>216636225</v>
      </c>
      <c r="Q77" s="80" t="n">
        <f aca="false">K77-P77</f>
        <v>573075844</v>
      </c>
      <c r="R77" s="81" t="n">
        <f aca="false">IFERROR(MAX(1,ROUND(O77*0.5,0)),1)</f>
        <v>194</v>
      </c>
      <c r="S77" s="82" t="n">
        <f aca="false">IFERROR(ROUND((F77/R77)*L77,0),0)</f>
        <v>159440585</v>
      </c>
      <c r="T77" s="82" t="n">
        <f aca="false">IFERROR(ROUND((R77/2)*M77+N77*M77,0),0)</f>
        <v>96913530</v>
      </c>
      <c r="U77" s="83" t="n">
        <f aca="false">S77+T77</f>
        <v>256354115</v>
      </c>
      <c r="V77" s="84" t="n">
        <f aca="false">IFERROR(ROUND(O77*1.5,0),1)</f>
        <v>581</v>
      </c>
      <c r="W77" s="85" t="n">
        <f aca="false">IFERROR(ROUND((F77/V77)*L77,0),0)</f>
        <v>53238336</v>
      </c>
      <c r="X77" s="84" t="n">
        <f aca="false">IFERROR(ROUND((F77/V77)*L77+(V77/2)*M77+N77*M77,0),0)</f>
        <v>229950879</v>
      </c>
      <c r="Y77" s="86" t="n">
        <f aca="false">MIN(K77,P77,U77,X77)</f>
        <v>216636225</v>
      </c>
      <c r="Z77" s="87" t="str">
        <f aca="false">IF(Y77=P77,"✅ EOQ (optimal)",IF(Y77=K77,"Q Obs Lama",IF(Y77=U77,"Q Kecil","Q Besar")))</f>
        <v>✅ EOQ (optimal)</v>
      </c>
      <c r="AA77" s="72" t="n">
        <f aca="false">MAX(0,K77-P77)</f>
        <v>573075844</v>
      </c>
      <c r="AB77" s="72" t="n">
        <f aca="false">IFERROR(AA77/K77,0)</f>
        <v>0.725676947961144</v>
      </c>
      <c r="AC77" s="0" t="str">
        <f aca="false">IF(Q77&gt;0,"Gunakan EOQ — hemat Rp "&amp;TEXT(Q77,"#,##0")&amp;"/thn","Tinjau ulang parameter")</f>
        <v>Gunakan EOQ — hemat Rp 573,075,844/thn</v>
      </c>
      <c r="AD77" s="0" t="str">
        <f aca="false">IF(N77&gt;0,"Gunakan EOQ — hemat Rp "&amp;TEXT(N77,"#,##0")&amp;"/thn","Tinjau ulang parameter S &amp; H")</f>
        <v>Gunakan EOQ — hemat Rp 138/thn</v>
      </c>
    </row>
    <row r="78" customFormat="false" ht="15.75" hidden="false" customHeight="true" outlineLevel="0" collapsed="false">
      <c r="A78" s="73" t="n">
        <v>71</v>
      </c>
      <c r="B78" s="73" t="s">
        <v>176</v>
      </c>
      <c r="C78" s="74" t="s">
        <v>177</v>
      </c>
      <c r="D78" s="73" t="s">
        <v>263</v>
      </c>
      <c r="E78" s="73" t="s">
        <v>36</v>
      </c>
      <c r="F78" s="75" t="n">
        <f aca="false">IFERROR(ROUND(AVERAGE('Data Historis 5 Tahun'!I357:I361),0),0)</f>
        <v>43497</v>
      </c>
      <c r="G78" s="75" t="n">
        <f aca="false">IFERROR(ROUND(AVERAGE('Data Historis 5 Tahun'!J357:J361)*1.1713,0),0)</f>
        <v>6480648</v>
      </c>
      <c r="H78" s="75" t="n">
        <f aca="false">IFERROR(ROUND(AVERAGE('Data Historis 5 Tahun'!K357:K361)*1.1215,0),0)</f>
        <v>614619</v>
      </c>
      <c r="I78" s="75" t="n">
        <f aca="false">IFERROR(ROUND(1.65*AVERAGE('Data Historis 5 Tahun'!N357:N361)*SQRT(AVERAGE('Data Historis 5 Tahun'!H357:H361)),0),0)</f>
        <v>215</v>
      </c>
      <c r="J78" s="76" t="n">
        <f aca="false">IFERROR(MAX(1,ROUND(F78/12,0)),1)</f>
        <v>3625</v>
      </c>
      <c r="K78" s="77" t="n">
        <f aca="false">IFERROR(ROUND((F78/J78)*G78+(J78/2)*H78+I78*H78,0),0)</f>
        <v>1323902435</v>
      </c>
      <c r="L78" s="78" t="n">
        <f aca="false">IFERROR(ROUND(AVERAGE('Data Historis 5 Tahun'!J357:J361),0),0)</f>
        <v>5532868</v>
      </c>
      <c r="M78" s="79" t="n">
        <f aca="false">IFERROR(ROUND(AVERAGE('Data Historis 5 Tahun'!K357:K361),0),0)</f>
        <v>548033</v>
      </c>
      <c r="N78" s="79" t="n">
        <f aca="false">IFERROR(ROUND(1.65*AVERAGE('Data Historis 5 Tahun'!N357:N361)*SQRT(AVERAGE('Data Historis 5 Tahun'!H357:H361)),0),0)</f>
        <v>215</v>
      </c>
      <c r="O78" s="80" t="n">
        <f aca="false">IFERROR(ROUND(SQRT(2*F78*L78/M78),0),0)</f>
        <v>937</v>
      </c>
      <c r="P78" s="80" t="n">
        <f aca="false">IFERROR(ROUND((F78/O78)*L78+(O78/2)*M78+N78*M78,0),0)</f>
        <v>631424909</v>
      </c>
      <c r="Q78" s="80" t="n">
        <f aca="false">K78-P78</f>
        <v>692477526</v>
      </c>
      <c r="R78" s="81" t="n">
        <f aca="false">IFERROR(MAX(1,ROUND(O78*0.5,0)),1)</f>
        <v>469</v>
      </c>
      <c r="S78" s="82" t="n">
        <f aca="false">IFERROR(ROUND((F78/R78)*L78,0),0)</f>
        <v>513141065</v>
      </c>
      <c r="T78" s="82" t="n">
        <f aca="false">IFERROR(ROUND((R78/2)*M78+N78*M78,0),0)</f>
        <v>246340834</v>
      </c>
      <c r="U78" s="83" t="n">
        <f aca="false">S78+T78</f>
        <v>759481899</v>
      </c>
      <c r="V78" s="84" t="n">
        <f aca="false">IFERROR(ROUND(O78*1.5,0),1)</f>
        <v>1406</v>
      </c>
      <c r="W78" s="85" t="n">
        <f aca="false">IFERROR(ROUND((F78/V78)*L78,0),0)</f>
        <v>171168677</v>
      </c>
      <c r="X78" s="84" t="n">
        <f aca="false">IFERROR(ROUND((F78/V78)*L78+(V78/2)*M78+N78*M78,0),0)</f>
        <v>674262971</v>
      </c>
      <c r="Y78" s="86" t="n">
        <f aca="false">MIN(K78,P78,U78,X78)</f>
        <v>631424909</v>
      </c>
      <c r="Z78" s="87" t="str">
        <f aca="false">IF(Y78=P78,"✅ EOQ (optimal)",IF(Y78=K78,"Q Obs Lama",IF(Y78=U78,"Q Kecil","Q Besar")))</f>
        <v>✅ EOQ (optimal)</v>
      </c>
      <c r="AA78" s="72" t="n">
        <f aca="false">MAX(0,K78-P78)</f>
        <v>692477526</v>
      </c>
      <c r="AB78" s="72" t="n">
        <f aca="false">IFERROR(AA78/K78,0)</f>
        <v>0.523057823365964</v>
      </c>
      <c r="AC78" s="0" t="str">
        <f aca="false">IF(Q78&gt;0,"Gunakan EOQ — hemat Rp "&amp;TEXT(Q78,"#,##0")&amp;"/thn","Tinjau ulang parameter")</f>
        <v>Gunakan EOQ — hemat Rp 692,477,526/thn</v>
      </c>
      <c r="AD78" s="0" t="str">
        <f aca="false">IF(N78&gt;0,"Gunakan EOQ — hemat Rp "&amp;TEXT(N78,"#,##0")&amp;"/thn","Tinjau ulang parameter S &amp; H")</f>
        <v>Gunakan EOQ — hemat Rp 215/thn</v>
      </c>
    </row>
    <row r="79" customFormat="false" ht="15.75" hidden="false" customHeight="true" outlineLevel="0" collapsed="false">
      <c r="A79" s="88" t="n">
        <v>72</v>
      </c>
      <c r="B79" s="88" t="s">
        <v>178</v>
      </c>
      <c r="C79" s="89" t="s">
        <v>179</v>
      </c>
      <c r="D79" s="88" t="s">
        <v>263</v>
      </c>
      <c r="E79" s="88" t="s">
        <v>36</v>
      </c>
      <c r="F79" s="75" t="n">
        <f aca="false">IFERROR(ROUND(AVERAGE('Data Historis 5 Tahun'!I362:I366),0),0)</f>
        <v>30049</v>
      </c>
      <c r="G79" s="75" t="n">
        <f aca="false">IFERROR(ROUND(AVERAGE('Data Historis 5 Tahun'!J362:J366)*1.1398,0),0)</f>
        <v>12247059</v>
      </c>
      <c r="H79" s="75" t="n">
        <f aca="false">IFERROR(ROUND(AVERAGE('Data Historis 5 Tahun'!K362:K366)*1.1634,0),0)</f>
        <v>98383</v>
      </c>
      <c r="I79" s="75" t="n">
        <f aca="false">IFERROR(ROUND(1.65*AVERAGE('Data Historis 5 Tahun'!N362:N366)*SQRT(AVERAGE('Data Historis 5 Tahun'!H362:H366)),0),0)</f>
        <v>210</v>
      </c>
      <c r="J79" s="76" t="n">
        <f aca="false">IFERROR(MAX(1,ROUND(F79/12,0)),1)</f>
        <v>2504</v>
      </c>
      <c r="K79" s="77" t="n">
        <f aca="false">IFERROR(ROUND((F79/J79)*G79+(J79/2)*H79+I79*H79,0),0)</f>
        <v>290805545</v>
      </c>
      <c r="L79" s="78" t="n">
        <f aca="false">IFERROR(ROUND(AVERAGE('Data Historis 5 Tahun'!J362:J366),0),0)</f>
        <v>10744919</v>
      </c>
      <c r="M79" s="79" t="n">
        <f aca="false">IFERROR(ROUND(AVERAGE('Data Historis 5 Tahun'!K362:K366),0),0)</f>
        <v>84565</v>
      </c>
      <c r="N79" s="79" t="n">
        <f aca="false">IFERROR(ROUND(1.65*AVERAGE('Data Historis 5 Tahun'!N362:N366)*SQRT(AVERAGE('Data Historis 5 Tahun'!H362:H366)),0),0)</f>
        <v>210</v>
      </c>
      <c r="O79" s="80" t="n">
        <f aca="false">IFERROR(ROUND(SQRT(2*F79*L79/M79),0),0)</f>
        <v>2763</v>
      </c>
      <c r="P79" s="80" t="n">
        <f aca="false">IFERROR(ROUND((F79/O79)*L79+(O79/2)*M79+N79*M79,0),0)</f>
        <v>251441539</v>
      </c>
      <c r="Q79" s="80" t="n">
        <f aca="false">K79-P79</f>
        <v>39364006</v>
      </c>
      <c r="R79" s="81" t="n">
        <f aca="false">IFERROR(MAX(1,ROUND(O79*0.5,0)),1)</f>
        <v>1382</v>
      </c>
      <c r="S79" s="82" t="n">
        <f aca="false">IFERROR(ROUND((F79/R79)*L79,0),0)</f>
        <v>233628127</v>
      </c>
      <c r="T79" s="82" t="n">
        <f aca="false">IFERROR(ROUND((R79/2)*M79+N79*M79,0),0)</f>
        <v>76193065</v>
      </c>
      <c r="U79" s="83" t="n">
        <f aca="false">S79+T79</f>
        <v>309821192</v>
      </c>
      <c r="V79" s="84" t="n">
        <f aca="false">IFERROR(ROUND(O79*1.5,0),1)</f>
        <v>4145</v>
      </c>
      <c r="W79" s="85" t="n">
        <f aca="false">IFERROR(ROUND((F79/V79)*L79,0),0)</f>
        <v>77894830</v>
      </c>
      <c r="X79" s="84" t="n">
        <f aca="false">IFERROR(ROUND((F79/V79)*L79+(V79/2)*M79+N79*M79,0),0)</f>
        <v>270914443</v>
      </c>
      <c r="Y79" s="86" t="n">
        <f aca="false">MIN(K79,P79,U79,X79)</f>
        <v>251441539</v>
      </c>
      <c r="Z79" s="87" t="str">
        <f aca="false">IF(Y79=P79,"✅ EOQ (optimal)",IF(Y79=K79,"Q Obs Lama",IF(Y79=U79,"Q Kecil","Q Besar")))</f>
        <v>✅ EOQ (optimal)</v>
      </c>
      <c r="AA79" s="72" t="n">
        <f aca="false">MAX(0,K79-P79)</f>
        <v>39364006</v>
      </c>
      <c r="AB79" s="72" t="n">
        <f aca="false">IFERROR(AA79/K79,0)</f>
        <v>0.135361951231019</v>
      </c>
      <c r="AC79" s="0" t="str">
        <f aca="false">IF(Q79&gt;0,"Gunakan EOQ — hemat Rp "&amp;TEXT(Q79,"#,##0")&amp;"/thn","Tinjau ulang parameter")</f>
        <v>Gunakan EOQ — hemat Rp 39,364,006/thn</v>
      </c>
      <c r="AD79" s="0" t="str">
        <f aca="false">IF(N79&gt;0,"Gunakan EOQ — hemat Rp "&amp;TEXT(N79,"#,##0")&amp;"/thn","Tinjau ulang parameter S &amp; H")</f>
        <v>Gunakan EOQ — hemat Rp 210/thn</v>
      </c>
    </row>
    <row r="80" customFormat="false" ht="15.75" hidden="false" customHeight="true" outlineLevel="0" collapsed="false">
      <c r="A80" s="73" t="n">
        <v>73</v>
      </c>
      <c r="B80" s="73" t="s">
        <v>180</v>
      </c>
      <c r="C80" s="74" t="s">
        <v>181</v>
      </c>
      <c r="D80" s="73" t="s">
        <v>264</v>
      </c>
      <c r="E80" s="73" t="s">
        <v>36</v>
      </c>
      <c r="F80" s="75" t="n">
        <f aca="false">IFERROR(ROUND(AVERAGE('Data Historis 5 Tahun'!I367:I371),0),0)</f>
        <v>39993</v>
      </c>
      <c r="G80" s="75" t="n">
        <f aca="false">IFERROR(ROUND(AVERAGE('Data Historis 5 Tahun'!J367:J371)*1.1635,0),0)</f>
        <v>6546725</v>
      </c>
      <c r="H80" s="75" t="n">
        <f aca="false">IFERROR(ROUND(AVERAGE('Data Historis 5 Tahun'!K367:K371)*1.0775,0),0)</f>
        <v>478543</v>
      </c>
      <c r="I80" s="75" t="n">
        <f aca="false">IFERROR(ROUND(1.65*AVERAGE('Data Historis 5 Tahun'!N367:N371)*SQRT(AVERAGE('Data Historis 5 Tahun'!H367:H371)),0),0)</f>
        <v>249</v>
      </c>
      <c r="J80" s="76" t="n">
        <f aca="false">IFERROR(MAX(1,ROUND(F80/12,0)),1)</f>
        <v>3333</v>
      </c>
      <c r="K80" s="77" t="n">
        <f aca="false">IFERROR(ROUND((F80/J80)*G80+(J80/2)*H80+I80*H80,0),0)</f>
        <v>995203924</v>
      </c>
      <c r="L80" s="78" t="n">
        <f aca="false">IFERROR(ROUND(AVERAGE('Data Historis 5 Tahun'!J367:J371),0),0)</f>
        <v>5626751</v>
      </c>
      <c r="M80" s="79" t="n">
        <f aca="false">IFERROR(ROUND(AVERAGE('Data Historis 5 Tahun'!K367:K371),0),0)</f>
        <v>444123</v>
      </c>
      <c r="N80" s="79" t="n">
        <f aca="false">IFERROR(ROUND(1.65*AVERAGE('Data Historis 5 Tahun'!N367:N371)*SQRT(AVERAGE('Data Historis 5 Tahun'!H367:H371)),0),0)</f>
        <v>249</v>
      </c>
      <c r="O80" s="80" t="n">
        <f aca="false">IFERROR(ROUND(SQRT(2*F80*L80/M80),0),0)</f>
        <v>1007</v>
      </c>
      <c r="P80" s="80" t="n">
        <f aca="false">IFERROR(ROUND((F80/O80)*L80+(O80/2)*M80+N80*M80,0),0)</f>
        <v>557668946</v>
      </c>
      <c r="Q80" s="80" t="n">
        <f aca="false">K80-P80</f>
        <v>437534978</v>
      </c>
      <c r="R80" s="81" t="n">
        <f aca="false">IFERROR(MAX(1,ROUND(O80*0.5,0)),1)</f>
        <v>504</v>
      </c>
      <c r="S80" s="82" t="n">
        <f aca="false">IFERROR(ROUND((F80/R80)*L80,0),0)</f>
        <v>446489390</v>
      </c>
      <c r="T80" s="82" t="n">
        <f aca="false">IFERROR(ROUND((R80/2)*M80+N80*M80,0),0)</f>
        <v>222505623</v>
      </c>
      <c r="U80" s="83" t="n">
        <f aca="false">S80+T80</f>
        <v>668995013</v>
      </c>
      <c r="V80" s="84" t="n">
        <f aca="false">IFERROR(ROUND(O80*1.5,0),1)</f>
        <v>1511</v>
      </c>
      <c r="W80" s="85" t="n">
        <f aca="false">IFERROR(ROUND((F80/V80)*L80,0),0)</f>
        <v>148928294</v>
      </c>
      <c r="X80" s="84" t="n">
        <f aca="false">IFERROR(ROUND((F80/V80)*L80+(V80/2)*M80+N80*M80,0),0)</f>
        <v>595049848</v>
      </c>
      <c r="Y80" s="86" t="n">
        <f aca="false">MIN(K80,P80,U80,X80)</f>
        <v>557668946</v>
      </c>
      <c r="Z80" s="87" t="str">
        <f aca="false">IF(Y80=P80,"✅ EOQ (optimal)",IF(Y80=K80,"Q Obs Lama",IF(Y80=U80,"Q Kecil","Q Besar")))</f>
        <v>✅ EOQ (optimal)</v>
      </c>
      <c r="AA80" s="72" t="n">
        <f aca="false">MAX(0,K80-P80)</f>
        <v>437534978</v>
      </c>
      <c r="AB80" s="72" t="n">
        <f aca="false">IFERROR(AA80/K80,0)</f>
        <v>0.439643541839572</v>
      </c>
      <c r="AC80" s="0" t="str">
        <f aca="false">IF(Q80&gt;0,"Gunakan EOQ — hemat Rp "&amp;TEXT(Q80,"#,##0")&amp;"/thn","Tinjau ulang parameter")</f>
        <v>Gunakan EOQ — hemat Rp 437,534,978/thn</v>
      </c>
      <c r="AD80" s="0" t="str">
        <f aca="false">IF(N80&gt;0,"Gunakan EOQ — hemat Rp "&amp;TEXT(N80,"#,##0")&amp;"/thn","Tinjau ulang parameter S &amp; H")</f>
        <v>Gunakan EOQ — hemat Rp 249/thn</v>
      </c>
    </row>
    <row r="81" customFormat="false" ht="15.75" hidden="false" customHeight="true" outlineLevel="0" collapsed="false">
      <c r="A81" s="88" t="n">
        <v>74</v>
      </c>
      <c r="B81" s="88" t="s">
        <v>182</v>
      </c>
      <c r="C81" s="89" t="s">
        <v>183</v>
      </c>
      <c r="D81" s="88" t="s">
        <v>264</v>
      </c>
      <c r="E81" s="88" t="s">
        <v>36</v>
      </c>
      <c r="F81" s="75" t="n">
        <f aca="false">IFERROR(ROUND(AVERAGE('Data Historis 5 Tahun'!I372:I376),0),0)</f>
        <v>39238</v>
      </c>
      <c r="G81" s="75" t="n">
        <f aca="false">IFERROR(ROUND(AVERAGE('Data Historis 5 Tahun'!J372:J376)*1.1809,0),0)</f>
        <v>10601425</v>
      </c>
      <c r="H81" s="75" t="n">
        <f aca="false">IFERROR(ROUND(AVERAGE('Data Historis 5 Tahun'!K372:K376)*1.1449,0),0)</f>
        <v>158407</v>
      </c>
      <c r="I81" s="75" t="n">
        <f aca="false">IFERROR(ROUND(1.65*AVERAGE('Data Historis 5 Tahun'!N372:N376)*SQRT(AVERAGE('Data Historis 5 Tahun'!H372:H376)),0),0)</f>
        <v>235</v>
      </c>
      <c r="J81" s="76" t="n">
        <f aca="false">IFERROR(MAX(1,ROUND(F81/12,0)),1)</f>
        <v>3270</v>
      </c>
      <c r="K81" s="77" t="n">
        <f aca="false">IFERROR(ROUND((F81/J81)*G81+(J81/2)*H81+I81*H81,0),0)</f>
        <v>423431706</v>
      </c>
      <c r="L81" s="78" t="n">
        <f aca="false">IFERROR(ROUND(AVERAGE('Data Historis 5 Tahun'!J372:J376),0),0)</f>
        <v>8977412</v>
      </c>
      <c r="M81" s="79" t="n">
        <f aca="false">IFERROR(ROUND(AVERAGE('Data Historis 5 Tahun'!K372:K376),0),0)</f>
        <v>138359</v>
      </c>
      <c r="N81" s="79" t="n">
        <f aca="false">IFERROR(ROUND(1.65*AVERAGE('Data Historis 5 Tahun'!N372:N376)*SQRT(AVERAGE('Data Historis 5 Tahun'!H372:H376)),0),0)</f>
        <v>235</v>
      </c>
      <c r="O81" s="80" t="n">
        <f aca="false">IFERROR(ROUND(SQRT(2*F81*L81/M81),0),0)</f>
        <v>2257</v>
      </c>
      <c r="P81" s="80" t="n">
        <f aca="false">IFERROR(ROUND((F81/O81)*L81+(O81/2)*M81+N81*M81,0),0)</f>
        <v>344725023</v>
      </c>
      <c r="Q81" s="80" t="n">
        <f aca="false">K81-P81</f>
        <v>78706683</v>
      </c>
      <c r="R81" s="81" t="n">
        <f aca="false">IFERROR(MAX(1,ROUND(O81*0.5,0)),1)</f>
        <v>1129</v>
      </c>
      <c r="S81" s="82" t="n">
        <f aca="false">IFERROR(ROUND((F81/R81)*L81,0),0)</f>
        <v>312006813</v>
      </c>
      <c r="T81" s="82" t="n">
        <f aca="false">IFERROR(ROUND((R81/2)*M81+N81*M81,0),0)</f>
        <v>110618021</v>
      </c>
      <c r="U81" s="83" t="n">
        <f aca="false">S81+T81</f>
        <v>422624834</v>
      </c>
      <c r="V81" s="84" t="n">
        <f aca="false">IFERROR(ROUND(O81*1.5,0),1)</f>
        <v>3386</v>
      </c>
      <c r="W81" s="85" t="n">
        <f aca="false">IFERROR(ROUND((F81/V81)*L81,0),0)</f>
        <v>104032986</v>
      </c>
      <c r="X81" s="84" t="n">
        <f aca="false">IFERROR(ROUND((F81/V81)*L81+(V81/2)*M81+N81*M81,0),0)</f>
        <v>370789138</v>
      </c>
      <c r="Y81" s="86" t="n">
        <f aca="false">MIN(K81,P81,U81,X81)</f>
        <v>344725023</v>
      </c>
      <c r="Z81" s="87" t="str">
        <f aca="false">IF(Y81=P81,"✅ EOQ (optimal)",IF(Y81=K81,"Q Obs Lama",IF(Y81=U81,"Q Kecil","Q Besar")))</f>
        <v>✅ EOQ (optimal)</v>
      </c>
      <c r="AA81" s="72" t="n">
        <f aca="false">MAX(0,K81-P81)</f>
        <v>78706683</v>
      </c>
      <c r="AB81" s="72" t="n">
        <f aca="false">IFERROR(AA81/K81,0)</f>
        <v>0.185878104744476</v>
      </c>
      <c r="AC81" s="0" t="str">
        <f aca="false">IF(Q81&gt;0,"Gunakan EOQ — hemat Rp "&amp;TEXT(Q81,"#,##0")&amp;"/thn","Tinjau ulang parameter")</f>
        <v>Gunakan EOQ — hemat Rp 78,706,683/thn</v>
      </c>
      <c r="AD81" s="0" t="str">
        <f aca="false">IF(N81&gt;0,"Gunakan EOQ — hemat Rp "&amp;TEXT(N81,"#,##0")&amp;"/thn","Tinjau ulang parameter S &amp; H")</f>
        <v>Gunakan EOQ — hemat Rp 235/thn</v>
      </c>
    </row>
    <row r="82" customFormat="false" ht="15.75" hidden="false" customHeight="true" outlineLevel="0" collapsed="false">
      <c r="A82" s="73" t="n">
        <v>75</v>
      </c>
      <c r="B82" s="73" t="s">
        <v>184</v>
      </c>
      <c r="C82" s="74" t="s">
        <v>185</v>
      </c>
      <c r="D82" s="73" t="s">
        <v>264</v>
      </c>
      <c r="E82" s="73" t="s">
        <v>36</v>
      </c>
      <c r="F82" s="75" t="n">
        <f aca="false">IFERROR(ROUND(AVERAGE('Data Historis 5 Tahun'!I377:I381),0),0)</f>
        <v>40919</v>
      </c>
      <c r="G82" s="75" t="n">
        <f aca="false">IFERROR(ROUND(AVERAGE('Data Historis 5 Tahun'!J377:J381)*1.1302,0),0)</f>
        <v>10226197</v>
      </c>
      <c r="H82" s="75" t="n">
        <f aca="false">IFERROR(ROUND(AVERAGE('Data Historis 5 Tahun'!K377:K381)*1.0905,0),0)</f>
        <v>400624</v>
      </c>
      <c r="I82" s="75" t="n">
        <f aca="false">IFERROR(ROUND(1.65*AVERAGE('Data Historis 5 Tahun'!N377:N381)*SQRT(AVERAGE('Data Historis 5 Tahun'!H377:H381)),0),0)</f>
        <v>274</v>
      </c>
      <c r="J82" s="76" t="n">
        <f aca="false">IFERROR(MAX(1,ROUND(F82/12,0)),1)</f>
        <v>3410</v>
      </c>
      <c r="K82" s="77" t="n">
        <f aca="false">IFERROR(ROUND((F82/J82)*G82+(J82/2)*H82+I82*H82,0),0)</f>
        <v>915546261</v>
      </c>
      <c r="L82" s="78" t="n">
        <f aca="false">IFERROR(ROUND(AVERAGE('Data Historis 5 Tahun'!J377:J381),0),0)</f>
        <v>9048130</v>
      </c>
      <c r="M82" s="79" t="n">
        <f aca="false">IFERROR(ROUND(AVERAGE('Data Historis 5 Tahun'!K377:K381),0),0)</f>
        <v>367377</v>
      </c>
      <c r="N82" s="79" t="n">
        <f aca="false">IFERROR(ROUND(1.65*AVERAGE('Data Historis 5 Tahun'!N377:N381)*SQRT(AVERAGE('Data Historis 5 Tahun'!H377:H381)),0),0)</f>
        <v>274</v>
      </c>
      <c r="O82" s="80" t="n">
        <f aca="false">IFERROR(ROUND(SQRT(2*F82*L82/M82),0),0)</f>
        <v>1420</v>
      </c>
      <c r="P82" s="80" t="n">
        <f aca="false">IFERROR(ROUND((F82/O82)*L82+(O82/2)*M82+N82*M82,0),0)</f>
        <v>622231666</v>
      </c>
      <c r="Q82" s="80" t="n">
        <f aca="false">K82-P82</f>
        <v>293314595</v>
      </c>
      <c r="R82" s="81" t="n">
        <f aca="false">IFERROR(MAX(1,ROUND(O82*0.5,0)),1)</f>
        <v>710</v>
      </c>
      <c r="S82" s="82" t="n">
        <f aca="false">IFERROR(ROUND((F82/R82)*L82,0),0)</f>
        <v>521465396</v>
      </c>
      <c r="T82" s="82" t="n">
        <f aca="false">IFERROR(ROUND((R82/2)*M82+N82*M82,0),0)</f>
        <v>231080133</v>
      </c>
      <c r="U82" s="83" t="n">
        <f aca="false">S82+T82</f>
        <v>752545529</v>
      </c>
      <c r="V82" s="84" t="n">
        <f aca="false">IFERROR(ROUND(O82*1.5,0),1)</f>
        <v>2130</v>
      </c>
      <c r="W82" s="85" t="n">
        <f aca="false">IFERROR(ROUND((F82/V82)*L82,0),0)</f>
        <v>173821799</v>
      </c>
      <c r="X82" s="84" t="n">
        <f aca="false">IFERROR(ROUND((F82/V82)*L82+(V82/2)*M82+N82*M82,0),0)</f>
        <v>665739602</v>
      </c>
      <c r="Y82" s="86" t="n">
        <f aca="false">MIN(K82,P82,U82,X82)</f>
        <v>622231666</v>
      </c>
      <c r="Z82" s="87" t="str">
        <f aca="false">IF(Y82=P82,"✅ EOQ (optimal)",IF(Y82=K82,"Q Obs Lama",IF(Y82=U82,"Q Kecil","Q Besar")))</f>
        <v>✅ EOQ (optimal)</v>
      </c>
      <c r="AA82" s="72" t="n">
        <f aca="false">MAX(0,K82-P82)</f>
        <v>293314595</v>
      </c>
      <c r="AB82" s="72" t="n">
        <f aca="false">IFERROR(AA82/K82,0)</f>
        <v>0.320371135238572</v>
      </c>
      <c r="AC82" s="0" t="str">
        <f aca="false">IF(Q82&gt;0,"Gunakan EOQ — hemat Rp "&amp;TEXT(Q82,"#,##0")&amp;"/thn","Tinjau ulang parameter")</f>
        <v>Gunakan EOQ — hemat Rp 293,314,595/thn</v>
      </c>
      <c r="AD82" s="0" t="str">
        <f aca="false">IF(N82&gt;0,"Gunakan EOQ — hemat Rp "&amp;TEXT(N82,"#,##0")&amp;"/thn","Tinjau ulang parameter S &amp; H")</f>
        <v>Gunakan EOQ — hemat Rp 274/thn</v>
      </c>
    </row>
    <row r="83" customFormat="false" ht="15.75" hidden="false" customHeight="true" outlineLevel="0" collapsed="false">
      <c r="A83" s="88" t="n">
        <v>76</v>
      </c>
      <c r="B83" s="88" t="s">
        <v>186</v>
      </c>
      <c r="C83" s="89" t="s">
        <v>187</v>
      </c>
      <c r="D83" s="88" t="s">
        <v>263</v>
      </c>
      <c r="E83" s="88" t="s">
        <v>36</v>
      </c>
      <c r="F83" s="75" t="n">
        <f aca="false">IFERROR(ROUND(AVERAGE('Data Historis 5 Tahun'!I382:I386),0),0)</f>
        <v>48619</v>
      </c>
      <c r="G83" s="75" t="n">
        <f aca="false">IFERROR(ROUND(AVERAGE('Data Historis 5 Tahun'!J382:J386)*1.2493,0),0)</f>
        <v>6469357</v>
      </c>
      <c r="H83" s="75" t="n">
        <f aca="false">IFERROR(ROUND(AVERAGE('Data Historis 5 Tahun'!K382:K386)*1.1345,0),0)</f>
        <v>247736</v>
      </c>
      <c r="I83" s="75" t="n">
        <f aca="false">IFERROR(ROUND(1.65*AVERAGE('Data Historis 5 Tahun'!N382:N386)*SQRT(AVERAGE('Data Historis 5 Tahun'!H382:H386)),0),0)</f>
        <v>266</v>
      </c>
      <c r="J83" s="76" t="n">
        <f aca="false">IFERROR(MAX(1,ROUND(F83/12,0)),1)</f>
        <v>4052</v>
      </c>
      <c r="K83" s="77" t="n">
        <f aca="false">IFERROR(ROUND((F83/J83)*G83+(J83/2)*H83+I83*H83,0),0)</f>
        <v>645435213</v>
      </c>
      <c r="L83" s="78" t="n">
        <f aca="false">IFERROR(ROUND(AVERAGE('Data Historis 5 Tahun'!J382:J386),0),0)</f>
        <v>5178386</v>
      </c>
      <c r="M83" s="79" t="n">
        <f aca="false">IFERROR(ROUND(AVERAGE('Data Historis 5 Tahun'!K382:K386),0),0)</f>
        <v>218366</v>
      </c>
      <c r="N83" s="79" t="n">
        <f aca="false">IFERROR(ROUND(1.65*AVERAGE('Data Historis 5 Tahun'!N382:N386)*SQRT(AVERAGE('Data Historis 5 Tahun'!H382:H386)),0),0)</f>
        <v>266</v>
      </c>
      <c r="O83" s="80" t="n">
        <f aca="false">IFERROR(ROUND(SQRT(2*F83*L83/M83),0),0)</f>
        <v>1519</v>
      </c>
      <c r="P83" s="80" t="n">
        <f aca="false">IFERROR(ROUND((F83/O83)*L83+(O83/2)*M83+N83*M83,0),0)</f>
        <v>389680185</v>
      </c>
      <c r="Q83" s="80" t="n">
        <f aca="false">K83-P83</f>
        <v>255755028</v>
      </c>
      <c r="R83" s="81" t="n">
        <f aca="false">IFERROR(MAX(1,ROUND(O83*0.5,0)),1)</f>
        <v>760</v>
      </c>
      <c r="S83" s="82" t="n">
        <f aca="false">IFERROR(ROUND((F83/R83)*L83,0),0)</f>
        <v>331273617</v>
      </c>
      <c r="T83" s="82" t="n">
        <f aca="false">IFERROR(ROUND((R83/2)*M83+N83*M83,0),0)</f>
        <v>141064436</v>
      </c>
      <c r="U83" s="83" t="n">
        <f aca="false">S83+T83</f>
        <v>472338053</v>
      </c>
      <c r="V83" s="84" t="n">
        <f aca="false">IFERROR(ROUND(O83*1.5,0),1)</f>
        <v>2279</v>
      </c>
      <c r="W83" s="85" t="n">
        <f aca="false">IFERROR(ROUND((F83/V83)*L83,0),0)</f>
        <v>110472992</v>
      </c>
      <c r="X83" s="84" t="n">
        <f aca="false">IFERROR(ROUND((F83/V83)*L83+(V83/2)*M83+N83*M83,0),0)</f>
        <v>417386405</v>
      </c>
      <c r="Y83" s="86" t="n">
        <f aca="false">MIN(K83,P83,U83,X83)</f>
        <v>389680185</v>
      </c>
      <c r="Z83" s="87" t="str">
        <f aca="false">IF(Y83=P83,"✅ EOQ (optimal)",IF(Y83=K83,"Q Obs Lama",IF(Y83=U83,"Q Kecil","Q Besar")))</f>
        <v>✅ EOQ (optimal)</v>
      </c>
      <c r="AA83" s="72" t="n">
        <f aca="false">MAX(0,K83-P83)</f>
        <v>255755028</v>
      </c>
      <c r="AB83" s="72" t="n">
        <f aca="false">IFERROR(AA83/K83,0)</f>
        <v>0.396252052644051</v>
      </c>
      <c r="AC83" s="0" t="str">
        <f aca="false">IF(Q83&gt;0,"Gunakan EOQ — hemat Rp "&amp;TEXT(Q83,"#,##0")&amp;"/thn","Tinjau ulang parameter")</f>
        <v>Gunakan EOQ — hemat Rp 255,755,028/thn</v>
      </c>
      <c r="AD83" s="0" t="str">
        <f aca="false">IF(N83&gt;0,"Gunakan EOQ — hemat Rp "&amp;TEXT(N83,"#,##0")&amp;"/thn","Tinjau ulang parameter S &amp; H")</f>
        <v>Gunakan EOQ — hemat Rp 266/thn</v>
      </c>
    </row>
    <row r="84" customFormat="false" ht="15.75" hidden="false" customHeight="true" outlineLevel="0" collapsed="false">
      <c r="A84" s="73" t="n">
        <v>77</v>
      </c>
      <c r="B84" s="73" t="s">
        <v>188</v>
      </c>
      <c r="C84" s="74" t="s">
        <v>189</v>
      </c>
      <c r="D84" s="73" t="s">
        <v>263</v>
      </c>
      <c r="E84" s="73" t="s">
        <v>36</v>
      </c>
      <c r="F84" s="75" t="n">
        <f aca="false">IFERROR(ROUND(AVERAGE('Data Historis 5 Tahun'!I387:I391),0),0)</f>
        <v>17644</v>
      </c>
      <c r="G84" s="75" t="n">
        <f aca="false">IFERROR(ROUND(AVERAGE('Data Historis 5 Tahun'!J387:J391)*1.1657,0),0)</f>
        <v>8052064</v>
      </c>
      <c r="H84" s="75" t="n">
        <f aca="false">IFERROR(ROUND(AVERAGE('Data Historis 5 Tahun'!K387:K391)*1.1173,0),0)</f>
        <v>520100</v>
      </c>
      <c r="I84" s="75" t="n">
        <f aca="false">IFERROR(ROUND(1.65*AVERAGE('Data Historis 5 Tahun'!N387:N391)*SQRT(AVERAGE('Data Historis 5 Tahun'!H387:H391)),0),0)</f>
        <v>95</v>
      </c>
      <c r="J84" s="76" t="n">
        <f aca="false">IFERROR(MAX(1,ROUND(F84/12,0)),1)</f>
        <v>1470</v>
      </c>
      <c r="K84" s="77" t="n">
        <f aca="false">IFERROR(ROUND((F84/J84)*G84+(J84/2)*H84+I84*H84,0),0)</f>
        <v>528329678</v>
      </c>
      <c r="L84" s="78" t="n">
        <f aca="false">IFERROR(ROUND(AVERAGE('Data Historis 5 Tahun'!J387:J391),0),0)</f>
        <v>6907493</v>
      </c>
      <c r="M84" s="79" t="n">
        <f aca="false">IFERROR(ROUND(AVERAGE('Data Historis 5 Tahun'!K387:K391),0),0)</f>
        <v>465497</v>
      </c>
      <c r="N84" s="79" t="n">
        <f aca="false">IFERROR(ROUND(1.65*AVERAGE('Data Historis 5 Tahun'!N387:N391)*SQRT(AVERAGE('Data Historis 5 Tahun'!H387:H391)),0),0)</f>
        <v>95</v>
      </c>
      <c r="O84" s="80" t="n">
        <f aca="false">IFERROR(ROUND(SQRT(2*F84*L84/M84),0),0)</f>
        <v>724</v>
      </c>
      <c r="P84" s="80" t="n">
        <f aca="false">IFERROR(ROUND((F84/O84)*L84+(O84/2)*M84+N84*M84,0),0)</f>
        <v>381068878</v>
      </c>
      <c r="Q84" s="80" t="n">
        <f aca="false">K84-P84</f>
        <v>147260800</v>
      </c>
      <c r="R84" s="81" t="n">
        <f aca="false">IFERROR(MAX(1,ROUND(O84*0.5,0)),1)</f>
        <v>362</v>
      </c>
      <c r="S84" s="82" t="n">
        <f aca="false">IFERROR(ROUND((F84/R84)*L84,0),0)</f>
        <v>336673499</v>
      </c>
      <c r="T84" s="82" t="n">
        <f aca="false">IFERROR(ROUND((R84/2)*M84+N84*M84,0),0)</f>
        <v>128477172</v>
      </c>
      <c r="U84" s="83" t="n">
        <f aca="false">S84+T84</f>
        <v>465150671</v>
      </c>
      <c r="V84" s="84" t="n">
        <f aca="false">IFERROR(ROUND(O84*1.5,0),1)</f>
        <v>1086</v>
      </c>
      <c r="W84" s="85" t="n">
        <f aca="false">IFERROR(ROUND((F84/V84)*L84,0),0)</f>
        <v>112224500</v>
      </c>
      <c r="X84" s="84" t="n">
        <f aca="false">IFERROR(ROUND((F84/V84)*L84+(V84/2)*M84+N84*M84,0),0)</f>
        <v>409211586</v>
      </c>
      <c r="Y84" s="86" t="n">
        <f aca="false">MIN(K84,P84,U84,X84)</f>
        <v>381068878</v>
      </c>
      <c r="Z84" s="87" t="str">
        <f aca="false">IF(Y84=P84,"✅ EOQ (optimal)",IF(Y84=K84,"Q Obs Lama",IF(Y84=U84,"Q Kecil","Q Besar")))</f>
        <v>✅ EOQ (optimal)</v>
      </c>
      <c r="AA84" s="72" t="n">
        <f aca="false">MAX(0,K84-P84)</f>
        <v>147260800</v>
      </c>
      <c r="AB84" s="72" t="n">
        <f aca="false">IFERROR(AA84/K84,0)</f>
        <v>0.278728994663821</v>
      </c>
      <c r="AC84" s="0" t="str">
        <f aca="false">IF(Q84&gt;0,"Gunakan EOQ — hemat Rp "&amp;TEXT(Q84,"#,##0")&amp;"/thn","Tinjau ulang parameter")</f>
        <v>Gunakan EOQ — hemat Rp 147,260,800/thn</v>
      </c>
      <c r="AD84" s="0" t="str">
        <f aca="false">IF(N84&gt;0,"Gunakan EOQ — hemat Rp "&amp;TEXT(N84,"#,##0")&amp;"/thn","Tinjau ulang parameter S &amp; H")</f>
        <v>Gunakan EOQ — hemat Rp 95/thn</v>
      </c>
    </row>
    <row r="85" customFormat="false" ht="15.75" hidden="false" customHeight="true" outlineLevel="0" collapsed="false">
      <c r="A85" s="88" t="n">
        <v>78</v>
      </c>
      <c r="B85" s="88" t="s">
        <v>190</v>
      </c>
      <c r="C85" s="89" t="s">
        <v>191</v>
      </c>
      <c r="D85" s="88" t="s">
        <v>263</v>
      </c>
      <c r="E85" s="88" t="s">
        <v>36</v>
      </c>
      <c r="F85" s="75" t="n">
        <f aca="false">IFERROR(ROUND(AVERAGE('Data Historis 5 Tahun'!I392:I396),0),0)</f>
        <v>37503</v>
      </c>
      <c r="G85" s="75" t="n">
        <f aca="false">IFERROR(ROUND(AVERAGE('Data Historis 5 Tahun'!J392:J396)*1.1182,0),0)</f>
        <v>1246338</v>
      </c>
      <c r="H85" s="75" t="n">
        <f aca="false">IFERROR(ROUND(AVERAGE('Data Historis 5 Tahun'!K392:K396)*1.0792,0),0)</f>
        <v>348135</v>
      </c>
      <c r="I85" s="75" t="n">
        <f aca="false">IFERROR(ROUND(1.65*AVERAGE('Data Historis 5 Tahun'!N392:N396)*SQRT(AVERAGE('Data Historis 5 Tahun'!H392:H396)),0),0)</f>
        <v>101</v>
      </c>
      <c r="J85" s="76" t="n">
        <f aca="false">IFERROR(MAX(1,ROUND(F85/12,0)),1)</f>
        <v>3125</v>
      </c>
      <c r="K85" s="77" t="n">
        <f aca="false">IFERROR(ROUND((F85/J85)*G85+(J85/2)*H85+I85*H85,0),0)</f>
        <v>594079825</v>
      </c>
      <c r="L85" s="78" t="n">
        <f aca="false">IFERROR(ROUND(AVERAGE('Data Historis 5 Tahun'!J392:J396),0),0)</f>
        <v>1114593</v>
      </c>
      <c r="M85" s="79" t="n">
        <f aca="false">IFERROR(ROUND(AVERAGE('Data Historis 5 Tahun'!K392:K396),0),0)</f>
        <v>322586</v>
      </c>
      <c r="N85" s="79" t="n">
        <f aca="false">IFERROR(ROUND(1.65*AVERAGE('Data Historis 5 Tahun'!N392:N396)*SQRT(AVERAGE('Data Historis 5 Tahun'!H392:H396)),0),0)</f>
        <v>101</v>
      </c>
      <c r="O85" s="80" t="n">
        <f aca="false">IFERROR(ROUND(SQRT(2*F85*L85/M85),0),0)</f>
        <v>509</v>
      </c>
      <c r="P85" s="80" t="n">
        <f aca="false">IFERROR(ROUND((F85/O85)*L85+(O85/2)*M85+N85*M85,0),0)</f>
        <v>196802272</v>
      </c>
      <c r="Q85" s="80" t="n">
        <f aca="false">K85-P85</f>
        <v>397277553</v>
      </c>
      <c r="R85" s="81" t="n">
        <f aca="false">IFERROR(MAX(1,ROUND(O85*0.5,0)),1)</f>
        <v>255</v>
      </c>
      <c r="S85" s="82" t="n">
        <f aca="false">IFERROR(ROUND((F85/R85)*L85,0),0)</f>
        <v>163923848</v>
      </c>
      <c r="T85" s="82" t="n">
        <f aca="false">IFERROR(ROUND((R85/2)*M85+N85*M85,0),0)</f>
        <v>73710901</v>
      </c>
      <c r="U85" s="83" t="n">
        <f aca="false">S85+T85</f>
        <v>237634749</v>
      </c>
      <c r="V85" s="84" t="n">
        <f aca="false">IFERROR(ROUND(O85*1.5,0),1)</f>
        <v>764</v>
      </c>
      <c r="W85" s="85" t="n">
        <f aca="false">IFERROR(ROUND((F85/V85)*L85,0),0)</f>
        <v>54712803</v>
      </c>
      <c r="X85" s="84" t="n">
        <f aca="false">IFERROR(ROUND((F85/V85)*L85+(V85/2)*M85+N85*M85,0),0)</f>
        <v>210521841</v>
      </c>
      <c r="Y85" s="86" t="n">
        <f aca="false">MIN(K85,P85,U85,X85)</f>
        <v>196802272</v>
      </c>
      <c r="Z85" s="87" t="str">
        <f aca="false">IF(Y85=P85,"✅ EOQ (optimal)",IF(Y85=K85,"Q Obs Lama",IF(Y85=U85,"Q Kecil","Q Besar")))</f>
        <v>✅ EOQ (optimal)</v>
      </c>
      <c r="AA85" s="72" t="n">
        <f aca="false">MAX(0,K85-P85)</f>
        <v>397277553</v>
      </c>
      <c r="AB85" s="72" t="n">
        <f aca="false">IFERROR(AA85/K85,0)</f>
        <v>0.668727561990512</v>
      </c>
      <c r="AC85" s="0" t="str">
        <f aca="false">IF(Q85&gt;0,"Gunakan EOQ — hemat Rp "&amp;TEXT(Q85,"#,##0")&amp;"/thn","Tinjau ulang parameter")</f>
        <v>Gunakan EOQ — hemat Rp 397,277,553/thn</v>
      </c>
      <c r="AD85" s="0" t="str">
        <f aca="false">IF(N85&gt;0,"Gunakan EOQ — hemat Rp "&amp;TEXT(N85,"#,##0")&amp;"/thn","Tinjau ulang parameter S &amp; H")</f>
        <v>Gunakan EOQ — hemat Rp 101/thn</v>
      </c>
    </row>
    <row r="86" customFormat="false" ht="15.75" hidden="false" customHeight="true" outlineLevel="0" collapsed="false">
      <c r="A86" s="73" t="n">
        <v>79</v>
      </c>
      <c r="B86" s="73" t="s">
        <v>192</v>
      </c>
      <c r="C86" s="74" t="s">
        <v>193</v>
      </c>
      <c r="D86" s="73" t="s">
        <v>263</v>
      </c>
      <c r="E86" s="73" t="s">
        <v>36</v>
      </c>
      <c r="F86" s="75" t="n">
        <f aca="false">IFERROR(ROUND(AVERAGE('Data Historis 5 Tahun'!I397:I401),0),0)</f>
        <v>43648</v>
      </c>
      <c r="G86" s="75" t="n">
        <f aca="false">IFERROR(ROUND(AVERAGE('Data Historis 5 Tahun'!J397:J401)*1.1507,0),0)</f>
        <v>6713248</v>
      </c>
      <c r="H86" s="75" t="n">
        <f aca="false">IFERROR(ROUND(AVERAGE('Data Historis 5 Tahun'!K397:K401)*1.1265,0),0)</f>
        <v>528070</v>
      </c>
      <c r="I86" s="75" t="n">
        <f aca="false">IFERROR(ROUND(1.65*AVERAGE('Data Historis 5 Tahun'!N397:N401)*SQRT(AVERAGE('Data Historis 5 Tahun'!H397:H401)),0),0)</f>
        <v>337</v>
      </c>
      <c r="J86" s="76" t="n">
        <f aca="false">IFERROR(MAX(1,ROUND(F86/12,0)),1)</f>
        <v>3637</v>
      </c>
      <c r="K86" s="77" t="n">
        <f aca="false">IFERROR(ROUND((F86/J86)*G86+(J86/2)*H86+I86*H86,0),0)</f>
        <v>1218821244</v>
      </c>
      <c r="L86" s="78" t="n">
        <f aca="false">IFERROR(ROUND(AVERAGE('Data Historis 5 Tahun'!J397:J401),0),0)</f>
        <v>5834056</v>
      </c>
      <c r="M86" s="79" t="n">
        <f aca="false">IFERROR(ROUND(AVERAGE('Data Historis 5 Tahun'!K397:K401),0),0)</f>
        <v>468770</v>
      </c>
      <c r="N86" s="79" t="n">
        <f aca="false">IFERROR(ROUND(1.65*AVERAGE('Data Historis 5 Tahun'!N397:N401)*SQRT(AVERAGE('Data Historis 5 Tahun'!H397:H401)),0),0)</f>
        <v>337</v>
      </c>
      <c r="O86" s="80" t="n">
        <f aca="false">IFERROR(ROUND(SQRT(2*F86*L86/M86),0),0)</f>
        <v>1042</v>
      </c>
      <c r="P86" s="80" t="n">
        <f aca="false">IFERROR(ROUND((F86/O86)*L86+(O86/2)*M86+N86*M86,0),0)</f>
        <v>646585539</v>
      </c>
      <c r="Q86" s="80" t="n">
        <f aca="false">K86-P86</f>
        <v>572235705</v>
      </c>
      <c r="R86" s="81" t="n">
        <f aca="false">IFERROR(MAX(1,ROUND(O86*0.5,0)),1)</f>
        <v>521</v>
      </c>
      <c r="S86" s="82" t="n">
        <f aca="false">IFERROR(ROUND((F86/R86)*L86,0),0)</f>
        <v>488761759</v>
      </c>
      <c r="T86" s="82" t="n">
        <f aca="false">IFERROR(ROUND((R86/2)*M86+N86*M86,0),0)</f>
        <v>280090075</v>
      </c>
      <c r="U86" s="83" t="n">
        <f aca="false">S86+T86</f>
        <v>768851834</v>
      </c>
      <c r="V86" s="84" t="n">
        <f aca="false">IFERROR(ROUND(O86*1.5,0),1)</f>
        <v>1563</v>
      </c>
      <c r="W86" s="85" t="n">
        <f aca="false">IFERROR(ROUND((F86/V86)*L86,0),0)</f>
        <v>162920586</v>
      </c>
      <c r="X86" s="84" t="n">
        <f aca="false">IFERROR(ROUND((F86/V86)*L86+(V86/2)*M86+N86*M86,0),0)</f>
        <v>687239831</v>
      </c>
      <c r="Y86" s="86" t="n">
        <f aca="false">MIN(K86,P86,U86,X86)</f>
        <v>646585539</v>
      </c>
      <c r="Z86" s="87" t="str">
        <f aca="false">IF(Y86=P86,"✅ EOQ (optimal)",IF(Y86=K86,"Q Obs Lama",IF(Y86=U86,"Q Kecil","Q Besar")))</f>
        <v>✅ EOQ (optimal)</v>
      </c>
      <c r="AA86" s="72" t="n">
        <f aca="false">MAX(0,K86-P86)</f>
        <v>572235705</v>
      </c>
      <c r="AB86" s="72" t="n">
        <f aca="false">IFERROR(AA86/K86,0)</f>
        <v>0.469499286968451</v>
      </c>
      <c r="AC86" s="0" t="str">
        <f aca="false">IF(Q86&gt;0,"Gunakan EOQ — hemat Rp "&amp;TEXT(Q86,"#,##0")&amp;"/thn","Tinjau ulang parameter")</f>
        <v>Gunakan EOQ — hemat Rp 572,235,705/thn</v>
      </c>
      <c r="AD86" s="0" t="str">
        <f aca="false">IF(N86&gt;0,"Gunakan EOQ — hemat Rp "&amp;TEXT(N86,"#,##0")&amp;"/thn","Tinjau ulang parameter S &amp; H")</f>
        <v>Gunakan EOQ — hemat Rp 337/thn</v>
      </c>
    </row>
    <row r="87" customFormat="false" ht="15.75" hidden="false" customHeight="true" outlineLevel="0" collapsed="false">
      <c r="A87" s="88" t="n">
        <v>80</v>
      </c>
      <c r="B87" s="88" t="s">
        <v>194</v>
      </c>
      <c r="C87" s="89" t="s">
        <v>195</v>
      </c>
      <c r="D87" s="88" t="s">
        <v>263</v>
      </c>
      <c r="E87" s="88" t="s">
        <v>36</v>
      </c>
      <c r="F87" s="75" t="n">
        <f aca="false">IFERROR(ROUND(AVERAGE('Data Historis 5 Tahun'!I402:I406),0),0)</f>
        <v>31863</v>
      </c>
      <c r="G87" s="75" t="n">
        <f aca="false">IFERROR(ROUND(AVERAGE('Data Historis 5 Tahun'!J402:J406)*1.1345,0),0)</f>
        <v>1571745</v>
      </c>
      <c r="H87" s="75" t="n">
        <f aca="false">IFERROR(ROUND(AVERAGE('Data Historis 5 Tahun'!K402:K406)*1.0786,0),0)</f>
        <v>562210</v>
      </c>
      <c r="I87" s="75" t="n">
        <f aca="false">IFERROR(ROUND(1.65*AVERAGE('Data Historis 5 Tahun'!N402:N406)*SQRT(AVERAGE('Data Historis 5 Tahun'!H402:H406)),0),0)</f>
        <v>92</v>
      </c>
      <c r="J87" s="76" t="n">
        <f aca="false">IFERROR(MAX(1,ROUND(F87/12,0)),1)</f>
        <v>2655</v>
      </c>
      <c r="K87" s="77" t="n">
        <f aca="false">IFERROR(ROUND((F87/J87)*G87+(J87/2)*H87+I87*H87,0),0)</f>
        <v>816919811</v>
      </c>
      <c r="L87" s="78" t="n">
        <f aca="false">IFERROR(ROUND(AVERAGE('Data Historis 5 Tahun'!J402:J406),0),0)</f>
        <v>1385407</v>
      </c>
      <c r="M87" s="79" t="n">
        <f aca="false">IFERROR(ROUND(AVERAGE('Data Historis 5 Tahun'!K402:K406),0),0)</f>
        <v>521240</v>
      </c>
      <c r="N87" s="79" t="n">
        <f aca="false">IFERROR(ROUND(1.65*AVERAGE('Data Historis 5 Tahun'!N402:N406)*SQRT(AVERAGE('Data Historis 5 Tahun'!H402:H406)),0),0)</f>
        <v>92</v>
      </c>
      <c r="O87" s="80" t="n">
        <f aca="false">IFERROR(ROUND(SQRT(2*F87*L87/M87),0),0)</f>
        <v>412</v>
      </c>
      <c r="P87" s="80" t="n">
        <f aca="false">IFERROR(ROUND((F87/O87)*L87+(O87/2)*M87+N87*M87,0),0)</f>
        <v>262473266</v>
      </c>
      <c r="Q87" s="80" t="n">
        <f aca="false">K87-P87</f>
        <v>554446545</v>
      </c>
      <c r="R87" s="81" t="n">
        <f aca="false">IFERROR(MAX(1,ROUND(O87*0.5,0)),1)</f>
        <v>206</v>
      </c>
      <c r="S87" s="82" t="n">
        <f aca="false">IFERROR(ROUND((F87/R87)*L87,0),0)</f>
        <v>214287491</v>
      </c>
      <c r="T87" s="82" t="n">
        <f aca="false">IFERROR(ROUND((R87/2)*M87+N87*M87,0),0)</f>
        <v>101641800</v>
      </c>
      <c r="U87" s="83" t="n">
        <f aca="false">S87+T87</f>
        <v>315929291</v>
      </c>
      <c r="V87" s="84" t="n">
        <f aca="false">IFERROR(ROUND(O87*1.5,0),1)</f>
        <v>618</v>
      </c>
      <c r="W87" s="85" t="n">
        <f aca="false">IFERROR(ROUND((F87/V87)*L87,0),0)</f>
        <v>71429164</v>
      </c>
      <c r="X87" s="84" t="n">
        <f aca="false">IFERROR(ROUND((F87/V87)*L87+(V87/2)*M87+N87*M87,0),0)</f>
        <v>280446404</v>
      </c>
      <c r="Y87" s="86" t="n">
        <f aca="false">MIN(K87,P87,U87,X87)</f>
        <v>262473266</v>
      </c>
      <c r="Z87" s="87" t="str">
        <f aca="false">IF(Y87=P87,"✅ EOQ (optimal)",IF(Y87=K87,"Q Obs Lama",IF(Y87=U87,"Q Kecil","Q Besar")))</f>
        <v>✅ EOQ (optimal)</v>
      </c>
      <c r="AA87" s="72" t="n">
        <f aca="false">MAX(0,K87-P87)</f>
        <v>554446545</v>
      </c>
      <c r="AB87" s="72" t="n">
        <f aca="false">IFERROR(AA87/K87,0)</f>
        <v>0.678703757130454</v>
      </c>
      <c r="AC87" s="0" t="str">
        <f aca="false">IF(Q87&gt;0,"Gunakan EOQ — hemat Rp "&amp;TEXT(Q87,"#,##0")&amp;"/thn","Tinjau ulang parameter")</f>
        <v>Gunakan EOQ — hemat Rp 554,446,545/thn</v>
      </c>
      <c r="AD87" s="0" t="str">
        <f aca="false">IF(N87&gt;0,"Gunakan EOQ — hemat Rp "&amp;TEXT(N87,"#,##0")&amp;"/thn","Tinjau ulang parameter S &amp; H")</f>
        <v>Gunakan EOQ — hemat Rp 92/thn</v>
      </c>
    </row>
    <row r="88" customFormat="false" ht="15.75" hidden="false" customHeight="true" outlineLevel="0" collapsed="false">
      <c r="A88" s="73" t="n">
        <v>81</v>
      </c>
      <c r="B88" s="73" t="s">
        <v>196</v>
      </c>
      <c r="C88" s="74" t="s">
        <v>197</v>
      </c>
      <c r="D88" s="73" t="s">
        <v>264</v>
      </c>
      <c r="E88" s="73" t="s">
        <v>36</v>
      </c>
      <c r="F88" s="75" t="n">
        <f aca="false">IFERROR(ROUND(AVERAGE('Data Historis 5 Tahun'!I407:I411),0),0)</f>
        <v>1030</v>
      </c>
      <c r="G88" s="75" t="n">
        <f aca="false">IFERROR(ROUND(AVERAGE('Data Historis 5 Tahun'!J407:J411)*1.1106,0),0)</f>
        <v>7672144</v>
      </c>
      <c r="H88" s="75" t="n">
        <f aca="false">IFERROR(ROUND(AVERAGE('Data Historis 5 Tahun'!K407:K411)*1.132,0),0)</f>
        <v>597706</v>
      </c>
      <c r="I88" s="75" t="n">
        <f aca="false">IFERROR(ROUND(1.65*AVERAGE('Data Historis 5 Tahun'!N407:N411)*SQRT(AVERAGE('Data Historis 5 Tahun'!H407:H411)),0),0)</f>
        <v>6</v>
      </c>
      <c r="J88" s="76" t="n">
        <f aca="false">IFERROR(MAX(1,ROUND(F88/12,0)),1)</f>
        <v>86</v>
      </c>
      <c r="K88" s="77" t="n">
        <f aca="false">IFERROR(ROUND((F88/J88)*G88+(J88/2)*H88+I88*H88,0),0)</f>
        <v>121174900</v>
      </c>
      <c r="L88" s="78" t="n">
        <f aca="false">IFERROR(ROUND(AVERAGE('Data Historis 5 Tahun'!J407:J411),0),0)</f>
        <v>6908107</v>
      </c>
      <c r="M88" s="79" t="n">
        <f aca="false">IFERROR(ROUND(AVERAGE('Data Historis 5 Tahun'!K407:K411),0),0)</f>
        <v>528009</v>
      </c>
      <c r="N88" s="79" t="n">
        <f aca="false">IFERROR(ROUND(1.65*AVERAGE('Data Historis 5 Tahun'!N407:N411)*SQRT(AVERAGE('Data Historis 5 Tahun'!H407:H411)),0),0)</f>
        <v>6</v>
      </c>
      <c r="O88" s="80" t="n">
        <f aca="false">IFERROR(ROUND(SQRT(2*F88*L88/M88),0),0)</f>
        <v>164</v>
      </c>
      <c r="P88" s="80" t="n">
        <f aca="false">IFERROR(ROUND((F88/O88)*L88+(O88/2)*M88+N88*M88,0),0)</f>
        <v>89851074</v>
      </c>
      <c r="Q88" s="80" t="n">
        <f aca="false">K88-P88</f>
        <v>31323826</v>
      </c>
      <c r="R88" s="81" t="n">
        <f aca="false">IFERROR(MAX(1,ROUND(O88*0.5,0)),1)</f>
        <v>82</v>
      </c>
      <c r="S88" s="82" t="n">
        <f aca="false">IFERROR(ROUND((F88/R88)*L88,0),0)</f>
        <v>86772564</v>
      </c>
      <c r="T88" s="82" t="n">
        <f aca="false">IFERROR(ROUND((R88/2)*M88+N88*M88,0),0)</f>
        <v>24816423</v>
      </c>
      <c r="U88" s="83" t="n">
        <f aca="false">S88+T88</f>
        <v>111588987</v>
      </c>
      <c r="V88" s="84" t="n">
        <f aca="false">IFERROR(ROUND(O88*1.5,0),1)</f>
        <v>246</v>
      </c>
      <c r="W88" s="85" t="n">
        <f aca="false">IFERROR(ROUND((F88/V88)*L88,0),0)</f>
        <v>28924188</v>
      </c>
      <c r="X88" s="84" t="n">
        <f aca="false">IFERROR(ROUND((F88/V88)*L88+(V88/2)*M88+N88*M88,0),0)</f>
        <v>97037349</v>
      </c>
      <c r="Y88" s="86" t="n">
        <f aca="false">MIN(K88,P88,U88,X88)</f>
        <v>89851074</v>
      </c>
      <c r="Z88" s="87" t="str">
        <f aca="false">IF(Y88=P88,"✅ EOQ (optimal)",IF(Y88=K88,"Q Obs Lama",IF(Y88=U88,"Q Kecil","Q Besar")))</f>
        <v>✅ EOQ (optimal)</v>
      </c>
      <c r="AA88" s="72" t="n">
        <f aca="false">MAX(0,K88-P88)</f>
        <v>31323826</v>
      </c>
      <c r="AB88" s="72" t="n">
        <f aca="false">IFERROR(AA88/K88,0)</f>
        <v>0.25850094367728</v>
      </c>
      <c r="AC88" s="0" t="str">
        <f aca="false">IF(Q88&gt;0,"Gunakan EOQ — hemat Rp "&amp;TEXT(Q88,"#,##0")&amp;"/thn","Tinjau ulang parameter")</f>
        <v>Gunakan EOQ — hemat Rp 31,323,826/thn</v>
      </c>
      <c r="AD88" s="0" t="str">
        <f aca="false">IF(N88&gt;0,"Gunakan EOQ — hemat Rp "&amp;TEXT(N88,"#,##0")&amp;"/thn","Tinjau ulang parameter S &amp; H")</f>
        <v>Gunakan EOQ — hemat Rp 6/thn</v>
      </c>
    </row>
    <row r="89" customFormat="false" ht="15.75" hidden="false" customHeight="true" outlineLevel="0" collapsed="false">
      <c r="A89" s="88" t="n">
        <v>82</v>
      </c>
      <c r="B89" s="88" t="s">
        <v>198</v>
      </c>
      <c r="C89" s="89" t="s">
        <v>199</v>
      </c>
      <c r="D89" s="88" t="s">
        <v>264</v>
      </c>
      <c r="E89" s="88" t="s">
        <v>36</v>
      </c>
      <c r="F89" s="75" t="n">
        <f aca="false">IFERROR(ROUND(AVERAGE('Data Historis 5 Tahun'!I412:I416),0),0)</f>
        <v>34773</v>
      </c>
      <c r="G89" s="75" t="n">
        <f aca="false">IFERROR(ROUND(AVERAGE('Data Historis 5 Tahun'!J412:J416)*1.1343,0),0)</f>
        <v>5661554</v>
      </c>
      <c r="H89" s="75" t="n">
        <f aca="false">IFERROR(ROUND(AVERAGE('Data Historis 5 Tahun'!K412:K416)*1.1677,0),0)</f>
        <v>451695</v>
      </c>
      <c r="I89" s="75" t="n">
        <f aca="false">IFERROR(ROUND(1.65*AVERAGE('Data Historis 5 Tahun'!N412:N416)*SQRT(AVERAGE('Data Historis 5 Tahun'!H412:H416)),0),0)</f>
        <v>213</v>
      </c>
      <c r="J89" s="76" t="n">
        <f aca="false">IFERROR(MAX(1,ROUND(F89/12,0)),1)</f>
        <v>2898</v>
      </c>
      <c r="K89" s="77" t="n">
        <f aca="false">IFERROR(ROUND((F89/J89)*G89+(J89/2)*H89+I89*H89,0),0)</f>
        <v>818649877</v>
      </c>
      <c r="L89" s="78" t="n">
        <f aca="false">IFERROR(ROUND(AVERAGE('Data Historis 5 Tahun'!J412:J416),0),0)</f>
        <v>4991231</v>
      </c>
      <c r="M89" s="79" t="n">
        <f aca="false">IFERROR(ROUND(AVERAGE('Data Historis 5 Tahun'!K412:K416),0),0)</f>
        <v>386825</v>
      </c>
      <c r="N89" s="79" t="n">
        <f aca="false">IFERROR(ROUND(1.65*AVERAGE('Data Historis 5 Tahun'!N412:N416)*SQRT(AVERAGE('Data Historis 5 Tahun'!H412:H416)),0),0)</f>
        <v>213</v>
      </c>
      <c r="O89" s="80" t="n">
        <f aca="false">IFERROR(ROUND(SQRT(2*F89*L89/M89),0),0)</f>
        <v>947</v>
      </c>
      <c r="P89" s="80" t="n">
        <f aca="false">IFERROR(ROUND((F89/O89)*L89+(O89/2)*M89+N89*M89,0),0)</f>
        <v>448828938</v>
      </c>
      <c r="Q89" s="80" t="n">
        <f aca="false">K89-P89</f>
        <v>369820939</v>
      </c>
      <c r="R89" s="81" t="n">
        <f aca="false">IFERROR(MAX(1,ROUND(O89*0.5,0)),1)</f>
        <v>474</v>
      </c>
      <c r="S89" s="82" t="n">
        <f aca="false">IFERROR(ROUND((F89/R89)*L89,0),0)</f>
        <v>366160497</v>
      </c>
      <c r="T89" s="82" t="n">
        <f aca="false">IFERROR(ROUND((R89/2)*M89+N89*M89,0),0)</f>
        <v>174071250</v>
      </c>
      <c r="U89" s="83" t="n">
        <f aca="false">S89+T89</f>
        <v>540231747</v>
      </c>
      <c r="V89" s="84" t="n">
        <f aca="false">IFERROR(ROUND(O89*1.5,0),1)</f>
        <v>1421</v>
      </c>
      <c r="W89" s="85" t="n">
        <f aca="false">IFERROR(ROUND((F89/V89)*L89,0),0)</f>
        <v>122139392</v>
      </c>
      <c r="X89" s="84" t="n">
        <f aca="false">IFERROR(ROUND((F89/V89)*L89+(V89/2)*M89+N89*M89,0),0)</f>
        <v>479372279</v>
      </c>
      <c r="Y89" s="86" t="n">
        <f aca="false">MIN(K89,P89,U89,X89)</f>
        <v>448828938</v>
      </c>
      <c r="Z89" s="87" t="str">
        <f aca="false">IF(Y89=P89,"✅ EOQ (optimal)",IF(Y89=K89,"Q Obs Lama",IF(Y89=U89,"Q Kecil","Q Besar")))</f>
        <v>✅ EOQ (optimal)</v>
      </c>
      <c r="AA89" s="72" t="n">
        <f aca="false">MAX(0,K89-P89)</f>
        <v>369820939</v>
      </c>
      <c r="AB89" s="72" t="n">
        <f aca="false">IFERROR(AA89/K89,0)</f>
        <v>0.451744939308163</v>
      </c>
      <c r="AC89" s="0" t="str">
        <f aca="false">IF(Q89&gt;0,"Gunakan EOQ — hemat Rp "&amp;TEXT(Q89,"#,##0")&amp;"/thn","Tinjau ulang parameter")</f>
        <v>Gunakan EOQ — hemat Rp 369,820,939/thn</v>
      </c>
      <c r="AD89" s="0" t="str">
        <f aca="false">IF(N89&gt;0,"Gunakan EOQ — hemat Rp "&amp;TEXT(N89,"#,##0")&amp;"/thn","Tinjau ulang parameter S &amp; H")</f>
        <v>Gunakan EOQ — hemat Rp 213/thn</v>
      </c>
    </row>
    <row r="90" customFormat="false" ht="15.75" hidden="false" customHeight="true" outlineLevel="0" collapsed="false">
      <c r="A90" s="73" t="n">
        <v>83</v>
      </c>
      <c r="B90" s="73" t="s">
        <v>200</v>
      </c>
      <c r="C90" s="74" t="s">
        <v>201</v>
      </c>
      <c r="D90" s="73" t="s">
        <v>264</v>
      </c>
      <c r="E90" s="73" t="s">
        <v>36</v>
      </c>
      <c r="F90" s="75" t="n">
        <f aca="false">IFERROR(ROUND(AVERAGE('Data Historis 5 Tahun'!I417:I421),0),0)</f>
        <v>18497</v>
      </c>
      <c r="G90" s="75" t="n">
        <f aca="false">IFERROR(ROUND(AVERAGE('Data Historis 5 Tahun'!J417:J421)*1.2289,0),0)</f>
        <v>1312319</v>
      </c>
      <c r="H90" s="75" t="n">
        <f aca="false">IFERROR(ROUND(AVERAGE('Data Historis 5 Tahun'!K417:K421)*1.0592,0),0)</f>
        <v>497460</v>
      </c>
      <c r="I90" s="75" t="n">
        <f aca="false">IFERROR(ROUND(1.65*AVERAGE('Data Historis 5 Tahun'!N417:N421)*SQRT(AVERAGE('Data Historis 5 Tahun'!H417:H421)),0),0)</f>
        <v>53</v>
      </c>
      <c r="J90" s="76" t="n">
        <f aca="false">IFERROR(MAX(1,ROUND(F90/12,0)),1)</f>
        <v>1541</v>
      </c>
      <c r="K90" s="77" t="n">
        <f aca="false">IFERROR(ROUND((F90/J90)*G90+(J90/2)*H90+I90*H90,0),0)</f>
        <v>425410396</v>
      </c>
      <c r="L90" s="78" t="n">
        <f aca="false">IFERROR(ROUND(AVERAGE('Data Historis 5 Tahun'!J417:J421),0),0)</f>
        <v>1067881</v>
      </c>
      <c r="M90" s="79" t="n">
        <f aca="false">IFERROR(ROUND(AVERAGE('Data Historis 5 Tahun'!K417:K421),0),0)</f>
        <v>469657</v>
      </c>
      <c r="N90" s="79" t="n">
        <f aca="false">IFERROR(ROUND(1.65*AVERAGE('Data Historis 5 Tahun'!N417:N421)*SQRT(AVERAGE('Data Historis 5 Tahun'!H417:H421)),0),0)</f>
        <v>53</v>
      </c>
      <c r="O90" s="80" t="n">
        <f aca="false">IFERROR(ROUND(SQRT(2*F90*L90/M90),0),0)</f>
        <v>290</v>
      </c>
      <c r="P90" s="80" t="n">
        <f aca="false">IFERROR(ROUND((F90/O90)*L90+(O90/2)*M90+N90*M90,0),0)</f>
        <v>161104482</v>
      </c>
      <c r="Q90" s="80" t="n">
        <f aca="false">K90-P90</f>
        <v>264305914</v>
      </c>
      <c r="R90" s="81" t="n">
        <f aca="false">IFERROR(MAX(1,ROUND(O90*0.5,0)),1)</f>
        <v>145</v>
      </c>
      <c r="S90" s="82" t="n">
        <f aca="false">IFERROR(ROUND((F90/R90)*L90,0),0)</f>
        <v>136224792</v>
      </c>
      <c r="T90" s="82" t="n">
        <f aca="false">IFERROR(ROUND((R90/2)*M90+N90*M90,0),0)</f>
        <v>58941954</v>
      </c>
      <c r="U90" s="83" t="n">
        <f aca="false">S90+T90</f>
        <v>195166746</v>
      </c>
      <c r="V90" s="84" t="n">
        <f aca="false">IFERROR(ROUND(O90*1.5,0),1)</f>
        <v>435</v>
      </c>
      <c r="W90" s="85" t="n">
        <f aca="false">IFERROR(ROUND((F90/V90)*L90,0),0)</f>
        <v>45408264</v>
      </c>
      <c r="X90" s="84" t="n">
        <f aca="false">IFERROR(ROUND((F90/V90)*L90+(V90/2)*M90+N90*M90,0),0)</f>
        <v>172450483</v>
      </c>
      <c r="Y90" s="86" t="n">
        <f aca="false">MIN(K90,P90,U90,X90)</f>
        <v>161104482</v>
      </c>
      <c r="Z90" s="87" t="str">
        <f aca="false">IF(Y90=P90,"✅ EOQ (optimal)",IF(Y90=K90,"Q Obs Lama",IF(Y90=U90,"Q Kecil","Q Besar")))</f>
        <v>✅ EOQ (optimal)</v>
      </c>
      <c r="AA90" s="72" t="n">
        <f aca="false">MAX(0,K90-P90)</f>
        <v>264305914</v>
      </c>
      <c r="AB90" s="72" t="n">
        <f aca="false">IFERROR(AA90/K90,0)</f>
        <v>0.621296321117644</v>
      </c>
      <c r="AC90" s="0" t="str">
        <f aca="false">IF(Q90&gt;0,"Gunakan EOQ — hemat Rp "&amp;TEXT(Q90,"#,##0")&amp;"/thn","Tinjau ulang parameter")</f>
        <v>Gunakan EOQ — hemat Rp 264,305,914/thn</v>
      </c>
      <c r="AD90" s="0" t="str">
        <f aca="false">IF(N90&gt;0,"Gunakan EOQ — hemat Rp "&amp;TEXT(N90,"#,##0")&amp;"/thn","Tinjau ulang parameter S &amp; H")</f>
        <v>Gunakan EOQ — hemat Rp 53/thn</v>
      </c>
    </row>
    <row r="91" customFormat="false" ht="15.75" hidden="false" customHeight="true" outlineLevel="0" collapsed="false">
      <c r="A91" s="88" t="n">
        <v>84</v>
      </c>
      <c r="B91" s="88" t="s">
        <v>202</v>
      </c>
      <c r="C91" s="89" t="s">
        <v>203</v>
      </c>
      <c r="D91" s="88" t="s">
        <v>264</v>
      </c>
      <c r="E91" s="88" t="s">
        <v>36</v>
      </c>
      <c r="F91" s="75" t="n">
        <f aca="false">IFERROR(ROUND(AVERAGE('Data Historis 5 Tahun'!I422:I426),0),0)</f>
        <v>50138</v>
      </c>
      <c r="G91" s="75" t="n">
        <f aca="false">IFERROR(ROUND(AVERAGE('Data Historis 5 Tahun'!J422:J426)*1.1357,0),0)</f>
        <v>786736</v>
      </c>
      <c r="H91" s="75" t="n">
        <f aca="false">IFERROR(ROUND(AVERAGE('Data Historis 5 Tahun'!K422:K426)*1.137,0),0)</f>
        <v>338445</v>
      </c>
      <c r="I91" s="75" t="n">
        <f aca="false">IFERROR(ROUND(1.65*AVERAGE('Data Historis 5 Tahun'!N422:N426)*SQRT(AVERAGE('Data Historis 5 Tahun'!H422:H426)),0),0)</f>
        <v>125</v>
      </c>
      <c r="J91" s="76" t="n">
        <f aca="false">IFERROR(MAX(1,ROUND(F91/12,0)),1)</f>
        <v>4178</v>
      </c>
      <c r="K91" s="77" t="n">
        <f aca="false">IFERROR(ROUND((F91/J91)*G91+(J91/2)*H91+I91*H91,0),0)</f>
        <v>758758439</v>
      </c>
      <c r="L91" s="78" t="n">
        <f aca="false">IFERROR(ROUND(AVERAGE('Data Historis 5 Tahun'!J422:J426),0),0)</f>
        <v>692732</v>
      </c>
      <c r="M91" s="79" t="n">
        <f aca="false">IFERROR(ROUND(AVERAGE('Data Historis 5 Tahun'!K422:K426),0),0)</f>
        <v>297665</v>
      </c>
      <c r="N91" s="79" t="n">
        <f aca="false">IFERROR(ROUND(1.65*AVERAGE('Data Historis 5 Tahun'!N422:N426)*SQRT(AVERAGE('Data Historis 5 Tahun'!H422:H426)),0),0)</f>
        <v>125</v>
      </c>
      <c r="O91" s="80" t="n">
        <f aca="false">IFERROR(ROUND(SQRT(2*F91*L91/M91),0),0)</f>
        <v>483</v>
      </c>
      <c r="P91" s="80" t="n">
        <f aca="false">IFERROR(ROUND((F91/O91)*L91+(O91/2)*M91+N91*M91,0),0)</f>
        <v>181003533</v>
      </c>
      <c r="Q91" s="80" t="n">
        <f aca="false">K91-P91</f>
        <v>577754906</v>
      </c>
      <c r="R91" s="81" t="n">
        <f aca="false">IFERROR(MAX(1,ROUND(O91*0.5,0)),1)</f>
        <v>242</v>
      </c>
      <c r="S91" s="82" t="n">
        <f aca="false">IFERROR(ROUND((F91/R91)*L91,0),0)</f>
        <v>143521475</v>
      </c>
      <c r="T91" s="82" t="n">
        <f aca="false">IFERROR(ROUND((R91/2)*M91+N91*M91,0),0)</f>
        <v>73225590</v>
      </c>
      <c r="U91" s="83" t="n">
        <f aca="false">S91+T91</f>
        <v>216747065</v>
      </c>
      <c r="V91" s="84" t="n">
        <f aca="false">IFERROR(ROUND(O91*1.5,0),1)</f>
        <v>725</v>
      </c>
      <c r="W91" s="85" t="n">
        <f aca="false">IFERROR(ROUND((F91/V91)*L91,0),0)</f>
        <v>47906479</v>
      </c>
      <c r="X91" s="84" t="n">
        <f aca="false">IFERROR(ROUND((F91/V91)*L91+(V91/2)*M91+N91*M91,0),0)</f>
        <v>193018166</v>
      </c>
      <c r="Y91" s="86" t="n">
        <f aca="false">MIN(K91,P91,U91,X91)</f>
        <v>181003533</v>
      </c>
      <c r="Z91" s="87" t="str">
        <f aca="false">IF(Y91=P91,"✅ EOQ (optimal)",IF(Y91=K91,"Q Obs Lama",IF(Y91=U91,"Q Kecil","Q Besar")))</f>
        <v>✅ EOQ (optimal)</v>
      </c>
      <c r="AA91" s="72" t="n">
        <f aca="false">MAX(0,K91-P91)</f>
        <v>577754906</v>
      </c>
      <c r="AB91" s="72" t="n">
        <f aca="false">IFERROR(AA91/K91,0)</f>
        <v>0.761447749775868</v>
      </c>
      <c r="AC91" s="0" t="str">
        <f aca="false">IF(Q91&gt;0,"Gunakan EOQ — hemat Rp "&amp;TEXT(Q91,"#,##0")&amp;"/thn","Tinjau ulang parameter")</f>
        <v>Gunakan EOQ — hemat Rp 577,754,906/thn</v>
      </c>
      <c r="AD91" s="0" t="str">
        <f aca="false">IF(N91&gt;0,"Gunakan EOQ — hemat Rp "&amp;TEXT(N91,"#,##0")&amp;"/thn","Tinjau ulang parameter S &amp; H")</f>
        <v>Gunakan EOQ — hemat Rp 125/thn</v>
      </c>
    </row>
    <row r="92" customFormat="false" ht="15.75" hidden="false" customHeight="true" outlineLevel="0" collapsed="false">
      <c r="A92" s="73" t="n">
        <v>85</v>
      </c>
      <c r="B92" s="73" t="s">
        <v>204</v>
      </c>
      <c r="C92" s="74" t="s">
        <v>205</v>
      </c>
      <c r="D92" s="73" t="s">
        <v>264</v>
      </c>
      <c r="E92" s="73" t="s">
        <v>36</v>
      </c>
      <c r="F92" s="75" t="n">
        <f aca="false">IFERROR(ROUND(AVERAGE('Data Historis 5 Tahun'!I427:I431),0),0)</f>
        <v>38080</v>
      </c>
      <c r="G92" s="75" t="n">
        <f aca="false">IFERROR(ROUND(AVERAGE('Data Historis 5 Tahun'!J427:J431)*1.1321,0),0)</f>
        <v>10024167</v>
      </c>
      <c r="H92" s="75" t="n">
        <f aca="false">IFERROR(ROUND(AVERAGE('Data Historis 5 Tahun'!K427:K431)*1.0672,0),0)</f>
        <v>270313</v>
      </c>
      <c r="I92" s="75" t="n">
        <f aca="false">IFERROR(ROUND(1.65*AVERAGE('Data Historis 5 Tahun'!N427:N431)*SQRT(AVERAGE('Data Historis 5 Tahun'!H427:H431)),0),0)</f>
        <v>226</v>
      </c>
      <c r="J92" s="76" t="n">
        <f aca="false">IFERROR(MAX(1,ROUND(F92/12,0)),1)</f>
        <v>3173</v>
      </c>
      <c r="K92" s="77" t="n">
        <f aca="false">IFERROR(ROUND((F92/J92)*G92+(J92/2)*H92+I92*H92,0),0)</f>
        <v>610244953</v>
      </c>
      <c r="L92" s="78" t="n">
        <f aca="false">IFERROR(ROUND(AVERAGE('Data Historis 5 Tahun'!J427:J431),0),0)</f>
        <v>8854489</v>
      </c>
      <c r="M92" s="79" t="n">
        <f aca="false">IFERROR(ROUND(AVERAGE('Data Historis 5 Tahun'!K427:K431),0),0)</f>
        <v>253291</v>
      </c>
      <c r="N92" s="79" t="n">
        <f aca="false">IFERROR(ROUND(1.65*AVERAGE('Data Historis 5 Tahun'!N427:N431)*SQRT(AVERAGE('Data Historis 5 Tahun'!H427:H431)),0),0)</f>
        <v>226</v>
      </c>
      <c r="O92" s="80" t="n">
        <f aca="false">IFERROR(ROUND(SQRT(2*F92*L92/M92),0),0)</f>
        <v>1632</v>
      </c>
      <c r="P92" s="80" t="n">
        <f aca="false">IFERROR(ROUND((F92/O92)*L92+(O92/2)*M92+N92*M92,0),0)</f>
        <v>470533965</v>
      </c>
      <c r="Q92" s="80" t="n">
        <f aca="false">K92-P92</f>
        <v>139710988</v>
      </c>
      <c r="R92" s="81" t="n">
        <f aca="false">IFERROR(MAX(1,ROUND(O92*0.5,0)),1)</f>
        <v>816</v>
      </c>
      <c r="S92" s="82" t="n">
        <f aca="false">IFERROR(ROUND((F92/R92)*L92,0),0)</f>
        <v>413209487</v>
      </c>
      <c r="T92" s="82" t="n">
        <f aca="false">IFERROR(ROUND((R92/2)*M92+N92*M92,0),0)</f>
        <v>160586494</v>
      </c>
      <c r="U92" s="83" t="n">
        <f aca="false">S92+T92</f>
        <v>573795981</v>
      </c>
      <c r="V92" s="84" t="n">
        <f aca="false">IFERROR(ROUND(O92*1.5,0),1)</f>
        <v>2448</v>
      </c>
      <c r="W92" s="85" t="n">
        <f aca="false">IFERROR(ROUND((F92/V92)*L92,0),0)</f>
        <v>137736496</v>
      </c>
      <c r="X92" s="84" t="n">
        <f aca="false">IFERROR(ROUND((F92/V92)*L92+(V92/2)*M92+N92*M92,0),0)</f>
        <v>505008446</v>
      </c>
      <c r="Y92" s="86" t="n">
        <f aca="false">MIN(K92,P92,U92,X92)</f>
        <v>470533965</v>
      </c>
      <c r="Z92" s="87" t="str">
        <f aca="false">IF(Y92=P92,"✅ EOQ (optimal)",IF(Y92=K92,"Q Obs Lama",IF(Y92=U92,"Q Kecil","Q Besar")))</f>
        <v>✅ EOQ (optimal)</v>
      </c>
      <c r="AA92" s="72" t="n">
        <f aca="false">MAX(0,K92-P92)</f>
        <v>139710988</v>
      </c>
      <c r="AB92" s="72" t="n">
        <f aca="false">IFERROR(AA92/K92,0)</f>
        <v>0.228942471892922</v>
      </c>
      <c r="AC92" s="0" t="str">
        <f aca="false">IF(Q92&gt;0,"Gunakan EOQ — hemat Rp "&amp;TEXT(Q92,"#,##0")&amp;"/thn","Tinjau ulang parameter")</f>
        <v>Gunakan EOQ — hemat Rp 139,710,988/thn</v>
      </c>
      <c r="AD92" s="0" t="str">
        <f aca="false">IF(N92&gt;0,"Gunakan EOQ — hemat Rp "&amp;TEXT(N92,"#,##0")&amp;"/thn","Tinjau ulang parameter S &amp; H")</f>
        <v>Gunakan EOQ — hemat Rp 226/thn</v>
      </c>
    </row>
    <row r="93" customFormat="false" ht="15.75" hidden="false" customHeight="true" outlineLevel="0" collapsed="false">
      <c r="A93" s="88" t="n">
        <v>86</v>
      </c>
      <c r="B93" s="88" t="s">
        <v>206</v>
      </c>
      <c r="C93" s="89" t="s">
        <v>207</v>
      </c>
      <c r="D93" s="88" t="s">
        <v>264</v>
      </c>
      <c r="E93" s="88" t="s">
        <v>36</v>
      </c>
      <c r="F93" s="75" t="n">
        <f aca="false">IFERROR(ROUND(AVERAGE('Data Historis 5 Tahun'!I432:I436),0),0)</f>
        <v>16448</v>
      </c>
      <c r="G93" s="75" t="n">
        <f aca="false">IFERROR(ROUND(AVERAGE('Data Historis 5 Tahun'!J432:J436)*1.2403,0),0)</f>
        <v>1555248</v>
      </c>
      <c r="H93" s="75" t="n">
        <f aca="false">IFERROR(ROUND(AVERAGE('Data Historis 5 Tahun'!K432:K436)*1.1242,0),0)</f>
        <v>560229</v>
      </c>
      <c r="I93" s="75" t="n">
        <f aca="false">IFERROR(ROUND(1.65*AVERAGE('Data Historis 5 Tahun'!N432:N436)*SQRT(AVERAGE('Data Historis 5 Tahun'!H432:H436)),0),0)</f>
        <v>42</v>
      </c>
      <c r="J93" s="76" t="n">
        <f aca="false">IFERROR(MAX(1,ROUND(F93/12,0)),1)</f>
        <v>1371</v>
      </c>
      <c r="K93" s="77" t="n">
        <f aca="false">IFERROR(ROUND((F93/J93)*G93+(J93/2)*H93+I93*H93,0),0)</f>
        <v>426225036</v>
      </c>
      <c r="L93" s="78" t="n">
        <f aca="false">IFERROR(ROUND(AVERAGE('Data Historis 5 Tahun'!J432:J436),0),0)</f>
        <v>1253929</v>
      </c>
      <c r="M93" s="79" t="n">
        <f aca="false">IFERROR(ROUND(AVERAGE('Data Historis 5 Tahun'!K432:K436),0),0)</f>
        <v>498335</v>
      </c>
      <c r="N93" s="79" t="n">
        <f aca="false">IFERROR(ROUND(1.65*AVERAGE('Data Historis 5 Tahun'!N432:N436)*SQRT(AVERAGE('Data Historis 5 Tahun'!H432:H436)),0),0)</f>
        <v>42</v>
      </c>
      <c r="O93" s="80" t="n">
        <f aca="false">IFERROR(ROUND(SQRT(2*F93*L93/M93),0),0)</f>
        <v>288</v>
      </c>
      <c r="P93" s="80" t="n">
        <f aca="false">IFERROR(ROUND((F93/O93)*L93+(O93/2)*M93+N93*M93,0),0)</f>
        <v>164303588</v>
      </c>
      <c r="Q93" s="80" t="n">
        <f aca="false">K93-P93</f>
        <v>261921448</v>
      </c>
      <c r="R93" s="81" t="n">
        <f aca="false">IFERROR(MAX(1,ROUND(O93*0.5,0)),1)</f>
        <v>144</v>
      </c>
      <c r="S93" s="82" t="n">
        <f aca="false">IFERROR(ROUND((F93/R93)*L93,0),0)</f>
        <v>143226557</v>
      </c>
      <c r="T93" s="82" t="n">
        <f aca="false">IFERROR(ROUND((R93/2)*M93+N93*M93,0),0)</f>
        <v>56810190</v>
      </c>
      <c r="U93" s="83" t="n">
        <f aca="false">S93+T93</f>
        <v>200036747</v>
      </c>
      <c r="V93" s="84" t="n">
        <f aca="false">IFERROR(ROUND(O93*1.5,0),1)</f>
        <v>432</v>
      </c>
      <c r="W93" s="85" t="n">
        <f aca="false">IFERROR(ROUND((F93/V93)*L93,0),0)</f>
        <v>47742186</v>
      </c>
      <c r="X93" s="84" t="n">
        <f aca="false">IFERROR(ROUND((F93/V93)*L93+(V93/2)*M93+N93*M93,0),0)</f>
        <v>176312616</v>
      </c>
      <c r="Y93" s="86" t="n">
        <f aca="false">MIN(K93,P93,U93,X93)</f>
        <v>164303588</v>
      </c>
      <c r="Z93" s="87" t="str">
        <f aca="false">IF(Y93=P93,"✅ EOQ (optimal)",IF(Y93=K93,"Q Obs Lama",IF(Y93=U93,"Q Kecil","Q Besar")))</f>
        <v>✅ EOQ (optimal)</v>
      </c>
      <c r="AA93" s="72" t="n">
        <f aca="false">MAX(0,K93-P93)</f>
        <v>261921448</v>
      </c>
      <c r="AB93" s="72" t="n">
        <f aca="false">IFERROR(AA93/K93,0)</f>
        <v>0.614514460384725</v>
      </c>
      <c r="AC93" s="0" t="str">
        <f aca="false">IF(Q93&gt;0,"Gunakan EOQ — hemat Rp "&amp;TEXT(Q93,"#,##0")&amp;"/thn","Tinjau ulang parameter")</f>
        <v>Gunakan EOQ — hemat Rp 261,921,448/thn</v>
      </c>
      <c r="AD93" s="0" t="str">
        <f aca="false">IF(N93&gt;0,"Gunakan EOQ — hemat Rp "&amp;TEXT(N93,"#,##0")&amp;"/thn","Tinjau ulang parameter S &amp; H")</f>
        <v>Gunakan EOQ — hemat Rp 42/thn</v>
      </c>
    </row>
    <row r="94" customFormat="false" ht="15.75" hidden="false" customHeight="true" outlineLevel="0" collapsed="false">
      <c r="A94" s="73" t="n">
        <v>87</v>
      </c>
      <c r="B94" s="73" t="s">
        <v>208</v>
      </c>
      <c r="C94" s="74" t="s">
        <v>209</v>
      </c>
      <c r="D94" s="73" t="s">
        <v>264</v>
      </c>
      <c r="E94" s="73" t="s">
        <v>36</v>
      </c>
      <c r="F94" s="75" t="n">
        <f aca="false">IFERROR(ROUND(AVERAGE('Data Historis 5 Tahun'!I437:I441),0),0)</f>
        <v>52947</v>
      </c>
      <c r="G94" s="75" t="n">
        <f aca="false">IFERROR(ROUND(AVERAGE('Data Historis 5 Tahun'!J437:J441)*1.1709,0),0)</f>
        <v>12457608</v>
      </c>
      <c r="H94" s="75" t="n">
        <f aca="false">IFERROR(ROUND(AVERAGE('Data Historis 5 Tahun'!K437:K441)*1.152,0),0)</f>
        <v>452566</v>
      </c>
      <c r="I94" s="75" t="n">
        <f aca="false">IFERROR(ROUND(1.65*AVERAGE('Data Historis 5 Tahun'!N437:N441)*SQRT(AVERAGE('Data Historis 5 Tahun'!H437:H441)),0),0)</f>
        <v>306</v>
      </c>
      <c r="J94" s="76" t="n">
        <f aca="false">IFERROR(MAX(1,ROUND(F94/12,0)),1)</f>
        <v>4412</v>
      </c>
      <c r="K94" s="77" t="n">
        <f aca="false">IFERROR(ROUND((F94/J94)*G94+(J94/2)*H94+I94*H94,0),0)</f>
        <v>1286345559</v>
      </c>
      <c r="L94" s="78" t="n">
        <f aca="false">IFERROR(ROUND(AVERAGE('Data Historis 5 Tahun'!J437:J441),0),0)</f>
        <v>10639344</v>
      </c>
      <c r="M94" s="79" t="n">
        <f aca="false">IFERROR(ROUND(AVERAGE('Data Historis 5 Tahun'!K437:K441),0),0)</f>
        <v>392853</v>
      </c>
      <c r="N94" s="79" t="n">
        <f aca="false">IFERROR(ROUND(1.65*AVERAGE('Data Historis 5 Tahun'!N437:N441)*SQRT(AVERAGE('Data Historis 5 Tahun'!H437:H441)),0),0)</f>
        <v>306</v>
      </c>
      <c r="O94" s="80" t="n">
        <f aca="false">IFERROR(ROUND(SQRT(2*F94*L94/M94),0),0)</f>
        <v>1693</v>
      </c>
      <c r="P94" s="80" t="n">
        <f aca="false">IFERROR(ROUND((F94/O94)*L94+(O94/2)*M94+N94*M94,0),0)</f>
        <v>785498668</v>
      </c>
      <c r="Q94" s="80" t="n">
        <f aca="false">K94-P94</f>
        <v>500846891</v>
      </c>
      <c r="R94" s="81" t="n">
        <f aca="false">IFERROR(MAX(1,ROUND(O94*0.5,0)),1)</f>
        <v>847</v>
      </c>
      <c r="S94" s="82" t="n">
        <f aca="false">IFERROR(ROUND((F94/R94)*L94,0),0)</f>
        <v>665078331</v>
      </c>
      <c r="T94" s="82" t="n">
        <f aca="false">IFERROR(ROUND((R94/2)*M94+N94*M94,0),0)</f>
        <v>286586264</v>
      </c>
      <c r="U94" s="83" t="n">
        <f aca="false">S94+T94</f>
        <v>951664595</v>
      </c>
      <c r="V94" s="84" t="n">
        <f aca="false">IFERROR(ROUND(O94*1.5,0),1)</f>
        <v>2540</v>
      </c>
      <c r="W94" s="85" t="n">
        <f aca="false">IFERROR(ROUND((F94/V94)*L94,0),0)</f>
        <v>221780058</v>
      </c>
      <c r="X94" s="84" t="n">
        <f aca="false">IFERROR(ROUND((F94/V94)*L94+(V94/2)*M94+N94*M94,0),0)</f>
        <v>840916386</v>
      </c>
      <c r="Y94" s="86" t="n">
        <f aca="false">MIN(K94,P94,U94,X94)</f>
        <v>785498668</v>
      </c>
      <c r="Z94" s="87" t="str">
        <f aca="false">IF(Y94=P94,"✅ EOQ (optimal)",IF(Y94=K94,"Q Obs Lama",IF(Y94=U94,"Q Kecil","Q Besar")))</f>
        <v>✅ EOQ (optimal)</v>
      </c>
      <c r="AA94" s="72" t="n">
        <f aca="false">MAX(0,K94-P94)</f>
        <v>500846891</v>
      </c>
      <c r="AB94" s="72" t="n">
        <f aca="false">IFERROR(AA94/K94,0)</f>
        <v>0.389356411654545</v>
      </c>
      <c r="AC94" s="0" t="str">
        <f aca="false">IF(Q94&gt;0,"Gunakan EOQ — hemat Rp "&amp;TEXT(Q94,"#,##0")&amp;"/thn","Tinjau ulang parameter")</f>
        <v>Gunakan EOQ — hemat Rp 500,846,891/thn</v>
      </c>
      <c r="AD94" s="0" t="str">
        <f aca="false">IF(N94&gt;0,"Gunakan EOQ — hemat Rp "&amp;TEXT(N94,"#,##0")&amp;"/thn","Tinjau ulang parameter S &amp; H")</f>
        <v>Gunakan EOQ — hemat Rp 306/thn</v>
      </c>
    </row>
    <row r="95" customFormat="false" ht="15.75" hidden="false" customHeight="true" outlineLevel="0" collapsed="false">
      <c r="A95" s="88" t="n">
        <v>88</v>
      </c>
      <c r="B95" s="88" t="s">
        <v>210</v>
      </c>
      <c r="C95" s="89" t="s">
        <v>211</v>
      </c>
      <c r="D95" s="88" t="s">
        <v>264</v>
      </c>
      <c r="E95" s="88" t="s">
        <v>36</v>
      </c>
      <c r="F95" s="75" t="n">
        <f aca="false">IFERROR(ROUND(AVERAGE('Data Historis 5 Tahun'!I442:I446),0),0)</f>
        <v>46152</v>
      </c>
      <c r="G95" s="75" t="n">
        <f aca="false">IFERROR(ROUND(AVERAGE('Data Historis 5 Tahun'!J442:J446)*1.2211,0),0)</f>
        <v>8093252</v>
      </c>
      <c r="H95" s="75" t="n">
        <f aca="false">IFERROR(ROUND(AVERAGE('Data Historis 5 Tahun'!K442:K446)*1.0748,0),0)</f>
        <v>359874</v>
      </c>
      <c r="I95" s="75" t="n">
        <f aca="false">IFERROR(ROUND(1.65*AVERAGE('Data Historis 5 Tahun'!N442:N446)*SQRT(AVERAGE('Data Historis 5 Tahun'!H442:H446)),0),0)</f>
        <v>330</v>
      </c>
      <c r="J95" s="76" t="n">
        <f aca="false">IFERROR(MAX(1,ROUND(F95/12,0)),1)</f>
        <v>3846</v>
      </c>
      <c r="K95" s="77" t="n">
        <f aca="false">IFERROR(ROUND((F95/J95)*G95+(J95/2)*H95+I95*H95,0),0)</f>
        <v>907915146</v>
      </c>
      <c r="L95" s="78" t="n">
        <f aca="false">IFERROR(ROUND(AVERAGE('Data Historis 5 Tahun'!J442:J446),0),0)</f>
        <v>6627837</v>
      </c>
      <c r="M95" s="79" t="n">
        <f aca="false">IFERROR(ROUND(AVERAGE('Data Historis 5 Tahun'!K442:K446),0),0)</f>
        <v>334828</v>
      </c>
      <c r="N95" s="79" t="n">
        <f aca="false">IFERROR(ROUND(1.65*AVERAGE('Data Historis 5 Tahun'!N442:N446)*SQRT(AVERAGE('Data Historis 5 Tahun'!H442:H446)),0),0)</f>
        <v>330</v>
      </c>
      <c r="O95" s="80" t="n">
        <f aca="false">IFERROR(ROUND(SQRT(2*F95*L95/M95),0),0)</f>
        <v>1352</v>
      </c>
      <c r="P95" s="80" t="n">
        <f aca="false">IFERROR(ROUND((F95/O95)*L95+(O95/2)*M95+N95*M95,0),0)</f>
        <v>563085439</v>
      </c>
      <c r="Q95" s="80" t="n">
        <f aca="false">K95-P95</f>
        <v>344829707</v>
      </c>
      <c r="R95" s="81" t="n">
        <f aca="false">IFERROR(MAX(1,ROUND(O95*0.5,0)),1)</f>
        <v>676</v>
      </c>
      <c r="S95" s="82" t="n">
        <f aca="false">IFERROR(ROUND((F95/R95)*L95,0),0)</f>
        <v>452496943</v>
      </c>
      <c r="T95" s="82" t="n">
        <f aca="false">IFERROR(ROUND((R95/2)*M95+N95*M95,0),0)</f>
        <v>223665104</v>
      </c>
      <c r="U95" s="83" t="n">
        <f aca="false">S95+T95</f>
        <v>676162047</v>
      </c>
      <c r="V95" s="84" t="n">
        <f aca="false">IFERROR(ROUND(O95*1.5,0),1)</f>
        <v>2028</v>
      </c>
      <c r="W95" s="85" t="n">
        <f aca="false">IFERROR(ROUND((F95/V95)*L95,0),0)</f>
        <v>150832314</v>
      </c>
      <c r="X95" s="84" t="n">
        <f aca="false">IFERROR(ROUND((F95/V95)*L95+(V95/2)*M95+N95*M95,0),0)</f>
        <v>600841146</v>
      </c>
      <c r="Y95" s="86" t="n">
        <f aca="false">MIN(K95,P95,U95,X95)</f>
        <v>563085439</v>
      </c>
      <c r="Z95" s="87" t="str">
        <f aca="false">IF(Y95=P95,"✅ EOQ (optimal)",IF(Y95=K95,"Q Obs Lama",IF(Y95=U95,"Q Kecil","Q Besar")))</f>
        <v>✅ EOQ (optimal)</v>
      </c>
      <c r="AA95" s="72" t="n">
        <f aca="false">MAX(0,K95-P95)</f>
        <v>344829707</v>
      </c>
      <c r="AB95" s="72" t="n">
        <f aca="false">IFERROR(AA95/K95,0)</f>
        <v>0.379803893039141</v>
      </c>
      <c r="AC95" s="0" t="str">
        <f aca="false">IF(Q95&gt;0,"Gunakan EOQ — hemat Rp "&amp;TEXT(Q95,"#,##0")&amp;"/thn","Tinjau ulang parameter")</f>
        <v>Gunakan EOQ — hemat Rp 344,829,707/thn</v>
      </c>
      <c r="AD95" s="0" t="str">
        <f aca="false">IF(N95&gt;0,"Gunakan EOQ — hemat Rp "&amp;TEXT(N95,"#,##0")&amp;"/thn","Tinjau ulang parameter S &amp; H")</f>
        <v>Gunakan EOQ — hemat Rp 330/thn</v>
      </c>
    </row>
    <row r="96" customFormat="false" ht="15.75" hidden="false" customHeight="true" outlineLevel="0" collapsed="false">
      <c r="A96" s="73" t="n">
        <v>89</v>
      </c>
      <c r="B96" s="73" t="s">
        <v>212</v>
      </c>
      <c r="C96" s="74" t="s">
        <v>213</v>
      </c>
      <c r="D96" s="73" t="s">
        <v>264</v>
      </c>
      <c r="E96" s="73" t="s">
        <v>36</v>
      </c>
      <c r="F96" s="75" t="n">
        <f aca="false">IFERROR(ROUND(AVERAGE('Data Historis 5 Tahun'!I447:I451),0),0)</f>
        <v>28477</v>
      </c>
      <c r="G96" s="75" t="n">
        <f aca="false">IFERROR(ROUND(AVERAGE('Data Historis 5 Tahun'!J447:J451)*1.1145,0),0)</f>
        <v>2655508</v>
      </c>
      <c r="H96" s="75" t="n">
        <f aca="false">IFERROR(ROUND(AVERAGE('Data Historis 5 Tahun'!K447:K451)*1.106,0),0)</f>
        <v>201777</v>
      </c>
      <c r="I96" s="75" t="n">
        <f aca="false">IFERROR(ROUND(1.65*AVERAGE('Data Historis 5 Tahun'!N447:N451)*SQRT(AVERAGE('Data Historis 5 Tahun'!H447:H451)),0),0)</f>
        <v>78</v>
      </c>
      <c r="J96" s="76" t="n">
        <f aca="false">IFERROR(MAX(1,ROUND(F96/12,0)),1)</f>
        <v>2373</v>
      </c>
      <c r="K96" s="77" t="n">
        <f aca="false">IFERROR(ROUND((F96/J96)*G96+(J96/2)*H96+I96*H96,0),0)</f>
        <v>287014232</v>
      </c>
      <c r="L96" s="78" t="n">
        <f aca="false">IFERROR(ROUND(AVERAGE('Data Historis 5 Tahun'!J447:J451),0),0)</f>
        <v>2382690</v>
      </c>
      <c r="M96" s="79" t="n">
        <f aca="false">IFERROR(ROUND(AVERAGE('Data Historis 5 Tahun'!K447:K451),0),0)</f>
        <v>182439</v>
      </c>
      <c r="N96" s="79" t="n">
        <f aca="false">IFERROR(ROUND(1.65*AVERAGE('Data Historis 5 Tahun'!N447:N451)*SQRT(AVERAGE('Data Historis 5 Tahun'!H447:H451)),0),0)</f>
        <v>78</v>
      </c>
      <c r="O96" s="80" t="n">
        <f aca="false">IFERROR(ROUND(SQRT(2*F96*L96/M96),0),0)</f>
        <v>862</v>
      </c>
      <c r="P96" s="80" t="n">
        <f aca="false">IFERROR(ROUND((F96/O96)*L96+(O96/2)*M96+N96*M96,0),0)</f>
        <v>171575909</v>
      </c>
      <c r="Q96" s="80" t="n">
        <f aca="false">K96-P96</f>
        <v>115438323</v>
      </c>
      <c r="R96" s="81" t="n">
        <f aca="false">IFERROR(MAX(1,ROUND(O96*0.5,0)),1)</f>
        <v>431</v>
      </c>
      <c r="S96" s="82" t="n">
        <f aca="false">IFERROR(ROUND((F96/R96)*L96,0),0)</f>
        <v>157428917</v>
      </c>
      <c r="T96" s="82" t="n">
        <f aca="false">IFERROR(ROUND((R96/2)*M96+N96*M96,0),0)</f>
        <v>53545847</v>
      </c>
      <c r="U96" s="83" t="n">
        <f aca="false">S96+T96</f>
        <v>210974764</v>
      </c>
      <c r="V96" s="84" t="n">
        <f aca="false">IFERROR(ROUND(O96*1.5,0),1)</f>
        <v>1293</v>
      </c>
      <c r="W96" s="85" t="n">
        <f aca="false">IFERROR(ROUND((F96/V96)*L96,0),0)</f>
        <v>52476306</v>
      </c>
      <c r="X96" s="84" t="n">
        <f aca="false">IFERROR(ROUND((F96/V96)*L96+(V96/2)*M96+N96*M96,0),0)</f>
        <v>184653361</v>
      </c>
      <c r="Y96" s="86" t="n">
        <f aca="false">MIN(K96,P96,U96,X96)</f>
        <v>171575909</v>
      </c>
      <c r="Z96" s="87" t="str">
        <f aca="false">IF(Y96=P96,"✅ EOQ (optimal)",IF(Y96=K96,"Q Obs Lama",IF(Y96=U96,"Q Kecil","Q Besar")))</f>
        <v>✅ EOQ (optimal)</v>
      </c>
      <c r="AA96" s="72" t="n">
        <f aca="false">MAX(0,K96-P96)</f>
        <v>115438323</v>
      </c>
      <c r="AB96" s="72" t="n">
        <f aca="false">IFERROR(AA96/K96,0)</f>
        <v>0.402204177108541</v>
      </c>
      <c r="AC96" s="0" t="str">
        <f aca="false">IF(Q96&gt;0,"Gunakan EOQ — hemat Rp "&amp;TEXT(Q96,"#,##0")&amp;"/thn","Tinjau ulang parameter")</f>
        <v>Gunakan EOQ — hemat Rp 115,438,323/thn</v>
      </c>
      <c r="AD96" s="0" t="str">
        <f aca="false">IF(N96&gt;0,"Gunakan EOQ — hemat Rp "&amp;TEXT(N96,"#,##0")&amp;"/thn","Tinjau ulang parameter S &amp; H")</f>
        <v>Gunakan EOQ — hemat Rp 78/thn</v>
      </c>
    </row>
    <row r="97" customFormat="false" ht="15.75" hidden="false" customHeight="true" outlineLevel="0" collapsed="false">
      <c r="A97" s="88" t="n">
        <v>90</v>
      </c>
      <c r="B97" s="88" t="s">
        <v>214</v>
      </c>
      <c r="C97" s="89" t="s">
        <v>215</v>
      </c>
      <c r="D97" s="88" t="s">
        <v>264</v>
      </c>
      <c r="E97" s="88" t="s">
        <v>36</v>
      </c>
      <c r="F97" s="75" t="n">
        <f aca="false">IFERROR(ROUND(AVERAGE('Data Historis 5 Tahun'!I452:I456),0),0)</f>
        <v>43051</v>
      </c>
      <c r="G97" s="75" t="n">
        <f aca="false">IFERROR(ROUND(AVERAGE('Data Historis 5 Tahun'!J452:J456)*1.1635,0),0)</f>
        <v>13455848</v>
      </c>
      <c r="H97" s="75" t="n">
        <f aca="false">IFERROR(ROUND(AVERAGE('Data Historis 5 Tahun'!K452:K456)*1.1107,0),0)</f>
        <v>147091</v>
      </c>
      <c r="I97" s="75" t="n">
        <f aca="false">IFERROR(ROUND(1.65*AVERAGE('Data Historis 5 Tahun'!N452:N456)*SQRT(AVERAGE('Data Historis 5 Tahun'!H452:H456)),0),0)</f>
        <v>268</v>
      </c>
      <c r="J97" s="76" t="n">
        <f aca="false">IFERROR(MAX(1,ROUND(F97/12,0)),1)</f>
        <v>3588</v>
      </c>
      <c r="K97" s="77" t="n">
        <f aca="false">IFERROR(ROUND((F97/J97)*G97+(J97/2)*H97+I97*H97,0),0)</f>
        <v>464753067</v>
      </c>
      <c r="L97" s="78" t="n">
        <f aca="false">IFERROR(ROUND(AVERAGE('Data Historis 5 Tahun'!J452:J456),0),0)</f>
        <v>11564975</v>
      </c>
      <c r="M97" s="79" t="n">
        <f aca="false">IFERROR(ROUND(AVERAGE('Data Historis 5 Tahun'!K452:K456),0),0)</f>
        <v>132431</v>
      </c>
      <c r="N97" s="79" t="n">
        <f aca="false">IFERROR(ROUND(1.65*AVERAGE('Data Historis 5 Tahun'!N452:N456)*SQRT(AVERAGE('Data Historis 5 Tahun'!H452:H456)),0),0)</f>
        <v>268</v>
      </c>
      <c r="O97" s="80" t="n">
        <f aca="false">IFERROR(ROUND(SQRT(2*F97*L97/M97),0),0)</f>
        <v>2742</v>
      </c>
      <c r="P97" s="80" t="n">
        <f aca="false">IFERROR(ROUND((F97/O97)*L97+(O97/2)*M97+N97*M97,0),0)</f>
        <v>398631265</v>
      </c>
      <c r="Q97" s="80" t="n">
        <f aca="false">K97-P97</f>
        <v>66121802</v>
      </c>
      <c r="R97" s="81" t="n">
        <f aca="false">IFERROR(MAX(1,ROUND(O97*0.5,0)),1)</f>
        <v>1371</v>
      </c>
      <c r="S97" s="82" t="n">
        <f aca="false">IFERROR(ROUND((F97/R97)*L97,0),0)</f>
        <v>363153712</v>
      </c>
      <c r="T97" s="82" t="n">
        <f aca="false">IFERROR(ROUND((R97/2)*M97+N97*M97,0),0)</f>
        <v>126272959</v>
      </c>
      <c r="U97" s="83" t="n">
        <f aca="false">S97+T97</f>
        <v>489426671</v>
      </c>
      <c r="V97" s="84" t="n">
        <f aca="false">IFERROR(ROUND(O97*1.5,0),1)</f>
        <v>4113</v>
      </c>
      <c r="W97" s="85" t="n">
        <f aca="false">IFERROR(ROUND((F97/V97)*L97,0),0)</f>
        <v>121051237</v>
      </c>
      <c r="X97" s="84" t="n">
        <f aca="false">IFERROR(ROUND((F97/V97)*L97+(V97/2)*M97+N97*M97,0),0)</f>
        <v>428887097</v>
      </c>
      <c r="Y97" s="86" t="n">
        <f aca="false">MIN(K97,P97,U97,X97)</f>
        <v>398631265</v>
      </c>
      <c r="Z97" s="87" t="str">
        <f aca="false">IF(Y97=P97,"✅ EOQ (optimal)",IF(Y97=K97,"Q Obs Lama",IF(Y97=U97,"Q Kecil","Q Besar")))</f>
        <v>✅ EOQ (optimal)</v>
      </c>
      <c r="AA97" s="72" t="n">
        <f aca="false">MAX(0,K97-P97)</f>
        <v>66121802</v>
      </c>
      <c r="AB97" s="72" t="n">
        <f aca="false">IFERROR(AA97/K97,0)</f>
        <v>0.142272976113571</v>
      </c>
      <c r="AC97" s="0" t="str">
        <f aca="false">IF(Q97&gt;0,"Gunakan EOQ — hemat Rp "&amp;TEXT(Q97,"#,##0")&amp;"/thn","Tinjau ulang parameter")</f>
        <v>Gunakan EOQ — hemat Rp 66,121,802/thn</v>
      </c>
      <c r="AD97" s="0" t="str">
        <f aca="false">IF(N97&gt;0,"Gunakan EOQ — hemat Rp "&amp;TEXT(N97,"#,##0")&amp;"/thn","Tinjau ulang parameter S &amp; H")</f>
        <v>Gunakan EOQ — hemat Rp 268/thn</v>
      </c>
    </row>
    <row r="98" customFormat="false" ht="15.75" hidden="false" customHeight="true" outlineLevel="0" collapsed="false">
      <c r="A98" s="73" t="n">
        <v>91</v>
      </c>
      <c r="B98" s="73" t="s">
        <v>216</v>
      </c>
      <c r="C98" s="74" t="s">
        <v>217</v>
      </c>
      <c r="D98" s="73" t="s">
        <v>264</v>
      </c>
      <c r="E98" s="73" t="s">
        <v>36</v>
      </c>
      <c r="F98" s="75" t="n">
        <f aca="false">IFERROR(ROUND(AVERAGE('Data Historis 5 Tahun'!I457:I461),0),0)</f>
        <v>18662</v>
      </c>
      <c r="G98" s="75" t="n">
        <f aca="false">IFERROR(ROUND(AVERAGE('Data Historis 5 Tahun'!J457:J461)*1.2094,0),0)</f>
        <v>2090839</v>
      </c>
      <c r="H98" s="75" t="n">
        <f aca="false">IFERROR(ROUND(AVERAGE('Data Historis 5 Tahun'!K457:K461)*1.1375,0),0)</f>
        <v>435347</v>
      </c>
      <c r="I98" s="75" t="n">
        <f aca="false">IFERROR(ROUND(1.65*AVERAGE('Data Historis 5 Tahun'!N457:N461)*SQRT(AVERAGE('Data Historis 5 Tahun'!H457:H461)),0),0)</f>
        <v>65</v>
      </c>
      <c r="J98" s="76" t="n">
        <f aca="false">IFERROR(MAX(1,ROUND(F98/12,0)),1)</f>
        <v>1555</v>
      </c>
      <c r="K98" s="77" t="n">
        <f aca="false">IFERROR(ROUND((F98/J98)*G98+(J98/2)*H98+I98*H98,0),0)</f>
        <v>391872605</v>
      </c>
      <c r="L98" s="78" t="n">
        <f aca="false">IFERROR(ROUND(AVERAGE('Data Historis 5 Tahun'!J457:J461),0),0)</f>
        <v>1728824</v>
      </c>
      <c r="M98" s="79" t="n">
        <f aca="false">IFERROR(ROUND(AVERAGE('Data Historis 5 Tahun'!K457:K461),0),0)</f>
        <v>382723</v>
      </c>
      <c r="N98" s="79" t="n">
        <f aca="false">IFERROR(ROUND(1.65*AVERAGE('Data Historis 5 Tahun'!N457:N461)*SQRT(AVERAGE('Data Historis 5 Tahun'!H457:H461)),0),0)</f>
        <v>65</v>
      </c>
      <c r="O98" s="80" t="n">
        <f aca="false">IFERROR(ROUND(SQRT(2*F98*L98/M98),0),0)</f>
        <v>411</v>
      </c>
      <c r="P98" s="80" t="n">
        <f aca="false">IFERROR(ROUND((F98/O98)*L98+(O98/2)*M98+N98*M98,0),0)</f>
        <v>182026118</v>
      </c>
      <c r="Q98" s="80" t="n">
        <f aca="false">K98-P98</f>
        <v>209846487</v>
      </c>
      <c r="R98" s="81" t="n">
        <f aca="false">IFERROR(MAX(1,ROUND(O98*0.5,0)),1)</f>
        <v>206</v>
      </c>
      <c r="S98" s="82" t="n">
        <f aca="false">IFERROR(ROUND((F98/R98)*L98,0),0)</f>
        <v>156618027</v>
      </c>
      <c r="T98" s="82" t="n">
        <f aca="false">IFERROR(ROUND((R98/2)*M98+N98*M98,0),0)</f>
        <v>64297464</v>
      </c>
      <c r="U98" s="83" t="n">
        <f aca="false">S98+T98</f>
        <v>220915491</v>
      </c>
      <c r="V98" s="84" t="n">
        <f aca="false">IFERROR(ROUND(O98*1.5,0),1)</f>
        <v>617</v>
      </c>
      <c r="W98" s="85" t="n">
        <f aca="false">IFERROR(ROUND((F98/V98)*L98,0),0)</f>
        <v>52290622</v>
      </c>
      <c r="X98" s="84" t="n">
        <f aca="false">IFERROR(ROUND((F98/V98)*L98+(V98/2)*M98+N98*M98,0),0)</f>
        <v>195237662</v>
      </c>
      <c r="Y98" s="86" t="n">
        <f aca="false">MIN(K98,P98,U98,X98)</f>
        <v>182026118</v>
      </c>
      <c r="Z98" s="87" t="str">
        <f aca="false">IF(Y98=P98,"✅ EOQ (optimal)",IF(Y98=K98,"Q Obs Lama",IF(Y98=U98,"Q Kecil","Q Besar")))</f>
        <v>✅ EOQ (optimal)</v>
      </c>
      <c r="AA98" s="72" t="n">
        <f aca="false">MAX(0,K98-P98)</f>
        <v>209846487</v>
      </c>
      <c r="AB98" s="72" t="n">
        <f aca="false">IFERROR(AA98/K98,0)</f>
        <v>0.53549670051572</v>
      </c>
      <c r="AC98" s="0" t="str">
        <f aca="false">IF(Q98&gt;0,"Gunakan EOQ — hemat Rp "&amp;TEXT(Q98,"#,##0")&amp;"/thn","Tinjau ulang parameter")</f>
        <v>Gunakan EOQ — hemat Rp 209,846,487/thn</v>
      </c>
      <c r="AD98" s="0" t="str">
        <f aca="false">IF(N98&gt;0,"Gunakan EOQ — hemat Rp "&amp;TEXT(N98,"#,##0")&amp;"/thn","Tinjau ulang parameter S &amp; H")</f>
        <v>Gunakan EOQ — hemat Rp 65/thn</v>
      </c>
    </row>
    <row r="99" customFormat="false" ht="15.75" hidden="false" customHeight="true" outlineLevel="0" collapsed="false">
      <c r="A99" s="88" t="n">
        <v>92</v>
      </c>
      <c r="B99" s="88" t="s">
        <v>218</v>
      </c>
      <c r="C99" s="89" t="s">
        <v>219</v>
      </c>
      <c r="D99" s="88" t="s">
        <v>264</v>
      </c>
      <c r="E99" s="88" t="s">
        <v>36</v>
      </c>
      <c r="F99" s="75" t="n">
        <f aca="false">IFERROR(ROUND(AVERAGE('Data Historis 5 Tahun'!I462:I466),0),0)</f>
        <v>7379</v>
      </c>
      <c r="G99" s="75" t="n">
        <f aca="false">IFERROR(ROUND(AVERAGE('Data Historis 5 Tahun'!J462:J466)*1.2476,0),0)</f>
        <v>704779</v>
      </c>
      <c r="H99" s="75" t="n">
        <f aca="false">IFERROR(ROUND(AVERAGE('Data Historis 5 Tahun'!K462:K466)*1.0628,0),0)</f>
        <v>89201</v>
      </c>
      <c r="I99" s="75" t="n">
        <f aca="false">IFERROR(ROUND(1.65*AVERAGE('Data Historis 5 Tahun'!N462:N466)*SQRT(AVERAGE('Data Historis 5 Tahun'!H462:H466)),0),0)</f>
        <v>26</v>
      </c>
      <c r="J99" s="76" t="n">
        <f aca="false">IFERROR(MAX(1,ROUND(F99/12,0)),1)</f>
        <v>615</v>
      </c>
      <c r="K99" s="77" t="n">
        <f aca="false">IFERROR(ROUND((F99/J99)*G99+(J99/2)*H99+I99*H99,0),0)</f>
        <v>38204736</v>
      </c>
      <c r="L99" s="78" t="n">
        <f aca="false">IFERROR(ROUND(AVERAGE('Data Historis 5 Tahun'!J462:J466),0),0)</f>
        <v>564908</v>
      </c>
      <c r="M99" s="79" t="n">
        <f aca="false">IFERROR(ROUND(AVERAGE('Data Historis 5 Tahun'!K462:K466),0),0)</f>
        <v>83931</v>
      </c>
      <c r="N99" s="79" t="n">
        <f aca="false">IFERROR(ROUND(1.65*AVERAGE('Data Historis 5 Tahun'!N462:N466)*SQRT(AVERAGE('Data Historis 5 Tahun'!H462:H466)),0),0)</f>
        <v>26</v>
      </c>
      <c r="O99" s="80" t="n">
        <f aca="false">IFERROR(ROUND(SQRT(2*F99*L99/M99),0),0)</f>
        <v>315</v>
      </c>
      <c r="P99" s="80" t="n">
        <f aca="false">IFERROR(ROUND((F99/O99)*L99+(O99/2)*M99+N99*M99,0),0)</f>
        <v>28634533</v>
      </c>
      <c r="Q99" s="80" t="n">
        <f aca="false">K99-P99</f>
        <v>9570203</v>
      </c>
      <c r="R99" s="81" t="n">
        <f aca="false">IFERROR(MAX(1,ROUND(O99*0.5,0)),1)</f>
        <v>158</v>
      </c>
      <c r="S99" s="82" t="n">
        <f aca="false">IFERROR(ROUND((F99/R99)*L99,0),0)</f>
        <v>26382634</v>
      </c>
      <c r="T99" s="82" t="n">
        <f aca="false">IFERROR(ROUND((R99/2)*M99+N99*M99,0),0)</f>
        <v>8812755</v>
      </c>
      <c r="U99" s="83" t="n">
        <f aca="false">S99+T99</f>
        <v>35195389</v>
      </c>
      <c r="V99" s="84" t="n">
        <f aca="false">IFERROR(ROUND(O99*1.5,0),1)</f>
        <v>473</v>
      </c>
      <c r="W99" s="85" t="n">
        <f aca="false">IFERROR(ROUND((F99/V99)*L99,0),0)</f>
        <v>8812804</v>
      </c>
      <c r="X99" s="84" t="n">
        <f aca="false">IFERROR(ROUND((F99/V99)*L99+(V99/2)*M99+N99*M99,0),0)</f>
        <v>30844691</v>
      </c>
      <c r="Y99" s="86" t="n">
        <f aca="false">MIN(K99,P99,U99,X99)</f>
        <v>28634533</v>
      </c>
      <c r="Z99" s="87" t="str">
        <f aca="false">IF(Y99=P99,"✅ EOQ (optimal)",IF(Y99=K99,"Q Obs Lama",IF(Y99=U99,"Q Kecil","Q Besar")))</f>
        <v>✅ EOQ (optimal)</v>
      </c>
      <c r="AA99" s="72" t="n">
        <f aca="false">MAX(0,K99-P99)</f>
        <v>9570203</v>
      </c>
      <c r="AB99" s="72" t="n">
        <f aca="false">IFERROR(AA99/K99,0)</f>
        <v>0.250497817862162</v>
      </c>
      <c r="AC99" s="0" t="str">
        <f aca="false">IF(Q99&gt;0,"Gunakan EOQ — hemat Rp "&amp;TEXT(Q99,"#,##0")&amp;"/thn","Tinjau ulang parameter")</f>
        <v>Gunakan EOQ — hemat Rp 9,570,203/thn</v>
      </c>
      <c r="AD99" s="0" t="str">
        <f aca="false">IF(N99&gt;0,"Gunakan EOQ — hemat Rp "&amp;TEXT(N99,"#,##0")&amp;"/thn","Tinjau ulang parameter S &amp; H")</f>
        <v>Gunakan EOQ — hemat Rp 26/thn</v>
      </c>
    </row>
    <row r="100" customFormat="false" ht="15.75" hidden="false" customHeight="true" outlineLevel="0" collapsed="false">
      <c r="A100" s="73" t="n">
        <v>93</v>
      </c>
      <c r="B100" s="73" t="s">
        <v>220</v>
      </c>
      <c r="C100" s="74" t="s">
        <v>221</v>
      </c>
      <c r="D100" s="73" t="s">
        <v>264</v>
      </c>
      <c r="E100" s="73" t="s">
        <v>36</v>
      </c>
      <c r="F100" s="75" t="n">
        <f aca="false">IFERROR(ROUND(AVERAGE('Data Historis 5 Tahun'!I467:I471),0),0)</f>
        <v>1228</v>
      </c>
      <c r="G100" s="75" t="n">
        <f aca="false">IFERROR(ROUND(AVERAGE('Data Historis 5 Tahun'!J467:J471)*1.1604,0),0)</f>
        <v>2298576</v>
      </c>
      <c r="H100" s="75" t="n">
        <f aca="false">IFERROR(ROUND(AVERAGE('Data Historis 5 Tahun'!K467:K471)*1.0941,0),0)</f>
        <v>453793</v>
      </c>
      <c r="I100" s="75" t="n">
        <f aca="false">IFERROR(ROUND(1.65*AVERAGE('Data Historis 5 Tahun'!N467:N471)*SQRT(AVERAGE('Data Historis 5 Tahun'!H467:H471)),0),0)</f>
        <v>5</v>
      </c>
      <c r="J100" s="76" t="n">
        <f aca="false">IFERROR(MAX(1,ROUND(F100/12,0)),1)</f>
        <v>102</v>
      </c>
      <c r="K100" s="77" t="n">
        <f aca="false">IFERROR(ROUND((F100/J100)*G100+(J100/2)*H100+I100*H100,0),0)</f>
        <v>53085460</v>
      </c>
      <c r="L100" s="78" t="n">
        <f aca="false">IFERROR(ROUND(AVERAGE('Data Historis 5 Tahun'!J467:J471),0),0)</f>
        <v>1980848</v>
      </c>
      <c r="M100" s="79" t="n">
        <f aca="false">IFERROR(ROUND(AVERAGE('Data Historis 5 Tahun'!K467:K471),0),0)</f>
        <v>414764</v>
      </c>
      <c r="N100" s="79" t="n">
        <f aca="false">IFERROR(ROUND(1.65*AVERAGE('Data Historis 5 Tahun'!N467:N471)*SQRT(AVERAGE('Data Historis 5 Tahun'!H467:H471)),0),0)</f>
        <v>5</v>
      </c>
      <c r="O100" s="80" t="n">
        <f aca="false">IFERROR(ROUND(SQRT(2*F100*L100/M100),0),0)</f>
        <v>108</v>
      </c>
      <c r="P100" s="80" t="n">
        <f aca="false">IFERROR(ROUND((F100/O100)*L100+(O100/2)*M100+N100*M100,0),0)</f>
        <v>46994051</v>
      </c>
      <c r="Q100" s="80" t="n">
        <f aca="false">K100-P100</f>
        <v>6091409</v>
      </c>
      <c r="R100" s="81" t="n">
        <f aca="false">IFERROR(MAX(1,ROUND(O100*0.5,0)),1)</f>
        <v>54</v>
      </c>
      <c r="S100" s="82" t="n">
        <f aca="false">IFERROR(ROUND((F100/R100)*L100,0),0)</f>
        <v>45045951</v>
      </c>
      <c r="T100" s="82" t="n">
        <f aca="false">IFERROR(ROUND((R100/2)*M100+N100*M100,0),0)</f>
        <v>13272448</v>
      </c>
      <c r="U100" s="83" t="n">
        <f aca="false">S100+T100</f>
        <v>58318399</v>
      </c>
      <c r="V100" s="84" t="n">
        <f aca="false">IFERROR(ROUND(O100*1.5,0),1)</f>
        <v>162</v>
      </c>
      <c r="W100" s="85" t="n">
        <f aca="false">IFERROR(ROUND((F100/V100)*L100,0),0)</f>
        <v>15015317</v>
      </c>
      <c r="X100" s="84" t="n">
        <f aca="false">IFERROR(ROUND((F100/V100)*L100+(V100/2)*M100+N100*M100,0),0)</f>
        <v>50685021</v>
      </c>
      <c r="Y100" s="86" t="n">
        <f aca="false">MIN(K100,P100,U100,X100)</f>
        <v>46994051</v>
      </c>
      <c r="Z100" s="87" t="str">
        <f aca="false">IF(Y100=P100,"✅ EOQ (optimal)",IF(Y100=K100,"Q Obs Lama",IF(Y100=U100,"Q Kecil","Q Besar")))</f>
        <v>✅ EOQ (optimal)</v>
      </c>
      <c r="AA100" s="72" t="n">
        <f aca="false">MAX(0,K100-P100)</f>
        <v>6091409</v>
      </c>
      <c r="AB100" s="72" t="n">
        <f aca="false">IFERROR(AA100/K100,0)</f>
        <v>0.11474722080208</v>
      </c>
      <c r="AC100" s="0" t="str">
        <f aca="false">IF(Q100&gt;0,"Gunakan EOQ — hemat Rp "&amp;TEXT(Q100,"#,##0")&amp;"/thn","Tinjau ulang parameter")</f>
        <v>Gunakan EOQ — hemat Rp 6,091,409/thn</v>
      </c>
      <c r="AD100" s="0" t="str">
        <f aca="false">IF(N100&gt;0,"Gunakan EOQ — hemat Rp "&amp;TEXT(N100,"#,##0")&amp;"/thn","Tinjau ulang parameter S &amp; H")</f>
        <v>Gunakan EOQ — hemat Rp 5/thn</v>
      </c>
    </row>
    <row r="101" customFormat="false" ht="15.75" hidden="false" customHeight="true" outlineLevel="0" collapsed="false">
      <c r="A101" s="88" t="n">
        <v>94</v>
      </c>
      <c r="B101" s="88" t="s">
        <v>222</v>
      </c>
      <c r="C101" s="89" t="s">
        <v>223</v>
      </c>
      <c r="D101" s="88" t="s">
        <v>263</v>
      </c>
      <c r="E101" s="88" t="s">
        <v>36</v>
      </c>
      <c r="F101" s="75" t="n">
        <f aca="false">IFERROR(ROUND(AVERAGE('Data Historis 5 Tahun'!I472:I476),0),0)</f>
        <v>2277</v>
      </c>
      <c r="G101" s="75" t="n">
        <f aca="false">IFERROR(ROUND(AVERAGE('Data Historis 5 Tahun'!J472:J476)*1.2293,0),0)</f>
        <v>1250972</v>
      </c>
      <c r="H101" s="75" t="n">
        <f aca="false">IFERROR(ROUND(AVERAGE('Data Historis 5 Tahun'!K472:K476)*1.0823,0),0)</f>
        <v>318923</v>
      </c>
      <c r="I101" s="75" t="n">
        <f aca="false">IFERROR(ROUND(1.65*AVERAGE('Data Historis 5 Tahun'!N472:N476)*SQRT(AVERAGE('Data Historis 5 Tahun'!H472:H476)),0),0)</f>
        <v>5</v>
      </c>
      <c r="J101" s="76" t="n">
        <f aca="false">IFERROR(MAX(1,ROUND(F101/12,0)),1)</f>
        <v>190</v>
      </c>
      <c r="K101" s="77" t="n">
        <f aca="false">IFERROR(ROUND((F101/J101)*G101+(J101/2)*H101+I101*H101,0),0)</f>
        <v>46884212</v>
      </c>
      <c r="L101" s="78" t="n">
        <f aca="false">IFERROR(ROUND(AVERAGE('Data Historis 5 Tahun'!J472:J476),0),0)</f>
        <v>1017629</v>
      </c>
      <c r="M101" s="79" t="n">
        <f aca="false">IFERROR(ROUND(AVERAGE('Data Historis 5 Tahun'!K472:K476),0),0)</f>
        <v>294671</v>
      </c>
      <c r="N101" s="79" t="n">
        <f aca="false">IFERROR(ROUND(1.65*AVERAGE('Data Historis 5 Tahun'!N472:N476)*SQRT(AVERAGE('Data Historis 5 Tahun'!H472:H476)),0),0)</f>
        <v>5</v>
      </c>
      <c r="O101" s="80" t="n">
        <f aca="false">IFERROR(ROUND(SQRT(2*F101*L101/M101),0),0)</f>
        <v>125</v>
      </c>
      <c r="P101" s="80" t="n">
        <f aca="false">IFERROR(ROUND((F101/O101)*L101+(O101/2)*M101+N101*M101,0),0)</f>
        <v>38427422</v>
      </c>
      <c r="Q101" s="80" t="n">
        <f aca="false">K101-P101</f>
        <v>8456790</v>
      </c>
      <c r="R101" s="81" t="n">
        <f aca="false">IFERROR(MAX(1,ROUND(O101*0.5,0)),1)</f>
        <v>63</v>
      </c>
      <c r="S101" s="82" t="n">
        <f aca="false">IFERROR(ROUND((F101/R101)*L101,0),0)</f>
        <v>36780020</v>
      </c>
      <c r="T101" s="82" t="n">
        <f aca="false">IFERROR(ROUND((R101/2)*M101+N101*M101,0),0)</f>
        <v>10755492</v>
      </c>
      <c r="U101" s="83" t="n">
        <f aca="false">S101+T101</f>
        <v>47535512</v>
      </c>
      <c r="V101" s="84" t="n">
        <f aca="false">IFERROR(ROUND(O101*1.5,0),1)</f>
        <v>188</v>
      </c>
      <c r="W101" s="85" t="n">
        <f aca="false">IFERROR(ROUND((F101/V101)*L101,0),0)</f>
        <v>12325219</v>
      </c>
      <c r="X101" s="84" t="n">
        <f aca="false">IFERROR(ROUND((F101/V101)*L101+(V101/2)*M101+N101*M101,0),0)</f>
        <v>41497648</v>
      </c>
      <c r="Y101" s="86" t="n">
        <f aca="false">MIN(K101,P101,U101,X101)</f>
        <v>38427422</v>
      </c>
      <c r="Z101" s="87" t="str">
        <f aca="false">IF(Y101=P101,"✅ EOQ (optimal)",IF(Y101=K101,"Q Obs Lama",IF(Y101=U101,"Q Kecil","Q Besar")))</f>
        <v>✅ EOQ (optimal)</v>
      </c>
      <c r="AA101" s="72" t="n">
        <f aca="false">MAX(0,K101-P101)</f>
        <v>8456790</v>
      </c>
      <c r="AB101" s="72" t="n">
        <f aca="false">IFERROR(AA101/K101,0)</f>
        <v>0.180376072013325</v>
      </c>
      <c r="AC101" s="0" t="str">
        <f aca="false">IF(Q101&gt;0,"Gunakan EOQ — hemat Rp "&amp;TEXT(Q101,"#,##0")&amp;"/thn","Tinjau ulang parameter")</f>
        <v>Gunakan EOQ — hemat Rp 8,456,790/thn</v>
      </c>
      <c r="AD101" s="0" t="str">
        <f aca="false">IF(N101&gt;0,"Gunakan EOQ — hemat Rp "&amp;TEXT(N101,"#,##0")&amp;"/thn","Tinjau ulang parameter S &amp; H")</f>
        <v>Gunakan EOQ — hemat Rp 5/thn</v>
      </c>
    </row>
    <row r="102" customFormat="false" ht="15.75" hidden="false" customHeight="true" outlineLevel="0" collapsed="false">
      <c r="A102" s="73" t="n">
        <v>95</v>
      </c>
      <c r="B102" s="73" t="s">
        <v>224</v>
      </c>
      <c r="C102" s="74" t="s">
        <v>225</v>
      </c>
      <c r="D102" s="73" t="s">
        <v>263</v>
      </c>
      <c r="E102" s="73" t="s">
        <v>36</v>
      </c>
      <c r="F102" s="75" t="n">
        <f aca="false">IFERROR(ROUND(AVERAGE('Data Historis 5 Tahun'!I477:I481),0),0)</f>
        <v>20812</v>
      </c>
      <c r="G102" s="75" t="n">
        <f aca="false">IFERROR(ROUND(AVERAGE('Data Historis 5 Tahun'!J477:J481)*1.1285,0),0)</f>
        <v>2055186</v>
      </c>
      <c r="H102" s="75" t="n">
        <f aca="false">IFERROR(ROUND(AVERAGE('Data Historis 5 Tahun'!K477:K481)*1.1083,0),0)</f>
        <v>169590</v>
      </c>
      <c r="I102" s="75" t="n">
        <f aca="false">IFERROR(ROUND(1.65*AVERAGE('Data Historis 5 Tahun'!N477:N481)*SQRT(AVERAGE('Data Historis 5 Tahun'!H477:H481)),0),0)</f>
        <v>48</v>
      </c>
      <c r="J102" s="76" t="n">
        <f aca="false">IFERROR(MAX(1,ROUND(F102/12,0)),1)</f>
        <v>1734</v>
      </c>
      <c r="K102" s="77" t="n">
        <f aca="false">IFERROR(ROUND((F102/J102)*G102+(J102/2)*H102+I102*H102,0),0)</f>
        <v>179841823</v>
      </c>
      <c r="L102" s="78" t="n">
        <f aca="false">IFERROR(ROUND(AVERAGE('Data Historis 5 Tahun'!J477:J481),0),0)</f>
        <v>1821166</v>
      </c>
      <c r="M102" s="79" t="n">
        <f aca="false">IFERROR(ROUND(AVERAGE('Data Historis 5 Tahun'!K477:K481),0),0)</f>
        <v>153018</v>
      </c>
      <c r="N102" s="79" t="n">
        <f aca="false">IFERROR(ROUND(1.65*AVERAGE('Data Historis 5 Tahun'!N477:N481)*SQRT(AVERAGE('Data Historis 5 Tahun'!H477:H481)),0),0)</f>
        <v>48</v>
      </c>
      <c r="O102" s="80" t="n">
        <f aca="false">IFERROR(ROUND(SQRT(2*F102*L102/M102),0),0)</f>
        <v>704</v>
      </c>
      <c r="P102" s="80" t="n">
        <f aca="false">IFERROR(ROUND((F102/O102)*L102+(O102/2)*M102+N102*M102,0),0)</f>
        <v>115045420</v>
      </c>
      <c r="Q102" s="80" t="n">
        <f aca="false">K102-P102</f>
        <v>64796403</v>
      </c>
      <c r="R102" s="81" t="n">
        <f aca="false">IFERROR(MAX(1,ROUND(O102*0.5,0)),1)</f>
        <v>352</v>
      </c>
      <c r="S102" s="82" t="n">
        <f aca="false">IFERROR(ROUND((F102/R102)*L102,0),0)</f>
        <v>107676440</v>
      </c>
      <c r="T102" s="82" t="n">
        <f aca="false">IFERROR(ROUND((R102/2)*M102+N102*M102,0),0)</f>
        <v>34276032</v>
      </c>
      <c r="U102" s="83" t="n">
        <f aca="false">S102+T102</f>
        <v>141952472</v>
      </c>
      <c r="V102" s="84" t="n">
        <f aca="false">IFERROR(ROUND(O102*1.5,0),1)</f>
        <v>1056</v>
      </c>
      <c r="W102" s="85" t="n">
        <f aca="false">IFERROR(ROUND((F102/V102)*L102,0),0)</f>
        <v>35892147</v>
      </c>
      <c r="X102" s="84" t="n">
        <f aca="false">IFERROR(ROUND((F102/V102)*L102+(V102/2)*M102+N102*M102,0),0)</f>
        <v>124030515</v>
      </c>
      <c r="Y102" s="86" t="n">
        <f aca="false">MIN(K102,P102,U102,X102)</f>
        <v>115045420</v>
      </c>
      <c r="Z102" s="87" t="str">
        <f aca="false">IF(Y102=P102,"✅ EOQ (optimal)",IF(Y102=K102,"Q Obs Lama",IF(Y102=U102,"Q Kecil","Q Besar")))</f>
        <v>✅ EOQ (optimal)</v>
      </c>
      <c r="AA102" s="72" t="n">
        <f aca="false">MAX(0,K102-P102)</f>
        <v>64796403</v>
      </c>
      <c r="AB102" s="72" t="n">
        <f aca="false">IFERROR(AA102/K102,0)</f>
        <v>0.360296631334748</v>
      </c>
      <c r="AC102" s="0" t="str">
        <f aca="false">IF(Q102&gt;0,"Gunakan EOQ — hemat Rp "&amp;TEXT(Q102,"#,##0")&amp;"/thn","Tinjau ulang parameter")</f>
        <v>Gunakan EOQ — hemat Rp 64,796,403/thn</v>
      </c>
      <c r="AD102" s="0" t="str">
        <f aca="false">IF(N102&gt;0,"Gunakan EOQ — hemat Rp "&amp;TEXT(N102,"#,##0")&amp;"/thn","Tinjau ulang parameter S &amp; H")</f>
        <v>Gunakan EOQ — hemat Rp 48/thn</v>
      </c>
    </row>
    <row r="103" customFormat="false" ht="15.75" hidden="false" customHeight="true" outlineLevel="0" collapsed="false">
      <c r="A103" s="88" t="n">
        <v>96</v>
      </c>
      <c r="B103" s="88" t="s">
        <v>226</v>
      </c>
      <c r="C103" s="89" t="s">
        <v>227</v>
      </c>
      <c r="D103" s="88" t="s">
        <v>264</v>
      </c>
      <c r="E103" s="88" t="s">
        <v>36</v>
      </c>
      <c r="F103" s="75" t="n">
        <f aca="false">IFERROR(ROUND(AVERAGE('Data Historis 5 Tahun'!I482:I486),0),0)</f>
        <v>37882</v>
      </c>
      <c r="G103" s="75" t="n">
        <f aca="false">IFERROR(ROUND(AVERAGE('Data Historis 5 Tahun'!J482:J486)*1.1633,0),0)</f>
        <v>1667826</v>
      </c>
      <c r="H103" s="75" t="n">
        <f aca="false">IFERROR(ROUND(AVERAGE('Data Historis 5 Tahun'!K482:K486)*1.0862,0),0)</f>
        <v>425156</v>
      </c>
      <c r="I103" s="75" t="n">
        <f aca="false">IFERROR(ROUND(1.65*AVERAGE('Data Historis 5 Tahun'!N482:N486)*SQRT(AVERAGE('Data Historis 5 Tahun'!H482:H486)),0),0)</f>
        <v>120</v>
      </c>
      <c r="J103" s="76" t="n">
        <f aca="false">IFERROR(MAX(1,ROUND(F103/12,0)),1)</f>
        <v>3157</v>
      </c>
      <c r="K103" s="77" t="n">
        <f aca="false">IFERROR(ROUND((F103/J103)*G103+(J103/2)*H103+I103*H103,0),0)</f>
        <v>742140321</v>
      </c>
      <c r="L103" s="78" t="n">
        <f aca="false">IFERROR(ROUND(AVERAGE('Data Historis 5 Tahun'!J482:J486),0),0)</f>
        <v>1433703</v>
      </c>
      <c r="M103" s="79" t="n">
        <f aca="false">IFERROR(ROUND(AVERAGE('Data Historis 5 Tahun'!K482:K486),0),0)</f>
        <v>391416</v>
      </c>
      <c r="N103" s="79" t="n">
        <f aca="false">IFERROR(ROUND(1.65*AVERAGE('Data Historis 5 Tahun'!N482:N486)*SQRT(AVERAGE('Data Historis 5 Tahun'!H482:H486)),0),0)</f>
        <v>120</v>
      </c>
      <c r="O103" s="80" t="n">
        <f aca="false">IFERROR(ROUND(SQRT(2*F103*L103/M103),0),0)</f>
        <v>527</v>
      </c>
      <c r="P103" s="80" t="n">
        <f aca="false">IFERROR(ROUND((F103/O103)*L103+(O103/2)*M103+N103*M103,0),0)</f>
        <v>253165981</v>
      </c>
      <c r="Q103" s="80" t="n">
        <f aca="false">K103-P103</f>
        <v>488974340</v>
      </c>
      <c r="R103" s="81" t="n">
        <f aca="false">IFERROR(MAX(1,ROUND(O103*0.5,0)),1)</f>
        <v>264</v>
      </c>
      <c r="S103" s="82" t="n">
        <f aca="false">IFERROR(ROUND((F103/R103)*L103,0),0)</f>
        <v>205725519</v>
      </c>
      <c r="T103" s="82" t="n">
        <f aca="false">IFERROR(ROUND((R103/2)*M103+N103*M103,0),0)</f>
        <v>98636832</v>
      </c>
      <c r="U103" s="83" t="n">
        <f aca="false">S103+T103</f>
        <v>304362351</v>
      </c>
      <c r="V103" s="84" t="n">
        <f aca="false">IFERROR(ROUND(O103*1.5,0),1)</f>
        <v>791</v>
      </c>
      <c r="W103" s="85" t="n">
        <f aca="false">IFERROR(ROUND((F103/V103)*L103,0),0)</f>
        <v>68661867</v>
      </c>
      <c r="X103" s="84" t="n">
        <f aca="false">IFERROR(ROUND((F103/V103)*L103+(V103/2)*M103+N103*M103,0),0)</f>
        <v>270436815</v>
      </c>
      <c r="Y103" s="86" t="n">
        <f aca="false">MIN(K103,P103,U103,X103)</f>
        <v>253165981</v>
      </c>
      <c r="Z103" s="87" t="str">
        <f aca="false">IF(Y103=P103,"✅ EOQ (optimal)",IF(Y103=K103,"Q Obs Lama",IF(Y103=U103,"Q Kecil","Q Besar")))</f>
        <v>✅ EOQ (optimal)</v>
      </c>
      <c r="AA103" s="72" t="n">
        <f aca="false">MAX(0,K103-P103)</f>
        <v>488974340</v>
      </c>
      <c r="AB103" s="72" t="n">
        <f aca="false">IFERROR(AA103/K103,0)</f>
        <v>0.658870467166007</v>
      </c>
      <c r="AC103" s="0" t="str">
        <f aca="false">IF(Q103&gt;0,"Gunakan EOQ — hemat Rp "&amp;TEXT(Q103,"#,##0")&amp;"/thn","Tinjau ulang parameter")</f>
        <v>Gunakan EOQ — hemat Rp 488,974,340/thn</v>
      </c>
      <c r="AD103" s="0" t="str">
        <f aca="false">IF(N103&gt;0,"Gunakan EOQ — hemat Rp "&amp;TEXT(N103,"#,##0")&amp;"/thn","Tinjau ulang parameter S &amp; H")</f>
        <v>Gunakan EOQ — hemat Rp 120/thn</v>
      </c>
    </row>
    <row r="104" customFormat="false" ht="15.75" hidden="false" customHeight="true" outlineLevel="0" collapsed="false">
      <c r="A104" s="73" t="n">
        <v>97</v>
      </c>
      <c r="B104" s="73" t="s">
        <v>228</v>
      </c>
      <c r="C104" s="74" t="s">
        <v>229</v>
      </c>
      <c r="D104" s="73" t="s">
        <v>264</v>
      </c>
      <c r="E104" s="73" t="s">
        <v>36</v>
      </c>
      <c r="F104" s="75" t="n">
        <f aca="false">IFERROR(ROUND(AVERAGE('Data Historis 5 Tahun'!I487:I491),0),0)</f>
        <v>26110</v>
      </c>
      <c r="G104" s="75" t="n">
        <f aca="false">IFERROR(ROUND(AVERAGE('Data Historis 5 Tahun'!J487:J491)*1.1375,0),0)</f>
        <v>2542051</v>
      </c>
      <c r="H104" s="75" t="n">
        <f aca="false">IFERROR(ROUND(AVERAGE('Data Historis 5 Tahun'!K487:K491)*1.17,0),0)</f>
        <v>666662</v>
      </c>
      <c r="I104" s="75" t="n">
        <f aca="false">IFERROR(ROUND(1.65*AVERAGE('Data Historis 5 Tahun'!N487:N491)*SQRT(AVERAGE('Data Historis 5 Tahun'!H487:H491)),0),0)</f>
        <v>85</v>
      </c>
      <c r="J104" s="76" t="n">
        <f aca="false">IFERROR(MAX(1,ROUND(F104/12,0)),1)</f>
        <v>2176</v>
      </c>
      <c r="K104" s="77" t="n">
        <f aca="false">IFERROR(ROUND((F104/J104)*G104+(J104/2)*H104+I104*H104,0),0)</f>
        <v>812496802</v>
      </c>
      <c r="L104" s="78" t="n">
        <f aca="false">IFERROR(ROUND(AVERAGE('Data Historis 5 Tahun'!J487:J491),0),0)</f>
        <v>2234770</v>
      </c>
      <c r="M104" s="79" t="n">
        <f aca="false">IFERROR(ROUND(AVERAGE('Data Historis 5 Tahun'!K487:K491),0),0)</f>
        <v>569797</v>
      </c>
      <c r="N104" s="79" t="n">
        <f aca="false">IFERROR(ROUND(1.65*AVERAGE('Data Historis 5 Tahun'!N487:N491)*SQRT(AVERAGE('Data Historis 5 Tahun'!H487:H491)),0),0)</f>
        <v>85</v>
      </c>
      <c r="O104" s="80" t="n">
        <f aca="false">IFERROR(ROUND(SQRT(2*F104*L104/M104),0),0)</f>
        <v>453</v>
      </c>
      <c r="P104" s="80" t="n">
        <f aca="false">IFERROR(ROUND((F104/O104)*L104+(O104/2)*M104+N104*M104,0),0)</f>
        <v>306299370</v>
      </c>
      <c r="Q104" s="80" t="n">
        <f aca="false">K104-P104</f>
        <v>506197432</v>
      </c>
      <c r="R104" s="81" t="n">
        <f aca="false">IFERROR(MAX(1,ROUND(O104*0.5,0)),1)</f>
        <v>227</v>
      </c>
      <c r="S104" s="82" t="n">
        <f aca="false">IFERROR(ROUND((F104/R104)*L104,0),0)</f>
        <v>257047774</v>
      </c>
      <c r="T104" s="82" t="n">
        <f aca="false">IFERROR(ROUND((R104/2)*M104+N104*M104,0),0)</f>
        <v>113104705</v>
      </c>
      <c r="U104" s="83" t="n">
        <f aca="false">S104+T104</f>
        <v>370152479</v>
      </c>
      <c r="V104" s="84" t="n">
        <f aca="false">IFERROR(ROUND(O104*1.5,0),1)</f>
        <v>680</v>
      </c>
      <c r="W104" s="85" t="n">
        <f aca="false">IFERROR(ROUND((F104/V104)*L104,0),0)</f>
        <v>85808595</v>
      </c>
      <c r="X104" s="84" t="n">
        <f aca="false">IFERROR(ROUND((F104/V104)*L104+(V104/2)*M104+N104*M104,0),0)</f>
        <v>327972320</v>
      </c>
      <c r="Y104" s="86" t="n">
        <f aca="false">MIN(K104,P104,U104,X104)</f>
        <v>306299370</v>
      </c>
      <c r="Z104" s="87" t="str">
        <f aca="false">IF(Y104=P104,"✅ EOQ (optimal)",IF(Y104=K104,"Q Obs Lama",IF(Y104=U104,"Q Kecil","Q Besar")))</f>
        <v>✅ EOQ (optimal)</v>
      </c>
      <c r="AA104" s="72" t="n">
        <f aca="false">MAX(0,K104-P104)</f>
        <v>506197432</v>
      </c>
      <c r="AB104" s="72" t="n">
        <f aca="false">IFERROR(AA104/K104,0)</f>
        <v>0.623014676185765</v>
      </c>
      <c r="AC104" s="0" t="str">
        <f aca="false">IF(Q104&gt;0,"Gunakan EOQ — hemat Rp "&amp;TEXT(Q104,"#,##0")&amp;"/thn","Tinjau ulang parameter")</f>
        <v>Gunakan EOQ — hemat Rp 506,197,432/thn</v>
      </c>
      <c r="AD104" s="0" t="str">
        <f aca="false">IF(N104&gt;0,"Gunakan EOQ — hemat Rp "&amp;TEXT(N104,"#,##0")&amp;"/thn","Tinjau ulang parameter S &amp; H")</f>
        <v>Gunakan EOQ — hemat Rp 85/thn</v>
      </c>
    </row>
    <row r="105" customFormat="false" ht="15.75" hidden="false" customHeight="true" outlineLevel="0" collapsed="false">
      <c r="A105" s="88" t="n">
        <v>98</v>
      </c>
      <c r="B105" s="88" t="s">
        <v>230</v>
      </c>
      <c r="C105" s="89" t="s">
        <v>231</v>
      </c>
      <c r="D105" s="88" t="s">
        <v>264</v>
      </c>
      <c r="E105" s="88" t="s">
        <v>36</v>
      </c>
      <c r="F105" s="75" t="n">
        <f aca="false">IFERROR(ROUND(AVERAGE('Data Historis 5 Tahun'!I492:I496),0),0)</f>
        <v>12630</v>
      </c>
      <c r="G105" s="75" t="n">
        <f aca="false">IFERROR(ROUND(AVERAGE('Data Historis 5 Tahun'!J492:J496)*1.1665,0),0)</f>
        <v>9773056</v>
      </c>
      <c r="H105" s="75" t="n">
        <f aca="false">IFERROR(ROUND(AVERAGE('Data Historis 5 Tahun'!K492:K496)*1.162,0),0)</f>
        <v>538288</v>
      </c>
      <c r="I105" s="75" t="n">
        <f aca="false">IFERROR(ROUND(1.65*AVERAGE('Data Historis 5 Tahun'!N492:N496)*SQRT(AVERAGE('Data Historis 5 Tahun'!H492:H496)),0),0)</f>
        <v>79</v>
      </c>
      <c r="J105" s="76" t="n">
        <f aca="false">IFERROR(MAX(1,ROUND(F105/12,0)),1)</f>
        <v>1053</v>
      </c>
      <c r="K105" s="77" t="n">
        <f aca="false">IFERROR(ROUND((F105/J105)*G105+(J105/2)*H105+I105*H105,0),0)</f>
        <v>443154369</v>
      </c>
      <c r="L105" s="78" t="n">
        <f aca="false">IFERROR(ROUND(AVERAGE('Data Historis 5 Tahun'!J492:J496),0),0)</f>
        <v>8378102</v>
      </c>
      <c r="M105" s="79" t="n">
        <f aca="false">IFERROR(ROUND(AVERAGE('Data Historis 5 Tahun'!K492:K496),0),0)</f>
        <v>463243</v>
      </c>
      <c r="N105" s="79" t="n">
        <f aca="false">IFERROR(ROUND(1.65*AVERAGE('Data Historis 5 Tahun'!N492:N496)*SQRT(AVERAGE('Data Historis 5 Tahun'!H492:H496)),0),0)</f>
        <v>79</v>
      </c>
      <c r="O105" s="80" t="n">
        <f aca="false">IFERROR(ROUND(SQRT(2*F105*L105/M105),0),0)</f>
        <v>676</v>
      </c>
      <c r="P105" s="80" t="n">
        <f aca="false">IFERROR(ROUND((F105/O105)*L105+(O105/2)*M105+N105*M105,0),0)</f>
        <v>349704030</v>
      </c>
      <c r="Q105" s="80" t="n">
        <f aca="false">K105-P105</f>
        <v>93450339</v>
      </c>
      <c r="R105" s="81" t="n">
        <f aca="false">IFERROR(MAX(1,ROUND(O105*0.5,0)),1)</f>
        <v>338</v>
      </c>
      <c r="S105" s="82" t="n">
        <f aca="false">IFERROR(ROUND((F105/R105)*L105,0),0)</f>
        <v>313063397</v>
      </c>
      <c r="T105" s="82" t="n">
        <f aca="false">IFERROR(ROUND((R105/2)*M105+N105*M105,0),0)</f>
        <v>114884264</v>
      </c>
      <c r="U105" s="83" t="n">
        <f aca="false">S105+T105</f>
        <v>427947661</v>
      </c>
      <c r="V105" s="84" t="n">
        <f aca="false">IFERROR(ROUND(O105*1.5,0),1)</f>
        <v>1014</v>
      </c>
      <c r="W105" s="85" t="n">
        <f aca="false">IFERROR(ROUND((F105/V105)*L105,0),0)</f>
        <v>104354466</v>
      </c>
      <c r="X105" s="84" t="n">
        <f aca="false">IFERROR(ROUND((F105/V105)*L105+(V105/2)*M105+N105*M105,0),0)</f>
        <v>375814864</v>
      </c>
      <c r="Y105" s="86" t="n">
        <f aca="false">MIN(K105,P105,U105,X105)</f>
        <v>349704030</v>
      </c>
      <c r="Z105" s="87" t="str">
        <f aca="false">IF(Y105=P105,"✅ EOQ (optimal)",IF(Y105=K105,"Q Obs Lama",IF(Y105=U105,"Q Kecil","Q Besar")))</f>
        <v>✅ EOQ (optimal)</v>
      </c>
      <c r="AA105" s="72" t="n">
        <f aca="false">MAX(0,K105-P105)</f>
        <v>93450339</v>
      </c>
      <c r="AB105" s="72" t="n">
        <f aca="false">IFERROR(AA105/K105,0)</f>
        <v>0.210875364290948</v>
      </c>
      <c r="AC105" s="0" t="str">
        <f aca="false">IF(Q105&gt;0,"Gunakan EOQ — hemat Rp "&amp;TEXT(Q105,"#,##0")&amp;"/thn","Tinjau ulang parameter")</f>
        <v>Gunakan EOQ — hemat Rp 93,450,339/thn</v>
      </c>
      <c r="AD105" s="0" t="str">
        <f aca="false">IF(N105&gt;0,"Gunakan EOQ — hemat Rp "&amp;TEXT(N105,"#,##0")&amp;"/thn","Tinjau ulang parameter S &amp; H")</f>
        <v>Gunakan EOQ — hemat Rp 79/thn</v>
      </c>
    </row>
    <row r="106" customFormat="false" ht="15.75" hidden="false" customHeight="true" outlineLevel="0" collapsed="false">
      <c r="A106" s="73" t="n">
        <v>99</v>
      </c>
      <c r="B106" s="73" t="s">
        <v>232</v>
      </c>
      <c r="C106" s="74" t="s">
        <v>233</v>
      </c>
      <c r="D106" s="73" t="s">
        <v>263</v>
      </c>
      <c r="E106" s="73" t="s">
        <v>36</v>
      </c>
      <c r="F106" s="75" t="n">
        <f aca="false">IFERROR(ROUND(AVERAGE('Data Historis 5 Tahun'!I497:I501),0),0)</f>
        <v>48966</v>
      </c>
      <c r="G106" s="75" t="n">
        <f aca="false">IFERROR(ROUND(AVERAGE('Data Historis 5 Tahun'!J497:J501)*1.1825,0),0)</f>
        <v>1875302</v>
      </c>
      <c r="H106" s="75" t="n">
        <f aca="false">IFERROR(ROUND(AVERAGE('Data Historis 5 Tahun'!K497:K501)*1.0566,0),0)</f>
        <v>262529</v>
      </c>
      <c r="I106" s="75" t="n">
        <f aca="false">IFERROR(ROUND(1.65*AVERAGE('Data Historis 5 Tahun'!N497:N501)*SQRT(AVERAGE('Data Historis 5 Tahun'!H497:H501)),0),0)</f>
        <v>160</v>
      </c>
      <c r="J106" s="76" t="n">
        <f aca="false">IFERROR(MAX(1,ROUND(F106/12,0)),1)</f>
        <v>4081</v>
      </c>
      <c r="K106" s="77" t="n">
        <f aca="false">IFERROR(ROUND((F106/J106)*G106+(J106/2)*H106+I106*H106,0),0)</f>
        <v>600195931</v>
      </c>
      <c r="L106" s="78" t="n">
        <f aca="false">IFERROR(ROUND(AVERAGE('Data Historis 5 Tahun'!J497:J501),0),0)</f>
        <v>1585879</v>
      </c>
      <c r="M106" s="79" t="n">
        <f aca="false">IFERROR(ROUND(AVERAGE('Data Historis 5 Tahun'!K497:K501),0),0)</f>
        <v>248465</v>
      </c>
      <c r="N106" s="79" t="n">
        <f aca="false">IFERROR(ROUND(1.65*AVERAGE('Data Historis 5 Tahun'!N497:N501)*SQRT(AVERAGE('Data Historis 5 Tahun'!H497:H501)),0),0)</f>
        <v>160</v>
      </c>
      <c r="O106" s="80" t="n">
        <f aca="false">IFERROR(ROUND(SQRT(2*F106*L106/M106),0),0)</f>
        <v>791</v>
      </c>
      <c r="P106" s="80" t="n">
        <f aca="false">IFERROR(ROUND((F106/O106)*L106+(O106/2)*M106+N106*M106,0),0)</f>
        <v>236194433</v>
      </c>
      <c r="Q106" s="80" t="n">
        <f aca="false">K106-P106</f>
        <v>364001498</v>
      </c>
      <c r="R106" s="81" t="n">
        <f aca="false">IFERROR(MAX(1,ROUND(O106*0.5,0)),1)</f>
        <v>396</v>
      </c>
      <c r="S106" s="82" t="n">
        <f aca="false">IFERROR(ROUND((F106/R106)*L106,0),0)</f>
        <v>196096341</v>
      </c>
      <c r="T106" s="82" t="n">
        <f aca="false">IFERROR(ROUND((R106/2)*M106+N106*M106,0),0)</f>
        <v>88950470</v>
      </c>
      <c r="U106" s="83" t="n">
        <f aca="false">S106+T106</f>
        <v>285046811</v>
      </c>
      <c r="V106" s="84" t="n">
        <f aca="false">IFERROR(ROUND(O106*1.5,0),1)</f>
        <v>1187</v>
      </c>
      <c r="W106" s="85" t="n">
        <f aca="false">IFERROR(ROUND((F106/V106)*L106,0),0)</f>
        <v>65420515</v>
      </c>
      <c r="X106" s="84" t="n">
        <f aca="false">IFERROR(ROUND((F106/V106)*L106+(V106/2)*M106+N106*M106,0),0)</f>
        <v>252638892</v>
      </c>
      <c r="Y106" s="86" t="n">
        <f aca="false">MIN(K106,P106,U106,X106)</f>
        <v>236194433</v>
      </c>
      <c r="Z106" s="87" t="str">
        <f aca="false">IF(Y106=P106,"✅ EOQ (optimal)",IF(Y106=K106,"Q Obs Lama",IF(Y106=U106,"Q Kecil","Q Besar")))</f>
        <v>✅ EOQ (optimal)</v>
      </c>
      <c r="AA106" s="72" t="n">
        <f aca="false">MAX(0,K106-P106)</f>
        <v>364001498</v>
      </c>
      <c r="AB106" s="72" t="n">
        <f aca="false">IFERROR(AA106/K106,0)</f>
        <v>0.60647111917858</v>
      </c>
      <c r="AC106" s="0" t="str">
        <f aca="false">IF(Q106&gt;0,"Gunakan EOQ — hemat Rp "&amp;TEXT(Q106,"#,##0")&amp;"/thn","Tinjau ulang parameter")</f>
        <v>Gunakan EOQ — hemat Rp 364,001,498/thn</v>
      </c>
      <c r="AD106" s="0" t="str">
        <f aca="false">IF(N106&gt;0,"Gunakan EOQ — hemat Rp "&amp;TEXT(N106,"#,##0")&amp;"/thn","Tinjau ulang parameter S &amp; H")</f>
        <v>Gunakan EOQ — hemat Rp 160/thn</v>
      </c>
    </row>
    <row r="107" customFormat="false" ht="15.75" hidden="false" customHeight="true" outlineLevel="0" collapsed="false">
      <c r="A107" s="88" t="n">
        <v>100</v>
      </c>
      <c r="B107" s="88" t="s">
        <v>234</v>
      </c>
      <c r="C107" s="89" t="s">
        <v>235</v>
      </c>
      <c r="D107" s="88" t="s">
        <v>263</v>
      </c>
      <c r="E107" s="88" t="s">
        <v>36</v>
      </c>
      <c r="F107" s="75" t="n">
        <f aca="false">IFERROR(ROUND(AVERAGE('Data Historis 5 Tahun'!I502:I506),0),0)</f>
        <v>31651</v>
      </c>
      <c r="G107" s="75" t="n">
        <f aca="false">IFERROR(ROUND(AVERAGE('Data Historis 5 Tahun'!J502:J506)*1.2499,0),0)</f>
        <v>914060</v>
      </c>
      <c r="H107" s="75" t="n">
        <f aca="false">IFERROR(ROUND(AVERAGE('Data Historis 5 Tahun'!K502:K506)*1.1587,0),0)</f>
        <v>248056</v>
      </c>
      <c r="I107" s="75" t="n">
        <f aca="false">IFERROR(ROUND(1.65*AVERAGE('Data Historis 5 Tahun'!N502:N506)*SQRT(AVERAGE('Data Historis 5 Tahun'!H502:H506)),0),0)</f>
        <v>102</v>
      </c>
      <c r="J107" s="76" t="n">
        <f aca="false">IFERROR(MAX(1,ROUND(F107/12,0)),1)</f>
        <v>2638</v>
      </c>
      <c r="K107" s="77" t="n">
        <f aca="false">IFERROR(ROUND((F107/J107)*G107+(J107/2)*H107+I107*H107,0),0)</f>
        <v>363454564</v>
      </c>
      <c r="L107" s="78" t="n">
        <f aca="false">IFERROR(ROUND(AVERAGE('Data Historis 5 Tahun'!J502:J506),0),0)</f>
        <v>731306</v>
      </c>
      <c r="M107" s="79" t="n">
        <f aca="false">IFERROR(ROUND(AVERAGE('Data Historis 5 Tahun'!K502:K506),0),0)</f>
        <v>214081</v>
      </c>
      <c r="N107" s="79" t="n">
        <f aca="false">IFERROR(ROUND(1.65*AVERAGE('Data Historis 5 Tahun'!N502:N506)*SQRT(AVERAGE('Data Historis 5 Tahun'!H502:H506)),0),0)</f>
        <v>102</v>
      </c>
      <c r="O107" s="80" t="n">
        <f aca="false">IFERROR(ROUND(SQRT(2*F107*L107/M107),0),0)</f>
        <v>465</v>
      </c>
      <c r="P107" s="80" t="n">
        <f aca="false">IFERROR(ROUND((F107/O107)*L107+(O107/2)*M107+N107*M107,0),0)</f>
        <v>121387656</v>
      </c>
      <c r="Q107" s="80" t="n">
        <f aca="false">K107-P107</f>
        <v>242066908</v>
      </c>
      <c r="R107" s="81" t="n">
        <f aca="false">IFERROR(MAX(1,ROUND(O107*0.5,0)),1)</f>
        <v>233</v>
      </c>
      <c r="S107" s="82" t="n">
        <f aca="false">IFERROR(ROUND((F107/R107)*L107,0),0)</f>
        <v>99341486</v>
      </c>
      <c r="T107" s="82" t="n">
        <f aca="false">IFERROR(ROUND((R107/2)*M107+N107*M107,0),0)</f>
        <v>46776699</v>
      </c>
      <c r="U107" s="83" t="n">
        <f aca="false">S107+T107</f>
        <v>146118185</v>
      </c>
      <c r="V107" s="84" t="n">
        <f aca="false">IFERROR(ROUND(O107*1.5,0),1)</f>
        <v>698</v>
      </c>
      <c r="W107" s="85" t="n">
        <f aca="false">IFERROR(ROUND((F107/V107)*L107,0),0)</f>
        <v>33161270</v>
      </c>
      <c r="X107" s="84" t="n">
        <f aca="false">IFERROR(ROUND((F107/V107)*L107+(V107/2)*M107+N107*M107,0),0)</f>
        <v>129711801</v>
      </c>
      <c r="Y107" s="86" t="n">
        <f aca="false">MIN(K107,P107,U107,X107)</f>
        <v>121387656</v>
      </c>
      <c r="Z107" s="87" t="str">
        <f aca="false">IF(Y107=P107,"✅ EOQ (optimal)",IF(Y107=K107,"Q Obs Lama",IF(Y107=U107,"Q Kecil","Q Besar")))</f>
        <v>✅ EOQ (optimal)</v>
      </c>
      <c r="AA107" s="72" t="n">
        <f aca="false">MAX(0,K107-P107)</f>
        <v>242066908</v>
      </c>
      <c r="AB107" s="72" t="n">
        <f aca="false">IFERROR(AA107/K107,0)</f>
        <v>0.666016971518894</v>
      </c>
      <c r="AC107" s="0" t="str">
        <f aca="false">IF(Q107&gt;0,"Gunakan EOQ — hemat Rp "&amp;TEXT(Q107,"#,##0")&amp;"/thn","Tinjau ulang parameter")</f>
        <v>Gunakan EOQ — hemat Rp 242,066,908/thn</v>
      </c>
      <c r="AD107" s="0" t="str">
        <f aca="false">IF(N107&gt;0,"Gunakan EOQ — hemat Rp "&amp;TEXT(N107,"#,##0")&amp;"/thn","Tinjau ulang parameter S &amp; H")</f>
        <v>Gunakan EOQ — hemat Rp 102/thn</v>
      </c>
    </row>
    <row r="108" customFormat="false" ht="19.5" hidden="false" customHeight="true" outlineLevel="0" collapsed="false">
      <c r="A108" s="90" t="s">
        <v>305</v>
      </c>
      <c r="B108" s="90"/>
      <c r="C108" s="90"/>
      <c r="D108" s="90"/>
      <c r="E108" s="90"/>
      <c r="K108" s="91" t="n">
        <f aca="false">SUM(K8:K107)</f>
        <v>55105792779</v>
      </c>
      <c r="M108" s="92" t="n">
        <f aca="false">SUM(M8:M107)</f>
        <v>33545497</v>
      </c>
      <c r="N108" s="92" t="n">
        <f aca="false">SUM(N8:N107)</f>
        <v>12920</v>
      </c>
      <c r="R108" s="93" t="n">
        <f aca="false">SUM(R8:R107)</f>
        <v>41962</v>
      </c>
      <c r="U108" s="94" t="n">
        <f aca="false">SUM(U8:U107)</f>
        <v>33790665446</v>
      </c>
      <c r="X108" s="95" t="n">
        <f aca="false">SUM(X8:X107)</f>
        <v>29858646449</v>
      </c>
      <c r="Y108" s="96" t="n">
        <f aca="false">IFERROR(X108/K108,0)</f>
        <v>0.541842244584832</v>
      </c>
    </row>
    <row r="110" customFormat="false" ht="15.75" hidden="false" customHeight="true" outlineLevel="0" collapsed="false">
      <c r="A110" s="97" t="s">
        <v>306</v>
      </c>
      <c r="B110" s="97"/>
      <c r="C110" s="97"/>
      <c r="D110" s="97"/>
      <c r="E110" s="97"/>
      <c r="F110" s="97"/>
      <c r="G110" s="97"/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/>
      <c r="S110" s="97"/>
      <c r="T110" s="97"/>
      <c r="U110" s="97"/>
      <c r="V110" s="97"/>
      <c r="W110" s="97"/>
      <c r="X110" s="97"/>
      <c r="Y110" s="97"/>
      <c r="Z110" s="97"/>
    </row>
    <row r="111" customFormat="false" ht="12.75" hidden="false" customHeight="true" outlineLevel="0" collapsed="false">
      <c r="A111" s="98" t="s">
        <v>307</v>
      </c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customFormat="false" ht="12.75" hidden="false" customHeight="true" outlineLevel="0" collapsed="false">
      <c r="A112" s="99" t="s">
        <v>308</v>
      </c>
      <c r="B112" s="99"/>
      <c r="C112" s="99"/>
      <c r="D112" s="99"/>
      <c r="E112" s="99"/>
      <c r="F112" s="99"/>
      <c r="G112" s="99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</row>
    <row r="113" customFormat="false" ht="12.75" hidden="false" customHeight="true" outlineLevel="0" collapsed="false">
      <c r="A113" s="100" t="s">
        <v>309</v>
      </c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</sheetData>
  <mergeCells count="14">
    <mergeCell ref="A1:Z1"/>
    <mergeCell ref="A2:Z2"/>
    <mergeCell ref="A3:Z3"/>
    <mergeCell ref="A5:E5"/>
    <mergeCell ref="F5:I5"/>
    <mergeCell ref="J5:N5"/>
    <mergeCell ref="O5:U5"/>
    <mergeCell ref="V5:Z5"/>
    <mergeCell ref="A6:Z6"/>
    <mergeCell ref="A108:E108"/>
    <mergeCell ref="A110:Z110"/>
    <mergeCell ref="A111:Z111"/>
    <mergeCell ref="A112:Z112"/>
    <mergeCell ref="A113:Z1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2026-05-03T17:15:32Z</dcterms:created>
  <dc:creator>openpyxl</dc:creator>
  <dc:description/>
  <dc:language>en-US</dc:language>
  <cp:lastModifiedBy>Rafy Pratama</cp:lastModifiedBy>
  <dcterms:modified xsi:type="dcterms:W3CDTF">2026-05-03T18:38:02Z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